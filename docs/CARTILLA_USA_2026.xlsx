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Antonio\Documents\football-tournaments-pool-system\instances\Mundial USA 2026 Test\"/>
    </mc:Choice>
  </mc:AlternateContent>
  <xr:revisionPtr revIDLastSave="0" documentId="13_ncr:1_{0AC2D902-455F-45B9-B437-9E43EE0DA785}" xr6:coauthVersionLast="47" xr6:coauthVersionMax="47" xr10:uidLastSave="{00000000-0000-0000-0000-000000000000}"/>
  <bookViews>
    <workbookView xWindow="-120" yWindow="-120" windowWidth="20730" windowHeight="11160" tabRatio="823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20" r:id="rId6"/>
    <sheet name="GRUPO F" sheetId="21" r:id="rId7"/>
    <sheet name="GRUPO G" sheetId="22" r:id="rId8"/>
    <sheet name="GRUPO H" sheetId="23" r:id="rId9"/>
    <sheet name="GRUPO I" sheetId="24" r:id="rId10"/>
    <sheet name="GRUPO J" sheetId="25" r:id="rId11"/>
    <sheet name="GRUPO K" sheetId="26" r:id="rId12"/>
    <sheet name="GRUPO L" sheetId="27" r:id="rId13"/>
    <sheet name="Mejores Terceros" sheetId="29" r:id="rId14"/>
    <sheet name="Play-Off" sheetId="30" r:id="rId15"/>
  </sheets>
  <definedNames>
    <definedName name="_xlnm._FilterDatabase" localSheetId="13" hidden="1">'Mejores Terceros'!$AV$2:$BR$497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9" l="1"/>
  <c r="AK10" i="29"/>
  <c r="AK11" i="29"/>
  <c r="AK12" i="29"/>
  <c r="AK13" i="29"/>
  <c r="AK14" i="29"/>
  <c r="AK15" i="29"/>
  <c r="AK16" i="29"/>
  <c r="AK17" i="29"/>
  <c r="AK18" i="29"/>
  <c r="AK19" i="29"/>
  <c r="AK8" i="29"/>
  <c r="AL9" i="29"/>
  <c r="AL10" i="29" s="1"/>
  <c r="AL11" i="29" s="1"/>
  <c r="AL12" i="29" s="1"/>
  <c r="AL13" i="29" s="1"/>
  <c r="AL14" i="29" s="1"/>
  <c r="AL15" i="29" s="1"/>
  <c r="AL16" i="29" s="1"/>
  <c r="AL17" i="29" s="1"/>
  <c r="AL18" i="29" s="1"/>
  <c r="AL19" i="29" s="1"/>
  <c r="AD9" i="29"/>
  <c r="AD10" i="29"/>
  <c r="AD11" i="29"/>
  <c r="AD12" i="29"/>
  <c r="AD13" i="29"/>
  <c r="AD14" i="29"/>
  <c r="AD15" i="29"/>
  <c r="AD16" i="29"/>
  <c r="AD17" i="29"/>
  <c r="AD18" i="29"/>
  <c r="AD19" i="29"/>
  <c r="AD8" i="29"/>
  <c r="AW4" i="29"/>
  <c r="AW5" i="29"/>
  <c r="AW6" i="29"/>
  <c r="AW7" i="29"/>
  <c r="AW8" i="29"/>
  <c r="AW9" i="29"/>
  <c r="AW10" i="29"/>
  <c r="AW11" i="29"/>
  <c r="AW12" i="29"/>
  <c r="AW13" i="29"/>
  <c r="AW14" i="29"/>
  <c r="AW15" i="29"/>
  <c r="AW16" i="29"/>
  <c r="AW17" i="29"/>
  <c r="AW18" i="29"/>
  <c r="AW19" i="29"/>
  <c r="AW20" i="29"/>
  <c r="AW21" i="29"/>
  <c r="AW22" i="29"/>
  <c r="AW23" i="29"/>
  <c r="AW24" i="29"/>
  <c r="AW25" i="29"/>
  <c r="AW26" i="29"/>
  <c r="AW27" i="29"/>
  <c r="AW28" i="29"/>
  <c r="AW29" i="29"/>
  <c r="AW30" i="29"/>
  <c r="AW31" i="29"/>
  <c r="AW32" i="29"/>
  <c r="AW33" i="29"/>
  <c r="AW34" i="29"/>
  <c r="AW35" i="29"/>
  <c r="AW36" i="29"/>
  <c r="AW37" i="29"/>
  <c r="AW38" i="29"/>
  <c r="AW39" i="29"/>
  <c r="AW40" i="29"/>
  <c r="AW41" i="29"/>
  <c r="AW42" i="29"/>
  <c r="AW43" i="29"/>
  <c r="AW44" i="29"/>
  <c r="AW45" i="29"/>
  <c r="AW46" i="29"/>
  <c r="AW47" i="29"/>
  <c r="AW48" i="29"/>
  <c r="AW49" i="29"/>
  <c r="AW50" i="29"/>
  <c r="AW51" i="29"/>
  <c r="AW52" i="29"/>
  <c r="AW53" i="29"/>
  <c r="AW54" i="29"/>
  <c r="AW55" i="29"/>
  <c r="AW56" i="29"/>
  <c r="AW57" i="29"/>
  <c r="AW58" i="29"/>
  <c r="AW59" i="29"/>
  <c r="AW60" i="29"/>
  <c r="AW61" i="29"/>
  <c r="AW62" i="29"/>
  <c r="AW63" i="29"/>
  <c r="AW64" i="29"/>
  <c r="AW65" i="29"/>
  <c r="AW66" i="29"/>
  <c r="AW67" i="29"/>
  <c r="AW68" i="29"/>
  <c r="AW69" i="29"/>
  <c r="AW70" i="29"/>
  <c r="AW71" i="29"/>
  <c r="AW72" i="29"/>
  <c r="AW73" i="29"/>
  <c r="AW74" i="29"/>
  <c r="AW75" i="29"/>
  <c r="AW76" i="29"/>
  <c r="AW77" i="29"/>
  <c r="AW78" i="29"/>
  <c r="AW79" i="29"/>
  <c r="AW80" i="29"/>
  <c r="AW81" i="29"/>
  <c r="AW82" i="29"/>
  <c r="AW83" i="29"/>
  <c r="AW84" i="29"/>
  <c r="AW85" i="29"/>
  <c r="AW86" i="29"/>
  <c r="AW87" i="29"/>
  <c r="AW88" i="29"/>
  <c r="AW89" i="29"/>
  <c r="AW90" i="29"/>
  <c r="AW91" i="29"/>
  <c r="AW92" i="29"/>
  <c r="AW93" i="29"/>
  <c r="AW94" i="29"/>
  <c r="AW95" i="29"/>
  <c r="AW96" i="29"/>
  <c r="AW97" i="29"/>
  <c r="AW98" i="29"/>
  <c r="AW99" i="29"/>
  <c r="AW100" i="29"/>
  <c r="AW101" i="29"/>
  <c r="AW102" i="29"/>
  <c r="AW103" i="29"/>
  <c r="AW104" i="29"/>
  <c r="AW105" i="29"/>
  <c r="AW106" i="29"/>
  <c r="AW107" i="29"/>
  <c r="AW108" i="29"/>
  <c r="AW109" i="29"/>
  <c r="AW110" i="29"/>
  <c r="AW111" i="29"/>
  <c r="AW112" i="29"/>
  <c r="AW113" i="29"/>
  <c r="AW114" i="29"/>
  <c r="AW115" i="29"/>
  <c r="AW116" i="29"/>
  <c r="AW117" i="29"/>
  <c r="AW118" i="29"/>
  <c r="AW119" i="29"/>
  <c r="AW120" i="29"/>
  <c r="AW121" i="29"/>
  <c r="AW122" i="29"/>
  <c r="AW123" i="29"/>
  <c r="AW124" i="29"/>
  <c r="AW125" i="29"/>
  <c r="AW126" i="29"/>
  <c r="AW127" i="29"/>
  <c r="AW128" i="29"/>
  <c r="AW129" i="29"/>
  <c r="AW130" i="29"/>
  <c r="AW131" i="29"/>
  <c r="AW132" i="29"/>
  <c r="AW133" i="29"/>
  <c r="AW134" i="29"/>
  <c r="AW135" i="29"/>
  <c r="AW136" i="29"/>
  <c r="AW137" i="29"/>
  <c r="AW138" i="29"/>
  <c r="AW139" i="29"/>
  <c r="AW140" i="29"/>
  <c r="AW141" i="29"/>
  <c r="AW142" i="29"/>
  <c r="AW143" i="29"/>
  <c r="AW144" i="29"/>
  <c r="AW145" i="29"/>
  <c r="AW146" i="29"/>
  <c r="AW147" i="29"/>
  <c r="AW148" i="29"/>
  <c r="AW149" i="29"/>
  <c r="AW150" i="29"/>
  <c r="AW151" i="29"/>
  <c r="AW152" i="29"/>
  <c r="AW153" i="29"/>
  <c r="AW154" i="29"/>
  <c r="AW155" i="29"/>
  <c r="AW156" i="29"/>
  <c r="AW157" i="29"/>
  <c r="AW158" i="29"/>
  <c r="AW159" i="29"/>
  <c r="AW160" i="29"/>
  <c r="AW161" i="29"/>
  <c r="AW162" i="29"/>
  <c r="AW163" i="29"/>
  <c r="AW164" i="29"/>
  <c r="AW165" i="29"/>
  <c r="AW166" i="29"/>
  <c r="AW167" i="29"/>
  <c r="AW168" i="29"/>
  <c r="AW169" i="29"/>
  <c r="AW170" i="29"/>
  <c r="AW171" i="29"/>
  <c r="AW172" i="29"/>
  <c r="AW173" i="29"/>
  <c r="AW174" i="29"/>
  <c r="AW175" i="29"/>
  <c r="AW176" i="29"/>
  <c r="AW177" i="29"/>
  <c r="AW178" i="29"/>
  <c r="AW179" i="29"/>
  <c r="AW180" i="29"/>
  <c r="AW181" i="29"/>
  <c r="AW182" i="29"/>
  <c r="AW183" i="29"/>
  <c r="AW184" i="29"/>
  <c r="AW185" i="29"/>
  <c r="AW186" i="29"/>
  <c r="AW187" i="29"/>
  <c r="AW188" i="29"/>
  <c r="AW189" i="29"/>
  <c r="AW190" i="29"/>
  <c r="AW191" i="29"/>
  <c r="AW192" i="29"/>
  <c r="AW193" i="29"/>
  <c r="AW194" i="29"/>
  <c r="AW195" i="29"/>
  <c r="AW196" i="29"/>
  <c r="AW197" i="29"/>
  <c r="AW198" i="29"/>
  <c r="AW199" i="29"/>
  <c r="AW200" i="29"/>
  <c r="AW201" i="29"/>
  <c r="AW202" i="29"/>
  <c r="AW203" i="29"/>
  <c r="AW204" i="29"/>
  <c r="AW205" i="29"/>
  <c r="AW206" i="29"/>
  <c r="AW207" i="29"/>
  <c r="AW208" i="29"/>
  <c r="AW209" i="29"/>
  <c r="AW210" i="29"/>
  <c r="AW211" i="29"/>
  <c r="AW212" i="29"/>
  <c r="AW213" i="29"/>
  <c r="AW214" i="29"/>
  <c r="AW215" i="29"/>
  <c r="AW216" i="29"/>
  <c r="AW217" i="29"/>
  <c r="AW218" i="29"/>
  <c r="AW219" i="29"/>
  <c r="AW220" i="29"/>
  <c r="AW221" i="29"/>
  <c r="AW222" i="29"/>
  <c r="AW223" i="29"/>
  <c r="AW224" i="29"/>
  <c r="AW225" i="29"/>
  <c r="AW226" i="29"/>
  <c r="AW227" i="29"/>
  <c r="AW228" i="29"/>
  <c r="AW229" i="29"/>
  <c r="AW230" i="29"/>
  <c r="AW231" i="29"/>
  <c r="AW232" i="29"/>
  <c r="AW233" i="29"/>
  <c r="AW234" i="29"/>
  <c r="AW235" i="29"/>
  <c r="AW236" i="29"/>
  <c r="AW237" i="29"/>
  <c r="AW238" i="29"/>
  <c r="AW239" i="29"/>
  <c r="AW240" i="29"/>
  <c r="AW241" i="29"/>
  <c r="AW242" i="29"/>
  <c r="AW243" i="29"/>
  <c r="AW244" i="29"/>
  <c r="AW245" i="29"/>
  <c r="AW246" i="29"/>
  <c r="AW247" i="29"/>
  <c r="AW248" i="29"/>
  <c r="AW249" i="29"/>
  <c r="AW250" i="29"/>
  <c r="AW251" i="29"/>
  <c r="AW252" i="29"/>
  <c r="AW253" i="29"/>
  <c r="AW254" i="29"/>
  <c r="AW255" i="29"/>
  <c r="AW256" i="29"/>
  <c r="AW257" i="29"/>
  <c r="AW258" i="29"/>
  <c r="AW259" i="29"/>
  <c r="AW260" i="29"/>
  <c r="AW261" i="29"/>
  <c r="AW262" i="29"/>
  <c r="AW263" i="29"/>
  <c r="AW264" i="29"/>
  <c r="AW265" i="29"/>
  <c r="AW266" i="29"/>
  <c r="AW267" i="29"/>
  <c r="AW268" i="29"/>
  <c r="AW269" i="29"/>
  <c r="AW270" i="29"/>
  <c r="AW271" i="29"/>
  <c r="AW272" i="29"/>
  <c r="AW273" i="29"/>
  <c r="AW274" i="29"/>
  <c r="AW275" i="29"/>
  <c r="AW276" i="29"/>
  <c r="AW277" i="29"/>
  <c r="AW278" i="29"/>
  <c r="AW279" i="29"/>
  <c r="AW280" i="29"/>
  <c r="AW281" i="29"/>
  <c r="AW282" i="29"/>
  <c r="AW283" i="29"/>
  <c r="AW284" i="29"/>
  <c r="AW285" i="29"/>
  <c r="AW286" i="29"/>
  <c r="AW287" i="29"/>
  <c r="AW288" i="29"/>
  <c r="AW289" i="29"/>
  <c r="AW290" i="29"/>
  <c r="AW291" i="29"/>
  <c r="AW292" i="29"/>
  <c r="AW293" i="29"/>
  <c r="AW294" i="29"/>
  <c r="AW295" i="29"/>
  <c r="AW296" i="29"/>
  <c r="AW297" i="29"/>
  <c r="AW298" i="29"/>
  <c r="AW299" i="29"/>
  <c r="AW300" i="29"/>
  <c r="AW301" i="29"/>
  <c r="AW302" i="29"/>
  <c r="AW303" i="29"/>
  <c r="AW304" i="29"/>
  <c r="AW305" i="29"/>
  <c r="AW306" i="29"/>
  <c r="AW307" i="29"/>
  <c r="AW308" i="29"/>
  <c r="AW309" i="29"/>
  <c r="AW310" i="29"/>
  <c r="AW311" i="29"/>
  <c r="AW312" i="29"/>
  <c r="AW313" i="29"/>
  <c r="AW314" i="29"/>
  <c r="AW315" i="29"/>
  <c r="AW316" i="29"/>
  <c r="AW317" i="29"/>
  <c r="AW318" i="29"/>
  <c r="AW319" i="29"/>
  <c r="AW320" i="29"/>
  <c r="AW321" i="29"/>
  <c r="AW322" i="29"/>
  <c r="AW323" i="29"/>
  <c r="AW324" i="29"/>
  <c r="AW325" i="29"/>
  <c r="AW326" i="29"/>
  <c r="AW327" i="29"/>
  <c r="AW328" i="29"/>
  <c r="AW329" i="29"/>
  <c r="AW330" i="29"/>
  <c r="AW331" i="29"/>
  <c r="AW332" i="29"/>
  <c r="AW333" i="29"/>
  <c r="AW334" i="29"/>
  <c r="AW335" i="29"/>
  <c r="AW336" i="29"/>
  <c r="AW337" i="29"/>
  <c r="AW338" i="29"/>
  <c r="AW339" i="29"/>
  <c r="AW340" i="29"/>
  <c r="AW341" i="29"/>
  <c r="AW342" i="29"/>
  <c r="AW343" i="29"/>
  <c r="AW344" i="29"/>
  <c r="AW345" i="29"/>
  <c r="AW346" i="29"/>
  <c r="AW347" i="29"/>
  <c r="AW348" i="29"/>
  <c r="AW349" i="29"/>
  <c r="AW350" i="29"/>
  <c r="AW351" i="29"/>
  <c r="AW352" i="29"/>
  <c r="AW353" i="29"/>
  <c r="AW354" i="29"/>
  <c r="AW355" i="29"/>
  <c r="AW356" i="29"/>
  <c r="AW357" i="29"/>
  <c r="AW358" i="29"/>
  <c r="AW359" i="29"/>
  <c r="AW360" i="29"/>
  <c r="AW361" i="29"/>
  <c r="AW362" i="29"/>
  <c r="AW363" i="29"/>
  <c r="AW364" i="29"/>
  <c r="AW365" i="29"/>
  <c r="AW366" i="29"/>
  <c r="AW367" i="29"/>
  <c r="AW368" i="29"/>
  <c r="AW369" i="29"/>
  <c r="AW370" i="29"/>
  <c r="AW371" i="29"/>
  <c r="AW372" i="29"/>
  <c r="AW373" i="29"/>
  <c r="AW374" i="29"/>
  <c r="AW375" i="29"/>
  <c r="AW376" i="29"/>
  <c r="AW377" i="29"/>
  <c r="AW378" i="29"/>
  <c r="AW379" i="29"/>
  <c r="AW380" i="29"/>
  <c r="AW381" i="29"/>
  <c r="AW382" i="29"/>
  <c r="AW383" i="29"/>
  <c r="AW384" i="29"/>
  <c r="AW385" i="29"/>
  <c r="AW386" i="29"/>
  <c r="AW387" i="29"/>
  <c r="AW388" i="29"/>
  <c r="AW389" i="29"/>
  <c r="AW390" i="29"/>
  <c r="AW391" i="29"/>
  <c r="AW392" i="29"/>
  <c r="AW393" i="29"/>
  <c r="AW394" i="29"/>
  <c r="AW395" i="29"/>
  <c r="AW396" i="29"/>
  <c r="AW397" i="29"/>
  <c r="AW398" i="29"/>
  <c r="AW399" i="29"/>
  <c r="AW400" i="29"/>
  <c r="AW401" i="29"/>
  <c r="AW402" i="29"/>
  <c r="AW403" i="29"/>
  <c r="AW404" i="29"/>
  <c r="AW405" i="29"/>
  <c r="AW406" i="29"/>
  <c r="AW407" i="29"/>
  <c r="AW408" i="29"/>
  <c r="AW409" i="29"/>
  <c r="AW410" i="29"/>
  <c r="AW411" i="29"/>
  <c r="AW412" i="29"/>
  <c r="AW413" i="29"/>
  <c r="AW414" i="29"/>
  <c r="AW415" i="29"/>
  <c r="AW416" i="29"/>
  <c r="AW417" i="29"/>
  <c r="AW418" i="29"/>
  <c r="AW419" i="29"/>
  <c r="AW420" i="29"/>
  <c r="AW421" i="29"/>
  <c r="AW422" i="29"/>
  <c r="AW423" i="29"/>
  <c r="AW424" i="29"/>
  <c r="AW425" i="29"/>
  <c r="AW426" i="29"/>
  <c r="AW427" i="29"/>
  <c r="AW428" i="29"/>
  <c r="AW429" i="29"/>
  <c r="AW430" i="29"/>
  <c r="AW431" i="29"/>
  <c r="AW432" i="29"/>
  <c r="AW433" i="29"/>
  <c r="AW434" i="29"/>
  <c r="AW435" i="29"/>
  <c r="AW436" i="29"/>
  <c r="AW437" i="29"/>
  <c r="AW438" i="29"/>
  <c r="AW439" i="29"/>
  <c r="AW440" i="29"/>
  <c r="AW441" i="29"/>
  <c r="AW442" i="29"/>
  <c r="AW443" i="29"/>
  <c r="AW444" i="29"/>
  <c r="AW445" i="29"/>
  <c r="AW446" i="29"/>
  <c r="AW447" i="29"/>
  <c r="AW448" i="29"/>
  <c r="AW449" i="29"/>
  <c r="AW450" i="29"/>
  <c r="AW451" i="29"/>
  <c r="AW452" i="29"/>
  <c r="AW453" i="29"/>
  <c r="AW454" i="29"/>
  <c r="AW455" i="29"/>
  <c r="AW456" i="29"/>
  <c r="AW457" i="29"/>
  <c r="AW458" i="29"/>
  <c r="AW459" i="29"/>
  <c r="AW460" i="29"/>
  <c r="AW461" i="29"/>
  <c r="AW462" i="29"/>
  <c r="AW463" i="29"/>
  <c r="AW464" i="29"/>
  <c r="AW465" i="29"/>
  <c r="AW466" i="29"/>
  <c r="AW467" i="29"/>
  <c r="AW468" i="29"/>
  <c r="AW469" i="29"/>
  <c r="AW470" i="29"/>
  <c r="AW471" i="29"/>
  <c r="AW472" i="29"/>
  <c r="AW473" i="29"/>
  <c r="AW474" i="29"/>
  <c r="AW475" i="29"/>
  <c r="AW476" i="29"/>
  <c r="AW477" i="29"/>
  <c r="AW478" i="29"/>
  <c r="AW479" i="29"/>
  <c r="AW480" i="29"/>
  <c r="AW481" i="29"/>
  <c r="AW482" i="29"/>
  <c r="AW483" i="29"/>
  <c r="AW484" i="29"/>
  <c r="AW485" i="29"/>
  <c r="AW486" i="29"/>
  <c r="AW487" i="29"/>
  <c r="AW488" i="29"/>
  <c r="AW489" i="29"/>
  <c r="AW490" i="29"/>
  <c r="AW491" i="29"/>
  <c r="AW492" i="29"/>
  <c r="AW493" i="29"/>
  <c r="AW494" i="29"/>
  <c r="AW495" i="29"/>
  <c r="AW496" i="29"/>
  <c r="AW497" i="29"/>
  <c r="AW3" i="29"/>
  <c r="N27" i="27"/>
  <c r="N26" i="27"/>
  <c r="I26" i="27"/>
  <c r="N25" i="27"/>
  <c r="I25" i="27"/>
  <c r="N24" i="27"/>
  <c r="I24" i="27"/>
  <c r="N23" i="27"/>
  <c r="I23" i="27"/>
  <c r="AJ12" i="27"/>
  <c r="AI12" i="27"/>
  <c r="AG12" i="27"/>
  <c r="AJ11" i="27"/>
  <c r="AI11" i="27"/>
  <c r="AG11" i="27"/>
  <c r="AV10" i="27"/>
  <c r="AO10" i="27"/>
  <c r="AS10" i="27" s="1"/>
  <c r="AJ10" i="27"/>
  <c r="AK10" i="27" s="1"/>
  <c r="AI10" i="27"/>
  <c r="AG10" i="27"/>
  <c r="AO9" i="27"/>
  <c r="AR9" i="27" s="1"/>
  <c r="AJ9" i="27"/>
  <c r="AI9" i="27"/>
  <c r="AG9" i="27"/>
  <c r="AO8" i="27"/>
  <c r="AS8" i="27" s="1"/>
  <c r="AJ8" i="27"/>
  <c r="AK8" i="27" s="1"/>
  <c r="AI8" i="27"/>
  <c r="AG8" i="27"/>
  <c r="AO7" i="27"/>
  <c r="AV7" i="27" s="1"/>
  <c r="AJ7" i="27"/>
  <c r="AK7" i="27" s="1"/>
  <c r="AI7" i="27"/>
  <c r="AG7" i="27"/>
  <c r="N27" i="26"/>
  <c r="N26" i="26"/>
  <c r="I26" i="26"/>
  <c r="N25" i="26"/>
  <c r="I25" i="26"/>
  <c r="N24" i="26"/>
  <c r="I24" i="26"/>
  <c r="N23" i="26"/>
  <c r="I23" i="26"/>
  <c r="AK12" i="26"/>
  <c r="AJ12" i="26"/>
  <c r="AI12" i="26"/>
  <c r="AG12" i="26"/>
  <c r="AJ11" i="26"/>
  <c r="AK11" i="26" s="1"/>
  <c r="AL11" i="26" s="1"/>
  <c r="AI11" i="26"/>
  <c r="AG11" i="26"/>
  <c r="AO10" i="26"/>
  <c r="AS10" i="26" s="1"/>
  <c r="AK10" i="26"/>
  <c r="AL10" i="26" s="1"/>
  <c r="AJ10" i="26"/>
  <c r="AI10" i="26"/>
  <c r="AG10" i="26"/>
  <c r="AO9" i="26"/>
  <c r="AR9" i="26" s="1"/>
  <c r="AJ9" i="26"/>
  <c r="AI9" i="26"/>
  <c r="AG9" i="26"/>
  <c r="AO8" i="26"/>
  <c r="AS8" i="26" s="1"/>
  <c r="AK8" i="26"/>
  <c r="AJ8" i="26"/>
  <c r="AI8" i="26"/>
  <c r="AG8" i="26"/>
  <c r="AO7" i="26"/>
  <c r="AV7" i="26" s="1"/>
  <c r="AJ7" i="26"/>
  <c r="AK7" i="26" s="1"/>
  <c r="AI7" i="26"/>
  <c r="AG7" i="26"/>
  <c r="AG13" i="26" s="1"/>
  <c r="N27" i="25"/>
  <c r="N26" i="25"/>
  <c r="I26" i="25"/>
  <c r="N25" i="25"/>
  <c r="I25" i="25"/>
  <c r="N24" i="25"/>
  <c r="I24" i="25"/>
  <c r="N23" i="25"/>
  <c r="I23" i="25"/>
  <c r="AJ12" i="25"/>
  <c r="AK12" i="25" s="1"/>
  <c r="AL12" i="25" s="1"/>
  <c r="AI12" i="25"/>
  <c r="AG12" i="25"/>
  <c r="AJ11" i="25"/>
  <c r="AK11" i="25" s="1"/>
  <c r="AL11" i="25" s="1"/>
  <c r="AI11" i="25"/>
  <c r="AG11" i="25"/>
  <c r="AO10" i="25"/>
  <c r="AS10" i="25" s="1"/>
  <c r="AJ10" i="25"/>
  <c r="AK10" i="25" s="1"/>
  <c r="AL10" i="25" s="1"/>
  <c r="AI10" i="25"/>
  <c r="AG10" i="25"/>
  <c r="AO9" i="25"/>
  <c r="AR9" i="25" s="1"/>
  <c r="AJ9" i="25"/>
  <c r="AI9" i="25"/>
  <c r="AG9" i="25"/>
  <c r="AO8" i="25"/>
  <c r="AS8" i="25" s="1"/>
  <c r="AJ8" i="25"/>
  <c r="AI8" i="25"/>
  <c r="AG8" i="25"/>
  <c r="AO7" i="25"/>
  <c r="AV7" i="25" s="1"/>
  <c r="AJ7" i="25"/>
  <c r="AK7" i="25" s="1"/>
  <c r="AI7" i="25"/>
  <c r="AG7" i="25"/>
  <c r="N27" i="24"/>
  <c r="N26" i="24"/>
  <c r="I26" i="24"/>
  <c r="N25" i="24"/>
  <c r="I25" i="24"/>
  <c r="N24" i="24"/>
  <c r="I24" i="24"/>
  <c r="N23" i="24"/>
  <c r="I23" i="24"/>
  <c r="AK12" i="24"/>
  <c r="AJ12" i="24"/>
  <c r="AI12" i="24"/>
  <c r="AG12" i="24"/>
  <c r="AJ11" i="24"/>
  <c r="AK11" i="24" s="1"/>
  <c r="AL11" i="24" s="1"/>
  <c r="AI11" i="24"/>
  <c r="AG11" i="24"/>
  <c r="AO10" i="24"/>
  <c r="AS10" i="24" s="1"/>
  <c r="AK10" i="24"/>
  <c r="AL10" i="24" s="1"/>
  <c r="AJ10" i="24"/>
  <c r="AI10" i="24"/>
  <c r="AG10" i="24"/>
  <c r="AO9" i="24"/>
  <c r="AR9" i="24" s="1"/>
  <c r="AJ9" i="24"/>
  <c r="AI9" i="24"/>
  <c r="AG9" i="24"/>
  <c r="AO8" i="24"/>
  <c r="AS8" i="24" s="1"/>
  <c r="AJ8" i="24"/>
  <c r="AK8" i="24" s="1"/>
  <c r="AI8" i="24"/>
  <c r="AG8" i="24"/>
  <c r="AO7" i="24"/>
  <c r="AV7" i="24" s="1"/>
  <c r="AJ7" i="24"/>
  <c r="AK7" i="24" s="1"/>
  <c r="AI7" i="24"/>
  <c r="AG7" i="24"/>
  <c r="AG13" i="24" s="1"/>
  <c r="N27" i="23"/>
  <c r="N26" i="23"/>
  <c r="I26" i="23"/>
  <c r="N25" i="23"/>
  <c r="I25" i="23"/>
  <c r="N24" i="23"/>
  <c r="I24" i="23"/>
  <c r="N23" i="23"/>
  <c r="I23" i="23"/>
  <c r="AJ12" i="23"/>
  <c r="AI12" i="23"/>
  <c r="AG12" i="23"/>
  <c r="AJ11" i="23"/>
  <c r="AK11" i="23" s="1"/>
  <c r="AL11" i="23" s="1"/>
  <c r="AI11" i="23"/>
  <c r="AG11" i="23"/>
  <c r="AO10" i="23"/>
  <c r="AS10" i="23" s="1"/>
  <c r="AJ10" i="23"/>
  <c r="AI10" i="23"/>
  <c r="AG10" i="23"/>
  <c r="AO9" i="23"/>
  <c r="AR9" i="23" s="1"/>
  <c r="AJ9" i="23"/>
  <c r="AI9" i="23"/>
  <c r="AG9" i="23"/>
  <c r="AO8" i="23"/>
  <c r="AV8" i="23" s="1"/>
  <c r="AJ8" i="23"/>
  <c r="AK8" i="23" s="1"/>
  <c r="AI8" i="23"/>
  <c r="AG8" i="23"/>
  <c r="AV7" i="23"/>
  <c r="AO7" i="23"/>
  <c r="AS7" i="23" s="1"/>
  <c r="AJ7" i="23"/>
  <c r="AI7" i="23"/>
  <c r="AG7" i="23"/>
  <c r="N27" i="22"/>
  <c r="N26" i="22"/>
  <c r="I26" i="22"/>
  <c r="N25" i="22"/>
  <c r="I25" i="22"/>
  <c r="N24" i="22"/>
  <c r="I24" i="22"/>
  <c r="N23" i="22"/>
  <c r="I23" i="22"/>
  <c r="AK12" i="22"/>
  <c r="AJ12" i="22"/>
  <c r="AI12" i="22"/>
  <c r="AG12" i="22"/>
  <c r="AJ11" i="22"/>
  <c r="AK11" i="22" s="1"/>
  <c r="AL11" i="22" s="1"/>
  <c r="AI11" i="22"/>
  <c r="AG11" i="22"/>
  <c r="AO10" i="22"/>
  <c r="AS10" i="22" s="1"/>
  <c r="AK10" i="22"/>
  <c r="AL10" i="22" s="1"/>
  <c r="AJ10" i="22"/>
  <c r="AI10" i="22"/>
  <c r="AG10" i="22"/>
  <c r="AO9" i="22"/>
  <c r="AR9" i="22" s="1"/>
  <c r="AJ9" i="22"/>
  <c r="AI9" i="22"/>
  <c r="AG9" i="22"/>
  <c r="AO8" i="22"/>
  <c r="AS8" i="22" s="1"/>
  <c r="AJ8" i="22"/>
  <c r="AK8" i="22" s="1"/>
  <c r="AI8" i="22"/>
  <c r="AG8" i="22"/>
  <c r="AO7" i="22"/>
  <c r="AV7" i="22" s="1"/>
  <c r="AJ7" i="22"/>
  <c r="AK7" i="22" s="1"/>
  <c r="AI7" i="22"/>
  <c r="AG7" i="22"/>
  <c r="AG13" i="22" s="1"/>
  <c r="N27" i="21"/>
  <c r="N26" i="21"/>
  <c r="I26" i="21"/>
  <c r="N25" i="21"/>
  <c r="I25" i="21"/>
  <c r="N24" i="21"/>
  <c r="I24" i="21"/>
  <c r="N23" i="21"/>
  <c r="I23" i="21"/>
  <c r="AJ12" i="21"/>
  <c r="AK12" i="21" s="1"/>
  <c r="AL12" i="21" s="1"/>
  <c r="AI12" i="21"/>
  <c r="AG12" i="21"/>
  <c r="AJ11" i="21"/>
  <c r="AK11" i="21" s="1"/>
  <c r="AL11" i="21" s="1"/>
  <c r="AI11" i="21"/>
  <c r="AG11" i="21"/>
  <c r="AO10" i="21"/>
  <c r="AS10" i="21" s="1"/>
  <c r="AJ10" i="21"/>
  <c r="AK10" i="21" s="1"/>
  <c r="AL10" i="21" s="1"/>
  <c r="AI10" i="21"/>
  <c r="AG10" i="21"/>
  <c r="AO9" i="21"/>
  <c r="AR9" i="21" s="1"/>
  <c r="AJ9" i="21"/>
  <c r="AI9" i="21"/>
  <c r="AG9" i="21"/>
  <c r="AO8" i="21"/>
  <c r="AV8" i="21" s="1"/>
  <c r="AJ8" i="21"/>
  <c r="AI8" i="21"/>
  <c r="AG8" i="21"/>
  <c r="AO7" i="21"/>
  <c r="AV7" i="21" s="1"/>
  <c r="AJ7" i="21"/>
  <c r="AK7" i="21" s="1"/>
  <c r="AL7" i="21" s="1"/>
  <c r="AI7" i="21"/>
  <c r="AG7" i="21"/>
  <c r="N27" i="20"/>
  <c r="N26" i="20"/>
  <c r="I26" i="20"/>
  <c r="N25" i="20"/>
  <c r="I25" i="20"/>
  <c r="N24" i="20"/>
  <c r="I24" i="20"/>
  <c r="N23" i="20"/>
  <c r="I23" i="20"/>
  <c r="AJ12" i="20"/>
  <c r="AK12" i="20" s="1"/>
  <c r="AL12" i="20" s="1"/>
  <c r="AI12" i="20"/>
  <c r="AG12" i="20"/>
  <c r="AJ11" i="20"/>
  <c r="AK11" i="20" s="1"/>
  <c r="AL11" i="20" s="1"/>
  <c r="AI11" i="20"/>
  <c r="AG11" i="20"/>
  <c r="AO10" i="20"/>
  <c r="AS10" i="20" s="1"/>
  <c r="AJ10" i="20"/>
  <c r="AK10" i="20" s="1"/>
  <c r="AL10" i="20" s="1"/>
  <c r="AI10" i="20"/>
  <c r="AG10" i="20"/>
  <c r="AO9" i="20"/>
  <c r="AR9" i="20" s="1"/>
  <c r="AJ9" i="20"/>
  <c r="AI9" i="20"/>
  <c r="AG9" i="20"/>
  <c r="AO8" i="20"/>
  <c r="AV8" i="20" s="1"/>
  <c r="AJ8" i="20"/>
  <c r="AI8" i="20"/>
  <c r="AG8" i="20"/>
  <c r="AO7" i="20"/>
  <c r="AV7" i="20" s="1"/>
  <c r="AJ7" i="20"/>
  <c r="AK7" i="20" s="1"/>
  <c r="AL7" i="20" s="1"/>
  <c r="AI7" i="20"/>
  <c r="AG7" i="20"/>
  <c r="AG12" i="11"/>
  <c r="AG11" i="11"/>
  <c r="AG10" i="11"/>
  <c r="AG9" i="11"/>
  <c r="AG8" i="11"/>
  <c r="AG7" i="11"/>
  <c r="AG13" i="11" s="1"/>
  <c r="AG12" i="10"/>
  <c r="AG11" i="10"/>
  <c r="AG10" i="10"/>
  <c r="AG9" i="10"/>
  <c r="AG8" i="10"/>
  <c r="AG7" i="10"/>
  <c r="AG12" i="2"/>
  <c r="AG11" i="2"/>
  <c r="AG10" i="2"/>
  <c r="AG9" i="2"/>
  <c r="AG8" i="2"/>
  <c r="AG7" i="2"/>
  <c r="AG13" i="2" s="1"/>
  <c r="AG8" i="1"/>
  <c r="AG9" i="1"/>
  <c r="AG10" i="1"/>
  <c r="AG11" i="1"/>
  <c r="AG12" i="1"/>
  <c r="AG7" i="1"/>
  <c r="AO10" i="11"/>
  <c r="AO9" i="11"/>
  <c r="AV9" i="11" s="1"/>
  <c r="AO8" i="11"/>
  <c r="AV8" i="11" s="1"/>
  <c r="AO7" i="11"/>
  <c r="AV7" i="11" s="1"/>
  <c r="AO10" i="10"/>
  <c r="AS10" i="10" s="1"/>
  <c r="AO9" i="10"/>
  <c r="AS9" i="10" s="1"/>
  <c r="AO8" i="10"/>
  <c r="AS8" i="10" s="1"/>
  <c r="AO7" i="10"/>
  <c r="AS7" i="10" s="1"/>
  <c r="AO10" i="2"/>
  <c r="AV10" i="2" s="1"/>
  <c r="AO9" i="2"/>
  <c r="AV9" i="2" s="1"/>
  <c r="AO8" i="2"/>
  <c r="AS8" i="2" s="1"/>
  <c r="AO7" i="2"/>
  <c r="AV7" i="2" s="1"/>
  <c r="AO8" i="1"/>
  <c r="AO9" i="1"/>
  <c r="AS9" i="1" s="1"/>
  <c r="AO10" i="1"/>
  <c r="AR10" i="1" s="1"/>
  <c r="AO7" i="1"/>
  <c r="AV7" i="1" s="1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R9" i="11"/>
  <c r="AJ9" i="11"/>
  <c r="AK9" i="11" s="1"/>
  <c r="AL9" i="11" s="1"/>
  <c r="AR8" i="11"/>
  <c r="AJ8" i="11"/>
  <c r="AK8" i="11" s="1"/>
  <c r="AL8" i="11" s="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J10" i="10"/>
  <c r="AK10" i="10" s="1"/>
  <c r="AL10" i="10" s="1"/>
  <c r="AJ9" i="10"/>
  <c r="AV8" i="10"/>
  <c r="AJ8" i="10"/>
  <c r="AJ7" i="10"/>
  <c r="N27" i="2"/>
  <c r="N26" i="2"/>
  <c r="I26" i="2"/>
  <c r="N25" i="2"/>
  <c r="I25" i="2"/>
  <c r="N24" i="2"/>
  <c r="I24" i="2"/>
  <c r="N23" i="2"/>
  <c r="I23" i="2"/>
  <c r="AJ12" i="2"/>
  <c r="AJ11" i="2"/>
  <c r="AS10" i="2"/>
  <c r="AR10" i="2"/>
  <c r="AJ10" i="2"/>
  <c r="AK10" i="2" s="1"/>
  <c r="AL10" i="2" s="1"/>
  <c r="AR9" i="2"/>
  <c r="AJ9" i="2"/>
  <c r="AK9" i="2" s="1"/>
  <c r="AL9" i="2" s="1"/>
  <c r="AV8" i="2"/>
  <c r="AR8" i="2"/>
  <c r="AJ8" i="2"/>
  <c r="AS7" i="2"/>
  <c r="AJ7" i="2"/>
  <c r="AK7" i="2" s="1"/>
  <c r="N23" i="1"/>
  <c r="N24" i="1"/>
  <c r="N25" i="1"/>
  <c r="N26" i="1"/>
  <c r="N27" i="1"/>
  <c r="I26" i="1"/>
  <c r="I25" i="1"/>
  <c r="I24" i="1"/>
  <c r="I23" i="1"/>
  <c r="AS10" i="1"/>
  <c r="AS8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J9" i="1"/>
  <c r="AK9" i="1" s="1"/>
  <c r="AL9" i="1" s="1"/>
  <c r="AV8" i="1"/>
  <c r="AJ8" i="1"/>
  <c r="AG13" i="1" l="1"/>
  <c r="AR8" i="20"/>
  <c r="AL12" i="22"/>
  <c r="AL12" i="24"/>
  <c r="AL12" i="26"/>
  <c r="AL8" i="25"/>
  <c r="AS9" i="11"/>
  <c r="AQ9" i="11" s="1"/>
  <c r="AG13" i="21"/>
  <c r="AR7" i="21"/>
  <c r="AK7" i="23"/>
  <c r="AL7" i="23" s="1"/>
  <c r="AL10" i="23"/>
  <c r="AK8" i="25"/>
  <c r="AG13" i="10"/>
  <c r="AG13" i="20"/>
  <c r="AR7" i="20"/>
  <c r="AR8" i="21"/>
  <c r="AL8" i="22"/>
  <c r="AG13" i="23"/>
  <c r="AR8" i="23"/>
  <c r="AK10" i="23"/>
  <c r="AK12" i="23"/>
  <c r="AP7" i="23" s="1"/>
  <c r="AL8" i="24"/>
  <c r="AG13" i="25"/>
  <c r="AL8" i="26"/>
  <c r="AK12" i="27"/>
  <c r="AL12" i="27" s="1"/>
  <c r="AK11" i="27"/>
  <c r="AL11" i="27" s="1"/>
  <c r="AL10" i="27"/>
  <c r="AG13" i="27"/>
  <c r="AL8" i="27"/>
  <c r="AP10" i="27"/>
  <c r="AR8" i="27"/>
  <c r="AQ8" i="27" s="1"/>
  <c r="AV8" i="27"/>
  <c r="AL7" i="27"/>
  <c r="AP8" i="27"/>
  <c r="AR7" i="27"/>
  <c r="AK9" i="27"/>
  <c r="AL9" i="27" s="1"/>
  <c r="AV9" i="27"/>
  <c r="AR10" i="27"/>
  <c r="AQ10" i="27" s="1"/>
  <c r="AS9" i="27"/>
  <c r="AQ9" i="27" s="1"/>
  <c r="AS7" i="27"/>
  <c r="AP10" i="26"/>
  <c r="AR10" i="26"/>
  <c r="AV10" i="26"/>
  <c r="AR8" i="26"/>
  <c r="AQ8" i="26" s="1"/>
  <c r="AV8" i="26"/>
  <c r="AQ10" i="26"/>
  <c r="AP8" i="26"/>
  <c r="AL7" i="26"/>
  <c r="AS9" i="26"/>
  <c r="AQ9" i="26" s="1"/>
  <c r="AR7" i="26"/>
  <c r="AK9" i="26"/>
  <c r="AL9" i="26" s="1"/>
  <c r="AP9" i="26"/>
  <c r="AV9" i="26"/>
  <c r="AS7" i="26"/>
  <c r="AP7" i="26"/>
  <c r="AP10" i="25"/>
  <c r="AR10" i="25"/>
  <c r="AQ10" i="25" s="1"/>
  <c r="AZ10" i="25" s="1"/>
  <c r="AV10" i="25"/>
  <c r="AR8" i="25"/>
  <c r="AQ8" i="25" s="1"/>
  <c r="AV8" i="25"/>
  <c r="AP8" i="25"/>
  <c r="AL7" i="25"/>
  <c r="AR7" i="25"/>
  <c r="AK9" i="25"/>
  <c r="AP9" i="25" s="1"/>
  <c r="AV9" i="25"/>
  <c r="AS9" i="25"/>
  <c r="AQ9" i="25" s="1"/>
  <c r="AS7" i="25"/>
  <c r="AP7" i="25"/>
  <c r="AP10" i="24"/>
  <c r="AR10" i="24"/>
  <c r="AV10" i="24"/>
  <c r="AR8" i="24"/>
  <c r="AQ8" i="24" s="1"/>
  <c r="AV8" i="24"/>
  <c r="AQ10" i="24"/>
  <c r="AP8" i="24"/>
  <c r="AL7" i="24"/>
  <c r="AS9" i="24"/>
  <c r="AQ9" i="24" s="1"/>
  <c r="AR7" i="24"/>
  <c r="AK9" i="24"/>
  <c r="AL9" i="24" s="1"/>
  <c r="AP9" i="24"/>
  <c r="AV9" i="24"/>
  <c r="AS7" i="24"/>
  <c r="AP7" i="24"/>
  <c r="AV10" i="23"/>
  <c r="AL8" i="23"/>
  <c r="AP10" i="23"/>
  <c r="AS9" i="23"/>
  <c r="AQ9" i="23" s="1"/>
  <c r="AR7" i="23"/>
  <c r="AQ7" i="23" s="1"/>
  <c r="AZ7" i="23" s="1"/>
  <c r="AS8" i="23"/>
  <c r="AQ8" i="23" s="1"/>
  <c r="AK9" i="23"/>
  <c r="AL9" i="23" s="1"/>
  <c r="AP9" i="23"/>
  <c r="AV9" i="23"/>
  <c r="AP8" i="23"/>
  <c r="AR10" i="23"/>
  <c r="AQ10" i="23" s="1"/>
  <c r="AP10" i="22"/>
  <c r="AR10" i="22"/>
  <c r="AV10" i="22"/>
  <c r="AR8" i="22"/>
  <c r="AQ8" i="22" s="1"/>
  <c r="AV8" i="22"/>
  <c r="AQ10" i="22"/>
  <c r="AP8" i="22"/>
  <c r="AL7" i="22"/>
  <c r="AR7" i="22"/>
  <c r="AK9" i="22"/>
  <c r="AP9" i="22" s="1"/>
  <c r="AV9" i="22"/>
  <c r="AS9" i="22"/>
  <c r="AQ9" i="22" s="1"/>
  <c r="AS7" i="22"/>
  <c r="AP7" i="22"/>
  <c r="AR10" i="21"/>
  <c r="AQ10" i="21" s="1"/>
  <c r="AV10" i="21"/>
  <c r="AS7" i="21"/>
  <c r="AQ7" i="21" s="1"/>
  <c r="AS9" i="21"/>
  <c r="AQ9" i="21" s="1"/>
  <c r="AS8" i="21"/>
  <c r="AQ8" i="21" s="1"/>
  <c r="AK9" i="21"/>
  <c r="AP9" i="21" s="1"/>
  <c r="AV9" i="21"/>
  <c r="AK8" i="21"/>
  <c r="AP10" i="21" s="1"/>
  <c r="AP8" i="21"/>
  <c r="AP7" i="21"/>
  <c r="AR10" i="20"/>
  <c r="AQ10" i="20" s="1"/>
  <c r="AV10" i="20"/>
  <c r="AK9" i="20"/>
  <c r="AL9" i="20" s="1"/>
  <c r="AV9" i="20"/>
  <c r="AK8" i="20"/>
  <c r="AP10" i="20" s="1"/>
  <c r="AS9" i="20"/>
  <c r="AQ9" i="20" s="1"/>
  <c r="AS8" i="20"/>
  <c r="AQ8" i="20" s="1"/>
  <c r="AP9" i="20"/>
  <c r="AS7" i="20"/>
  <c r="AQ7" i="20" s="1"/>
  <c r="AP8" i="20"/>
  <c r="AP7" i="20"/>
  <c r="AR10" i="10"/>
  <c r="AQ10" i="10" s="1"/>
  <c r="AV9" i="10"/>
  <c r="AR9" i="10"/>
  <c r="AQ9" i="10" s="1"/>
  <c r="AS9" i="2"/>
  <c r="AP9" i="2"/>
  <c r="AR7" i="2"/>
  <c r="AQ7" i="2" s="1"/>
  <c r="AV9" i="1"/>
  <c r="AV7" i="10"/>
  <c r="AR7" i="11"/>
  <c r="AS8" i="11"/>
  <c r="AQ8" i="11" s="1"/>
  <c r="AS7" i="11"/>
  <c r="AR7" i="10"/>
  <c r="AQ7" i="10" s="1"/>
  <c r="AR8" i="10"/>
  <c r="AQ8" i="10" s="1"/>
  <c r="AQ10" i="11"/>
  <c r="AZ10" i="11" s="1"/>
  <c r="AK7" i="11"/>
  <c r="AL7" i="11" s="1"/>
  <c r="AK11" i="11"/>
  <c r="AP7" i="11" s="1"/>
  <c r="AK12" i="11"/>
  <c r="AP8" i="11" s="1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7" i="27" l="1"/>
  <c r="AP9" i="11"/>
  <c r="AZ9" i="11" s="1"/>
  <c r="AL9" i="21"/>
  <c r="AL8" i="20"/>
  <c r="AL12" i="23"/>
  <c r="AP9" i="27"/>
  <c r="AZ9" i="27" s="1"/>
  <c r="AZ10" i="27"/>
  <c r="AZ8" i="27"/>
  <c r="AQ7" i="27"/>
  <c r="AZ7" i="27" s="1"/>
  <c r="AZ10" i="26"/>
  <c r="AZ8" i="26"/>
  <c r="AZ9" i="26"/>
  <c r="AQ7" i="26"/>
  <c r="AZ7" i="26" s="1"/>
  <c r="AZ9" i="25"/>
  <c r="AZ8" i="25"/>
  <c r="AQ7" i="25"/>
  <c r="AZ7" i="25" s="1"/>
  <c r="AL9" i="25"/>
  <c r="AZ10" i="24"/>
  <c r="AZ8" i="24"/>
  <c r="AZ9" i="24"/>
  <c r="AQ7" i="24"/>
  <c r="AZ7" i="24" s="1"/>
  <c r="AZ9" i="23"/>
  <c r="AZ10" i="23"/>
  <c r="AZ8" i="23"/>
  <c r="AZ10" i="22"/>
  <c r="AZ9" i="22"/>
  <c r="AZ8" i="22"/>
  <c r="AW9" i="22"/>
  <c r="AX9" i="22" s="1"/>
  <c r="AY9" i="22" s="1"/>
  <c r="BA9" i="22" s="1"/>
  <c r="BB9" i="22" s="1"/>
  <c r="AQ7" i="22"/>
  <c r="AZ7" i="22" s="1"/>
  <c r="AL9" i="22"/>
  <c r="AZ7" i="21"/>
  <c r="AZ10" i="21"/>
  <c r="AZ9" i="21"/>
  <c r="AL8" i="21"/>
  <c r="AZ8" i="21"/>
  <c r="AZ10" i="20"/>
  <c r="AZ8" i="20"/>
  <c r="AZ9" i="20"/>
  <c r="AZ7" i="20"/>
  <c r="AZ8" i="11"/>
  <c r="AQ7" i="11"/>
  <c r="AZ7" i="11" s="1"/>
  <c r="AW10" i="11" s="1"/>
  <c r="AZ9" i="2"/>
  <c r="AZ8" i="10"/>
  <c r="AP10" i="10"/>
  <c r="AZ10" i="10" s="1"/>
  <c r="AZ8" i="2"/>
  <c r="AP7" i="2"/>
  <c r="AZ7" i="2" s="1"/>
  <c r="AZ7" i="1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X10" i="11" l="1"/>
  <c r="AY10" i="11" s="1"/>
  <c r="BA10" i="11" s="1"/>
  <c r="BB10" i="11" s="1"/>
  <c r="AW9" i="21"/>
  <c r="AW9" i="27"/>
  <c r="AX9" i="27" s="1"/>
  <c r="AY9" i="27" s="1"/>
  <c r="BA9" i="27" s="1"/>
  <c r="BB9" i="27" s="1"/>
  <c r="AW7" i="27"/>
  <c r="AX7" i="27" s="1"/>
  <c r="AY7" i="27" s="1"/>
  <c r="BA7" i="27" s="1"/>
  <c r="BB7" i="27" s="1"/>
  <c r="AN7" i="27" s="1"/>
  <c r="AW8" i="27"/>
  <c r="AX8" i="27" s="1"/>
  <c r="AY8" i="27" s="1"/>
  <c r="BA8" i="27" s="1"/>
  <c r="BB8" i="27" s="1"/>
  <c r="AW10" i="27"/>
  <c r="AX10" i="27" s="1"/>
  <c r="AY10" i="27" s="1"/>
  <c r="BA10" i="27" s="1"/>
  <c r="BB10" i="27" s="1"/>
  <c r="AW10" i="26"/>
  <c r="AX10" i="26" s="1"/>
  <c r="AY10" i="26" s="1"/>
  <c r="BA10" i="26" s="1"/>
  <c r="BB10" i="26" s="1"/>
  <c r="AW8" i="26"/>
  <c r="AX8" i="26" s="1"/>
  <c r="AY8" i="26" s="1"/>
  <c r="BA8" i="26" s="1"/>
  <c r="BB8" i="26" s="1"/>
  <c r="AW9" i="26"/>
  <c r="AX9" i="26" s="1"/>
  <c r="AY9" i="26" s="1"/>
  <c r="BA9" i="26" s="1"/>
  <c r="BB9" i="26" s="1"/>
  <c r="AW7" i="26"/>
  <c r="AX7" i="26" s="1"/>
  <c r="AY7" i="26" s="1"/>
  <c r="BA7" i="26" s="1"/>
  <c r="BB7" i="26" s="1"/>
  <c r="AW8" i="25"/>
  <c r="AX8" i="25" s="1"/>
  <c r="AY8" i="25" s="1"/>
  <c r="BA8" i="25" s="1"/>
  <c r="BB8" i="25" s="1"/>
  <c r="AW9" i="25"/>
  <c r="AX9" i="25" s="1"/>
  <c r="AY9" i="25" s="1"/>
  <c r="BA9" i="25" s="1"/>
  <c r="BB9" i="25" s="1"/>
  <c r="AW7" i="25"/>
  <c r="AX7" i="25" s="1"/>
  <c r="AY7" i="25" s="1"/>
  <c r="BA7" i="25" s="1"/>
  <c r="BB7" i="25" s="1"/>
  <c r="AW10" i="25"/>
  <c r="AX10" i="25" s="1"/>
  <c r="AY10" i="25" s="1"/>
  <c r="BA10" i="25" s="1"/>
  <c r="BB10" i="25" s="1"/>
  <c r="AW8" i="24"/>
  <c r="AX8" i="24" s="1"/>
  <c r="AY8" i="24" s="1"/>
  <c r="BA8" i="24" s="1"/>
  <c r="BB8" i="24" s="1"/>
  <c r="AW10" i="24"/>
  <c r="AX10" i="24" s="1"/>
  <c r="AY10" i="24" s="1"/>
  <c r="BA10" i="24" s="1"/>
  <c r="BB10" i="24" s="1"/>
  <c r="AW9" i="24"/>
  <c r="AX9" i="24" s="1"/>
  <c r="AY9" i="24" s="1"/>
  <c r="BA9" i="24" s="1"/>
  <c r="BB9" i="24" s="1"/>
  <c r="AW7" i="24"/>
  <c r="AX7" i="24" s="1"/>
  <c r="AY7" i="24" s="1"/>
  <c r="BA7" i="24" s="1"/>
  <c r="BB7" i="24" s="1"/>
  <c r="AW8" i="23"/>
  <c r="AX8" i="23" s="1"/>
  <c r="AY8" i="23" s="1"/>
  <c r="BA8" i="23" s="1"/>
  <c r="BB8" i="23" s="1"/>
  <c r="AW10" i="23"/>
  <c r="AX10" i="23" s="1"/>
  <c r="AY10" i="23" s="1"/>
  <c r="BA10" i="23" s="1"/>
  <c r="BB10" i="23" s="1"/>
  <c r="AW9" i="23"/>
  <c r="AX9" i="23" s="1"/>
  <c r="AY9" i="23" s="1"/>
  <c r="BA9" i="23" s="1"/>
  <c r="BB9" i="23" s="1"/>
  <c r="AW7" i="23"/>
  <c r="AX7" i="23" s="1"/>
  <c r="AY7" i="23" s="1"/>
  <c r="BA7" i="23" s="1"/>
  <c r="BB7" i="23" s="1"/>
  <c r="AW10" i="22"/>
  <c r="AX10" i="22" s="1"/>
  <c r="AY10" i="22" s="1"/>
  <c r="BA10" i="22" s="1"/>
  <c r="BB10" i="22" s="1"/>
  <c r="AW8" i="22"/>
  <c r="AX8" i="22" s="1"/>
  <c r="AY8" i="22" s="1"/>
  <c r="BA8" i="22" s="1"/>
  <c r="BB8" i="22" s="1"/>
  <c r="AW7" i="22"/>
  <c r="AX7" i="22" s="1"/>
  <c r="AY7" i="22" s="1"/>
  <c r="BA7" i="22" s="1"/>
  <c r="BB7" i="22" s="1"/>
  <c r="AW10" i="21"/>
  <c r="AX10" i="21" s="1"/>
  <c r="AY10" i="21" s="1"/>
  <c r="BA10" i="21" s="1"/>
  <c r="BB10" i="21" s="1"/>
  <c r="AW7" i="21"/>
  <c r="AX7" i="21" s="1"/>
  <c r="AY7" i="21" s="1"/>
  <c r="BA7" i="21" s="1"/>
  <c r="BB7" i="21" s="1"/>
  <c r="AX9" i="21"/>
  <c r="AY9" i="21" s="1"/>
  <c r="BA9" i="21" s="1"/>
  <c r="BB9" i="21" s="1"/>
  <c r="AW8" i="21"/>
  <c r="AX8" i="21" s="1"/>
  <c r="AY8" i="21" s="1"/>
  <c r="BA8" i="21" s="1"/>
  <c r="BB8" i="21" s="1"/>
  <c r="AW9" i="20"/>
  <c r="AX9" i="20" s="1"/>
  <c r="AY9" i="20" s="1"/>
  <c r="BA9" i="20" s="1"/>
  <c r="BB9" i="20" s="1"/>
  <c r="AW7" i="20"/>
  <c r="AX7" i="20" s="1"/>
  <c r="AY7" i="20" s="1"/>
  <c r="BA7" i="20" s="1"/>
  <c r="BB7" i="20" s="1"/>
  <c r="AW10" i="20"/>
  <c r="AX10" i="20" s="1"/>
  <c r="AY10" i="20" s="1"/>
  <c r="BA10" i="20" s="1"/>
  <c r="BB10" i="20" s="1"/>
  <c r="AW8" i="20"/>
  <c r="AX8" i="20" s="1"/>
  <c r="AY8" i="20" s="1"/>
  <c r="BA8" i="20" s="1"/>
  <c r="BB8" i="20" s="1"/>
  <c r="AW7" i="2"/>
  <c r="AX7" i="2" s="1"/>
  <c r="AY7" i="2" s="1"/>
  <c r="BA7" i="2" s="1"/>
  <c r="BB7" i="2" s="1"/>
  <c r="J1" i="18"/>
  <c r="AW8" i="11"/>
  <c r="AX8" i="11" s="1"/>
  <c r="AY8" i="11" s="1"/>
  <c r="BA8" i="11" s="1"/>
  <c r="BB8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8" i="21" l="1"/>
  <c r="AN8" i="27"/>
  <c r="AN9" i="27"/>
  <c r="AN10" i="27"/>
  <c r="AN9" i="26"/>
  <c r="AN7" i="26"/>
  <c r="AN10" i="26"/>
  <c r="AN8" i="26"/>
  <c r="AN7" i="25"/>
  <c r="AN8" i="25"/>
  <c r="AN9" i="25"/>
  <c r="AN10" i="25"/>
  <c r="AN9" i="24"/>
  <c r="AN7" i="24"/>
  <c r="AN8" i="24"/>
  <c r="AN10" i="24"/>
  <c r="AN9" i="23"/>
  <c r="AN8" i="23"/>
  <c r="AN10" i="23"/>
  <c r="AN7" i="23"/>
  <c r="AN7" i="22"/>
  <c r="AN10" i="22"/>
  <c r="AN9" i="22"/>
  <c r="AN8" i="22"/>
  <c r="AN9" i="21"/>
  <c r="AN7" i="21"/>
  <c r="AN10" i="21"/>
  <c r="AN9" i="20"/>
  <c r="AN8" i="20"/>
  <c r="AN7" i="20"/>
  <c r="AN10" i="20"/>
  <c r="AN9" i="1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27" l="1"/>
  <c r="C11" i="27"/>
  <c r="G9" i="27"/>
  <c r="E11" i="27"/>
  <c r="C8" i="27"/>
  <c r="AP32" i="30" s="1"/>
  <c r="AK29" i="30" s="1"/>
  <c r="E8" i="27"/>
  <c r="F10" i="27"/>
  <c r="F8" i="27"/>
  <c r="G8" i="27"/>
  <c r="F11" i="27"/>
  <c r="D9" i="27"/>
  <c r="F9" i="27"/>
  <c r="G11" i="27"/>
  <c r="D11" i="27"/>
  <c r="D10" i="27"/>
  <c r="E10" i="27"/>
  <c r="G10" i="27"/>
  <c r="E9" i="27"/>
  <c r="C9" i="27"/>
  <c r="B41" i="30" s="1"/>
  <c r="C10" i="27"/>
  <c r="G11" i="26"/>
  <c r="C11" i="26"/>
  <c r="F10" i="26"/>
  <c r="E9" i="26"/>
  <c r="D8" i="26"/>
  <c r="E10" i="26"/>
  <c r="E8" i="26"/>
  <c r="F11" i="26"/>
  <c r="D9" i="26"/>
  <c r="G8" i="26"/>
  <c r="C8" i="26"/>
  <c r="AP64" i="30" s="1"/>
  <c r="AK61" i="30" s="1"/>
  <c r="C10" i="26"/>
  <c r="E11" i="26"/>
  <c r="D10" i="26"/>
  <c r="G9" i="26"/>
  <c r="C9" i="26"/>
  <c r="B40" i="30" s="1"/>
  <c r="G44" i="30" s="1"/>
  <c r="L52" i="30" s="1"/>
  <c r="Q37" i="30" s="1"/>
  <c r="F8" i="26"/>
  <c r="D11" i="26"/>
  <c r="G10" i="26"/>
  <c r="F9" i="26"/>
  <c r="G11" i="25"/>
  <c r="C11" i="25"/>
  <c r="F10" i="25"/>
  <c r="E9" i="25"/>
  <c r="D8" i="25"/>
  <c r="E10" i="25"/>
  <c r="G10" i="25"/>
  <c r="F11" i="25"/>
  <c r="D9" i="25"/>
  <c r="G8" i="25"/>
  <c r="C8" i="25"/>
  <c r="AP40" i="30" s="1"/>
  <c r="AK44" i="30" s="1"/>
  <c r="AF52" i="30" s="1"/>
  <c r="AA37" i="30" s="1"/>
  <c r="C10" i="25"/>
  <c r="F9" i="25"/>
  <c r="E11" i="25"/>
  <c r="D10" i="25"/>
  <c r="G9" i="25"/>
  <c r="C9" i="25"/>
  <c r="B49" i="30" s="1"/>
  <c r="F8" i="25"/>
  <c r="D11" i="25"/>
  <c r="E8" i="25"/>
  <c r="G11" i="24"/>
  <c r="C11" i="24"/>
  <c r="F10" i="24"/>
  <c r="E9" i="24"/>
  <c r="D8" i="24"/>
  <c r="E10" i="24"/>
  <c r="F11" i="24"/>
  <c r="D9" i="24"/>
  <c r="G8" i="24"/>
  <c r="C8" i="24"/>
  <c r="B16" i="30" s="1"/>
  <c r="G13" i="30" s="1"/>
  <c r="C10" i="24"/>
  <c r="F9" i="24"/>
  <c r="E8" i="24"/>
  <c r="E11" i="24"/>
  <c r="D10" i="24"/>
  <c r="G9" i="24"/>
  <c r="C9" i="24"/>
  <c r="AP17" i="30" s="1"/>
  <c r="F8" i="24"/>
  <c r="D11" i="24"/>
  <c r="G10" i="24"/>
  <c r="G11" i="23"/>
  <c r="C11" i="23"/>
  <c r="F10" i="23"/>
  <c r="E9" i="23"/>
  <c r="D8" i="23"/>
  <c r="F11" i="23"/>
  <c r="E10" i="23"/>
  <c r="D9" i="23"/>
  <c r="G8" i="23"/>
  <c r="C8" i="23"/>
  <c r="B48" i="30" s="1"/>
  <c r="G45" i="30" s="1"/>
  <c r="D11" i="23"/>
  <c r="E8" i="23"/>
  <c r="E11" i="23"/>
  <c r="D10" i="23"/>
  <c r="G9" i="23"/>
  <c r="C9" i="23"/>
  <c r="AP41" i="30" s="1"/>
  <c r="F8" i="23"/>
  <c r="G10" i="23"/>
  <c r="C10" i="23"/>
  <c r="F9" i="23"/>
  <c r="G11" i="22"/>
  <c r="C11" i="22"/>
  <c r="F10" i="22"/>
  <c r="E9" i="22"/>
  <c r="D8" i="22"/>
  <c r="E10" i="22"/>
  <c r="D9" i="22"/>
  <c r="F11" i="22"/>
  <c r="G8" i="22"/>
  <c r="C8" i="22"/>
  <c r="B64" i="30" s="1"/>
  <c r="G61" i="30" s="1"/>
  <c r="F9" i="22"/>
  <c r="E8" i="22"/>
  <c r="E11" i="22"/>
  <c r="D10" i="22"/>
  <c r="G9" i="22"/>
  <c r="C9" i="22"/>
  <c r="AP49" i="30" s="1"/>
  <c r="F8" i="22"/>
  <c r="D11" i="22"/>
  <c r="G10" i="22"/>
  <c r="C10" i="22"/>
  <c r="G11" i="21"/>
  <c r="C11" i="21"/>
  <c r="F10" i="21"/>
  <c r="E9" i="21"/>
  <c r="D8" i="21"/>
  <c r="E10" i="21"/>
  <c r="D9" i="21"/>
  <c r="G8" i="21"/>
  <c r="C8" i="21"/>
  <c r="B32" i="30" s="1"/>
  <c r="G29" i="30" s="1"/>
  <c r="E11" i="21"/>
  <c r="G9" i="21"/>
  <c r="F8" i="21"/>
  <c r="G10" i="21"/>
  <c r="C10" i="21"/>
  <c r="F9" i="21"/>
  <c r="F11" i="21"/>
  <c r="D10" i="21"/>
  <c r="C9" i="21"/>
  <c r="AP9" i="30" s="1"/>
  <c r="D11" i="21"/>
  <c r="E8" i="21"/>
  <c r="G11" i="20"/>
  <c r="C11" i="20"/>
  <c r="F10" i="20"/>
  <c r="E9" i="20"/>
  <c r="D8" i="20"/>
  <c r="E10" i="20"/>
  <c r="D9" i="20"/>
  <c r="G8" i="20"/>
  <c r="E11" i="20"/>
  <c r="D10" i="20"/>
  <c r="G9" i="20"/>
  <c r="G10" i="20"/>
  <c r="C10" i="20"/>
  <c r="F9" i="20"/>
  <c r="E8" i="20"/>
  <c r="F11" i="20"/>
  <c r="C8" i="20"/>
  <c r="B8" i="30" s="1"/>
  <c r="G12" i="30" s="1"/>
  <c r="L20" i="30" s="1"/>
  <c r="Q36" i="30" s="1"/>
  <c r="V33" i="30" s="1"/>
  <c r="C9" i="20"/>
  <c r="AP16" i="30" s="1"/>
  <c r="AK13" i="30" s="1"/>
  <c r="F8" i="20"/>
  <c r="D11" i="20"/>
  <c r="F10" i="11"/>
  <c r="G8" i="11"/>
  <c r="G10" i="11"/>
  <c r="D8" i="11"/>
  <c r="G11" i="11"/>
  <c r="E8" i="11"/>
  <c r="E10" i="11"/>
  <c r="F8" i="11"/>
  <c r="C9" i="11"/>
  <c r="AP48" i="30" s="1"/>
  <c r="AK45" i="30" s="1"/>
  <c r="D9" i="11"/>
  <c r="E9" i="11"/>
  <c r="C8" i="11"/>
  <c r="B56" i="30" s="1"/>
  <c r="G60" i="30" s="1"/>
  <c r="L53" i="30" s="1"/>
  <c r="G9" i="11"/>
  <c r="C10" i="11"/>
  <c r="D10" i="11"/>
  <c r="F11" i="11"/>
  <c r="C11" i="2"/>
  <c r="D11" i="11"/>
  <c r="E11" i="11"/>
  <c r="C11" i="11"/>
  <c r="F9" i="11"/>
  <c r="D11" i="10"/>
  <c r="E10" i="10"/>
  <c r="F9" i="10"/>
  <c r="G8" i="10"/>
  <c r="C8" i="10"/>
  <c r="AP8" i="30" s="1"/>
  <c r="AK12" i="30" s="1"/>
  <c r="AF20" i="30" s="1"/>
  <c r="AA36" i="30" s="1"/>
  <c r="V34" i="30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33" i="30" s="1"/>
  <c r="F8" i="2"/>
  <c r="D11" i="2"/>
  <c r="G11" i="2"/>
  <c r="E8" i="2"/>
  <c r="F11" i="2"/>
  <c r="C9" i="2"/>
  <c r="B25" i="30" s="1"/>
  <c r="E11" i="2"/>
  <c r="F10" i="2"/>
  <c r="D8" i="2"/>
  <c r="E10" i="2"/>
  <c r="C8" i="2"/>
  <c r="AP56" i="30" s="1"/>
  <c r="AK60" i="30" s="1"/>
  <c r="AF53" i="30" s="1"/>
  <c r="G10" i="2"/>
  <c r="C10" i="2"/>
  <c r="D10" i="2"/>
  <c r="G8" i="2"/>
  <c r="F9" i="2"/>
  <c r="D9" i="2"/>
  <c r="E9" i="2"/>
  <c r="G9" i="2"/>
  <c r="AN10" i="1"/>
  <c r="AN9" i="1"/>
  <c r="AN8" i="1"/>
  <c r="AJ13" i="29"/>
  <c r="AG13" i="29"/>
  <c r="AF12" i="29"/>
  <c r="AI11" i="29"/>
  <c r="AI10" i="29"/>
  <c r="AJ10" i="29"/>
  <c r="AI9" i="29"/>
  <c r="AJ9" i="29"/>
  <c r="AF19" i="29"/>
  <c r="AI19" i="29"/>
  <c r="AH15" i="29"/>
  <c r="AI14" i="29"/>
  <c r="AJ14" i="29"/>
  <c r="AI12" i="29"/>
  <c r="AJ11" i="29"/>
  <c r="AH10" i="29"/>
  <c r="AF18" i="29"/>
  <c r="AF17" i="29"/>
  <c r="AJ16" i="29"/>
  <c r="AF14" i="29"/>
  <c r="AJ19" i="29"/>
  <c r="AH19" i="29"/>
  <c r="AH18" i="29"/>
  <c r="AG18" i="29"/>
  <c r="AH17" i="29"/>
  <c r="AH16" i="29"/>
  <c r="AG15" i="29"/>
  <c r="AJ15" i="29"/>
  <c r="AH14" i="29"/>
  <c r="AG14" i="29"/>
  <c r="AH13" i="29"/>
  <c r="AF13" i="29"/>
  <c r="AH12" i="29"/>
  <c r="AG12" i="29"/>
  <c r="AF11" i="29"/>
  <c r="AG10" i="29"/>
  <c r="AF10" i="29"/>
  <c r="AF9" i="29"/>
  <c r="AI18" i="29"/>
  <c r="AJ18" i="29"/>
  <c r="AI17" i="29"/>
  <c r="AJ17" i="29"/>
  <c r="AG17" i="29"/>
  <c r="AI16" i="29"/>
  <c r="AF16" i="29"/>
  <c r="AG16" i="29"/>
  <c r="AI15" i="29"/>
  <c r="AF15" i="29"/>
  <c r="AI13" i="29"/>
  <c r="AH11" i="29"/>
  <c r="AG11" i="29"/>
  <c r="AH9" i="29"/>
  <c r="AG9" i="29"/>
  <c r="AG19" i="29"/>
  <c r="AJ12" i="29"/>
  <c r="AB9" i="29" l="1"/>
  <c r="AB11" i="29"/>
  <c r="R15" i="29"/>
  <c r="AB16" i="29"/>
  <c r="R16" i="29"/>
  <c r="AB17" i="29"/>
  <c r="R9" i="29"/>
  <c r="R10" i="29"/>
  <c r="AB10" i="29"/>
  <c r="R11" i="29"/>
  <c r="AB12" i="29"/>
  <c r="R13" i="29"/>
  <c r="AB14" i="29"/>
  <c r="AB15" i="29"/>
  <c r="AB18" i="29"/>
  <c r="R14" i="29"/>
  <c r="R17" i="29"/>
  <c r="Q9" i="29" s="1"/>
  <c r="R18" i="29"/>
  <c r="Q10" i="29" s="1"/>
  <c r="R12" i="29"/>
  <c r="AB13" i="29"/>
  <c r="W48" i="30"/>
  <c r="W49" i="30" s="1"/>
  <c r="V43" i="30"/>
  <c r="W50" i="30" s="1"/>
  <c r="V42" i="30"/>
  <c r="R19" i="29"/>
  <c r="Q11" i="29" s="1"/>
  <c r="AB19" i="29"/>
  <c r="D10" i="1"/>
  <c r="F9" i="1"/>
  <c r="D9" i="1"/>
  <c r="E9" i="1"/>
  <c r="C9" i="1"/>
  <c r="B24" i="30" s="1"/>
  <c r="G28" i="30" s="1"/>
  <c r="L21" i="30" s="1"/>
  <c r="T1" i="30" s="1"/>
  <c r="G9" i="1"/>
  <c r="C10" i="1"/>
  <c r="F11" i="1"/>
  <c r="C11" i="1"/>
  <c r="D11" i="1"/>
  <c r="G11" i="1"/>
  <c r="E8" i="1"/>
  <c r="E10" i="1"/>
  <c r="F8" i="1"/>
  <c r="C8" i="1"/>
  <c r="AP24" i="30" s="1"/>
  <c r="AK28" i="30" s="1"/>
  <c r="AF21" i="30" s="1"/>
  <c r="F10" i="1"/>
  <c r="G8" i="1"/>
  <c r="D8" i="1"/>
  <c r="E11" i="1"/>
  <c r="G10" i="1"/>
  <c r="AI8" i="29"/>
  <c r="AJ8" i="29"/>
  <c r="AF8" i="29"/>
  <c r="AG8" i="29"/>
  <c r="AH8" i="29"/>
  <c r="AB8" i="29" l="1"/>
  <c r="AC8" i="29" s="1"/>
  <c r="R8" i="29"/>
  <c r="Q8" i="29" s="1"/>
  <c r="AC17" i="29" l="1"/>
  <c r="AC18" i="29"/>
  <c r="AC12" i="29"/>
  <c r="AC9" i="29"/>
  <c r="AC11" i="29"/>
  <c r="AC13" i="29"/>
  <c r="AC14" i="29"/>
  <c r="AC16" i="29"/>
  <c r="AC19" i="29"/>
  <c r="AC15" i="29"/>
  <c r="AC10" i="29"/>
  <c r="D9" i="29"/>
  <c r="F8" i="29"/>
  <c r="E8" i="29"/>
  <c r="H8" i="29"/>
  <c r="D8" i="29"/>
  <c r="G8" i="29"/>
  <c r="C8" i="29"/>
  <c r="AR3" i="29" s="1"/>
  <c r="D15" i="29" l="1"/>
  <c r="D16" i="29"/>
  <c r="E13" i="29"/>
  <c r="C15" i="29"/>
  <c r="AR10" i="29" s="1"/>
  <c r="F11" i="29"/>
  <c r="E15" i="29"/>
  <c r="D12" i="29"/>
  <c r="H18" i="29"/>
  <c r="C9" i="29"/>
  <c r="AR4" i="29" s="1"/>
  <c r="G17" i="29"/>
  <c r="H9" i="29"/>
  <c r="F18" i="29"/>
  <c r="G10" i="29"/>
  <c r="G16" i="29"/>
  <c r="F9" i="29"/>
  <c r="F13" i="29"/>
  <c r="C10" i="29"/>
  <c r="AR5" i="29" s="1"/>
  <c r="G9" i="29"/>
  <c r="E9" i="29"/>
  <c r="F12" i="29"/>
  <c r="H17" i="29"/>
  <c r="G12" i="29"/>
  <c r="E19" i="29"/>
  <c r="H10" i="29"/>
  <c r="H14" i="29"/>
  <c r="C14" i="29"/>
  <c r="AR9" i="29" s="1"/>
  <c r="E12" i="29"/>
  <c r="G13" i="29"/>
  <c r="C19" i="29"/>
  <c r="H13" i="29"/>
  <c r="D19" i="29"/>
  <c r="D10" i="29"/>
  <c r="H12" i="29"/>
  <c r="F17" i="29"/>
  <c r="E17" i="29"/>
  <c r="C11" i="29"/>
  <c r="AR6" i="29" s="1"/>
  <c r="E16" i="29"/>
  <c r="G14" i="29"/>
  <c r="D11" i="29"/>
  <c r="F16" i="29"/>
  <c r="F15" i="29"/>
  <c r="D18" i="29"/>
  <c r="C12" i="29"/>
  <c r="AR7" i="29" s="1"/>
  <c r="G18" i="29"/>
  <c r="E10" i="29"/>
  <c r="C13" i="29"/>
  <c r="AR8" i="29" s="1"/>
  <c r="G15" i="29"/>
  <c r="E18" i="29"/>
  <c r="E11" i="29"/>
  <c r="H11" i="29"/>
  <c r="F14" i="29"/>
  <c r="D17" i="29"/>
  <c r="H19" i="29"/>
  <c r="D14" i="29"/>
  <c r="H16" i="29"/>
  <c r="F19" i="29"/>
  <c r="C16" i="29"/>
  <c r="G11" i="29"/>
  <c r="E14" i="29"/>
  <c r="C17" i="29"/>
  <c r="G19" i="29"/>
  <c r="C18" i="29"/>
  <c r="F10" i="29"/>
  <c r="D13" i="29"/>
  <c r="H15" i="29"/>
  <c r="AQ8" i="29" l="1"/>
  <c r="AQ5" i="29"/>
  <c r="AQ3" i="29"/>
  <c r="AT3" i="29" s="1"/>
  <c r="AQ7" i="29"/>
  <c r="AQ9" i="29"/>
  <c r="AQ6" i="29"/>
  <c r="AQ4" i="29"/>
  <c r="AQ10" i="29"/>
  <c r="AT7" i="29" l="1"/>
  <c r="AT6" i="29"/>
  <c r="AT10" i="29"/>
  <c r="AT9" i="29"/>
  <c r="AT8" i="29"/>
  <c r="AT5" i="29"/>
  <c r="AT4" i="29"/>
  <c r="AV3" i="29" l="1"/>
  <c r="AV4" i="29" s="1"/>
  <c r="AP33" i="30"/>
  <c r="B65" i="30"/>
  <c r="AP57" i="30"/>
  <c r="AP25" i="30"/>
  <c r="B17" i="30"/>
  <c r="B57" i="30"/>
  <c r="B9" i="30"/>
  <c r="AP65" i="30"/>
</calcChain>
</file>

<file path=xl/sharedStrings.xml><?xml version="1.0" encoding="utf-8"?>
<sst xmlns="http://schemas.openxmlformats.org/spreadsheetml/2006/main" count="8619" uniqueCount="140">
  <si>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</si>
  <si>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</si>
  <si>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</si>
  <si>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</si>
  <si>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</si>
  <si>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</si>
  <si>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</si>
  <si>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</si>
  <si>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</si>
  <si>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</si>
  <si>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</si>
  <si>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</si>
  <si>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</si>
  <si>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</si>
  <si>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</si>
  <si>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</si>
  <si>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</si>
  <si>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</si>
  <si>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</si>
  <si>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</si>
  <si>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</si>
  <si>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</si>
  <si>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</si>
  <si>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</si>
  <si>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</si>
  <si>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</si>
  <si>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</si>
  <si>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USA</t>
  </si>
  <si>
    <t>GRUPO C</t>
  </si>
  <si>
    <t>Argentina</t>
  </si>
  <si>
    <t>GRUPO D</t>
  </si>
  <si>
    <t>Uruguay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</si>
  <si>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</si>
  <si>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</si>
  <si>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</si>
  <si>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</si>
  <si>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</si>
  <si>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</si>
  <si>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</si>
  <si>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</si>
  <si>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</si>
  <si>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</si>
  <si>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Información del Jugador</t>
  </si>
  <si>
    <t>Nombre</t>
  </si>
  <si>
    <t>Mail</t>
  </si>
  <si>
    <t>Canadá</t>
  </si>
  <si>
    <t>México</t>
  </si>
  <si>
    <t>Panamá</t>
  </si>
  <si>
    <t>Colombia</t>
  </si>
  <si>
    <t>Paraguay</t>
  </si>
  <si>
    <t>Goleador</t>
  </si>
  <si>
    <t>Sudáfrica</t>
  </si>
  <si>
    <t>Corea</t>
  </si>
  <si>
    <t>República Checa</t>
  </si>
  <si>
    <t>Bosnia</t>
  </si>
  <si>
    <t>Suiza</t>
  </si>
  <si>
    <t>Catar</t>
  </si>
  <si>
    <t>Marruecos</t>
  </si>
  <si>
    <t>Haití</t>
  </si>
  <si>
    <t>Escocia</t>
  </si>
  <si>
    <t>Australia</t>
  </si>
  <si>
    <t>Turquía</t>
  </si>
  <si>
    <t>GRUPO E</t>
  </si>
  <si>
    <t>Alemania</t>
  </si>
  <si>
    <t>Curazao</t>
  </si>
  <si>
    <t>Costa de Marfil</t>
  </si>
  <si>
    <t>GRUPO F</t>
  </si>
  <si>
    <t>Países Bajos</t>
  </si>
  <si>
    <t>Japón</t>
  </si>
  <si>
    <t>Suecia</t>
  </si>
  <si>
    <t>Túnez</t>
  </si>
  <si>
    <t>Bélgica</t>
  </si>
  <si>
    <t>Egipto</t>
  </si>
  <si>
    <t>Irán</t>
  </si>
  <si>
    <t>Nueva Zelanda</t>
  </si>
  <si>
    <t>GRUPO G</t>
  </si>
  <si>
    <t>GRUPO H</t>
  </si>
  <si>
    <t>España</t>
  </si>
  <si>
    <t>Cabo Verde</t>
  </si>
  <si>
    <t>Arabia Saudita</t>
  </si>
  <si>
    <t>GRUPO I</t>
  </si>
  <si>
    <t>Francia</t>
  </si>
  <si>
    <t>Senegal</t>
  </si>
  <si>
    <t>Irak</t>
  </si>
  <si>
    <t>Noruega</t>
  </si>
  <si>
    <t>GRUPO J</t>
  </si>
  <si>
    <t>Argelia</t>
  </si>
  <si>
    <t>Austria</t>
  </si>
  <si>
    <t>Jordania</t>
  </si>
  <si>
    <t>GRUPO K</t>
  </si>
  <si>
    <t>Portugal</t>
  </si>
  <si>
    <t>Uzbekistán</t>
  </si>
  <si>
    <t>Congo</t>
  </si>
  <si>
    <t>GRUPO L</t>
  </si>
  <si>
    <t>Inglaterra</t>
  </si>
  <si>
    <t>Croacia</t>
  </si>
  <si>
    <t>Ghana</t>
  </si>
  <si>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</si>
  <si>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</si>
  <si>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</si>
  <si>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</si>
  <si>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</si>
  <si>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</si>
  <si>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</si>
  <si>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</si>
  <si>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</si>
  <si>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</si>
  <si>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</si>
  <si>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</si>
  <si>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</si>
  <si>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</si>
  <si>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</si>
  <si>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</si>
  <si>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</si>
  <si>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</si>
  <si>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</si>
  <si>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</si>
  <si>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</si>
  <si>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</si>
  <si>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A</t>
  </si>
  <si>
    <t>3A</t>
  </si>
  <si>
    <t>1A</t>
  </si>
  <si>
    <t>1B</t>
  </si>
  <si>
    <t>1D</t>
  </si>
  <si>
    <t>1E</t>
  </si>
  <si>
    <t>1G</t>
  </si>
  <si>
    <t>1I</t>
  </si>
  <si>
    <t>1K</t>
  </si>
  <si>
    <t>1L</t>
  </si>
  <si>
    <t>Combinación</t>
  </si>
  <si>
    <t>Nid Combinación</t>
  </si>
  <si>
    <t>Pr 1</t>
  </si>
  <si>
    <t>Pr Fija</t>
  </si>
  <si>
    <t>Grupo</t>
  </si>
  <si>
    <t>Combinación Ganadora</t>
  </si>
  <si>
    <t>Grupos Clasificados</t>
  </si>
  <si>
    <t>Orden Alf</t>
  </si>
  <si>
    <t>Octavos de Final</t>
  </si>
  <si>
    <t>16avos de Final</t>
  </si>
  <si>
    <t>MEJORES TERCEROS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</si>
</sst>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16" fontId="0" fillId="2" borderId="29" xfId="0" applyNumberFormat="1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0" fillId="2" borderId="29" xfId="0" applyFill="1" applyBorder="1" applyAlignment="1">
      <alignment horizontal="center"/>
    </xf>
    <xf numFmtId="16" fontId="0" fillId="4" borderId="29" xfId="0" applyNumberForma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16" fontId="0" fillId="2" borderId="33" xfId="0" applyNumberFormat="1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4" borderId="27" xfId="0" applyNumberFormat="1" applyFill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0" xfId="0" applyFill="1" applyBorder="1"/>
    <xf numFmtId="0" fontId="0" fillId="7" borderId="0" xfId="0" applyFill="1"/>
    <xf numFmtId="0" fontId="0" fillId="7" borderId="41" xfId="0" applyFill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7" xfId="0" applyFill="1" applyBorder="1"/>
    <xf numFmtId="0" fontId="0" fillId="2" borderId="27" xfId="0" applyFill="1" applyBorder="1"/>
    <xf numFmtId="0" fontId="0" fillId="0" borderId="27" xfId="0" applyBorder="1"/>
    <xf numFmtId="0" fontId="0" fillId="9" borderId="42" xfId="0" applyFill="1" applyBorder="1"/>
    <xf numFmtId="0" fontId="0" fillId="2" borderId="33" xfId="0" applyFill="1" applyBorder="1"/>
    <xf numFmtId="0" fontId="0" fillId="0" borderId="33" xfId="0" applyBorder="1"/>
    <xf numFmtId="0" fontId="0" fillId="9" borderId="44" xfId="0" applyFill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5" borderId="52" xfId="0" applyFill="1" applyBorder="1"/>
    <xf numFmtId="0" fontId="0" fillId="2" borderId="29" xfId="0" applyFill="1" applyBorder="1"/>
    <xf numFmtId="0" fontId="0" fillId="10" borderId="43" xfId="0" applyFill="1" applyBorder="1"/>
    <xf numFmtId="0" fontId="0" fillId="11" borderId="44" xfId="0" applyFill="1" applyBorder="1"/>
    <xf numFmtId="0" fontId="0" fillId="0" borderId="53" xfId="0" applyBorder="1"/>
    <xf numFmtId="0" fontId="0" fillId="2" borderId="1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0" fillId="0" borderId="61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3" xfId="0" applyBorder="1"/>
    <xf numFmtId="0" fontId="0" fillId="0" borderId="52" xfId="0" applyBorder="1"/>
    <xf numFmtId="0" fontId="0" fillId="0" borderId="61" xfId="0" applyBorder="1"/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0" borderId="55" xfId="2" applyBorder="1" applyAlignment="1">
      <alignment horizontal="center" vertical="center"/>
    </xf>
    <xf numFmtId="0" fontId="6" fillId="0" borderId="44" xfId="2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3" borderId="45" xfId="0" applyFill="1" applyBorder="1" applyAlignment="1" applyProtection="1">
      <alignment horizontal="center"/>
      <protection locked="0"/>
    </xf>
    <xf numFmtId="0" fontId="0" fillId="3" borderId="46" xfId="0" applyFill="1" applyBorder="1" applyAlignment="1" applyProtection="1">
      <alignment horizontal="center"/>
      <protection locked="0"/>
    </xf>
    <xf numFmtId="0" fontId="0" fillId="3" borderId="47" xfId="0" applyFill="1" applyBorder="1" applyAlignment="1" applyProtection="1">
      <alignment horizontal="center"/>
      <protection locked="0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6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61" xfId="0" applyFill="1" applyBorder="1" applyAlignment="1">
      <alignment horizontal="center"/>
    </xf>
    <xf numFmtId="0" fontId="0" fillId="12" borderId="51" xfId="0" applyFill="1" applyBorder="1" applyAlignment="1">
      <alignment horizontal="center"/>
    </xf>
    <xf numFmtId="0" fontId="0" fillId="12" borderId="58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0" fillId="12" borderId="57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A1D0E579-F3D7-41A9-9D71-43C99C008133}"/>
  </cellStyles>
  <dxfs count="1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J6"/>
  <sheetViews>
    <sheetView tabSelected="1" workbookViewId="0">
      <selection activeCell="C11" sqref="C11"/>
    </sheetView>
  </sheetViews>
  <sheetFormatPr defaultColWidth="11.42578125" defaultRowHeight="15" x14ac:dyDescent="0.25"/>
  <sheetData>
    <row r="1" spans="2:10" ht="15.75" thickBot="1" x14ac:dyDescent="0.3">
      <c r="J1" s="34" t="e">
        <f>SUM('GRUPO A'!AG13,'GRUPO B'!AG13,'GRUPO C'!AG13,'GRUPO D'!AG13,#REF!)</f>
        <v>#REF!</v>
      </c>
    </row>
    <row r="2" spans="2:10" ht="15.75" thickBot="1" x14ac:dyDescent="0.3">
      <c r="B2" s="95" t="s">
        <v>42</v>
      </c>
      <c r="C2" s="96"/>
      <c r="D2" s="97"/>
    </row>
    <row r="3" spans="2:10" x14ac:dyDescent="0.25">
      <c r="B3" s="74" t="s">
        <v>43</v>
      </c>
      <c r="C3" s="98"/>
      <c r="D3" s="99"/>
    </row>
    <row r="4" spans="2:10" ht="15.75" thickBot="1" x14ac:dyDescent="0.3">
      <c r="B4" s="75" t="s">
        <v>44</v>
      </c>
      <c r="C4" s="100"/>
      <c r="D4" s="101"/>
    </row>
    <row r="5" spans="2:10" ht="15.75" thickBot="1" x14ac:dyDescent="0.3"/>
    <row r="6" spans="2:10" ht="15.75" thickBot="1" x14ac:dyDescent="0.3">
      <c r="B6" s="76" t="s">
        <v>50</v>
      </c>
      <c r="C6" s="102"/>
      <c r="D6" s="103"/>
    </row>
  </sheetData>
  <protectedRanges>
    <protectedRange sqref="C3:C4" name="Info"/>
  </protectedRanges>
  <mergeCells count="4">
    <mergeCell ref="B2:D2"/>
    <mergeCell ref="C3:D3"/>
    <mergeCell ref="C4:D4"/>
    <mergeCell ref="C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5.7109375" bestFit="1" customWidth="1"/>
    <col min="11" max="11" width="15.7109375" bestFit="1" customWidth="1"/>
    <col min="14" max="14" width="15.7109375" bestFit="1" customWidth="1"/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0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46184</v>
      </c>
      <c r="K7" s="17" t="s">
        <v>46</v>
      </c>
      <c r="L7" s="30"/>
      <c r="M7" s="31"/>
      <c r="N7" s="16" t="s">
        <v>51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>
        <f>IF(OR(L7="",M7=""),1,0)</f>
        <v>1</v>
      </c>
      <c r="AH7" s="2"/>
      <c r="AI7" s="2" t="str">
        <f t="shared" ref="AI7:AI12" si="0">CONCATENATE(K7,"_",N7)</f>
        <v>México_Sudáfrica</v>
      </c>
      <c r="AJ7" s="34">
        <f t="shared" ref="AJ7:AJ12" si="1">IF(L7&gt;M7,3,IF(L7&lt;M7,0,1))</f>
        <v>1</v>
      </c>
      <c r="AK7" s="34">
        <f>IF(AJ7=3,0,IF(AJ7=1,1,3))</f>
        <v>1</v>
      </c>
      <c r="AL7" s="34" t="str">
        <f t="shared" ref="AL7:AL12" si="2">IF(AJ7&gt;AK7,K7,IF(AK7&gt;AJ7,N7,"SIN GANADOR"))</f>
        <v>SIN GANADOR</v>
      </c>
      <c r="AN7" s="34">
        <f>_xlfn.RANK.EQ(BB7,BB$7:BB$11,1)</f>
        <v>1</v>
      </c>
      <c r="AO7" s="34" t="str">
        <f>J23</f>
        <v>México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México</v>
      </c>
      <c r="AW7" s="34" t="str">
        <f>IF(AZ7=AZ8,AV8,IF(AZ7=AZ9,AV9,IF(AZ7=AZ10,AV10,"")))</f>
        <v>Sudáfrica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3">IFERROR(VLOOKUP($B8,$AN$7:$AS$11,C$5,FALSE),"")</f>
        <v>México</v>
      </c>
      <c r="D8" s="9">
        <f t="shared" si="3"/>
        <v>3</v>
      </c>
      <c r="E8" s="9">
        <f t="shared" si="3"/>
        <v>0</v>
      </c>
      <c r="F8" s="9">
        <f t="shared" si="3"/>
        <v>0</v>
      </c>
      <c r="G8" s="10">
        <f t="shared" si="3"/>
        <v>0</v>
      </c>
      <c r="I8" s="18">
        <v>2</v>
      </c>
      <c r="J8" s="19">
        <v>46184</v>
      </c>
      <c r="K8" s="20" t="s">
        <v>52</v>
      </c>
      <c r="L8" s="21"/>
      <c r="M8" s="22"/>
      <c r="N8" s="18" t="s">
        <v>53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>
        <f t="shared" ref="AG8:AG12" si="4">IF(OR(L8="",M8=""),1,0)</f>
        <v>1</v>
      </c>
      <c r="AH8" s="2"/>
      <c r="AI8" s="2" t="str">
        <f t="shared" si="0"/>
        <v>Corea_República Checa</v>
      </c>
      <c r="AJ8" s="34">
        <f t="shared" si="1"/>
        <v>1</v>
      </c>
      <c r="AK8" s="34">
        <f t="shared" ref="AK8:AK12" si="5">IF(AJ8=3,0,IF(AJ8=1,1,3))</f>
        <v>1</v>
      </c>
      <c r="AL8" s="34" t="str">
        <f t="shared" si="2"/>
        <v>SIN GANADOR</v>
      </c>
      <c r="AN8" s="34">
        <f>_xlfn.RANK.EQ(BB8,BB$7:BB$11,1)</f>
        <v>2</v>
      </c>
      <c r="AO8" s="34" t="str">
        <f t="shared" ref="AO8:AO10" si="6">J24</f>
        <v>Sudáfrica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Sudáfrica</v>
      </c>
      <c r="AW8" s="34" t="str">
        <f>IF(AZ8=AZ9,AV9,IF(AZ8=AZ10,AV10,IF(AZ8=AZ7,AV7,"")))</f>
        <v>Corea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3"/>
        <v>Sudáfrica</v>
      </c>
      <c r="D9" s="13">
        <f t="shared" si="3"/>
        <v>3</v>
      </c>
      <c r="E9" s="13">
        <f t="shared" si="3"/>
        <v>0</v>
      </c>
      <c r="F9" s="13">
        <f t="shared" si="3"/>
        <v>0</v>
      </c>
      <c r="G9" s="14">
        <f t="shared" si="3"/>
        <v>0</v>
      </c>
      <c r="I9" s="23">
        <v>25</v>
      </c>
      <c r="J9" s="24">
        <v>46191</v>
      </c>
      <c r="K9" s="25" t="s">
        <v>53</v>
      </c>
      <c r="L9" s="21"/>
      <c r="M9" s="22"/>
      <c r="N9" s="23" t="s">
        <v>51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>
        <f t="shared" si="4"/>
        <v>1</v>
      </c>
      <c r="AH9" s="2"/>
      <c r="AI9" s="2" t="str">
        <f t="shared" si="0"/>
        <v>República Checa_Sudáfrica</v>
      </c>
      <c r="AJ9" s="34">
        <f t="shared" si="1"/>
        <v>1</v>
      </c>
      <c r="AK9" s="34">
        <f t="shared" si="5"/>
        <v>1</v>
      </c>
      <c r="AL9" s="34" t="str">
        <f t="shared" si="2"/>
        <v>SIN GANADOR</v>
      </c>
      <c r="AN9" s="34">
        <f>_xlfn.RANK.EQ(BB9,BB$7:BB$11,1)</f>
        <v>3</v>
      </c>
      <c r="AO9" s="34" t="str">
        <f t="shared" si="6"/>
        <v>Corea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Corea</v>
      </c>
      <c r="AW9" s="34" t="str">
        <f>IF(AZ9=AZ10,AV10,IF(AZ9=AZ7,AV7,IF(AZ9=AZ8,AV8,"")))</f>
        <v>República Checa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3"/>
        <v>Corea</v>
      </c>
      <c r="D10" s="50">
        <f t="shared" si="3"/>
        <v>3</v>
      </c>
      <c r="E10" s="50">
        <f t="shared" si="3"/>
        <v>0</v>
      </c>
      <c r="F10" s="50">
        <f t="shared" si="3"/>
        <v>0</v>
      </c>
      <c r="G10" s="51">
        <f t="shared" si="3"/>
        <v>0</v>
      </c>
      <c r="I10" s="18">
        <v>28</v>
      </c>
      <c r="J10" s="19">
        <v>46191</v>
      </c>
      <c r="K10" s="20" t="s">
        <v>46</v>
      </c>
      <c r="L10" s="21"/>
      <c r="M10" s="22"/>
      <c r="N10" s="18" t="s">
        <v>52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>
        <f t="shared" si="4"/>
        <v>1</v>
      </c>
      <c r="AH10" s="2"/>
      <c r="AI10" s="2" t="str">
        <f t="shared" si="0"/>
        <v>México_Corea</v>
      </c>
      <c r="AJ10" s="34">
        <f t="shared" si="1"/>
        <v>1</v>
      </c>
      <c r="AK10" s="34">
        <f t="shared" si="5"/>
        <v>1</v>
      </c>
      <c r="AL10" s="34" t="str">
        <f t="shared" si="2"/>
        <v>SIN GANADOR</v>
      </c>
      <c r="AN10" s="34">
        <f>_xlfn.RANK.EQ(BB10,BB$7:BB$11,1)</f>
        <v>4</v>
      </c>
      <c r="AO10" s="34" t="str">
        <f t="shared" si="6"/>
        <v>República Checa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República Checa</v>
      </c>
      <c r="AW10" s="34" t="str">
        <f>IF(AZ10=AZ7,AV7,IF(AZ10=AZ8,AV8,IF(AZ10=AZ9,AV9,"")))</f>
        <v>México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3"/>
        <v>República Checa</v>
      </c>
      <c r="D11" s="54">
        <f t="shared" si="3"/>
        <v>3</v>
      </c>
      <c r="E11" s="54">
        <f t="shared" si="3"/>
        <v>0</v>
      </c>
      <c r="F11" s="54">
        <f t="shared" si="3"/>
        <v>0</v>
      </c>
      <c r="G11" s="55">
        <f t="shared" si="3"/>
        <v>0</v>
      </c>
      <c r="I11" s="23">
        <v>53</v>
      </c>
      <c r="J11" s="24">
        <v>46197</v>
      </c>
      <c r="K11" s="25" t="s">
        <v>53</v>
      </c>
      <c r="L11" s="21"/>
      <c r="M11" s="22"/>
      <c r="N11" s="23" t="s">
        <v>46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>
        <f t="shared" si="4"/>
        <v>1</v>
      </c>
      <c r="AH11" s="2"/>
      <c r="AI11" s="2" t="str">
        <f t="shared" si="0"/>
        <v>República Checa_México</v>
      </c>
      <c r="AJ11" s="34">
        <f t="shared" si="1"/>
        <v>1</v>
      </c>
      <c r="AK11" s="34">
        <f t="shared" si="5"/>
        <v>1</v>
      </c>
      <c r="AL11" s="34" t="str">
        <f t="shared" si="2"/>
        <v>SIN GANADOR</v>
      </c>
    </row>
    <row r="12" spans="2:54" ht="15.75" thickBot="1" x14ac:dyDescent="0.3">
      <c r="I12" s="26">
        <v>54</v>
      </c>
      <c r="J12" s="27">
        <v>46197</v>
      </c>
      <c r="K12" s="28" t="s">
        <v>51</v>
      </c>
      <c r="L12" s="32"/>
      <c r="M12" s="33"/>
      <c r="N12" s="26" t="s">
        <v>52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>
        <f t="shared" si="4"/>
        <v>1</v>
      </c>
      <c r="AH12" s="2"/>
      <c r="AI12" s="2" t="str">
        <f t="shared" si="0"/>
        <v>Sudáfrica_Corea</v>
      </c>
      <c r="AJ12" s="34">
        <f t="shared" si="1"/>
        <v>1</v>
      </c>
      <c r="AK12" s="34">
        <f t="shared" si="5"/>
        <v>1</v>
      </c>
      <c r="AL12" s="34" t="str">
        <f t="shared" si="2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1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46</v>
      </c>
      <c r="K23" s="122"/>
      <c r="L23" s="123"/>
      <c r="M23" s="42">
        <v>1</v>
      </c>
      <c r="N23" s="35">
        <f>IF(J23="",0,M23)</f>
        <v>1</v>
      </c>
    </row>
    <row r="24" spans="2:1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51</v>
      </c>
      <c r="K24" s="106"/>
      <c r="L24" s="107"/>
      <c r="M24" s="43">
        <v>2</v>
      </c>
      <c r="N24" s="35">
        <f>IF(J24="",0,M24)</f>
        <v>2</v>
      </c>
    </row>
    <row r="25" spans="2:1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52</v>
      </c>
      <c r="K25" s="106"/>
      <c r="L25" s="107"/>
      <c r="M25" s="43">
        <v>3</v>
      </c>
      <c r="N25" s="35">
        <f>IF(J25="",0,M25)</f>
        <v>3</v>
      </c>
    </row>
    <row r="26" spans="2:1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53</v>
      </c>
      <c r="K26" s="109"/>
      <c r="L26" s="110"/>
      <c r="M26" s="44">
        <v>4</v>
      </c>
      <c r="N26" s="35">
        <f>IF(J26="",0,M26)</f>
        <v>4</v>
      </c>
    </row>
    <row r="27" spans="2:1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111" priority="10">
      <formula>OR($I$22=0,AND($J$20="",$J$21="",$J$22="",$J$23=""))</formula>
    </cfRule>
  </conditionalFormatting>
  <conditionalFormatting sqref="M23:M26">
    <cfRule type="expression" dxfId="110" priority="7">
      <formula>J23=""</formula>
    </cfRule>
  </conditionalFormatting>
  <conditionalFormatting sqref="N23:AH27">
    <cfRule type="expression" dxfId="109" priority="1">
      <formula>K23=""</formula>
    </cfRule>
    <cfRule type="expression" dxfId="10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26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46185</v>
      </c>
      <c r="K7" s="17" t="s">
        <v>45</v>
      </c>
      <c r="L7" s="30"/>
      <c r="M7" s="31"/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Canadá_Bosnia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Canadá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Canadá</v>
      </c>
      <c r="AW7" s="34" t="str">
        <f>IF(AZ7=AZ8,AV8,IF(AZ7=AZ9,AV9,IF(AZ7=AZ10,AV10,"")))</f>
        <v>Bosnia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Canadá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5</v>
      </c>
      <c r="J8" s="19">
        <v>46186</v>
      </c>
      <c r="K8" s="20" t="s">
        <v>56</v>
      </c>
      <c r="L8" s="21"/>
      <c r="M8" s="22"/>
      <c r="N8" s="18" t="s">
        <v>55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Catar_Suiza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Bosnia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Bosnia</v>
      </c>
      <c r="AW8" s="34" t="str">
        <f>IF(AZ8=AZ9,AV9,IF(AZ8=AZ10,AV10,IF(AZ8=AZ7,AV7,"")))</f>
        <v>Suiza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Bosnia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26</v>
      </c>
      <c r="J9" s="24">
        <v>46191</v>
      </c>
      <c r="K9" s="25" t="s">
        <v>55</v>
      </c>
      <c r="L9" s="21"/>
      <c r="M9" s="22"/>
      <c r="N9" s="23" t="s">
        <v>54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Suiza_Bosnia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Suiza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Suiza</v>
      </c>
      <c r="AW9" s="34" t="str">
        <f>IF(AZ9=AZ10,AV10,IF(AZ9=AZ7,AV7,IF(AZ9=AZ8,AV8,"")))</f>
        <v>Catar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27</v>
      </c>
      <c r="J10" s="19">
        <v>46191</v>
      </c>
      <c r="K10" s="20" t="s">
        <v>45</v>
      </c>
      <c r="L10" s="21"/>
      <c r="M10" s="22"/>
      <c r="N10" s="18" t="s">
        <v>56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Canadá_Catar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Catar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Catar</v>
      </c>
      <c r="AW10" s="34" t="str">
        <f>IF(AZ10=AZ7,AV7,IF(AZ10=AZ8,AV8,IF(AZ10=AZ9,AV9,"")))</f>
        <v>Canadá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Catar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49</v>
      </c>
      <c r="J11" s="24">
        <v>46197</v>
      </c>
      <c r="K11" s="25" t="s">
        <v>55</v>
      </c>
      <c r="L11" s="21"/>
      <c r="M11" s="22"/>
      <c r="N11" s="23" t="s">
        <v>45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Suiza_Canadá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50</v>
      </c>
      <c r="J12" s="27">
        <v>46197</v>
      </c>
      <c r="K12" s="28" t="s">
        <v>54</v>
      </c>
      <c r="L12" s="32"/>
      <c r="M12" s="33"/>
      <c r="N12" s="26" t="s">
        <v>56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Bosnia_Catar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45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54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55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56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107" priority="9">
      <formula>OR($I$22=0,AND($J$20="",$J$21="",$J$22="",$J$23=""))</formula>
    </cfRule>
  </conditionalFormatting>
  <conditionalFormatting sqref="M23:M26">
    <cfRule type="expression" dxfId="106" priority="6">
      <formula>J23=""</formula>
    </cfRule>
  </conditionalFormatting>
  <conditionalFormatting sqref="N23:AH27">
    <cfRule type="expression" dxfId="105" priority="1">
      <formula>K23=""</formula>
    </cfRule>
    <cfRule type="expression" dxfId="104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28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6</v>
      </c>
      <c r="J7" s="29">
        <v>46186</v>
      </c>
      <c r="K7" s="17" t="s">
        <v>10</v>
      </c>
      <c r="L7" s="30"/>
      <c r="M7" s="31"/>
      <c r="N7" s="16" t="s">
        <v>57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Brasil_Marruecos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Brasil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>Marruecos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7</v>
      </c>
      <c r="J8" s="19">
        <v>46186</v>
      </c>
      <c r="K8" s="20" t="s">
        <v>58</v>
      </c>
      <c r="L8" s="21"/>
      <c r="M8" s="22"/>
      <c r="N8" s="18" t="s">
        <v>59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Haití_Escocia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Marruecos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Marruecos</v>
      </c>
      <c r="AW8" s="34" t="str">
        <f>IF(AZ8=AZ9,AV9,IF(AZ8=AZ10,AV10,IF(AZ8=AZ7,AV7,"")))</f>
        <v>Haití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Marruecos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30</v>
      </c>
      <c r="J9" s="24">
        <v>46192</v>
      </c>
      <c r="K9" s="25" t="s">
        <v>59</v>
      </c>
      <c r="L9" s="21"/>
      <c r="M9" s="22"/>
      <c r="N9" s="23" t="s">
        <v>57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Escocia_Marruecos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Haití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Haití</v>
      </c>
      <c r="AW9" s="34" t="str">
        <f>IF(AZ9=AZ10,AV10,IF(AZ9=AZ7,AV7,IF(AZ9=AZ8,AV8,"")))</f>
        <v>Escocia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Haití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31</v>
      </c>
      <c r="J10" s="19">
        <v>46192</v>
      </c>
      <c r="K10" s="20" t="s">
        <v>10</v>
      </c>
      <c r="L10" s="21"/>
      <c r="M10" s="22"/>
      <c r="N10" s="18" t="s">
        <v>58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Brasil_Haití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Escocia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Escocia</v>
      </c>
      <c r="AW10" s="34" t="str">
        <f>IF(AZ10=AZ7,AV7,IF(AZ10=AZ8,AV8,IF(AZ10=AZ9,AV9,"")))</f>
        <v>Brasil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Escocia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51</v>
      </c>
      <c r="J11" s="24">
        <v>46197</v>
      </c>
      <c r="K11" s="25" t="s">
        <v>10</v>
      </c>
      <c r="L11" s="21"/>
      <c r="M11" s="22"/>
      <c r="N11" s="23" t="s">
        <v>59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Brasil_Escocia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52</v>
      </c>
      <c r="J12" s="27">
        <v>46197</v>
      </c>
      <c r="K12" s="28" t="s">
        <v>57</v>
      </c>
      <c r="L12" s="32"/>
      <c r="M12" s="33"/>
      <c r="N12" s="26" t="s">
        <v>58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Marruecos_Haití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10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57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58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59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103" priority="9">
      <formula>OR($I$22=0,AND($J$20="",$J$21="",$J$22="",$J$23=""))</formula>
    </cfRule>
  </conditionalFormatting>
  <conditionalFormatting sqref="M23:M26">
    <cfRule type="expression" dxfId="102" priority="6">
      <formula>J23=""</formula>
    </cfRule>
  </conditionalFormatting>
  <conditionalFormatting sqref="N23:AH27">
    <cfRule type="expression" dxfId="101" priority="1">
      <formula>K23=""</formula>
    </cfRule>
    <cfRule type="expression" dxfId="10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30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4</v>
      </c>
      <c r="J7" s="29">
        <v>46185</v>
      </c>
      <c r="K7" s="17" t="s">
        <v>27</v>
      </c>
      <c r="L7" s="30"/>
      <c r="M7" s="31"/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USA_Paraguay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USA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USA</v>
      </c>
      <c r="AW7" s="34" t="str">
        <f>IF(AZ7=AZ8,AV8,IF(AZ7=AZ9,AV9,IF(AZ7=AZ10,AV10,"")))</f>
        <v>Paraguay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USA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8</v>
      </c>
      <c r="J8" s="19">
        <v>46186</v>
      </c>
      <c r="K8" s="20" t="s">
        <v>60</v>
      </c>
      <c r="L8" s="21"/>
      <c r="M8" s="22"/>
      <c r="N8" s="18" t="s">
        <v>61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Australia_Turquía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Paraguay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Paraguay</v>
      </c>
      <c r="AW8" s="34" t="str">
        <f>IF(AZ8=AZ9,AV9,IF(AZ8=AZ10,AV10,IF(AZ8=AZ7,AV7,"")))</f>
        <v>Australia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Paraguay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29</v>
      </c>
      <c r="J9" s="24">
        <v>46192</v>
      </c>
      <c r="K9" s="25" t="s">
        <v>27</v>
      </c>
      <c r="L9" s="21"/>
      <c r="M9" s="22"/>
      <c r="N9" s="23" t="s">
        <v>60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USA_Australia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Australia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Australia</v>
      </c>
      <c r="AW9" s="34" t="str">
        <f>IF(AZ9=AZ10,AV10,IF(AZ9=AZ7,AV7,IF(AZ9=AZ8,AV8,"")))</f>
        <v>Turquía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32</v>
      </c>
      <c r="J10" s="19">
        <v>46192</v>
      </c>
      <c r="K10" s="20" t="s">
        <v>61</v>
      </c>
      <c r="L10" s="21"/>
      <c r="M10" s="22"/>
      <c r="N10" s="18" t="s">
        <v>49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Turquía_Paraguay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Turquía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Turquía</v>
      </c>
      <c r="AW10" s="34" t="str">
        <f>IF(AZ10=AZ7,AV7,IF(AZ10=AZ8,AV8,IF(AZ10=AZ9,AV9,"")))</f>
        <v>USA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Turquía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59</v>
      </c>
      <c r="J11" s="24">
        <v>46198</v>
      </c>
      <c r="K11" s="25" t="s">
        <v>61</v>
      </c>
      <c r="L11" s="21"/>
      <c r="M11" s="22"/>
      <c r="N11" s="23" t="s">
        <v>27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Turquía_USA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60</v>
      </c>
      <c r="J12" s="27">
        <v>46198</v>
      </c>
      <c r="K12" s="28" t="s">
        <v>49</v>
      </c>
      <c r="L12" s="32"/>
      <c r="M12" s="33"/>
      <c r="N12" s="26" t="s">
        <v>60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Paraguay_Australia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27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49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60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61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99" priority="9">
      <formula>OR($I$22=0,AND($J$20="",$J$21="",$J$22="",$J$23=""))</formula>
    </cfRule>
  </conditionalFormatting>
  <conditionalFormatting sqref="M23:M26">
    <cfRule type="expression" dxfId="98" priority="6">
      <formula>J23=""</formula>
    </cfRule>
  </conditionalFormatting>
  <conditionalFormatting sqref="N23:AH27">
    <cfRule type="expression" dxfId="97" priority="1">
      <formula>K23=""</formula>
    </cfRule>
    <cfRule type="expression" dxfId="9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AF4B-7A54-49F0-8433-EE299220ED8A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4.7109375" bestFit="1" customWidth="1"/>
    <col min="11" max="11" width="14.7109375" bestFit="1" customWidth="1"/>
    <col min="14" max="14" width="14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62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46187</v>
      </c>
      <c r="K7" s="17" t="s">
        <v>63</v>
      </c>
      <c r="L7" s="30"/>
      <c r="M7" s="31"/>
      <c r="N7" s="16" t="s">
        <v>64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Alemania_Curazao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Alemania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Alemania</v>
      </c>
      <c r="AW7" s="34" t="str">
        <f>IF(AZ7=AZ8,AV8,IF(AZ7=AZ9,AV9,IF(AZ7=AZ10,AV10,"")))</f>
        <v>Curazao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11</v>
      </c>
      <c r="J8" s="19">
        <v>46187</v>
      </c>
      <c r="K8" s="20" t="s">
        <v>65</v>
      </c>
      <c r="L8" s="21"/>
      <c r="M8" s="22"/>
      <c r="N8" s="18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Costa de Marfil_Ecuador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Curazao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Curazao</v>
      </c>
      <c r="AW8" s="34" t="str">
        <f>IF(AZ8=AZ9,AV9,IF(AZ8=AZ10,AV10,IF(AZ8=AZ7,AV7,"")))</f>
        <v>Costa de Marfil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Curazao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34</v>
      </c>
      <c r="J9" s="24">
        <v>46193</v>
      </c>
      <c r="K9" s="25" t="s">
        <v>63</v>
      </c>
      <c r="L9" s="21"/>
      <c r="M9" s="22"/>
      <c r="N9" s="23" t="s">
        <v>65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Alemania_Costa de Marfil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Costa de Marfil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Costa de Marfil</v>
      </c>
      <c r="AW9" s="34" t="str">
        <f>IF(AZ9=AZ10,AV10,IF(AZ9=AZ7,AV7,IF(AZ9=AZ8,AV8,"")))</f>
        <v>Ecuador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Costa de Marfil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35</v>
      </c>
      <c r="J10" s="19">
        <v>46193</v>
      </c>
      <c r="K10" s="20" t="s">
        <v>11</v>
      </c>
      <c r="L10" s="21"/>
      <c r="M10" s="22"/>
      <c r="N10" s="18" t="s">
        <v>64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Ecuador_Curazao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Ecuador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Ecuador</v>
      </c>
      <c r="AW10" s="34" t="str">
        <f>IF(AZ10=AZ7,AV7,IF(AZ10=AZ8,AV8,IF(AZ10=AZ9,AV9,"")))</f>
        <v>Alemania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Ecuador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55</v>
      </c>
      <c r="J11" s="24">
        <v>46198</v>
      </c>
      <c r="K11" s="25" t="s">
        <v>64</v>
      </c>
      <c r="L11" s="21"/>
      <c r="M11" s="22"/>
      <c r="N11" s="23" t="s">
        <v>65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Curazao_Costa de Marfil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56</v>
      </c>
      <c r="J12" s="27">
        <v>46198</v>
      </c>
      <c r="K12" s="28" t="s">
        <v>11</v>
      </c>
      <c r="L12" s="32"/>
      <c r="M12" s="33"/>
      <c r="N12" s="26" t="s">
        <v>63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Ecuador_Alemania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63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64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65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11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95" priority="4">
      <formula>OR($I$22=0,AND($J$20="",$J$21="",$J$22="",$J$23=""))</formula>
    </cfRule>
  </conditionalFormatting>
  <conditionalFormatting sqref="M23:M26">
    <cfRule type="expression" dxfId="94" priority="3">
      <formula>J23=""</formula>
    </cfRule>
  </conditionalFormatting>
  <conditionalFormatting sqref="N23:AH27">
    <cfRule type="expression" dxfId="93" priority="1">
      <formula>K23=""</formula>
    </cfRule>
    <cfRule type="expression" dxfId="92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97C9-2741-4AF3-AA65-35F5E127DA76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66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10</v>
      </c>
      <c r="J7" s="29">
        <v>46187</v>
      </c>
      <c r="K7" s="17" t="s">
        <v>67</v>
      </c>
      <c r="L7" s="30"/>
      <c r="M7" s="31"/>
      <c r="N7" s="16" t="s">
        <v>68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Países Bajos_Japón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Países Bajos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Países Bajos</v>
      </c>
      <c r="AW7" s="34" t="str">
        <f>IF(AZ7=AZ8,AV8,IF(AZ7=AZ9,AV9,IF(AZ7=AZ10,AV10,"")))</f>
        <v>Japón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Países Bajos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12</v>
      </c>
      <c r="J8" s="19">
        <v>46187</v>
      </c>
      <c r="K8" s="20" t="s">
        <v>69</v>
      </c>
      <c r="L8" s="21"/>
      <c r="M8" s="22"/>
      <c r="N8" s="18" t="s">
        <v>70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Suecia_Túnez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Japón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Japón</v>
      </c>
      <c r="AW8" s="34" t="str">
        <f>IF(AZ8=AZ9,AV9,IF(AZ8=AZ10,AV10,IF(AZ8=AZ7,AV7,"")))</f>
        <v>Suecia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Japón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33</v>
      </c>
      <c r="J9" s="24">
        <v>46193</v>
      </c>
      <c r="K9" s="25" t="s">
        <v>67</v>
      </c>
      <c r="L9" s="21"/>
      <c r="M9" s="22"/>
      <c r="N9" s="23" t="s">
        <v>69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Países Bajos_Suecia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Suecia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Suecia</v>
      </c>
      <c r="AW9" s="34" t="str">
        <f>IF(AZ9=AZ10,AV10,IF(AZ9=AZ7,AV7,IF(AZ9=AZ8,AV8,"")))</f>
        <v>Túnez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Suecia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36</v>
      </c>
      <c r="J10" s="19">
        <v>46193</v>
      </c>
      <c r="K10" s="20" t="s">
        <v>70</v>
      </c>
      <c r="L10" s="21"/>
      <c r="M10" s="22"/>
      <c r="N10" s="18" t="s">
        <v>68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Túnez_Japón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Túnez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Túnez</v>
      </c>
      <c r="AW10" s="34" t="str">
        <f>IF(AZ10=AZ7,AV7,IF(AZ10=AZ8,AV8,IF(AZ10=AZ9,AV9,"")))</f>
        <v>Países Bajos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Túnez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57</v>
      </c>
      <c r="J11" s="24">
        <v>46198</v>
      </c>
      <c r="K11" s="25" t="s">
        <v>68</v>
      </c>
      <c r="L11" s="21"/>
      <c r="M11" s="22"/>
      <c r="N11" s="23" t="s">
        <v>69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Japón_Suecia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58</v>
      </c>
      <c r="J12" s="27">
        <v>46198</v>
      </c>
      <c r="K12" s="28" t="s">
        <v>70</v>
      </c>
      <c r="L12" s="32"/>
      <c r="M12" s="33"/>
      <c r="N12" s="26" t="s">
        <v>67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Túnez_Países Bajos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67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68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69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70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91" priority="4">
      <formula>OR($I$22=0,AND($J$20="",$J$21="",$J$22="",$J$23=""))</formula>
    </cfRule>
  </conditionalFormatting>
  <conditionalFormatting sqref="M23:M26">
    <cfRule type="expression" dxfId="90" priority="3">
      <formula>J23=""</formula>
    </cfRule>
  </conditionalFormatting>
  <conditionalFormatting sqref="N23:AH27">
    <cfRule type="expression" dxfId="89" priority="1">
      <formula>K23=""</formula>
    </cfRule>
    <cfRule type="expression" dxfId="88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E8E1-624D-440F-9566-29503B9F4172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75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14</v>
      </c>
      <c r="J7" s="29">
        <v>46188</v>
      </c>
      <c r="K7" s="17" t="s">
        <v>71</v>
      </c>
      <c r="L7" s="30"/>
      <c r="M7" s="31"/>
      <c r="N7" s="16" t="s">
        <v>72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Bélgica_Egipto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Bélgica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Bélgica</v>
      </c>
      <c r="AW7" s="34" t="str">
        <f>IF(AZ7=AZ8,AV8,IF(AZ7=AZ9,AV9,IF(AZ7=AZ10,AV10,"")))</f>
        <v>Egipto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Bélgica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16</v>
      </c>
      <c r="J8" s="19">
        <v>46188</v>
      </c>
      <c r="K8" s="20" t="s">
        <v>73</v>
      </c>
      <c r="L8" s="21"/>
      <c r="M8" s="22"/>
      <c r="N8" s="18" t="s">
        <v>74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Irán_Nueva Zelanda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Egipto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Egipto</v>
      </c>
      <c r="AW8" s="34" t="str">
        <f>IF(AZ8=AZ9,AV9,IF(AZ8=AZ10,AV10,IF(AZ8=AZ7,AV7,"")))</f>
        <v>Irán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Egipto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38</v>
      </c>
      <c r="J9" s="24">
        <v>46194</v>
      </c>
      <c r="K9" s="25" t="s">
        <v>71</v>
      </c>
      <c r="L9" s="21"/>
      <c r="M9" s="22"/>
      <c r="N9" s="23" t="s">
        <v>73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Bélgica_Irán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Irán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Irán</v>
      </c>
      <c r="AW9" s="34" t="str">
        <f>IF(AZ9=AZ10,AV10,IF(AZ9=AZ7,AV7,IF(AZ9=AZ8,AV8,"")))</f>
        <v>Nueva Zelanda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Irán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39</v>
      </c>
      <c r="J10" s="19">
        <v>46194</v>
      </c>
      <c r="K10" s="20" t="s">
        <v>74</v>
      </c>
      <c r="L10" s="21"/>
      <c r="M10" s="22"/>
      <c r="N10" s="18" t="s">
        <v>72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Nueva Zelanda_Egipto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Nueva Zelanda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Nueva Zelanda</v>
      </c>
      <c r="AW10" s="34" t="str">
        <f>IF(AZ10=AZ7,AV7,IF(AZ10=AZ8,AV8,IF(AZ10=AZ9,AV9,"")))</f>
        <v>Bélgica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Nueva Zelanda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65</v>
      </c>
      <c r="J11" s="24">
        <v>46199</v>
      </c>
      <c r="K11" s="25" t="s">
        <v>72</v>
      </c>
      <c r="L11" s="21"/>
      <c r="M11" s="22"/>
      <c r="N11" s="23" t="s">
        <v>73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Egipto_Irán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66</v>
      </c>
      <c r="J12" s="27">
        <v>46199</v>
      </c>
      <c r="K12" s="28" t="s">
        <v>74</v>
      </c>
      <c r="L12" s="32"/>
      <c r="M12" s="33"/>
      <c r="N12" s="26" t="s">
        <v>71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Nueva Zelanda_Bélgica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71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72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73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74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87" priority="4">
      <formula>OR($I$22=0,AND($J$20="",$J$21="",$J$22="",$J$23=""))</formula>
    </cfRule>
  </conditionalFormatting>
  <conditionalFormatting sqref="M23:M26">
    <cfRule type="expression" dxfId="86" priority="3">
      <formula>J23=""</formula>
    </cfRule>
  </conditionalFormatting>
  <conditionalFormatting sqref="N23:AH27">
    <cfRule type="expression" dxfId="85" priority="1">
      <formula>K23=""</formula>
    </cfRule>
    <cfRule type="expression" dxfId="84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BE35-7F33-4068-9EC2-33E5A61DDA12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76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46188</v>
      </c>
      <c r="K7" s="17" t="s">
        <v>77</v>
      </c>
      <c r="L7" s="30"/>
      <c r="M7" s="31"/>
      <c r="N7" s="16" t="s">
        <v>78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España_Cabo Verde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España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España</v>
      </c>
      <c r="AW7" s="34" t="str">
        <f>IF(AZ7=AZ8,AV8,IF(AZ7=AZ9,AV9,IF(AZ7=AZ10,AV10,"")))</f>
        <v>Cabo Verde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15</v>
      </c>
      <c r="J8" s="19">
        <v>46188</v>
      </c>
      <c r="K8" s="20" t="s">
        <v>79</v>
      </c>
      <c r="L8" s="21"/>
      <c r="M8" s="22"/>
      <c r="N8" s="18" t="s">
        <v>31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Arabia Saudita_Uruguay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Cabo Verde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Cabo Verde</v>
      </c>
      <c r="AW8" s="34" t="str">
        <f>IF(AZ8=AZ9,AV9,IF(AZ8=AZ10,AV10,IF(AZ8=AZ7,AV7,"")))</f>
        <v>Arabia Saudita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Cabo Verde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37</v>
      </c>
      <c r="J9" s="24">
        <v>46194</v>
      </c>
      <c r="K9" s="25" t="s">
        <v>77</v>
      </c>
      <c r="L9" s="21"/>
      <c r="M9" s="22"/>
      <c r="N9" s="23" t="s">
        <v>79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España_Arabia Saudita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Arabia Saudita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Arabia Saudita</v>
      </c>
      <c r="AW9" s="34" t="str">
        <f>IF(AZ9=AZ10,AV10,IF(AZ9=AZ7,AV7,IF(AZ9=AZ8,AV8,"")))</f>
        <v>Uruguay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Arabia Saudita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40</v>
      </c>
      <c r="J10" s="19">
        <v>46194</v>
      </c>
      <c r="K10" s="20" t="s">
        <v>31</v>
      </c>
      <c r="L10" s="21"/>
      <c r="M10" s="22"/>
      <c r="N10" s="18" t="s">
        <v>78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Uruguay_Cabo Verde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Uruguay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Uruguay</v>
      </c>
      <c r="AW10" s="34" t="str">
        <f>IF(AZ10=AZ7,AV7,IF(AZ10=AZ8,AV8,IF(AZ10=AZ9,AV9,"")))</f>
        <v>España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Uruguay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63</v>
      </c>
      <c r="J11" s="24">
        <v>46199</v>
      </c>
      <c r="K11" s="25" t="s">
        <v>78</v>
      </c>
      <c r="L11" s="21"/>
      <c r="M11" s="22"/>
      <c r="N11" s="23" t="s">
        <v>79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Cabo Verde_Arabia Saudita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64</v>
      </c>
      <c r="J12" s="27">
        <v>46199</v>
      </c>
      <c r="K12" s="28" t="s">
        <v>31</v>
      </c>
      <c r="L12" s="32"/>
      <c r="M12" s="33"/>
      <c r="N12" s="26" t="s">
        <v>77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Uruguay_España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77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78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79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31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83" priority="4">
      <formula>OR($I$22=0,AND($J$20="",$J$21="",$J$22="",$J$23=""))</formula>
    </cfRule>
  </conditionalFormatting>
  <conditionalFormatting sqref="M23:M26">
    <cfRule type="expression" dxfId="82" priority="3">
      <formula>J23=""</formula>
    </cfRule>
  </conditionalFormatting>
  <conditionalFormatting sqref="N23:AH27">
    <cfRule type="expression" dxfId="81" priority="1">
      <formula>K23=""</formula>
    </cfRule>
    <cfRule type="expression" dxfId="80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D941-34CB-4848-9B36-95A60311B822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80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17</v>
      </c>
      <c r="J7" s="29">
        <v>46189</v>
      </c>
      <c r="K7" s="17" t="s">
        <v>81</v>
      </c>
      <c r="L7" s="30"/>
      <c r="M7" s="31"/>
      <c r="N7" s="16" t="s">
        <v>82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Francia_Senegal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Francia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Francia</v>
      </c>
      <c r="AW7" s="34" t="str">
        <f>IF(AZ7=AZ8,AV8,IF(AZ7=AZ9,AV9,IF(AZ7=AZ10,AV10,"")))</f>
        <v>Senegal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18</v>
      </c>
      <c r="J8" s="19">
        <v>46189</v>
      </c>
      <c r="K8" s="20" t="s">
        <v>83</v>
      </c>
      <c r="L8" s="21"/>
      <c r="M8" s="22"/>
      <c r="N8" s="18" t="s">
        <v>84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Irak_Noruega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Senegal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Senegal</v>
      </c>
      <c r="AW8" s="34" t="str">
        <f>IF(AZ8=AZ9,AV9,IF(AZ8=AZ10,AV10,IF(AZ8=AZ7,AV7,"")))</f>
        <v>Irak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Senegal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42</v>
      </c>
      <c r="J9" s="24">
        <v>46195</v>
      </c>
      <c r="K9" s="25" t="s">
        <v>81</v>
      </c>
      <c r="L9" s="21"/>
      <c r="M9" s="22"/>
      <c r="N9" s="23" t="s">
        <v>83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Francia_Irak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Irak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Irak</v>
      </c>
      <c r="AW9" s="34" t="str">
        <f>IF(AZ9=AZ10,AV10,IF(AZ9=AZ7,AV7,IF(AZ9=AZ8,AV8,"")))</f>
        <v>Noruega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Irak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43</v>
      </c>
      <c r="J10" s="19">
        <v>46195</v>
      </c>
      <c r="K10" s="20" t="s">
        <v>84</v>
      </c>
      <c r="L10" s="21"/>
      <c r="M10" s="22"/>
      <c r="N10" s="18" t="s">
        <v>82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Noruega_Senegal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Noruega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Noruega</v>
      </c>
      <c r="AW10" s="34" t="str">
        <f>IF(AZ10=AZ7,AV7,IF(AZ10=AZ8,AV8,IF(AZ10=AZ9,AV9,"")))</f>
        <v>Francia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Noruega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61</v>
      </c>
      <c r="J11" s="24">
        <v>46199</v>
      </c>
      <c r="K11" s="25" t="s">
        <v>84</v>
      </c>
      <c r="L11" s="21"/>
      <c r="M11" s="22"/>
      <c r="N11" s="23" t="s">
        <v>81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Noruega_Francia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62</v>
      </c>
      <c r="J12" s="27">
        <v>46199</v>
      </c>
      <c r="K12" s="28" t="s">
        <v>82</v>
      </c>
      <c r="L12" s="32"/>
      <c r="M12" s="33"/>
      <c r="N12" s="26" t="s">
        <v>83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Senegal_Irak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81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82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83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84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79" priority="4">
      <formula>OR($I$22=0,AND($J$20="",$J$21="",$J$22="",$J$23=""))</formula>
    </cfRule>
  </conditionalFormatting>
  <conditionalFormatting sqref="M23:M26">
    <cfRule type="expression" dxfId="78" priority="3">
      <formula>J23=""</formula>
    </cfRule>
  </conditionalFormatting>
  <conditionalFormatting sqref="N23:AH27">
    <cfRule type="expression" dxfId="77" priority="1">
      <formula>K23=""</formula>
    </cfRule>
    <cfRule type="expression" dxfId="76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AAAF-35F1-4C12-AB8B-3DD0DAB6F03A}">
  <dimension ref="A2:BB28"/>
  <sheetViews>
    <sheetView zoomScale="90" zoomScaleNormal="90" workbookViewId="0">
      <selection activeCell="J15" sqref="J15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85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19</v>
      </c>
      <c r="J7" s="29">
        <v>46189</v>
      </c>
      <c r="K7" s="17" t="s">
        <v>29</v>
      </c>
      <c r="L7" s="30"/>
      <c r="M7" s="31"/>
      <c r="N7" s="16" t="s">
        <v>86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Argentina_Argelia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Argentina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Argentina</v>
      </c>
      <c r="AW7" s="34" t="str">
        <f>IF(AZ7=AZ8,AV8,IF(AZ7=AZ9,AV9,IF(AZ7=AZ10,AV10,"")))</f>
        <v>Argelia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20</v>
      </c>
      <c r="J8" s="19">
        <v>46189</v>
      </c>
      <c r="K8" s="20" t="s">
        <v>87</v>
      </c>
      <c r="L8" s="21"/>
      <c r="M8" s="22"/>
      <c r="N8" s="18" t="s">
        <v>88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Austria_Jordania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Argelia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Argelia</v>
      </c>
      <c r="AW8" s="34" t="str">
        <f>IF(AZ8=AZ9,AV9,IF(AZ8=AZ10,AV10,IF(AZ8=AZ7,AV7,"")))</f>
        <v>Austria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Argelia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41</v>
      </c>
      <c r="J9" s="24">
        <v>46195</v>
      </c>
      <c r="K9" s="25" t="s">
        <v>29</v>
      </c>
      <c r="L9" s="21"/>
      <c r="M9" s="22"/>
      <c r="N9" s="23" t="s">
        <v>87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Argentina_Austria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Austria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Austria</v>
      </c>
      <c r="AW9" s="34" t="str">
        <f>IF(AZ9=AZ10,AV10,IF(AZ9=AZ7,AV7,IF(AZ9=AZ8,AV8,"")))</f>
        <v>Jordania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Austria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44</v>
      </c>
      <c r="J10" s="19">
        <v>46195</v>
      </c>
      <c r="K10" s="20" t="s">
        <v>88</v>
      </c>
      <c r="L10" s="21"/>
      <c r="M10" s="22"/>
      <c r="N10" s="18" t="s">
        <v>86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Jordania_Argelia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Jordania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Jordania</v>
      </c>
      <c r="AW10" s="34" t="str">
        <f>IF(AZ10=AZ7,AV7,IF(AZ10=AZ8,AV8,IF(AZ10=AZ9,AV9,"")))</f>
        <v>Argentina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Jordania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71</v>
      </c>
      <c r="J11" s="24">
        <v>46200</v>
      </c>
      <c r="K11" s="25" t="s">
        <v>86</v>
      </c>
      <c r="L11" s="21"/>
      <c r="M11" s="22"/>
      <c r="N11" s="23" t="s">
        <v>87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Argelia_Austria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72</v>
      </c>
      <c r="J12" s="27">
        <v>46200</v>
      </c>
      <c r="K12" s="28" t="s">
        <v>88</v>
      </c>
      <c r="L12" s="32"/>
      <c r="M12" s="33"/>
      <c r="N12" s="26" t="s">
        <v>29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Jordania_Argentina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29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86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87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88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75" priority="4">
      <formula>OR($I$22=0,AND($J$20="",$J$21="",$J$22="",$J$23=""))</formula>
    </cfRule>
  </conditionalFormatting>
  <conditionalFormatting sqref="M23:M26">
    <cfRule type="expression" dxfId="74" priority="3">
      <formula>J23=""</formula>
    </cfRule>
  </conditionalFormatting>
  <conditionalFormatting sqref="N23:AH27">
    <cfRule type="expression" dxfId="73" priority="1">
      <formula>K23=""</formula>
    </cfRule>
    <cfRule type="expression" dxfId="72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8B58-D2DA-4731-AD3B-809E1EA781CA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111" t="s">
        <v>89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12</v>
      </c>
      <c r="AN6" s="34" t="s">
        <v>13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14</v>
      </c>
      <c r="AX6" s="34" t="s">
        <v>12</v>
      </c>
      <c r="AY6" s="34" t="s">
        <v>15</v>
      </c>
      <c r="AZ6" s="34" t="s">
        <v>16</v>
      </c>
      <c r="BA6" s="34" t="s">
        <v>17</v>
      </c>
      <c r="BB6" s="34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21</v>
      </c>
      <c r="J7" s="29">
        <v>46190</v>
      </c>
      <c r="K7" s="17" t="s">
        <v>90</v>
      </c>
      <c r="L7" s="30"/>
      <c r="M7" s="31"/>
      <c r="N7" s="16" t="s">
        <v>92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>
        <f>IF(OR(L7="",M7=""),1,0)</f>
        <v>1</v>
      </c>
      <c r="AH7" s="1"/>
      <c r="AI7" s="2" t="str">
        <f>CONCATENATE(K7,"_",N7)</f>
        <v>Portugal_Congo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tr">
        <f>J23</f>
        <v>Portugal</v>
      </c>
      <c r="AP7" s="34">
        <f>SUMIF($K$7:$K$12,AO7,$AJ$7:$AJ$12) + SUMIF($N$7:$N$12,AO7,$AK$7:$AK$12)</f>
        <v>3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Portugal</v>
      </c>
      <c r="AW7" s="34" t="str">
        <f>IF(AZ7=AZ8,AV8,IF(AZ7=AZ9,AV9,IF(AZ7=AZ10,AV10,"")))</f>
        <v>Congo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-30000000</v>
      </c>
      <c r="BA7" s="34">
        <f>AZ7-AY7*10</f>
        <v>-30000000</v>
      </c>
      <c r="BB7" s="34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24</v>
      </c>
      <c r="J8" s="19">
        <v>46190</v>
      </c>
      <c r="K8" s="20" t="s">
        <v>91</v>
      </c>
      <c r="L8" s="21"/>
      <c r="M8" s="22"/>
      <c r="N8" s="18" t="s">
        <v>48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>
        <f t="shared" ref="AG8:AG12" si="1">IF(OR(L8="",M8=""),1,0)</f>
        <v>1</v>
      </c>
      <c r="AH8" s="1"/>
      <c r="AI8" s="2" t="str">
        <f t="shared" ref="AI8:AI12" si="2">CONCATENATE(K8,"_",N8)</f>
        <v>Uzbekistán_Colombia</v>
      </c>
      <c r="AJ8" s="34">
        <f t="shared" ref="AJ8:AJ12" si="3">IF(L8&gt;M8,3,IF(L8&lt;M8,0,1))</f>
        <v>1</v>
      </c>
      <c r="AK8" s="34">
        <f t="shared" ref="AK8:AK12" si="4">IF(AJ8=3,0,IF(AJ8=1,1,3))</f>
        <v>1</v>
      </c>
      <c r="AL8" s="34" t="str">
        <f t="shared" ref="AL8:AL12" si="5">IF(AJ8&gt;AK8,K8,IF(AK8&gt;AJ8,N8,"SIN GANADOR"))</f>
        <v>SIN GANADOR</v>
      </c>
      <c r="AN8" s="34">
        <f>_xlfn.RANK.EQ(BB8,BB$7:BB$11,1)</f>
        <v>2</v>
      </c>
      <c r="AO8" s="34" t="str">
        <f t="shared" ref="AO8:AO10" si="6">J24</f>
        <v>Congo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7">SUMIF($K$7:$K$12,AO8,$L$7:$L$12) + SUMIF($N$7:$N$12,AO8,$M$7:$M$12)</f>
        <v>0</v>
      </c>
      <c r="AS8" s="34">
        <f t="shared" ref="AS8:AS9" si="8">SUMIF($K$7:$K$12,AO8,$M$7:$M$12) + SUMIF($N$7:$N$12,AO8,$L$7:$L$12)</f>
        <v>0</v>
      </c>
      <c r="AV8" s="34" t="str">
        <f t="shared" ref="AV8:AV10" si="9">AO8</f>
        <v>Congo</v>
      </c>
      <c r="AW8" s="34" t="str">
        <f>IF(AZ8=AZ9,AV9,IF(AZ8=AZ10,AV10,IF(AZ8=AZ7,AV7,"")))</f>
        <v>Uzbekistán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10">IF(AX8="",1,IF(AX8=AV8,1,0))</f>
        <v>0</v>
      </c>
      <c r="AZ8" s="34">
        <f t="shared" ref="AZ8:AZ10" si="11">-AP8*10000000 - AQ8*10000 - AR8*100</f>
        <v>-30000000</v>
      </c>
      <c r="BA8" s="34">
        <f t="shared" ref="BA8:BA10" si="12">AZ8-AY8*10</f>
        <v>-30000000</v>
      </c>
      <c r="BB8" s="34">
        <f>BA8+N24</f>
        <v>-29999998</v>
      </c>
    </row>
    <row r="9" spans="2:54" x14ac:dyDescent="0.25">
      <c r="B9" s="11">
        <v>2</v>
      </c>
      <c r="C9" s="12" t="str">
        <f t="shared" si="0"/>
        <v>Congo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45</v>
      </c>
      <c r="J9" s="24">
        <v>46196</v>
      </c>
      <c r="K9" s="25" t="s">
        <v>90</v>
      </c>
      <c r="L9" s="21"/>
      <c r="M9" s="22"/>
      <c r="N9" s="23" t="s">
        <v>91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>
        <f t="shared" si="1"/>
        <v>1</v>
      </c>
      <c r="AH9" s="1"/>
      <c r="AI9" s="2" t="str">
        <f t="shared" si="2"/>
        <v>Portugal_Uzbekistán</v>
      </c>
      <c r="AJ9" s="34">
        <f t="shared" si="3"/>
        <v>1</v>
      </c>
      <c r="AK9" s="34">
        <f t="shared" si="4"/>
        <v>1</v>
      </c>
      <c r="AL9" s="34" t="str">
        <f t="shared" si="5"/>
        <v>SIN GANADOR</v>
      </c>
      <c r="AN9" s="34">
        <f>_xlfn.RANK.EQ(BB9,BB$7:BB$11,1)</f>
        <v>3</v>
      </c>
      <c r="AO9" s="34" t="str">
        <f t="shared" si="6"/>
        <v>Uzbekistán</v>
      </c>
      <c r="AP9" s="34">
        <f>SUMIF($K$7:$K$12,AO9,$AJ$7:$AJ$12) + SUMIF($N$7:$N$12,AO9,$AK$7:$AK$12)</f>
        <v>3</v>
      </c>
      <c r="AQ9" s="34">
        <f t="shared" ref="AQ9:AQ10" si="13">AR9-AS9</f>
        <v>0</v>
      </c>
      <c r="AR9" s="34">
        <f t="shared" si="7"/>
        <v>0</v>
      </c>
      <c r="AS9" s="34">
        <f t="shared" si="8"/>
        <v>0</v>
      </c>
      <c r="AV9" s="34" t="str">
        <f t="shared" si="9"/>
        <v>Uzbekistán</v>
      </c>
      <c r="AW9" s="34" t="str">
        <f>IF(AZ9=AZ10,AV10,IF(AZ9=AZ7,AV7,IF(AZ9=AZ8,AV8,"")))</f>
        <v>Colombia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10"/>
        <v>0</v>
      </c>
      <c r="AZ9" s="34">
        <f t="shared" si="11"/>
        <v>-30000000</v>
      </c>
      <c r="BA9" s="34">
        <f t="shared" si="12"/>
        <v>-30000000</v>
      </c>
      <c r="BB9" s="34">
        <f>BA9+N25</f>
        <v>-29999997</v>
      </c>
    </row>
    <row r="10" spans="2:54" x14ac:dyDescent="0.25">
      <c r="B10" s="48">
        <v>3</v>
      </c>
      <c r="C10" s="49" t="str">
        <f t="shared" si="0"/>
        <v>Uzbekistán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48</v>
      </c>
      <c r="J10" s="19">
        <v>46196</v>
      </c>
      <c r="K10" s="20" t="s">
        <v>48</v>
      </c>
      <c r="L10" s="21"/>
      <c r="M10" s="22"/>
      <c r="N10" s="18" t="s">
        <v>92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f t="shared" si="1"/>
        <v>1</v>
      </c>
      <c r="AH10" s="1"/>
      <c r="AI10" s="2" t="str">
        <f t="shared" si="2"/>
        <v>Colombia_Congo</v>
      </c>
      <c r="AJ10" s="34">
        <f t="shared" si="3"/>
        <v>1</v>
      </c>
      <c r="AK10" s="34">
        <f t="shared" si="4"/>
        <v>1</v>
      </c>
      <c r="AL10" s="34" t="str">
        <f t="shared" si="5"/>
        <v>SIN GANADOR</v>
      </c>
      <c r="AN10" s="34">
        <f>_xlfn.RANK.EQ(BB10,BB$7:BB$11,1)</f>
        <v>4</v>
      </c>
      <c r="AO10" s="34" t="str">
        <f t="shared" si="6"/>
        <v>Colombia</v>
      </c>
      <c r="AP10" s="34">
        <f>SUMIF($K$7:$K$12,AO10,$AJ$7:$AJ$12) + SUMIF($N$7:$N$12,AO10,$AK$7:$AK$12)</f>
        <v>3</v>
      </c>
      <c r="AQ10" s="34">
        <f t="shared" si="13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9"/>
        <v>Colombia</v>
      </c>
      <c r="AW10" s="34" t="str">
        <f>IF(AZ10=AZ7,AV7,IF(AZ10=AZ8,AV8,IF(AZ10=AZ9,AV9,"")))</f>
        <v>Portugal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10"/>
        <v>0</v>
      </c>
      <c r="AZ10" s="34">
        <f t="shared" si="11"/>
        <v>-30000000</v>
      </c>
      <c r="BA10" s="34">
        <f t="shared" si="12"/>
        <v>-30000000</v>
      </c>
      <c r="BB10" s="34">
        <f>BA10+N26</f>
        <v>-29999996</v>
      </c>
    </row>
    <row r="11" spans="2:54" ht="15.75" thickBot="1" x14ac:dyDescent="0.3">
      <c r="B11" s="52">
        <v>4</v>
      </c>
      <c r="C11" s="53" t="str">
        <f t="shared" si="0"/>
        <v>Colombia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69</v>
      </c>
      <c r="J11" s="24">
        <v>46200</v>
      </c>
      <c r="K11" s="25" t="s">
        <v>48</v>
      </c>
      <c r="L11" s="21"/>
      <c r="M11" s="22"/>
      <c r="N11" s="23" t="s">
        <v>90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>
        <f t="shared" si="1"/>
        <v>1</v>
      </c>
      <c r="AH11" s="1"/>
      <c r="AI11" s="2" t="str">
        <f t="shared" si="2"/>
        <v>Colombia_Portugal</v>
      </c>
      <c r="AJ11" s="34">
        <f t="shared" si="3"/>
        <v>1</v>
      </c>
      <c r="AK11" s="34">
        <f t="shared" si="4"/>
        <v>1</v>
      </c>
      <c r="AL11" s="34" t="str">
        <f t="shared" si="5"/>
        <v>SIN GANADOR</v>
      </c>
    </row>
    <row r="12" spans="2:54" ht="15.75" thickBot="1" x14ac:dyDescent="0.3">
      <c r="I12" s="26">
        <v>70</v>
      </c>
      <c r="J12" s="27">
        <v>46200</v>
      </c>
      <c r="K12" s="28" t="s">
        <v>92</v>
      </c>
      <c r="L12" s="32"/>
      <c r="M12" s="33"/>
      <c r="N12" s="26" t="s">
        <v>91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>
        <f t="shared" si="1"/>
        <v>1</v>
      </c>
      <c r="AH12" s="1"/>
      <c r="AI12" s="2" t="str">
        <f t="shared" si="2"/>
        <v>Congo_Uzbekistán</v>
      </c>
      <c r="AJ12" s="34">
        <f t="shared" si="3"/>
        <v>1</v>
      </c>
      <c r="AK12" s="34">
        <f t="shared" si="4"/>
        <v>1</v>
      </c>
      <c r="AL12" s="34" t="str">
        <f t="shared" si="5"/>
        <v>SIN GANADOR</v>
      </c>
    </row>
    <row r="13" spans="2:54" x14ac:dyDescent="0.25">
      <c r="AG13" s="34">
        <f>IF(SUM(AG7:AG12)&gt;0,1,0)</f>
        <v>1</v>
      </c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34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90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92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91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48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71" priority="4">
      <formula>OR($I$22=0,AND($J$20="",$J$21="",$J$22="",$J$23=""))</formula>
    </cfRule>
  </conditionalFormatting>
  <conditionalFormatting sqref="M23:M26">
    <cfRule type="expression" dxfId="70" priority="3">
      <formula>J23=""</formula>
    </cfRule>
  </conditionalFormatting>
  <conditionalFormatting sqref="N23:AH27">
    <cfRule type="expression" dxfId="69" priority="1">
      <formula>K23=""</formula>
    </cfRule>
    <cfRule type="expression" dxfId="68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53AF-4195-458D-8CB1-3FC4BBA5BCAF}">
  <dimension ref="A2:BB28"/>
  <sheetViews>
    <sheetView zoomScale="90" zoomScaleNormal="90" workbookViewId="0">
      <selection activeCell="I12" sqref="I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28" width="13.7109375" customWidth="1"/>
    <col min="29" max="34" width="13.7109375" style="35" customWidth="1"/>
    <col min="35" max="35" width="20" style="35" bestFit="1" customWidth="1"/>
    <col min="36" max="46" width="11.42578125" style="35"/>
    <col min="47" max="47" width="10.42578125" style="35" bestFit="1" customWidth="1"/>
    <col min="48" max="48" width="13.7109375" style="35" bestFit="1" customWidth="1"/>
    <col min="49" max="49" width="10.42578125" style="35" bestFit="1" customWidth="1"/>
    <col min="50" max="50" width="9.85546875" style="35" bestFit="1" customWidth="1"/>
    <col min="51" max="51" width="13" style="35" bestFit="1" customWidth="1"/>
    <col min="52" max="52" width="29.85546875" style="35" bestFit="1" customWidth="1"/>
    <col min="53" max="53" width="25.7109375" style="35" bestFit="1" customWidth="1"/>
    <col min="54" max="16384" width="11.42578125" style="35"/>
  </cols>
  <sheetData>
    <row r="2" spans="2:54" ht="15.75" thickBot="1" x14ac:dyDescent="0.3"/>
    <row r="3" spans="2:54" x14ac:dyDescent="0.25">
      <c r="B3" s="111" t="s">
        <v>93</v>
      </c>
      <c r="C3" s="112"/>
      <c r="D3" s="112"/>
      <c r="E3" s="112"/>
      <c r="F3" s="112"/>
      <c r="G3" s="113"/>
    </row>
    <row r="4" spans="2:54" ht="15.75" thickBot="1" x14ac:dyDescent="0.3">
      <c r="B4" s="114"/>
      <c r="C4" s="115"/>
      <c r="D4" s="115"/>
      <c r="E4" s="115"/>
      <c r="F4" s="115"/>
      <c r="G4" s="11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17" t="s">
        <v>1</v>
      </c>
      <c r="C6" s="118"/>
      <c r="D6" s="118"/>
      <c r="E6" s="118"/>
      <c r="F6" s="118"/>
      <c r="G6" s="119"/>
      <c r="J6" s="15" t="s">
        <v>8</v>
      </c>
      <c r="K6" s="120" t="s">
        <v>9</v>
      </c>
      <c r="L6" s="104"/>
      <c r="M6" s="104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83"/>
      <c r="AD6" s="83"/>
      <c r="AE6" s="83"/>
      <c r="AF6" s="83"/>
      <c r="AG6" s="83"/>
      <c r="AH6" s="83"/>
      <c r="AI6" s="83"/>
      <c r="AJ6" s="35">
        <v>1</v>
      </c>
      <c r="AK6" s="35">
        <v>2</v>
      </c>
      <c r="AL6" s="35" t="s">
        <v>12</v>
      </c>
      <c r="AN6" s="35" t="s">
        <v>13</v>
      </c>
      <c r="AO6" s="35" t="s">
        <v>3</v>
      </c>
      <c r="AP6" s="35" t="s">
        <v>4</v>
      </c>
      <c r="AQ6" s="35" t="s">
        <v>7</v>
      </c>
      <c r="AR6" s="35" t="s">
        <v>5</v>
      </c>
      <c r="AS6" s="35" t="s">
        <v>6</v>
      </c>
      <c r="AV6" s="35" t="s">
        <v>3</v>
      </c>
      <c r="AW6" s="35" t="s">
        <v>14</v>
      </c>
      <c r="AX6" s="35" t="s">
        <v>12</v>
      </c>
      <c r="AY6" s="35" t="s">
        <v>15</v>
      </c>
      <c r="AZ6" s="35" t="s">
        <v>16</v>
      </c>
      <c r="BA6" s="35" t="s">
        <v>17</v>
      </c>
      <c r="BB6" s="35" t="s">
        <v>18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22</v>
      </c>
      <c r="J7" s="29">
        <v>46190</v>
      </c>
      <c r="K7" s="17" t="s">
        <v>94</v>
      </c>
      <c r="L7" s="30"/>
      <c r="M7" s="31"/>
      <c r="N7" s="16" t="s">
        <v>95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83"/>
      <c r="AD7" s="83"/>
      <c r="AE7" s="83"/>
      <c r="AF7" s="83"/>
      <c r="AG7" s="83">
        <f>IF(OR(L7="",M7=""),1,0)</f>
        <v>1</v>
      </c>
      <c r="AH7" s="83"/>
      <c r="AI7" s="83" t="str">
        <f>CONCATENATE(K7,"_",N7)</f>
        <v>Inglaterra_Croacia</v>
      </c>
      <c r="AJ7" s="35">
        <f>IF(L7&gt;M7,3,IF(L7&lt;M7,0,1))</f>
        <v>1</v>
      </c>
      <c r="AK7" s="35">
        <f>IF(AJ7=3,0,IF(AJ7=1,1,3))</f>
        <v>1</v>
      </c>
      <c r="AL7" s="35" t="str">
        <f>IF(AJ7&gt;AK7,K7,IF(AK7&gt;AJ7,N7,"SIN GANADOR"))</f>
        <v>SIN GANADOR</v>
      </c>
      <c r="AN7" s="35">
        <f>_xlfn.RANK.EQ(BB7,BB$7:BB$11,1)</f>
        <v>1</v>
      </c>
      <c r="AO7" s="35" t="str">
        <f>J23</f>
        <v>Inglaterra</v>
      </c>
      <c r="AP7" s="35">
        <f>SUMIF($K$7:$K$12,AO7,$AJ$7:$AJ$12) + SUMIF($N$7:$N$12,AO7,$AK$7:$AK$12)</f>
        <v>3</v>
      </c>
      <c r="AQ7" s="35">
        <f>AR7-AS7</f>
        <v>0</v>
      </c>
      <c r="AR7" s="35">
        <f>SUMIF($K$7:$K$12,AO7,$L$7:$L$12) + SUMIF($N$7:$N$12,AO7,$M$7:$M$12)</f>
        <v>0</v>
      </c>
      <c r="AS7" s="35">
        <f>SUMIF($K$7:$K$12,AO7,$M$7:$M$12) + SUMIF($N$7:$N$12,AO7,$L$7:$L$12)</f>
        <v>0</v>
      </c>
      <c r="AV7" s="35" t="str">
        <f>AO7</f>
        <v>Inglaterra</v>
      </c>
      <c r="AW7" s="35" t="str">
        <f>IF(AZ7=AZ8,AV8,IF(AZ7=AZ9,AV9,IF(AZ7=AZ10,AV10,"")))</f>
        <v>Croacia</v>
      </c>
      <c r="AX7" s="35" t="str">
        <f>IF(AW7="","",IFERROR(VLOOKUP(CONCATENATE(AV7,"_",AW7),$AI$7:$AL$16,4,FALSE),VLOOKUP(CONCATENATE(AW7,"_",AV7),$AI$7:$AL$16,4,FALSE)))</f>
        <v>SIN GANADOR</v>
      </c>
      <c r="AY7" s="35">
        <f>IF(AX7="",1,IF(AX7=AV7,1,0))</f>
        <v>0</v>
      </c>
      <c r="AZ7" s="35">
        <f>-AP7*10000000 - AQ7*10000 - AR7*100</f>
        <v>-30000000</v>
      </c>
      <c r="BA7" s="35">
        <f>AZ7-AY7*10</f>
        <v>-30000000</v>
      </c>
      <c r="BB7" s="35">
        <f>BA7+N23</f>
        <v>-29999999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3</v>
      </c>
      <c r="E8" s="9">
        <f t="shared" si="0"/>
        <v>0</v>
      </c>
      <c r="F8" s="9">
        <f t="shared" si="0"/>
        <v>0</v>
      </c>
      <c r="G8" s="10">
        <f t="shared" si="0"/>
        <v>0</v>
      </c>
      <c r="I8" s="18">
        <v>23</v>
      </c>
      <c r="J8" s="19">
        <v>46190</v>
      </c>
      <c r="K8" s="20" t="s">
        <v>96</v>
      </c>
      <c r="L8" s="21"/>
      <c r="M8" s="22"/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83"/>
      <c r="AD8" s="83"/>
      <c r="AE8" s="83"/>
      <c r="AF8" s="83"/>
      <c r="AG8" s="83">
        <f t="shared" ref="AG8:AG12" si="1">IF(OR(L8="",M8=""),1,0)</f>
        <v>1</v>
      </c>
      <c r="AH8" s="83"/>
      <c r="AI8" s="83" t="str">
        <f t="shared" ref="AI8:AI12" si="2">CONCATENATE(K8,"_",N8)</f>
        <v>Ghana_Panamá</v>
      </c>
      <c r="AJ8" s="35">
        <f t="shared" ref="AJ8:AJ12" si="3">IF(L8&gt;M8,3,IF(L8&lt;M8,0,1))</f>
        <v>1</v>
      </c>
      <c r="AK8" s="35">
        <f t="shared" ref="AK8:AK12" si="4">IF(AJ8=3,0,IF(AJ8=1,1,3))</f>
        <v>1</v>
      </c>
      <c r="AL8" s="35" t="str">
        <f t="shared" ref="AL8:AL12" si="5">IF(AJ8&gt;AK8,K8,IF(AK8&gt;AJ8,N8,"SIN GANADOR"))</f>
        <v>SIN GANADOR</v>
      </c>
      <c r="AN8" s="35">
        <f>_xlfn.RANK.EQ(BB8,BB$7:BB$11,1)</f>
        <v>2</v>
      </c>
      <c r="AO8" s="35" t="str">
        <f t="shared" ref="AO8:AO10" si="6">J24</f>
        <v>Croacia</v>
      </c>
      <c r="AP8" s="35">
        <f>SUMIF($K$7:$K$12,AO8,$AJ$7:$AJ$12) + SUMIF($N$7:$N$12,AO8,$AK$7:$AK$12)</f>
        <v>3</v>
      </c>
      <c r="AQ8" s="35">
        <f>AR8-AS8</f>
        <v>0</v>
      </c>
      <c r="AR8" s="35">
        <f t="shared" ref="AR8:AR9" si="7">SUMIF($K$7:$K$12,AO8,$L$7:$L$12) + SUMIF($N$7:$N$12,AO8,$M$7:$M$12)</f>
        <v>0</v>
      </c>
      <c r="AS8" s="35">
        <f t="shared" ref="AS8:AS9" si="8">SUMIF($K$7:$K$12,AO8,$M$7:$M$12) + SUMIF($N$7:$N$12,AO8,$L$7:$L$12)</f>
        <v>0</v>
      </c>
      <c r="AV8" s="35" t="str">
        <f t="shared" ref="AV8:AV10" si="9">AO8</f>
        <v>Croacia</v>
      </c>
      <c r="AW8" s="35" t="str">
        <f>IF(AZ8=AZ9,AV9,IF(AZ8=AZ10,AV10,IF(AZ8=AZ7,AV7,"")))</f>
        <v>Ghana</v>
      </c>
      <c r="AX8" s="35" t="str">
        <f>IF(AW8="","",IFERROR(VLOOKUP(CONCATENATE(AV8,"_",AW8),$AI$7:$AL$16,4,FALSE),VLOOKUP(CONCATENATE(AW8,"_",AV8),$AI$7:$AL$16,4,FALSE)))</f>
        <v>SIN GANADOR</v>
      </c>
      <c r="AY8" s="35">
        <f t="shared" ref="AY8:AY10" si="10">IF(AX8="",1,IF(AX8=AV8,1,0))</f>
        <v>0</v>
      </c>
      <c r="AZ8" s="35">
        <f t="shared" ref="AZ8:AZ10" si="11">-AP8*10000000 - AQ8*10000 - AR8*100</f>
        <v>-30000000</v>
      </c>
      <c r="BA8" s="35">
        <f t="shared" ref="BA8:BA10" si="12">AZ8-AY8*10</f>
        <v>-30000000</v>
      </c>
      <c r="BB8" s="35">
        <f>BA8+N24</f>
        <v>-29999998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3</v>
      </c>
      <c r="E9" s="13">
        <f t="shared" si="0"/>
        <v>0</v>
      </c>
      <c r="F9" s="13">
        <f t="shared" si="0"/>
        <v>0</v>
      </c>
      <c r="G9" s="14">
        <f t="shared" si="0"/>
        <v>0</v>
      </c>
      <c r="I9" s="23">
        <v>46</v>
      </c>
      <c r="J9" s="24">
        <v>46196</v>
      </c>
      <c r="K9" s="25" t="s">
        <v>94</v>
      </c>
      <c r="L9" s="21"/>
      <c r="M9" s="22"/>
      <c r="N9" s="23" t="s">
        <v>96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83"/>
      <c r="AD9" s="83"/>
      <c r="AE9" s="83"/>
      <c r="AF9" s="83"/>
      <c r="AG9" s="83">
        <f t="shared" si="1"/>
        <v>1</v>
      </c>
      <c r="AH9" s="83"/>
      <c r="AI9" s="83" t="str">
        <f t="shared" si="2"/>
        <v>Inglaterra_Ghana</v>
      </c>
      <c r="AJ9" s="35">
        <f t="shared" si="3"/>
        <v>1</v>
      </c>
      <c r="AK9" s="35">
        <f t="shared" si="4"/>
        <v>1</v>
      </c>
      <c r="AL9" s="35" t="str">
        <f t="shared" si="5"/>
        <v>SIN GANADOR</v>
      </c>
      <c r="AN9" s="35">
        <f>_xlfn.RANK.EQ(BB9,BB$7:BB$11,1)</f>
        <v>3</v>
      </c>
      <c r="AO9" s="35" t="str">
        <f t="shared" si="6"/>
        <v>Ghana</v>
      </c>
      <c r="AP9" s="35">
        <f>SUMIF($K$7:$K$12,AO9,$AJ$7:$AJ$12) + SUMIF($N$7:$N$12,AO9,$AK$7:$AK$12)</f>
        <v>3</v>
      </c>
      <c r="AQ9" s="35">
        <f t="shared" ref="AQ9:AQ10" si="13">AR9-AS9</f>
        <v>0</v>
      </c>
      <c r="AR9" s="35">
        <f t="shared" si="7"/>
        <v>0</v>
      </c>
      <c r="AS9" s="35">
        <f t="shared" si="8"/>
        <v>0</v>
      </c>
      <c r="AV9" s="35" t="str">
        <f t="shared" si="9"/>
        <v>Ghana</v>
      </c>
      <c r="AW9" s="35" t="str">
        <f>IF(AZ9=AZ10,AV10,IF(AZ9=AZ7,AV7,IF(AZ9=AZ8,AV8,"")))</f>
        <v>Panamá</v>
      </c>
      <c r="AX9" s="35" t="str">
        <f>IF(AW9="","",IFERROR(VLOOKUP(CONCATENATE(AV9,"_",AW9),$AI$7:$AL$16,4,FALSE),VLOOKUP(CONCATENATE(AW9,"_",AV9),$AI$7:$AL$16,4,FALSE)))</f>
        <v>SIN GANADOR</v>
      </c>
      <c r="AY9" s="35">
        <f t="shared" si="10"/>
        <v>0</v>
      </c>
      <c r="AZ9" s="35">
        <f t="shared" si="11"/>
        <v>-30000000</v>
      </c>
      <c r="BA9" s="35">
        <f t="shared" si="12"/>
        <v>-30000000</v>
      </c>
      <c r="BB9" s="35">
        <f>BA9+N25</f>
        <v>-29999997</v>
      </c>
    </row>
    <row r="10" spans="2:54" x14ac:dyDescent="0.25">
      <c r="B10" s="48">
        <v>3</v>
      </c>
      <c r="C10" s="49" t="str">
        <f t="shared" si="0"/>
        <v>Ghana</v>
      </c>
      <c r="D10" s="50">
        <f t="shared" si="0"/>
        <v>3</v>
      </c>
      <c r="E10" s="50">
        <f t="shared" si="0"/>
        <v>0</v>
      </c>
      <c r="F10" s="50">
        <f t="shared" si="0"/>
        <v>0</v>
      </c>
      <c r="G10" s="51">
        <f t="shared" si="0"/>
        <v>0</v>
      </c>
      <c r="I10" s="18">
        <v>47</v>
      </c>
      <c r="J10" s="19">
        <v>46196</v>
      </c>
      <c r="K10" s="20" t="s">
        <v>47</v>
      </c>
      <c r="L10" s="21"/>
      <c r="M10" s="22"/>
      <c r="N10" s="18" t="s">
        <v>95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83"/>
      <c r="AD10" s="83"/>
      <c r="AE10" s="83"/>
      <c r="AF10" s="83"/>
      <c r="AG10" s="83">
        <f t="shared" si="1"/>
        <v>1</v>
      </c>
      <c r="AH10" s="83"/>
      <c r="AI10" s="83" t="str">
        <f t="shared" si="2"/>
        <v>Panamá_Croacia</v>
      </c>
      <c r="AJ10" s="35">
        <f t="shared" si="3"/>
        <v>1</v>
      </c>
      <c r="AK10" s="35">
        <f t="shared" si="4"/>
        <v>1</v>
      </c>
      <c r="AL10" s="35" t="str">
        <f t="shared" si="5"/>
        <v>SIN GANADOR</v>
      </c>
      <c r="AN10" s="35">
        <f>_xlfn.RANK.EQ(BB10,BB$7:BB$11,1)</f>
        <v>4</v>
      </c>
      <c r="AO10" s="35" t="str">
        <f t="shared" si="6"/>
        <v>Panamá</v>
      </c>
      <c r="AP10" s="35">
        <f>SUMIF($K$7:$K$12,AO10,$AJ$7:$AJ$12) + SUMIF($N$7:$N$12,AO10,$AK$7:$AK$12)</f>
        <v>3</v>
      </c>
      <c r="AQ10" s="35">
        <f t="shared" si="13"/>
        <v>0</v>
      </c>
      <c r="AR10" s="35">
        <f>SUMIF($K$7:$K$12,AO10,$L$7:$L$12) + SUMIF($N$7:$N$12,AO10,$M$7:$M$12)</f>
        <v>0</v>
      </c>
      <c r="AS10" s="35">
        <f>SUMIF($K$7:$K$12,AO10,$M$7:$M$12) + SUMIF($N$7:$N$12,AO10,$L$7:$L$12)</f>
        <v>0</v>
      </c>
      <c r="AV10" s="35" t="str">
        <f t="shared" si="9"/>
        <v>Panamá</v>
      </c>
      <c r="AW10" s="35" t="str">
        <f>IF(AZ10=AZ7,AV7,IF(AZ10=AZ8,AV8,IF(AZ10=AZ9,AV9,"")))</f>
        <v>Inglaterra</v>
      </c>
      <c r="AX10" s="35" t="str">
        <f>IF(AW10="","",IFERROR(VLOOKUP(CONCATENATE(AV10,"_",AW10),$AI$7:$AL$16,4,FALSE),VLOOKUP(CONCATENATE(AW10,"_",AV10),$AI$7:$AL$16,4,FALSE)))</f>
        <v>SIN GANADOR</v>
      </c>
      <c r="AY10" s="35">
        <f t="shared" si="10"/>
        <v>0</v>
      </c>
      <c r="AZ10" s="35">
        <f t="shared" si="11"/>
        <v>-30000000</v>
      </c>
      <c r="BA10" s="35">
        <f t="shared" si="12"/>
        <v>-30000000</v>
      </c>
      <c r="BB10" s="35">
        <f>BA10+N26</f>
        <v>-29999996</v>
      </c>
    </row>
    <row r="11" spans="2:54" ht="15.75" thickBot="1" x14ac:dyDescent="0.3">
      <c r="B11" s="52">
        <v>4</v>
      </c>
      <c r="C11" s="53" t="str">
        <f t="shared" si="0"/>
        <v>Panamá</v>
      </c>
      <c r="D11" s="54">
        <f t="shared" si="0"/>
        <v>3</v>
      </c>
      <c r="E11" s="54">
        <f t="shared" si="0"/>
        <v>0</v>
      </c>
      <c r="F11" s="54">
        <f t="shared" si="0"/>
        <v>0</v>
      </c>
      <c r="G11" s="55">
        <f t="shared" si="0"/>
        <v>0</v>
      </c>
      <c r="I11" s="23">
        <v>67</v>
      </c>
      <c r="J11" s="24">
        <v>46200</v>
      </c>
      <c r="K11" s="25" t="s">
        <v>47</v>
      </c>
      <c r="L11" s="21"/>
      <c r="M11" s="22"/>
      <c r="N11" s="23" t="s">
        <v>94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83"/>
      <c r="AD11" s="83"/>
      <c r="AE11" s="83"/>
      <c r="AF11" s="83"/>
      <c r="AG11" s="83">
        <f t="shared" si="1"/>
        <v>1</v>
      </c>
      <c r="AH11" s="83"/>
      <c r="AI11" s="83" t="str">
        <f t="shared" si="2"/>
        <v>Panamá_Inglaterra</v>
      </c>
      <c r="AJ11" s="35">
        <f t="shared" si="3"/>
        <v>1</v>
      </c>
      <c r="AK11" s="35">
        <f t="shared" si="4"/>
        <v>1</v>
      </c>
      <c r="AL11" s="35" t="str">
        <f t="shared" si="5"/>
        <v>SIN GANADOR</v>
      </c>
    </row>
    <row r="12" spans="2:54" ht="15.75" thickBot="1" x14ac:dyDescent="0.3">
      <c r="I12" s="26">
        <v>68</v>
      </c>
      <c r="J12" s="27">
        <v>46200</v>
      </c>
      <c r="K12" s="28" t="s">
        <v>95</v>
      </c>
      <c r="L12" s="32"/>
      <c r="M12" s="33"/>
      <c r="N12" s="26" t="s">
        <v>96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83"/>
      <c r="AD12" s="83"/>
      <c r="AE12" s="83"/>
      <c r="AF12" s="83"/>
      <c r="AG12" s="83">
        <f t="shared" si="1"/>
        <v>1</v>
      </c>
      <c r="AH12" s="83"/>
      <c r="AI12" s="83" t="str">
        <f t="shared" si="2"/>
        <v>Croacia_Ghana</v>
      </c>
      <c r="AJ12" s="35">
        <f t="shared" si="3"/>
        <v>1</v>
      </c>
      <c r="AK12" s="35">
        <f t="shared" si="4"/>
        <v>1</v>
      </c>
      <c r="AL12" s="35" t="str">
        <f t="shared" si="5"/>
        <v>SIN GANADOR</v>
      </c>
    </row>
    <row r="13" spans="2:54" x14ac:dyDescent="0.25">
      <c r="AG13" s="35">
        <f>IF(SUM(AG7:AG12)&gt;0,1,0)</f>
        <v>1</v>
      </c>
      <c r="AI13" s="83"/>
    </row>
    <row r="14" spans="2:54" x14ac:dyDescent="0.25">
      <c r="AI14" s="83"/>
    </row>
    <row r="15" spans="2:54" x14ac:dyDescent="0.25">
      <c r="AI15" s="83"/>
    </row>
    <row r="16" spans="2:54" x14ac:dyDescent="0.25">
      <c r="AI16" s="83"/>
    </row>
    <row r="21" spans="2:28" ht="15.75" thickBot="1" x14ac:dyDescent="0.3"/>
    <row r="22" spans="2:28" ht="15.75" thickBot="1" x14ac:dyDescent="0.3">
      <c r="B22" s="36" t="s">
        <v>19</v>
      </c>
      <c r="C22" s="37"/>
      <c r="D22" s="37"/>
      <c r="E22" s="37"/>
      <c r="F22" s="37"/>
      <c r="G22" s="37"/>
      <c r="H22" s="38"/>
      <c r="I22" s="34">
        <v>1</v>
      </c>
      <c r="J22" s="95" t="s">
        <v>20</v>
      </c>
      <c r="K22" s="96"/>
      <c r="L22" s="96"/>
      <c r="M22" s="97"/>
    </row>
    <row r="23" spans="2:28" x14ac:dyDescent="0.25">
      <c r="B23" s="39" t="s">
        <v>21</v>
      </c>
      <c r="C23" s="40"/>
      <c r="D23" s="40"/>
      <c r="E23" s="40"/>
      <c r="F23" s="40"/>
      <c r="G23" s="40"/>
      <c r="H23" s="41"/>
      <c r="I23" s="34">
        <f>IF(J23="",0,1)</f>
        <v>1</v>
      </c>
      <c r="J23" s="121" t="s">
        <v>94</v>
      </c>
      <c r="K23" s="122"/>
      <c r="L23" s="123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x14ac:dyDescent="0.25">
      <c r="B24" s="39" t="s">
        <v>22</v>
      </c>
      <c r="C24" s="40"/>
      <c r="D24" s="40"/>
      <c r="E24" s="40"/>
      <c r="F24" s="40"/>
      <c r="G24" s="40"/>
      <c r="H24" s="41"/>
      <c r="I24" s="34">
        <f t="shared" ref="I24:I26" si="14">IF(J24="",0,1)</f>
        <v>1</v>
      </c>
      <c r="J24" s="105" t="s">
        <v>95</v>
      </c>
      <c r="K24" s="106"/>
      <c r="L24" s="10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x14ac:dyDescent="0.25">
      <c r="B25" s="39" t="s">
        <v>23</v>
      </c>
      <c r="C25" s="40"/>
      <c r="D25" s="40"/>
      <c r="E25" s="40"/>
      <c r="F25" s="40"/>
      <c r="G25" s="40"/>
      <c r="H25" s="41"/>
      <c r="I25" s="34">
        <f t="shared" si="14"/>
        <v>1</v>
      </c>
      <c r="J25" s="105" t="s">
        <v>96</v>
      </c>
      <c r="K25" s="106"/>
      <c r="L25" s="10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ht="15.75" thickBot="1" x14ac:dyDescent="0.3">
      <c r="B26" s="39" t="s">
        <v>24</v>
      </c>
      <c r="C26" s="40"/>
      <c r="D26" s="40"/>
      <c r="E26" s="40"/>
      <c r="F26" s="40"/>
      <c r="G26" s="40"/>
      <c r="H26" s="41"/>
      <c r="I26" s="34">
        <f t="shared" si="14"/>
        <v>1</v>
      </c>
      <c r="J26" s="108" t="s">
        <v>47</v>
      </c>
      <c r="K26" s="109"/>
      <c r="L26" s="11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x14ac:dyDescent="0.25">
      <c r="B27" s="39" t="s">
        <v>25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67" priority="4">
      <formula>OR($I$22=0,AND($J$20="",$J$21="",$J$22="",$J$23=""))</formula>
    </cfRule>
  </conditionalFormatting>
  <conditionalFormatting sqref="M23:M26">
    <cfRule type="expression" dxfId="66" priority="3">
      <formula>J23=""</formula>
    </cfRule>
  </conditionalFormatting>
  <conditionalFormatting sqref="N23:AH27">
    <cfRule type="expression" dxfId="65" priority="1">
      <formula>K23=""</formula>
    </cfRule>
    <cfRule type="expression" dxfId="64" priority="2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A6E3-8B3E-4528-9685-283D9B1BA9B8}">
  <dimension ref="B2:BS497"/>
  <sheetViews>
    <sheetView workbookViewId="0">
      <selection activeCell="J17" sqref="J17"/>
    </sheetView>
  </sheetViews>
  <sheetFormatPr defaultRowHeight="15" x14ac:dyDescent="0.25"/>
  <cols>
    <col min="4" max="4" width="14.42578125" bestFit="1" customWidth="1"/>
    <col min="28" max="28" width="10" style="34" bestFit="1" customWidth="1"/>
    <col min="29" max="30" width="9.140625" style="34"/>
    <col min="31" max="31" width="14.42578125" style="34" bestFit="1" customWidth="1"/>
    <col min="32" max="38" width="9.140625" style="34"/>
    <col min="39" max="39" width="10" style="34" bestFit="1" customWidth="1"/>
    <col min="40" max="42" width="9.140625" style="34"/>
    <col min="43" max="43" width="9.5703125" style="34" bestFit="1" customWidth="1"/>
    <col min="44" max="44" width="18.42578125" style="34" bestFit="1" customWidth="1"/>
    <col min="45" max="47" width="9.140625" style="34"/>
    <col min="48" max="48" width="21.85546875" style="34" bestFit="1" customWidth="1"/>
    <col min="49" max="49" width="16.28515625" style="34" bestFit="1" customWidth="1"/>
    <col min="50" max="71" width="9.140625" style="34"/>
  </cols>
  <sheetData>
    <row r="2" spans="2:70" ht="15.75" thickBot="1" x14ac:dyDescent="0.3">
      <c r="AQ2" s="34" t="s">
        <v>136</v>
      </c>
      <c r="AR2" s="34" t="s">
        <v>135</v>
      </c>
      <c r="AV2" s="34" t="s">
        <v>134</v>
      </c>
      <c r="AW2" s="34" t="s">
        <v>130</v>
      </c>
      <c r="AY2" s="140" t="s">
        <v>129</v>
      </c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34" t="s">
        <v>121</v>
      </c>
      <c r="BL2" s="34" t="s">
        <v>122</v>
      </c>
      <c r="BM2" s="34" t="s">
        <v>123</v>
      </c>
      <c r="BN2" s="34" t="s">
        <v>124</v>
      </c>
      <c r="BO2" s="34" t="s">
        <v>125</v>
      </c>
      <c r="BP2" s="34" t="s">
        <v>126</v>
      </c>
      <c r="BQ2" s="34" t="s">
        <v>127</v>
      </c>
      <c r="BR2" s="34" t="s">
        <v>128</v>
      </c>
    </row>
    <row r="3" spans="2:70" ht="15" customHeight="1" x14ac:dyDescent="0.25">
      <c r="B3" s="111" t="s">
        <v>139</v>
      </c>
      <c r="C3" s="112"/>
      <c r="D3" s="112"/>
      <c r="E3" s="112"/>
      <c r="F3" s="112"/>
      <c r="G3" s="112"/>
      <c r="H3" s="113"/>
      <c r="AQ3" s="34">
        <f ca="1">COUNTIF($AR$3:$AR$10,"&lt;"&amp;AR3)+1</f>
        <v>1</v>
      </c>
      <c r="AR3" s="34" t="str">
        <f ca="1">C8</f>
        <v>A</v>
      </c>
      <c r="AS3" s="34">
        <v>1</v>
      </c>
      <c r="AT3" s="34" t="str">
        <f ca="1">VLOOKUP(AS3,$AQ$3:$AR$10,2,FALSE)</f>
        <v>A</v>
      </c>
      <c r="AV3" s="34" t="str">
        <f ca="1">CONCATENATE(AT3,AT4,AT5,AT6,AT7,AT8,AT9,AT10)</f>
        <v>ABCDEFGH</v>
      </c>
      <c r="AW3" s="34" t="str">
        <f>AY3&amp;AZ3&amp;BA3&amp;BB3&amp;BC3&amp;BD3&amp;BE3&amp;BF3&amp;BG3&amp;BH3&amp;BI3&amp;BJ3</f>
        <v>EFGHIJKL</v>
      </c>
      <c r="AX3" s="34">
        <v>1</v>
      </c>
      <c r="BC3" s="34" t="s">
        <v>97</v>
      </c>
      <c r="BD3" s="34" t="s">
        <v>98</v>
      </c>
      <c r="BE3" s="34" t="s">
        <v>99</v>
      </c>
      <c r="BF3" s="34" t="s">
        <v>100</v>
      </c>
      <c r="BG3" s="34" t="s">
        <v>101</v>
      </c>
      <c r="BH3" s="34" t="s">
        <v>102</v>
      </c>
      <c r="BI3" s="34" t="s">
        <v>103</v>
      </c>
      <c r="BJ3" s="34" t="s">
        <v>104</v>
      </c>
      <c r="BK3" s="34" t="s">
        <v>105</v>
      </c>
      <c r="BL3" s="34" t="s">
        <v>106</v>
      </c>
      <c r="BM3" s="34" t="s">
        <v>107</v>
      </c>
      <c r="BN3" s="34" t="s">
        <v>108</v>
      </c>
      <c r="BO3" s="34" t="s">
        <v>109</v>
      </c>
      <c r="BP3" s="34" t="s">
        <v>110</v>
      </c>
      <c r="BQ3" s="34" t="s">
        <v>111</v>
      </c>
      <c r="BR3" s="34" t="s">
        <v>112</v>
      </c>
    </row>
    <row r="4" spans="2:70" ht="15.75" customHeight="1" thickBot="1" x14ac:dyDescent="0.3">
      <c r="B4" s="114"/>
      <c r="C4" s="115"/>
      <c r="D4" s="115"/>
      <c r="E4" s="115"/>
      <c r="F4" s="115"/>
      <c r="G4" s="115"/>
      <c r="H4" s="116"/>
      <c r="AQ4" s="34">
        <f t="shared" ref="AQ4:AQ10" ca="1" si="0">COUNTIF($AR$3:$AR$10,"&lt;"&amp;AR4)+1</f>
        <v>2</v>
      </c>
      <c r="AR4" s="34" t="str">
        <f t="shared" ref="AR4:AR10" ca="1" si="1">C9</f>
        <v>B</v>
      </c>
      <c r="AS4" s="34">
        <v>2</v>
      </c>
      <c r="AT4" s="34" t="str">
        <f t="shared" ref="AT4:AT10" ca="1" si="2">VLOOKUP(AS4,$AQ$3:$AR$10,2,FALSE)</f>
        <v>B</v>
      </c>
      <c r="AV4" s="34">
        <f ca="1">MATCH(AV3,AW3:AW497,0)+2</f>
        <v>497</v>
      </c>
      <c r="AW4" s="34" t="str">
        <f t="shared" ref="AW4:AW67" si="3">AY4&amp;AZ4&amp;BA4&amp;BB4&amp;BC4&amp;BD4&amp;BE4&amp;BF4&amp;BG4&amp;BH4&amp;BI4&amp;BJ4</f>
        <v>DFGHIJKL</v>
      </c>
      <c r="AX4" s="34">
        <v>2</v>
      </c>
      <c r="BB4" s="34" t="s">
        <v>113</v>
      </c>
      <c r="BD4" s="34" t="s">
        <v>98</v>
      </c>
      <c r="BE4" s="34" t="s">
        <v>99</v>
      </c>
      <c r="BF4" s="34" t="s">
        <v>100</v>
      </c>
      <c r="BG4" s="34" t="s">
        <v>101</v>
      </c>
      <c r="BH4" s="34" t="s">
        <v>102</v>
      </c>
      <c r="BI4" s="34" t="s">
        <v>103</v>
      </c>
      <c r="BJ4" s="34" t="s">
        <v>104</v>
      </c>
      <c r="BK4" s="34" t="s">
        <v>109</v>
      </c>
      <c r="BL4" s="34" t="s">
        <v>110</v>
      </c>
      <c r="BM4" s="34" t="s">
        <v>107</v>
      </c>
      <c r="BN4" s="34" t="s">
        <v>114</v>
      </c>
      <c r="BO4" s="34" t="s">
        <v>106</v>
      </c>
      <c r="BP4" s="34" t="s">
        <v>108</v>
      </c>
      <c r="BQ4" s="34" t="s">
        <v>111</v>
      </c>
      <c r="BR4" s="34" t="s">
        <v>112</v>
      </c>
    </row>
    <row r="5" spans="2:70" ht="15.75" thickBot="1" x14ac:dyDescent="0.3">
      <c r="B5" s="1"/>
      <c r="C5" s="2">
        <v>2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AQ5" s="34">
        <f t="shared" ca="1" si="0"/>
        <v>3</v>
      </c>
      <c r="AR5" s="34" t="str">
        <f t="shared" ca="1" si="1"/>
        <v>C</v>
      </c>
      <c r="AS5" s="34">
        <v>3</v>
      </c>
      <c r="AT5" s="34" t="str">
        <f t="shared" ca="1" si="2"/>
        <v>C</v>
      </c>
      <c r="AW5" s="34" t="str">
        <f t="shared" si="3"/>
        <v>DEGHIJKL</v>
      </c>
      <c r="AX5" s="34">
        <v>3</v>
      </c>
      <c r="BB5" s="34" t="s">
        <v>113</v>
      </c>
      <c r="BC5" s="34" t="s">
        <v>97</v>
      </c>
      <c r="BE5" s="34" t="s">
        <v>99</v>
      </c>
      <c r="BF5" s="34" t="s">
        <v>100</v>
      </c>
      <c r="BG5" s="34" t="s">
        <v>101</v>
      </c>
      <c r="BH5" s="34" t="s">
        <v>102</v>
      </c>
      <c r="BI5" s="34" t="s">
        <v>103</v>
      </c>
      <c r="BJ5" s="34" t="s">
        <v>104</v>
      </c>
      <c r="BK5" s="34" t="s">
        <v>105</v>
      </c>
      <c r="BL5" s="34" t="s">
        <v>106</v>
      </c>
      <c r="BM5" s="34" t="s">
        <v>107</v>
      </c>
      <c r="BN5" s="34" t="s">
        <v>114</v>
      </c>
      <c r="BO5" s="34" t="s">
        <v>109</v>
      </c>
      <c r="BP5" s="34" t="s">
        <v>110</v>
      </c>
      <c r="BQ5" s="34" t="s">
        <v>111</v>
      </c>
      <c r="BR5" s="34" t="s">
        <v>112</v>
      </c>
    </row>
    <row r="6" spans="2:70" ht="15.75" thickBot="1" x14ac:dyDescent="0.3">
      <c r="B6" s="127" t="s">
        <v>1</v>
      </c>
      <c r="C6" s="128"/>
      <c r="D6" s="128"/>
      <c r="E6" s="128"/>
      <c r="F6" s="128"/>
      <c r="G6" s="128"/>
      <c r="H6" s="129"/>
      <c r="AE6" s="34" t="s">
        <v>115</v>
      </c>
      <c r="AF6" s="34" t="s">
        <v>113</v>
      </c>
      <c r="AG6" s="34" t="s">
        <v>97</v>
      </c>
      <c r="AH6" s="34" t="s">
        <v>98</v>
      </c>
      <c r="AI6" s="34" t="s">
        <v>99</v>
      </c>
      <c r="AQ6" s="34">
        <f t="shared" ca="1" si="0"/>
        <v>4</v>
      </c>
      <c r="AR6" s="34" t="str">
        <f t="shared" ca="1" si="1"/>
        <v>D</v>
      </c>
      <c r="AS6" s="34">
        <v>4</v>
      </c>
      <c r="AT6" s="34" t="str">
        <f t="shared" ca="1" si="2"/>
        <v>D</v>
      </c>
      <c r="AW6" s="34" t="str">
        <f t="shared" si="3"/>
        <v>DEFHIJKL</v>
      </c>
      <c r="AX6" s="34">
        <v>4</v>
      </c>
      <c r="BB6" s="34" t="s">
        <v>113</v>
      </c>
      <c r="BC6" s="34" t="s">
        <v>97</v>
      </c>
      <c r="BD6" s="34" t="s">
        <v>98</v>
      </c>
      <c r="BF6" s="34" t="s">
        <v>100</v>
      </c>
      <c r="BG6" s="34" t="s">
        <v>101</v>
      </c>
      <c r="BH6" s="34" t="s">
        <v>102</v>
      </c>
      <c r="BI6" s="34" t="s">
        <v>103</v>
      </c>
      <c r="BJ6" s="34" t="s">
        <v>104</v>
      </c>
      <c r="BK6" s="34" t="s">
        <v>105</v>
      </c>
      <c r="BL6" s="34" t="s">
        <v>106</v>
      </c>
      <c r="BM6" s="34" t="s">
        <v>107</v>
      </c>
      <c r="BN6" s="34" t="s">
        <v>114</v>
      </c>
      <c r="BO6" s="34" t="s">
        <v>109</v>
      </c>
      <c r="BP6" s="34" t="s">
        <v>108</v>
      </c>
      <c r="BQ6" s="34" t="s">
        <v>111</v>
      </c>
      <c r="BR6" s="34" t="s">
        <v>112</v>
      </c>
    </row>
    <row r="7" spans="2:70" ht="15.75" thickBot="1" x14ac:dyDescent="0.3">
      <c r="B7" s="3" t="s">
        <v>2</v>
      </c>
      <c r="C7" s="4" t="s">
        <v>133</v>
      </c>
      <c r="D7" s="4" t="s">
        <v>3</v>
      </c>
      <c r="E7" s="5" t="s">
        <v>4</v>
      </c>
      <c r="F7" s="5" t="s">
        <v>5</v>
      </c>
      <c r="G7" s="5" t="s">
        <v>6</v>
      </c>
      <c r="H7" s="6" t="s">
        <v>7</v>
      </c>
      <c r="J7" s="36" t="s">
        <v>19</v>
      </c>
      <c r="K7" s="37"/>
      <c r="L7" s="37"/>
      <c r="M7" s="37"/>
      <c r="N7" s="37"/>
      <c r="O7" s="37"/>
      <c r="P7" s="38"/>
      <c r="Q7" s="34">
        <v>1</v>
      </c>
      <c r="R7" s="95" t="s">
        <v>20</v>
      </c>
      <c r="S7" s="96"/>
      <c r="T7" s="96"/>
      <c r="U7" s="97"/>
      <c r="AF7" s="34" t="s">
        <v>3</v>
      </c>
      <c r="AG7" s="34" t="s">
        <v>4</v>
      </c>
      <c r="AH7" s="34" t="s">
        <v>5</v>
      </c>
      <c r="AI7" s="34" t="s">
        <v>6</v>
      </c>
      <c r="AJ7" s="34" t="s">
        <v>7</v>
      </c>
      <c r="AK7" s="34" t="s">
        <v>131</v>
      </c>
      <c r="AL7" s="34" t="s">
        <v>132</v>
      </c>
      <c r="AQ7" s="34">
        <f t="shared" ca="1" si="0"/>
        <v>5</v>
      </c>
      <c r="AR7" s="34" t="str">
        <f t="shared" ca="1" si="1"/>
        <v>E</v>
      </c>
      <c r="AS7" s="34">
        <v>5</v>
      </c>
      <c r="AT7" s="34" t="str">
        <f t="shared" ca="1" si="2"/>
        <v>E</v>
      </c>
      <c r="AW7" s="34" t="str">
        <f t="shared" ref="AW7:AW19" si="4">AY7&amp;AZ7&amp;BA7&amp;BB7&amp;BC7&amp;BD7&amp;BE7&amp;BF7&amp;BG7&amp;BH7&amp;BI7&amp;BJ7</f>
        <v>DEFGIJKL</v>
      </c>
      <c r="AX7" s="34">
        <v>5</v>
      </c>
      <c r="BB7" s="34" t="s">
        <v>113</v>
      </c>
      <c r="BC7" s="34" t="s">
        <v>97</v>
      </c>
      <c r="BD7" s="34" t="s">
        <v>98</v>
      </c>
      <c r="BE7" s="34" t="s">
        <v>99</v>
      </c>
      <c r="BG7" s="34" t="s">
        <v>101</v>
      </c>
      <c r="BH7" s="34" t="s">
        <v>102</v>
      </c>
      <c r="BI7" s="34" t="s">
        <v>103</v>
      </c>
      <c r="BJ7" s="34" t="s">
        <v>104</v>
      </c>
      <c r="BK7" s="34" t="s">
        <v>105</v>
      </c>
      <c r="BL7" s="34" t="s">
        <v>110</v>
      </c>
      <c r="BM7" s="34" t="s">
        <v>107</v>
      </c>
      <c r="BN7" s="34" t="s">
        <v>114</v>
      </c>
      <c r="BO7" s="34" t="s">
        <v>106</v>
      </c>
      <c r="BP7" s="34" t="s">
        <v>108</v>
      </c>
      <c r="BQ7" s="34" t="s">
        <v>111</v>
      </c>
      <c r="BR7" s="34" t="s">
        <v>112</v>
      </c>
    </row>
    <row r="8" spans="2:70" x14ac:dyDescent="0.25">
      <c r="B8" s="130">
        <v>1</v>
      </c>
      <c r="C8" s="131" t="str">
        <f t="shared" ref="C8:H8" ca="1" si="5">VLOOKUP($B8,$AC$8:$AL$19,C$5,FALSE)</f>
        <v>A</v>
      </c>
      <c r="D8" s="132" t="str">
        <f t="shared" ca="1" si="5"/>
        <v>Corea</v>
      </c>
      <c r="E8" s="133">
        <f t="shared" ca="1" si="5"/>
        <v>3</v>
      </c>
      <c r="F8" s="133">
        <f t="shared" ca="1" si="5"/>
        <v>0</v>
      </c>
      <c r="G8" s="133">
        <f t="shared" ca="1" si="5"/>
        <v>0</v>
      </c>
      <c r="H8" s="134">
        <f t="shared" ca="1" si="5"/>
        <v>0</v>
      </c>
      <c r="J8" s="39" t="s">
        <v>21</v>
      </c>
      <c r="K8" s="40"/>
      <c r="L8" s="40"/>
      <c r="M8" s="40"/>
      <c r="N8" s="40"/>
      <c r="O8" s="40"/>
      <c r="P8" s="41"/>
      <c r="Q8" s="34">
        <f ca="1">IF(R8="",0,1)</f>
        <v>1</v>
      </c>
      <c r="R8" s="121" t="str">
        <f t="shared" ref="R8:R19" ca="1" si="6">AF8</f>
        <v>Corea</v>
      </c>
      <c r="S8" s="122"/>
      <c r="T8" s="123"/>
      <c r="U8" s="42">
        <v>1</v>
      </c>
      <c r="AB8" s="34">
        <f t="shared" ref="AB8:AB19" ca="1" si="7">AG8*100000000 + AJ8*1000000 + AH8*10000 - AK8*100 - AL8</f>
        <v>299999899</v>
      </c>
      <c r="AC8" s="34">
        <f t="shared" ref="AC8:AC19" ca="1" si="8">_xlfn.RANK.EQ(AB8,$AB$8:$AB$19)</f>
        <v>1</v>
      </c>
      <c r="AD8" s="34" t="str">
        <f>RIGHT(AE8, 1)</f>
        <v>A</v>
      </c>
      <c r="AE8" s="34" t="s">
        <v>0</v>
      </c>
      <c r="AF8" s="34" t="str">
        <f t="shared" ref="AF8:AJ19" ca="1" si="9">INDIRECT("'"&amp;$AE8&amp;"'"&amp;"!"&amp;AE$6&amp;"10")</f>
        <v>Corea</v>
      </c>
      <c r="AG8" s="34">
        <f t="shared" ca="1" si="9"/>
        <v>3</v>
      </c>
      <c r="AH8" s="34">
        <f t="shared" ca="1" si="9"/>
        <v>0</v>
      </c>
      <c r="AI8" s="34">
        <f t="shared" ca="1" si="9"/>
        <v>0</v>
      </c>
      <c r="AJ8" s="34">
        <f t="shared" ca="1" si="9"/>
        <v>0</v>
      </c>
      <c r="AK8" s="34">
        <f t="shared" ref="AK8:AK19" si="10">U8</f>
        <v>1</v>
      </c>
      <c r="AL8" s="34">
        <v>1</v>
      </c>
      <c r="AQ8" s="34">
        <f t="shared" ca="1" si="0"/>
        <v>6</v>
      </c>
      <c r="AR8" s="34" t="str">
        <f t="shared" ca="1" si="1"/>
        <v>F</v>
      </c>
      <c r="AS8" s="34">
        <v>6</v>
      </c>
      <c r="AT8" s="34" t="str">
        <f t="shared" ca="1" si="2"/>
        <v>F</v>
      </c>
      <c r="AW8" s="34" t="str">
        <f t="shared" si="4"/>
        <v>DEFGHJKL</v>
      </c>
      <c r="AX8" s="34">
        <v>6</v>
      </c>
      <c r="BB8" s="34" t="s">
        <v>113</v>
      </c>
      <c r="BC8" s="34" t="s">
        <v>97</v>
      </c>
      <c r="BD8" s="34" t="s">
        <v>98</v>
      </c>
      <c r="BE8" s="34" t="s">
        <v>99</v>
      </c>
      <c r="BF8" s="34" t="s">
        <v>100</v>
      </c>
      <c r="BH8" s="34" t="s">
        <v>102</v>
      </c>
      <c r="BI8" s="34" t="s">
        <v>103</v>
      </c>
      <c r="BJ8" s="34" t="s">
        <v>104</v>
      </c>
      <c r="BK8" s="34" t="s">
        <v>105</v>
      </c>
      <c r="BL8" s="34" t="s">
        <v>110</v>
      </c>
      <c r="BM8" s="34" t="s">
        <v>106</v>
      </c>
      <c r="BN8" s="34" t="s">
        <v>114</v>
      </c>
      <c r="BO8" s="34" t="s">
        <v>109</v>
      </c>
      <c r="BP8" s="34" t="s">
        <v>108</v>
      </c>
      <c r="BQ8" s="34" t="s">
        <v>111</v>
      </c>
      <c r="BR8" s="34" t="s">
        <v>112</v>
      </c>
    </row>
    <row r="9" spans="2:70" x14ac:dyDescent="0.25">
      <c r="B9" s="135">
        <v>2</v>
      </c>
      <c r="C9" s="136" t="str">
        <f t="shared" ref="C9:C19" ca="1" si="11">VLOOKUP($B9,$AC$8:$AL$19,C$5,FALSE)</f>
        <v>B</v>
      </c>
      <c r="D9" s="137" t="str">
        <f t="shared" ref="D9:H19" ca="1" si="12">VLOOKUP($B9,$AC$8:$AL$19,D$5,FALSE)</f>
        <v>Suiza</v>
      </c>
      <c r="E9" s="138">
        <f t="shared" ca="1" si="12"/>
        <v>3</v>
      </c>
      <c r="F9" s="138">
        <f t="shared" ca="1" si="12"/>
        <v>0</v>
      </c>
      <c r="G9" s="138">
        <f t="shared" ca="1" si="12"/>
        <v>0</v>
      </c>
      <c r="H9" s="139">
        <f t="shared" ca="1" si="12"/>
        <v>0</v>
      </c>
      <c r="J9" s="39" t="s">
        <v>22</v>
      </c>
      <c r="K9" s="40"/>
      <c r="L9" s="40"/>
      <c r="M9" s="40"/>
      <c r="N9" s="40"/>
      <c r="O9" s="40"/>
      <c r="P9" s="41"/>
      <c r="Q9" s="34">
        <f t="shared" ref="Q9:Q11" ca="1" si="13">IF(R17="",0,1)</f>
        <v>1</v>
      </c>
      <c r="R9" s="124" t="str">
        <f t="shared" ca="1" si="6"/>
        <v>Suiza</v>
      </c>
      <c r="S9" s="125"/>
      <c r="T9" s="126"/>
      <c r="U9" s="43">
        <v>2</v>
      </c>
      <c r="AB9" s="34">
        <f t="shared" ca="1" si="7"/>
        <v>299999798</v>
      </c>
      <c r="AC9" s="34">
        <f t="shared" ca="1" si="8"/>
        <v>2</v>
      </c>
      <c r="AD9" s="34" t="str">
        <f t="shared" ref="AD9:AD19" si="14">RIGHT(AE9, 1)</f>
        <v>B</v>
      </c>
      <c r="AE9" s="34" t="s">
        <v>26</v>
      </c>
      <c r="AF9" s="34" t="str">
        <f t="shared" ca="1" si="9"/>
        <v>Suiza</v>
      </c>
      <c r="AG9" s="34">
        <f t="shared" ca="1" si="9"/>
        <v>3</v>
      </c>
      <c r="AH9" s="34">
        <f t="shared" ca="1" si="9"/>
        <v>0</v>
      </c>
      <c r="AI9" s="34">
        <f t="shared" ca="1" si="9"/>
        <v>0</v>
      </c>
      <c r="AJ9" s="34">
        <f t="shared" ca="1" si="9"/>
        <v>0</v>
      </c>
      <c r="AK9" s="34">
        <f t="shared" si="10"/>
        <v>2</v>
      </c>
      <c r="AL9" s="34">
        <f>AL8+1</f>
        <v>2</v>
      </c>
      <c r="AQ9" s="34">
        <f t="shared" ca="1" si="0"/>
        <v>7</v>
      </c>
      <c r="AR9" s="34" t="str">
        <f t="shared" ca="1" si="1"/>
        <v>G</v>
      </c>
      <c r="AS9" s="34">
        <v>7</v>
      </c>
      <c r="AT9" s="34" t="str">
        <f t="shared" ca="1" si="2"/>
        <v>G</v>
      </c>
      <c r="AW9" s="34" t="str">
        <f t="shared" si="4"/>
        <v>DEFGHIKL</v>
      </c>
      <c r="AX9" s="34">
        <v>7</v>
      </c>
      <c r="BB9" s="34" t="s">
        <v>113</v>
      </c>
      <c r="BC9" s="34" t="s">
        <v>97</v>
      </c>
      <c r="BD9" s="34" t="s">
        <v>98</v>
      </c>
      <c r="BE9" s="34" t="s">
        <v>99</v>
      </c>
      <c r="BF9" s="34" t="s">
        <v>100</v>
      </c>
      <c r="BG9" s="34" t="s">
        <v>101</v>
      </c>
      <c r="BI9" s="34" t="s">
        <v>103</v>
      </c>
      <c r="BJ9" s="34" t="s">
        <v>104</v>
      </c>
      <c r="BK9" s="34" t="s">
        <v>105</v>
      </c>
      <c r="BL9" s="34" t="s">
        <v>110</v>
      </c>
      <c r="BM9" s="34" t="s">
        <v>107</v>
      </c>
      <c r="BN9" s="34" t="s">
        <v>114</v>
      </c>
      <c r="BO9" s="34" t="s">
        <v>109</v>
      </c>
      <c r="BP9" s="34" t="s">
        <v>108</v>
      </c>
      <c r="BQ9" s="34" t="s">
        <v>111</v>
      </c>
      <c r="BR9" s="34" t="s">
        <v>112</v>
      </c>
    </row>
    <row r="10" spans="2:70" x14ac:dyDescent="0.25">
      <c r="B10" s="135">
        <v>3</v>
      </c>
      <c r="C10" s="136" t="str">
        <f t="shared" ca="1" si="11"/>
        <v>C</v>
      </c>
      <c r="D10" s="137" t="str">
        <f t="shared" ca="1" si="12"/>
        <v>Haití</v>
      </c>
      <c r="E10" s="138">
        <f t="shared" ca="1" si="12"/>
        <v>3</v>
      </c>
      <c r="F10" s="138">
        <f t="shared" ca="1" si="12"/>
        <v>0</v>
      </c>
      <c r="G10" s="138">
        <f t="shared" ca="1" si="12"/>
        <v>0</v>
      </c>
      <c r="H10" s="139">
        <f t="shared" ca="1" si="12"/>
        <v>0</v>
      </c>
      <c r="J10" s="39" t="s">
        <v>23</v>
      </c>
      <c r="K10" s="40"/>
      <c r="L10" s="40"/>
      <c r="M10" s="40"/>
      <c r="N10" s="40"/>
      <c r="O10" s="40"/>
      <c r="P10" s="41"/>
      <c r="Q10" s="34">
        <f t="shared" ca="1" si="13"/>
        <v>1</v>
      </c>
      <c r="R10" s="124" t="str">
        <f t="shared" ca="1" si="6"/>
        <v>Haití</v>
      </c>
      <c r="S10" s="125"/>
      <c r="T10" s="126"/>
      <c r="U10" s="43">
        <v>3</v>
      </c>
      <c r="AB10" s="34">
        <f t="shared" ca="1" si="7"/>
        <v>299999697</v>
      </c>
      <c r="AC10" s="34">
        <f t="shared" ca="1" si="8"/>
        <v>3</v>
      </c>
      <c r="AD10" s="34" t="str">
        <f t="shared" si="14"/>
        <v>C</v>
      </c>
      <c r="AE10" s="34" t="s">
        <v>28</v>
      </c>
      <c r="AF10" s="34" t="str">
        <f t="shared" ca="1" si="9"/>
        <v>Haití</v>
      </c>
      <c r="AG10" s="34">
        <f t="shared" ca="1" si="9"/>
        <v>3</v>
      </c>
      <c r="AH10" s="34">
        <f t="shared" ca="1" si="9"/>
        <v>0</v>
      </c>
      <c r="AI10" s="34">
        <f t="shared" ca="1" si="9"/>
        <v>0</v>
      </c>
      <c r="AJ10" s="34">
        <f t="shared" ca="1" si="9"/>
        <v>0</v>
      </c>
      <c r="AK10" s="34">
        <f t="shared" si="10"/>
        <v>3</v>
      </c>
      <c r="AL10" s="34">
        <f t="shared" ref="AL10:AL19" si="15">AL9+1</f>
        <v>3</v>
      </c>
      <c r="AQ10" s="34">
        <f t="shared" ca="1" si="0"/>
        <v>8</v>
      </c>
      <c r="AR10" s="34" t="str">
        <f t="shared" ca="1" si="1"/>
        <v>H</v>
      </c>
      <c r="AS10" s="34">
        <v>8</v>
      </c>
      <c r="AT10" s="34" t="str">
        <f t="shared" ca="1" si="2"/>
        <v>H</v>
      </c>
      <c r="AW10" s="34" t="str">
        <f t="shared" si="4"/>
        <v>DEFGHIJL</v>
      </c>
      <c r="AX10" s="34">
        <v>8</v>
      </c>
      <c r="BB10" s="34" t="s">
        <v>113</v>
      </c>
      <c r="BC10" s="34" t="s">
        <v>97</v>
      </c>
      <c r="BD10" s="34" t="s">
        <v>98</v>
      </c>
      <c r="BE10" s="34" t="s">
        <v>99</v>
      </c>
      <c r="BF10" s="34" t="s">
        <v>100</v>
      </c>
      <c r="BG10" s="34" t="s">
        <v>101</v>
      </c>
      <c r="BH10" s="34" t="s">
        <v>102</v>
      </c>
      <c r="BJ10" s="34" t="s">
        <v>104</v>
      </c>
      <c r="BK10" s="34" t="s">
        <v>105</v>
      </c>
      <c r="BL10" s="34" t="s">
        <v>110</v>
      </c>
      <c r="BM10" s="34" t="s">
        <v>106</v>
      </c>
      <c r="BN10" s="34" t="s">
        <v>114</v>
      </c>
      <c r="BO10" s="34" t="s">
        <v>109</v>
      </c>
      <c r="BP10" s="34" t="s">
        <v>108</v>
      </c>
      <c r="BQ10" s="34" t="s">
        <v>111</v>
      </c>
      <c r="BR10" s="34" t="s">
        <v>107</v>
      </c>
    </row>
    <row r="11" spans="2:70" x14ac:dyDescent="0.25">
      <c r="B11" s="135">
        <v>4</v>
      </c>
      <c r="C11" s="136" t="str">
        <f t="shared" ca="1" si="11"/>
        <v>D</v>
      </c>
      <c r="D11" s="137" t="str">
        <f t="shared" ca="1" si="12"/>
        <v>Australia</v>
      </c>
      <c r="E11" s="138">
        <f t="shared" ca="1" si="12"/>
        <v>3</v>
      </c>
      <c r="F11" s="138">
        <f t="shared" ca="1" si="12"/>
        <v>0</v>
      </c>
      <c r="G11" s="138">
        <f t="shared" ca="1" si="12"/>
        <v>0</v>
      </c>
      <c r="H11" s="139">
        <f t="shared" ca="1" si="12"/>
        <v>0</v>
      </c>
      <c r="J11" s="39" t="s">
        <v>24</v>
      </c>
      <c r="K11" s="40"/>
      <c r="L11" s="40"/>
      <c r="M11" s="40"/>
      <c r="N11" s="40"/>
      <c r="O11" s="40"/>
      <c r="P11" s="41"/>
      <c r="Q11" s="34">
        <f t="shared" ca="1" si="13"/>
        <v>1</v>
      </c>
      <c r="R11" s="124" t="str">
        <f t="shared" ca="1" si="6"/>
        <v>Australia</v>
      </c>
      <c r="S11" s="125"/>
      <c r="T11" s="126"/>
      <c r="U11" s="43">
        <v>4</v>
      </c>
      <c r="AB11" s="34">
        <f t="shared" ca="1" si="7"/>
        <v>299999596</v>
      </c>
      <c r="AC11" s="34">
        <f t="shared" ca="1" si="8"/>
        <v>4</v>
      </c>
      <c r="AD11" s="34" t="str">
        <f t="shared" si="14"/>
        <v>D</v>
      </c>
      <c r="AE11" s="34" t="s">
        <v>30</v>
      </c>
      <c r="AF11" s="34" t="str">
        <f t="shared" ca="1" si="9"/>
        <v>Australia</v>
      </c>
      <c r="AG11" s="34">
        <f t="shared" ca="1" si="9"/>
        <v>3</v>
      </c>
      <c r="AH11" s="34">
        <f t="shared" ca="1" si="9"/>
        <v>0</v>
      </c>
      <c r="AI11" s="34">
        <f t="shared" ca="1" si="9"/>
        <v>0</v>
      </c>
      <c r="AJ11" s="34">
        <f t="shared" ca="1" si="9"/>
        <v>0</v>
      </c>
      <c r="AK11" s="34">
        <f t="shared" si="10"/>
        <v>4</v>
      </c>
      <c r="AL11" s="34">
        <f t="shared" si="15"/>
        <v>4</v>
      </c>
      <c r="AW11" s="34" t="str">
        <f t="shared" si="4"/>
        <v>DEFGHIJK</v>
      </c>
      <c r="AX11" s="34">
        <v>9</v>
      </c>
      <c r="BB11" s="34" t="s">
        <v>113</v>
      </c>
      <c r="BC11" s="34" t="s">
        <v>97</v>
      </c>
      <c r="BD11" s="34" t="s">
        <v>98</v>
      </c>
      <c r="BE11" s="34" t="s">
        <v>99</v>
      </c>
      <c r="BF11" s="34" t="s">
        <v>100</v>
      </c>
      <c r="BG11" s="34" t="s">
        <v>101</v>
      </c>
      <c r="BH11" s="34" t="s">
        <v>102</v>
      </c>
      <c r="BI11" s="34" t="s">
        <v>103</v>
      </c>
      <c r="BK11" s="34" t="s">
        <v>105</v>
      </c>
      <c r="BL11" s="34" t="s">
        <v>110</v>
      </c>
      <c r="BM11" s="34" t="s">
        <v>106</v>
      </c>
      <c r="BN11" s="34" t="s">
        <v>114</v>
      </c>
      <c r="BO11" s="34" t="s">
        <v>109</v>
      </c>
      <c r="BP11" s="34" t="s">
        <v>108</v>
      </c>
      <c r="BQ11" s="34" t="s">
        <v>107</v>
      </c>
      <c r="BR11" s="34" t="s">
        <v>112</v>
      </c>
    </row>
    <row r="12" spans="2:70" x14ac:dyDescent="0.25">
      <c r="B12" s="135">
        <v>5</v>
      </c>
      <c r="C12" s="136" t="str">
        <f t="shared" ca="1" si="11"/>
        <v>E</v>
      </c>
      <c r="D12" s="137" t="str">
        <f t="shared" ca="1" si="12"/>
        <v>Costa de Marfil</v>
      </c>
      <c r="E12" s="138">
        <f t="shared" ca="1" si="12"/>
        <v>3</v>
      </c>
      <c r="F12" s="138">
        <f t="shared" ca="1" si="12"/>
        <v>0</v>
      </c>
      <c r="G12" s="138">
        <f t="shared" ca="1" si="12"/>
        <v>0</v>
      </c>
      <c r="H12" s="139">
        <f t="shared" ca="1" si="12"/>
        <v>0</v>
      </c>
      <c r="J12" s="39" t="s">
        <v>25</v>
      </c>
      <c r="K12" s="40"/>
      <c r="L12" s="40"/>
      <c r="M12" s="40"/>
      <c r="N12" s="40"/>
      <c r="O12" s="40"/>
      <c r="P12" s="41"/>
      <c r="Q12" s="34"/>
      <c r="R12" s="124" t="str">
        <f t="shared" ca="1" si="6"/>
        <v>Costa de Marfil</v>
      </c>
      <c r="S12" s="125"/>
      <c r="T12" s="126"/>
      <c r="U12" s="43">
        <v>5</v>
      </c>
      <c r="AB12" s="34">
        <f t="shared" ca="1" si="7"/>
        <v>299999495</v>
      </c>
      <c r="AC12" s="34">
        <f t="shared" ca="1" si="8"/>
        <v>5</v>
      </c>
      <c r="AD12" s="34" t="str">
        <f t="shared" si="14"/>
        <v>E</v>
      </c>
      <c r="AE12" s="34" t="s">
        <v>62</v>
      </c>
      <c r="AF12" s="34" t="str">
        <f t="shared" ca="1" si="9"/>
        <v>Costa de Marfil</v>
      </c>
      <c r="AG12" s="34">
        <f t="shared" ca="1" si="9"/>
        <v>3</v>
      </c>
      <c r="AH12" s="34">
        <f t="shared" ca="1" si="9"/>
        <v>0</v>
      </c>
      <c r="AI12" s="34">
        <f t="shared" ca="1" si="9"/>
        <v>0</v>
      </c>
      <c r="AJ12" s="34">
        <f t="shared" ca="1" si="9"/>
        <v>0</v>
      </c>
      <c r="AK12" s="34">
        <f t="shared" si="10"/>
        <v>5</v>
      </c>
      <c r="AL12" s="34">
        <f t="shared" si="15"/>
        <v>5</v>
      </c>
      <c r="AW12" s="34" t="str">
        <f t="shared" si="4"/>
        <v>CFGHIJKL</v>
      </c>
      <c r="AX12" s="34">
        <v>10</v>
      </c>
      <c r="BA12" s="34" t="s">
        <v>115</v>
      </c>
      <c r="BD12" s="34" t="s">
        <v>98</v>
      </c>
      <c r="BE12" s="34" t="s">
        <v>99</v>
      </c>
      <c r="BF12" s="34" t="s">
        <v>100</v>
      </c>
      <c r="BG12" s="34" t="s">
        <v>101</v>
      </c>
      <c r="BH12" s="34" t="s">
        <v>102</v>
      </c>
      <c r="BI12" s="34" t="s">
        <v>103</v>
      </c>
      <c r="BJ12" s="34" t="s">
        <v>104</v>
      </c>
      <c r="BK12" s="34" t="s">
        <v>109</v>
      </c>
      <c r="BL12" s="34" t="s">
        <v>110</v>
      </c>
      <c r="BM12" s="34" t="s">
        <v>107</v>
      </c>
      <c r="BN12" s="34" t="s">
        <v>116</v>
      </c>
      <c r="BO12" s="34" t="s">
        <v>106</v>
      </c>
      <c r="BP12" s="34" t="s">
        <v>108</v>
      </c>
      <c r="BQ12" s="34" t="s">
        <v>111</v>
      </c>
      <c r="BR12" s="34" t="s">
        <v>112</v>
      </c>
    </row>
    <row r="13" spans="2:70" ht="15.75" thickBot="1" x14ac:dyDescent="0.3">
      <c r="B13" s="135">
        <v>6</v>
      </c>
      <c r="C13" s="136" t="str">
        <f t="shared" ca="1" si="11"/>
        <v>F</v>
      </c>
      <c r="D13" s="137" t="str">
        <f t="shared" ca="1" si="12"/>
        <v>Suecia</v>
      </c>
      <c r="E13" s="138">
        <f t="shared" ca="1" si="12"/>
        <v>3</v>
      </c>
      <c r="F13" s="138">
        <f t="shared" ca="1" si="12"/>
        <v>0</v>
      </c>
      <c r="G13" s="138">
        <f t="shared" ca="1" si="12"/>
        <v>0</v>
      </c>
      <c r="H13" s="139">
        <f t="shared" ca="1" si="12"/>
        <v>0</v>
      </c>
      <c r="J13" s="45"/>
      <c r="K13" s="46"/>
      <c r="L13" s="46"/>
      <c r="M13" s="46"/>
      <c r="N13" s="46"/>
      <c r="O13" s="46"/>
      <c r="P13" s="47"/>
      <c r="R13" s="124" t="str">
        <f t="shared" ca="1" si="6"/>
        <v>Suecia</v>
      </c>
      <c r="S13" s="125"/>
      <c r="T13" s="126"/>
      <c r="U13" s="43">
        <v>6</v>
      </c>
      <c r="AB13" s="34">
        <f t="shared" ca="1" si="7"/>
        <v>299999394</v>
      </c>
      <c r="AC13" s="34">
        <f t="shared" ca="1" si="8"/>
        <v>6</v>
      </c>
      <c r="AD13" s="34" t="str">
        <f t="shared" si="14"/>
        <v>F</v>
      </c>
      <c r="AE13" s="34" t="s">
        <v>66</v>
      </c>
      <c r="AF13" s="34" t="str">
        <f t="shared" ca="1" si="9"/>
        <v>Suecia</v>
      </c>
      <c r="AG13" s="34">
        <f t="shared" ca="1" si="9"/>
        <v>3</v>
      </c>
      <c r="AH13" s="34">
        <f t="shared" ca="1" si="9"/>
        <v>0</v>
      </c>
      <c r="AI13" s="34">
        <f t="shared" ca="1" si="9"/>
        <v>0</v>
      </c>
      <c r="AJ13" s="34">
        <f t="shared" ca="1" si="9"/>
        <v>0</v>
      </c>
      <c r="AK13" s="34">
        <f t="shared" si="10"/>
        <v>6</v>
      </c>
      <c r="AL13" s="34">
        <f t="shared" si="15"/>
        <v>6</v>
      </c>
      <c r="AW13" s="34" t="str">
        <f t="shared" si="4"/>
        <v>CEGHIJKL</v>
      </c>
      <c r="AX13" s="34">
        <v>11</v>
      </c>
      <c r="BA13" s="34" t="s">
        <v>115</v>
      </c>
      <c r="BC13" s="34" t="s">
        <v>97</v>
      </c>
      <c r="BE13" s="34" t="s">
        <v>99</v>
      </c>
      <c r="BF13" s="34" t="s">
        <v>100</v>
      </c>
      <c r="BG13" s="34" t="s">
        <v>101</v>
      </c>
      <c r="BH13" s="34" t="s">
        <v>102</v>
      </c>
      <c r="BI13" s="34" t="s">
        <v>103</v>
      </c>
      <c r="BJ13" s="34" t="s">
        <v>104</v>
      </c>
      <c r="BK13" s="34" t="s">
        <v>105</v>
      </c>
      <c r="BL13" s="34" t="s">
        <v>106</v>
      </c>
      <c r="BM13" s="34" t="s">
        <v>107</v>
      </c>
      <c r="BN13" s="34" t="s">
        <v>116</v>
      </c>
      <c r="BO13" s="34" t="s">
        <v>109</v>
      </c>
      <c r="BP13" s="34" t="s">
        <v>110</v>
      </c>
      <c r="BQ13" s="34" t="s">
        <v>111</v>
      </c>
      <c r="BR13" s="34" t="s">
        <v>112</v>
      </c>
    </row>
    <row r="14" spans="2:70" x14ac:dyDescent="0.25">
      <c r="B14" s="135">
        <v>7</v>
      </c>
      <c r="C14" s="136" t="str">
        <f t="shared" ca="1" si="11"/>
        <v>G</v>
      </c>
      <c r="D14" s="137" t="str">
        <f t="shared" ca="1" si="12"/>
        <v>Irán</v>
      </c>
      <c r="E14" s="138">
        <f t="shared" ca="1" si="12"/>
        <v>3</v>
      </c>
      <c r="F14" s="138">
        <f t="shared" ca="1" si="12"/>
        <v>0</v>
      </c>
      <c r="G14" s="138">
        <f t="shared" ca="1" si="12"/>
        <v>0</v>
      </c>
      <c r="H14" s="139">
        <f t="shared" ca="1" si="12"/>
        <v>0</v>
      </c>
      <c r="R14" s="124" t="str">
        <f t="shared" ca="1" si="6"/>
        <v>Irán</v>
      </c>
      <c r="S14" s="125"/>
      <c r="T14" s="126"/>
      <c r="U14" s="43">
        <v>7</v>
      </c>
      <c r="AB14" s="34">
        <f t="shared" ca="1" si="7"/>
        <v>299999293</v>
      </c>
      <c r="AC14" s="34">
        <f t="shared" ca="1" si="8"/>
        <v>7</v>
      </c>
      <c r="AD14" s="34" t="str">
        <f t="shared" si="14"/>
        <v>G</v>
      </c>
      <c r="AE14" s="34" t="s">
        <v>75</v>
      </c>
      <c r="AF14" s="34" t="str">
        <f t="shared" ca="1" si="9"/>
        <v>Irán</v>
      </c>
      <c r="AG14" s="34">
        <f t="shared" ca="1" si="9"/>
        <v>3</v>
      </c>
      <c r="AH14" s="34">
        <f t="shared" ca="1" si="9"/>
        <v>0</v>
      </c>
      <c r="AI14" s="34">
        <f t="shared" ca="1" si="9"/>
        <v>0</v>
      </c>
      <c r="AJ14" s="34">
        <f t="shared" ca="1" si="9"/>
        <v>0</v>
      </c>
      <c r="AK14" s="34">
        <f t="shared" si="10"/>
        <v>7</v>
      </c>
      <c r="AL14" s="34">
        <f t="shared" si="15"/>
        <v>7</v>
      </c>
      <c r="AW14" s="34" t="str">
        <f t="shared" si="4"/>
        <v>CEFHIJKL</v>
      </c>
      <c r="AX14" s="34">
        <v>12</v>
      </c>
      <c r="BA14" s="34" t="s">
        <v>115</v>
      </c>
      <c r="BC14" s="34" t="s">
        <v>97</v>
      </c>
      <c r="BD14" s="34" t="s">
        <v>98</v>
      </c>
      <c r="BF14" s="34" t="s">
        <v>100</v>
      </c>
      <c r="BG14" s="34" t="s">
        <v>101</v>
      </c>
      <c r="BH14" s="34" t="s">
        <v>102</v>
      </c>
      <c r="BI14" s="34" t="s">
        <v>103</v>
      </c>
      <c r="BJ14" s="34" t="s">
        <v>104</v>
      </c>
      <c r="BK14" s="34" t="s">
        <v>105</v>
      </c>
      <c r="BL14" s="34" t="s">
        <v>106</v>
      </c>
      <c r="BM14" s="34" t="s">
        <v>107</v>
      </c>
      <c r="BN14" s="34" t="s">
        <v>116</v>
      </c>
      <c r="BO14" s="34" t="s">
        <v>109</v>
      </c>
      <c r="BP14" s="34" t="s">
        <v>108</v>
      </c>
      <c r="BQ14" s="34" t="s">
        <v>111</v>
      </c>
      <c r="BR14" s="34" t="s">
        <v>112</v>
      </c>
    </row>
    <row r="15" spans="2:70" x14ac:dyDescent="0.25">
      <c r="B15" s="135">
        <v>8</v>
      </c>
      <c r="C15" s="136" t="str">
        <f t="shared" ca="1" si="11"/>
        <v>H</v>
      </c>
      <c r="D15" s="137" t="str">
        <f t="shared" ca="1" si="12"/>
        <v>Arabia Saudita</v>
      </c>
      <c r="E15" s="138">
        <f t="shared" ca="1" si="12"/>
        <v>3</v>
      </c>
      <c r="F15" s="138">
        <f t="shared" ca="1" si="12"/>
        <v>0</v>
      </c>
      <c r="G15" s="138">
        <f t="shared" ca="1" si="12"/>
        <v>0</v>
      </c>
      <c r="H15" s="139">
        <f t="shared" ca="1" si="12"/>
        <v>0</v>
      </c>
      <c r="R15" s="124" t="str">
        <f t="shared" ca="1" si="6"/>
        <v>Arabia Saudita</v>
      </c>
      <c r="S15" s="125"/>
      <c r="T15" s="126"/>
      <c r="U15" s="43">
        <v>8</v>
      </c>
      <c r="AB15" s="34">
        <f t="shared" ca="1" si="7"/>
        <v>299999192</v>
      </c>
      <c r="AC15" s="34">
        <f t="shared" ca="1" si="8"/>
        <v>8</v>
      </c>
      <c r="AD15" s="34" t="str">
        <f t="shared" si="14"/>
        <v>H</v>
      </c>
      <c r="AE15" s="34" t="s">
        <v>76</v>
      </c>
      <c r="AF15" s="34" t="str">
        <f t="shared" ca="1" si="9"/>
        <v>Arabia Saudita</v>
      </c>
      <c r="AG15" s="34">
        <f t="shared" ca="1" si="9"/>
        <v>3</v>
      </c>
      <c r="AH15" s="34">
        <f t="shared" ca="1" si="9"/>
        <v>0</v>
      </c>
      <c r="AI15" s="34">
        <f t="shared" ca="1" si="9"/>
        <v>0</v>
      </c>
      <c r="AJ15" s="34">
        <f t="shared" ca="1" si="9"/>
        <v>0</v>
      </c>
      <c r="AK15" s="34">
        <f t="shared" si="10"/>
        <v>8</v>
      </c>
      <c r="AL15" s="34">
        <f t="shared" si="15"/>
        <v>8</v>
      </c>
      <c r="AW15" s="34" t="str">
        <f t="shared" si="4"/>
        <v>CEFGIJKL</v>
      </c>
      <c r="AX15" s="34">
        <v>13</v>
      </c>
      <c r="BA15" s="34" t="s">
        <v>115</v>
      </c>
      <c r="BC15" s="34" t="s">
        <v>97</v>
      </c>
      <c r="BD15" s="34" t="s">
        <v>98</v>
      </c>
      <c r="BE15" s="34" t="s">
        <v>99</v>
      </c>
      <c r="BG15" s="34" t="s">
        <v>101</v>
      </c>
      <c r="BH15" s="34" t="s">
        <v>102</v>
      </c>
      <c r="BI15" s="34" t="s">
        <v>103</v>
      </c>
      <c r="BJ15" s="34" t="s">
        <v>104</v>
      </c>
      <c r="BK15" s="34" t="s">
        <v>105</v>
      </c>
      <c r="BL15" s="34" t="s">
        <v>110</v>
      </c>
      <c r="BM15" s="34" t="s">
        <v>107</v>
      </c>
      <c r="BN15" s="34" t="s">
        <v>116</v>
      </c>
      <c r="BO15" s="34" t="s">
        <v>106</v>
      </c>
      <c r="BP15" s="34" t="s">
        <v>108</v>
      </c>
      <c r="BQ15" s="34" t="s">
        <v>111</v>
      </c>
      <c r="BR15" s="34" t="s">
        <v>112</v>
      </c>
    </row>
    <row r="16" spans="2:70" x14ac:dyDescent="0.25">
      <c r="B16" s="79">
        <v>9</v>
      </c>
      <c r="C16" s="80" t="str">
        <f t="shared" ca="1" si="11"/>
        <v>I</v>
      </c>
      <c r="D16" s="84" t="str">
        <f t="shared" ca="1" si="12"/>
        <v>Irak</v>
      </c>
      <c r="E16" s="81">
        <f t="shared" ca="1" si="12"/>
        <v>3</v>
      </c>
      <c r="F16" s="81">
        <f t="shared" ca="1" si="12"/>
        <v>0</v>
      </c>
      <c r="G16" s="81">
        <f t="shared" ca="1" si="12"/>
        <v>0</v>
      </c>
      <c r="H16" s="82">
        <f t="shared" ca="1" si="12"/>
        <v>0</v>
      </c>
      <c r="R16" s="124" t="str">
        <f t="shared" ca="1" si="6"/>
        <v>Irak</v>
      </c>
      <c r="S16" s="125"/>
      <c r="T16" s="126"/>
      <c r="U16" s="43">
        <v>9</v>
      </c>
      <c r="AB16" s="34">
        <f t="shared" ca="1" si="7"/>
        <v>299999091</v>
      </c>
      <c r="AC16" s="34">
        <f t="shared" ca="1" si="8"/>
        <v>9</v>
      </c>
      <c r="AD16" s="34" t="str">
        <f t="shared" si="14"/>
        <v>I</v>
      </c>
      <c r="AE16" s="34" t="s">
        <v>80</v>
      </c>
      <c r="AF16" s="34" t="str">
        <f t="shared" ca="1" si="9"/>
        <v>Irak</v>
      </c>
      <c r="AG16" s="34">
        <f t="shared" ca="1" si="9"/>
        <v>3</v>
      </c>
      <c r="AH16" s="34">
        <f t="shared" ca="1" si="9"/>
        <v>0</v>
      </c>
      <c r="AI16" s="34">
        <f t="shared" ca="1" si="9"/>
        <v>0</v>
      </c>
      <c r="AJ16" s="34">
        <f t="shared" ca="1" si="9"/>
        <v>0</v>
      </c>
      <c r="AK16" s="34">
        <f t="shared" si="10"/>
        <v>9</v>
      </c>
      <c r="AL16" s="34">
        <f t="shared" si="15"/>
        <v>9</v>
      </c>
      <c r="AW16" s="34" t="str">
        <f t="shared" si="4"/>
        <v>CEFGHJKL</v>
      </c>
      <c r="AX16" s="34">
        <v>14</v>
      </c>
      <c r="BA16" s="34" t="s">
        <v>115</v>
      </c>
      <c r="BC16" s="34" t="s">
        <v>97</v>
      </c>
      <c r="BD16" s="34" t="s">
        <v>98</v>
      </c>
      <c r="BE16" s="34" t="s">
        <v>99</v>
      </c>
      <c r="BF16" s="34" t="s">
        <v>100</v>
      </c>
      <c r="BH16" s="34" t="s">
        <v>102</v>
      </c>
      <c r="BI16" s="34" t="s">
        <v>103</v>
      </c>
      <c r="BJ16" s="34" t="s">
        <v>104</v>
      </c>
      <c r="BK16" s="34" t="s">
        <v>105</v>
      </c>
      <c r="BL16" s="34" t="s">
        <v>110</v>
      </c>
      <c r="BM16" s="34" t="s">
        <v>106</v>
      </c>
      <c r="BN16" s="34" t="s">
        <v>116</v>
      </c>
      <c r="BO16" s="34" t="s">
        <v>109</v>
      </c>
      <c r="BP16" s="34" t="s">
        <v>108</v>
      </c>
      <c r="BQ16" s="34" t="s">
        <v>111</v>
      </c>
      <c r="BR16" s="34" t="s">
        <v>112</v>
      </c>
    </row>
    <row r="17" spans="2:70" x14ac:dyDescent="0.25">
      <c r="B17" s="48">
        <v>10</v>
      </c>
      <c r="C17" s="49" t="str">
        <f t="shared" ca="1" si="11"/>
        <v>J</v>
      </c>
      <c r="D17" s="85" t="str">
        <f t="shared" ca="1" si="12"/>
        <v>Austria</v>
      </c>
      <c r="E17" s="50">
        <f t="shared" ca="1" si="12"/>
        <v>3</v>
      </c>
      <c r="F17" s="50">
        <f t="shared" ca="1" si="12"/>
        <v>0</v>
      </c>
      <c r="G17" s="50">
        <f t="shared" ca="1" si="12"/>
        <v>0</v>
      </c>
      <c r="H17" s="51">
        <f t="shared" ca="1" si="12"/>
        <v>0</v>
      </c>
      <c r="R17" s="124" t="str">
        <f t="shared" ca="1" si="6"/>
        <v>Austria</v>
      </c>
      <c r="S17" s="125"/>
      <c r="T17" s="126"/>
      <c r="U17" s="43">
        <v>10</v>
      </c>
      <c r="AB17" s="34">
        <f t="shared" ca="1" si="7"/>
        <v>299998990</v>
      </c>
      <c r="AC17" s="34">
        <f t="shared" ca="1" si="8"/>
        <v>10</v>
      </c>
      <c r="AD17" s="34" t="str">
        <f t="shared" si="14"/>
        <v>J</v>
      </c>
      <c r="AE17" s="34" t="s">
        <v>85</v>
      </c>
      <c r="AF17" s="34" t="str">
        <f t="shared" ca="1" si="9"/>
        <v>Austria</v>
      </c>
      <c r="AG17" s="34">
        <f t="shared" ca="1" si="9"/>
        <v>3</v>
      </c>
      <c r="AH17" s="34">
        <f t="shared" ca="1" si="9"/>
        <v>0</v>
      </c>
      <c r="AI17" s="34">
        <f t="shared" ca="1" si="9"/>
        <v>0</v>
      </c>
      <c r="AJ17" s="34">
        <f t="shared" ca="1" si="9"/>
        <v>0</v>
      </c>
      <c r="AK17" s="34">
        <f t="shared" si="10"/>
        <v>10</v>
      </c>
      <c r="AL17" s="34">
        <f t="shared" si="15"/>
        <v>10</v>
      </c>
      <c r="AW17" s="34" t="str">
        <f t="shared" si="4"/>
        <v>CEFGHIKL</v>
      </c>
      <c r="AX17" s="34">
        <v>15</v>
      </c>
      <c r="BA17" s="34" t="s">
        <v>115</v>
      </c>
      <c r="BC17" s="34" t="s">
        <v>97</v>
      </c>
      <c r="BD17" s="34" t="s">
        <v>98</v>
      </c>
      <c r="BE17" s="34" t="s">
        <v>99</v>
      </c>
      <c r="BF17" s="34" t="s">
        <v>100</v>
      </c>
      <c r="BG17" s="34" t="s">
        <v>101</v>
      </c>
      <c r="BI17" s="34" t="s">
        <v>103</v>
      </c>
      <c r="BJ17" s="34" t="s">
        <v>104</v>
      </c>
      <c r="BK17" s="34" t="s">
        <v>105</v>
      </c>
      <c r="BL17" s="34" t="s">
        <v>110</v>
      </c>
      <c r="BM17" s="34" t="s">
        <v>107</v>
      </c>
      <c r="BN17" s="34" t="s">
        <v>116</v>
      </c>
      <c r="BO17" s="34" t="s">
        <v>109</v>
      </c>
      <c r="BP17" s="34" t="s">
        <v>108</v>
      </c>
      <c r="BQ17" s="34" t="s">
        <v>111</v>
      </c>
      <c r="BR17" s="34" t="s">
        <v>112</v>
      </c>
    </row>
    <row r="18" spans="2:70" x14ac:dyDescent="0.25">
      <c r="B18" s="48">
        <v>11</v>
      </c>
      <c r="C18" s="49" t="str">
        <f t="shared" ca="1" si="11"/>
        <v>K</v>
      </c>
      <c r="D18" s="85" t="str">
        <f t="shared" ca="1" si="12"/>
        <v>Uzbekistán</v>
      </c>
      <c r="E18" s="50">
        <f t="shared" ca="1" si="12"/>
        <v>3</v>
      </c>
      <c r="F18" s="50">
        <f t="shared" ca="1" si="12"/>
        <v>0</v>
      </c>
      <c r="G18" s="50">
        <f t="shared" ca="1" si="12"/>
        <v>0</v>
      </c>
      <c r="H18" s="51">
        <f t="shared" ca="1" si="12"/>
        <v>0</v>
      </c>
      <c r="R18" s="124" t="str">
        <f t="shared" ca="1" si="6"/>
        <v>Uzbekistán</v>
      </c>
      <c r="S18" s="125"/>
      <c r="T18" s="126"/>
      <c r="U18" s="43">
        <v>11</v>
      </c>
      <c r="AB18" s="34">
        <f t="shared" ca="1" si="7"/>
        <v>299998889</v>
      </c>
      <c r="AC18" s="34">
        <f t="shared" ca="1" si="8"/>
        <v>11</v>
      </c>
      <c r="AD18" s="34" t="str">
        <f t="shared" si="14"/>
        <v>K</v>
      </c>
      <c r="AE18" s="34" t="s">
        <v>89</v>
      </c>
      <c r="AF18" s="34" t="str">
        <f t="shared" ca="1" si="9"/>
        <v>Uzbekistán</v>
      </c>
      <c r="AG18" s="34">
        <f t="shared" ca="1" si="9"/>
        <v>3</v>
      </c>
      <c r="AH18" s="34">
        <f t="shared" ca="1" si="9"/>
        <v>0</v>
      </c>
      <c r="AI18" s="34">
        <f t="shared" ca="1" si="9"/>
        <v>0</v>
      </c>
      <c r="AJ18" s="34">
        <f t="shared" ca="1" si="9"/>
        <v>0</v>
      </c>
      <c r="AK18" s="34">
        <f t="shared" si="10"/>
        <v>11</v>
      </c>
      <c r="AL18" s="34">
        <f t="shared" si="15"/>
        <v>11</v>
      </c>
      <c r="AW18" s="34" t="str">
        <f t="shared" si="4"/>
        <v>CEFGHIJL</v>
      </c>
      <c r="AX18" s="34">
        <v>16</v>
      </c>
      <c r="BA18" s="34" t="s">
        <v>115</v>
      </c>
      <c r="BC18" s="34" t="s">
        <v>97</v>
      </c>
      <c r="BD18" s="34" t="s">
        <v>98</v>
      </c>
      <c r="BE18" s="34" t="s">
        <v>99</v>
      </c>
      <c r="BF18" s="34" t="s">
        <v>100</v>
      </c>
      <c r="BG18" s="34" t="s">
        <v>101</v>
      </c>
      <c r="BH18" s="34" t="s">
        <v>102</v>
      </c>
      <c r="BJ18" s="34" t="s">
        <v>104</v>
      </c>
      <c r="BK18" s="34" t="s">
        <v>105</v>
      </c>
      <c r="BL18" s="34" t="s">
        <v>110</v>
      </c>
      <c r="BM18" s="34" t="s">
        <v>106</v>
      </c>
      <c r="BN18" s="34" t="s">
        <v>116</v>
      </c>
      <c r="BO18" s="34" t="s">
        <v>109</v>
      </c>
      <c r="BP18" s="34" t="s">
        <v>108</v>
      </c>
      <c r="BQ18" s="34" t="s">
        <v>111</v>
      </c>
      <c r="BR18" s="34" t="s">
        <v>107</v>
      </c>
    </row>
    <row r="19" spans="2:70" ht="15.75" thickBot="1" x14ac:dyDescent="0.3">
      <c r="B19" s="52">
        <v>12</v>
      </c>
      <c r="C19" s="53" t="str">
        <f t="shared" ca="1" si="11"/>
        <v>L</v>
      </c>
      <c r="D19" s="86" t="str">
        <f t="shared" ca="1" si="12"/>
        <v>Ghana</v>
      </c>
      <c r="E19" s="54">
        <f t="shared" ca="1" si="12"/>
        <v>3</v>
      </c>
      <c r="F19" s="54">
        <f t="shared" ca="1" si="12"/>
        <v>0</v>
      </c>
      <c r="G19" s="54">
        <f t="shared" ca="1" si="12"/>
        <v>0</v>
      </c>
      <c r="H19" s="55">
        <f t="shared" ca="1" si="12"/>
        <v>0</v>
      </c>
      <c r="R19" s="108" t="str">
        <f t="shared" ca="1" si="6"/>
        <v>Ghana</v>
      </c>
      <c r="S19" s="109"/>
      <c r="T19" s="110"/>
      <c r="U19" s="44">
        <v>12</v>
      </c>
      <c r="AB19" s="34">
        <f t="shared" ca="1" si="7"/>
        <v>299998788</v>
      </c>
      <c r="AC19" s="34">
        <f t="shared" ca="1" si="8"/>
        <v>12</v>
      </c>
      <c r="AD19" s="34" t="str">
        <f t="shared" si="14"/>
        <v>L</v>
      </c>
      <c r="AE19" s="34" t="s">
        <v>93</v>
      </c>
      <c r="AF19" s="34" t="str">
        <f t="shared" ca="1" si="9"/>
        <v>Ghana</v>
      </c>
      <c r="AG19" s="34">
        <f t="shared" ca="1" si="9"/>
        <v>3</v>
      </c>
      <c r="AH19" s="34">
        <f t="shared" ca="1" si="9"/>
        <v>0</v>
      </c>
      <c r="AI19" s="34">
        <f t="shared" ca="1" si="9"/>
        <v>0</v>
      </c>
      <c r="AJ19" s="34">
        <f t="shared" ca="1" si="9"/>
        <v>0</v>
      </c>
      <c r="AK19" s="34">
        <f t="shared" si="10"/>
        <v>12</v>
      </c>
      <c r="AL19" s="34">
        <f t="shared" si="15"/>
        <v>12</v>
      </c>
      <c r="AW19" s="34" t="str">
        <f t="shared" si="4"/>
        <v>CEFGHIJK</v>
      </c>
      <c r="AX19" s="34">
        <v>17</v>
      </c>
      <c r="BA19" s="34" t="s">
        <v>115</v>
      </c>
      <c r="BC19" s="34" t="s">
        <v>97</v>
      </c>
      <c r="BD19" s="34" t="s">
        <v>98</v>
      </c>
      <c r="BE19" s="34" t="s">
        <v>99</v>
      </c>
      <c r="BF19" s="34" t="s">
        <v>100</v>
      </c>
      <c r="BG19" s="34" t="s">
        <v>101</v>
      </c>
      <c r="BH19" s="34" t="s">
        <v>102</v>
      </c>
      <c r="BI19" s="34" t="s">
        <v>103</v>
      </c>
      <c r="BK19" s="34" t="s">
        <v>105</v>
      </c>
      <c r="BL19" s="34" t="s">
        <v>110</v>
      </c>
      <c r="BM19" s="34" t="s">
        <v>106</v>
      </c>
      <c r="BN19" s="34" t="s">
        <v>116</v>
      </c>
      <c r="BO19" s="34" t="s">
        <v>109</v>
      </c>
      <c r="BP19" s="34" t="s">
        <v>108</v>
      </c>
      <c r="BQ19" s="34" t="s">
        <v>107</v>
      </c>
      <c r="BR19" s="34" t="s">
        <v>112</v>
      </c>
    </row>
    <row r="20" spans="2:70" x14ac:dyDescent="0.25">
      <c r="AW20" s="34" t="str">
        <f t="shared" si="3"/>
        <v>CDGHIJKL</v>
      </c>
      <c r="AX20" s="34">
        <v>18</v>
      </c>
      <c r="BA20" s="34" t="s">
        <v>115</v>
      </c>
      <c r="BB20" s="34" t="s">
        <v>113</v>
      </c>
      <c r="BE20" s="34" t="s">
        <v>99</v>
      </c>
      <c r="BF20" s="34" t="s">
        <v>100</v>
      </c>
      <c r="BG20" s="34" t="s">
        <v>101</v>
      </c>
      <c r="BH20" s="34" t="s">
        <v>102</v>
      </c>
      <c r="BI20" s="34" t="s">
        <v>103</v>
      </c>
      <c r="BJ20" s="34" t="s">
        <v>104</v>
      </c>
      <c r="BK20" s="34" t="s">
        <v>109</v>
      </c>
      <c r="BL20" s="34" t="s">
        <v>110</v>
      </c>
      <c r="BM20" s="34" t="s">
        <v>107</v>
      </c>
      <c r="BN20" s="34" t="s">
        <v>116</v>
      </c>
      <c r="BO20" s="34" t="s">
        <v>106</v>
      </c>
      <c r="BP20" s="34" t="s">
        <v>114</v>
      </c>
      <c r="BQ20" s="34" t="s">
        <v>111</v>
      </c>
      <c r="BR20" s="34" t="s">
        <v>112</v>
      </c>
    </row>
    <row r="21" spans="2:70" x14ac:dyDescent="0.25">
      <c r="AW21" s="34" t="str">
        <f t="shared" si="3"/>
        <v>CDFHIJKL</v>
      </c>
      <c r="AX21" s="34">
        <v>19</v>
      </c>
      <c r="BA21" s="34" t="s">
        <v>115</v>
      </c>
      <c r="BB21" s="34" t="s">
        <v>113</v>
      </c>
      <c r="BD21" s="34" t="s">
        <v>98</v>
      </c>
      <c r="BF21" s="34" t="s">
        <v>100</v>
      </c>
      <c r="BG21" s="34" t="s">
        <v>101</v>
      </c>
      <c r="BH21" s="34" t="s">
        <v>102</v>
      </c>
      <c r="BI21" s="34" t="s">
        <v>103</v>
      </c>
      <c r="BJ21" s="34" t="s">
        <v>104</v>
      </c>
      <c r="BK21" s="34" t="s">
        <v>116</v>
      </c>
      <c r="BL21" s="34" t="s">
        <v>106</v>
      </c>
      <c r="BM21" s="34" t="s">
        <v>107</v>
      </c>
      <c r="BN21" s="34" t="s">
        <v>114</v>
      </c>
      <c r="BO21" s="34" t="s">
        <v>109</v>
      </c>
      <c r="BP21" s="34" t="s">
        <v>108</v>
      </c>
      <c r="BQ21" s="34" t="s">
        <v>111</v>
      </c>
      <c r="BR21" s="34" t="s">
        <v>112</v>
      </c>
    </row>
    <row r="22" spans="2:70" x14ac:dyDescent="0.25">
      <c r="AW22" s="34" t="str">
        <f t="shared" si="3"/>
        <v>CDFGIJKL</v>
      </c>
      <c r="AX22" s="34">
        <v>20</v>
      </c>
      <c r="BA22" s="34" t="s">
        <v>115</v>
      </c>
      <c r="BB22" s="34" t="s">
        <v>113</v>
      </c>
      <c r="BD22" s="34" t="s">
        <v>98</v>
      </c>
      <c r="BE22" s="34" t="s">
        <v>99</v>
      </c>
      <c r="BG22" s="34" t="s">
        <v>101</v>
      </c>
      <c r="BH22" s="34" t="s">
        <v>102</v>
      </c>
      <c r="BI22" s="34" t="s">
        <v>103</v>
      </c>
      <c r="BJ22" s="34" t="s">
        <v>104</v>
      </c>
      <c r="BK22" s="34" t="s">
        <v>116</v>
      </c>
      <c r="BL22" s="34" t="s">
        <v>110</v>
      </c>
      <c r="BM22" s="34" t="s">
        <v>107</v>
      </c>
      <c r="BN22" s="34" t="s">
        <v>114</v>
      </c>
      <c r="BO22" s="34" t="s">
        <v>106</v>
      </c>
      <c r="BP22" s="34" t="s">
        <v>108</v>
      </c>
      <c r="BQ22" s="34" t="s">
        <v>111</v>
      </c>
      <c r="BR22" s="34" t="s">
        <v>112</v>
      </c>
    </row>
    <row r="23" spans="2:70" x14ac:dyDescent="0.25">
      <c r="AW23" s="34" t="str">
        <f t="shared" si="3"/>
        <v>CDFGHJKL</v>
      </c>
      <c r="AX23" s="34">
        <v>21</v>
      </c>
      <c r="BA23" s="34" t="s">
        <v>115</v>
      </c>
      <c r="BB23" s="34" t="s">
        <v>113</v>
      </c>
      <c r="BD23" s="34" t="s">
        <v>98</v>
      </c>
      <c r="BE23" s="34" t="s">
        <v>99</v>
      </c>
      <c r="BF23" s="34" t="s">
        <v>100</v>
      </c>
      <c r="BH23" s="34" t="s">
        <v>102</v>
      </c>
      <c r="BI23" s="34" t="s">
        <v>103</v>
      </c>
      <c r="BJ23" s="34" t="s">
        <v>104</v>
      </c>
      <c r="BK23" s="34" t="s">
        <v>116</v>
      </c>
      <c r="BL23" s="34" t="s">
        <v>110</v>
      </c>
      <c r="BM23" s="34" t="s">
        <v>106</v>
      </c>
      <c r="BN23" s="34" t="s">
        <v>114</v>
      </c>
      <c r="BO23" s="34" t="s">
        <v>109</v>
      </c>
      <c r="BP23" s="34" t="s">
        <v>108</v>
      </c>
      <c r="BQ23" s="34" t="s">
        <v>111</v>
      </c>
      <c r="BR23" s="34" t="s">
        <v>112</v>
      </c>
    </row>
    <row r="24" spans="2:70" x14ac:dyDescent="0.25">
      <c r="AW24" s="34" t="str">
        <f t="shared" si="3"/>
        <v>CDFGHIKL</v>
      </c>
      <c r="AX24" s="34">
        <v>22</v>
      </c>
      <c r="BA24" s="34" t="s">
        <v>115</v>
      </c>
      <c r="BB24" s="34" t="s">
        <v>113</v>
      </c>
      <c r="BD24" s="34" t="s">
        <v>98</v>
      </c>
      <c r="BE24" s="34" t="s">
        <v>99</v>
      </c>
      <c r="BF24" s="34" t="s">
        <v>100</v>
      </c>
      <c r="BG24" s="34" t="s">
        <v>101</v>
      </c>
      <c r="BI24" s="34" t="s">
        <v>103</v>
      </c>
      <c r="BJ24" s="34" t="s">
        <v>104</v>
      </c>
      <c r="BK24" s="34" t="s">
        <v>116</v>
      </c>
      <c r="BL24" s="34" t="s">
        <v>110</v>
      </c>
      <c r="BM24" s="34" t="s">
        <v>107</v>
      </c>
      <c r="BN24" s="34" t="s">
        <v>114</v>
      </c>
      <c r="BO24" s="34" t="s">
        <v>109</v>
      </c>
      <c r="BP24" s="34" t="s">
        <v>108</v>
      </c>
      <c r="BQ24" s="34" t="s">
        <v>111</v>
      </c>
      <c r="BR24" s="34" t="s">
        <v>112</v>
      </c>
    </row>
    <row r="25" spans="2:70" x14ac:dyDescent="0.25">
      <c r="AW25" s="34" t="str">
        <f t="shared" si="3"/>
        <v>CDFGHIJL</v>
      </c>
      <c r="AX25" s="34">
        <v>23</v>
      </c>
      <c r="BA25" s="34" t="s">
        <v>115</v>
      </c>
      <c r="BB25" s="34" t="s">
        <v>113</v>
      </c>
      <c r="BD25" s="34" t="s">
        <v>98</v>
      </c>
      <c r="BE25" s="34" t="s">
        <v>99</v>
      </c>
      <c r="BF25" s="34" t="s">
        <v>100</v>
      </c>
      <c r="BG25" s="34" t="s">
        <v>101</v>
      </c>
      <c r="BH25" s="34" t="s">
        <v>102</v>
      </c>
      <c r="BJ25" s="34" t="s">
        <v>104</v>
      </c>
      <c r="BK25" s="34" t="s">
        <v>116</v>
      </c>
      <c r="BL25" s="34" t="s">
        <v>110</v>
      </c>
      <c r="BM25" s="34" t="s">
        <v>106</v>
      </c>
      <c r="BN25" s="34" t="s">
        <v>114</v>
      </c>
      <c r="BO25" s="34" t="s">
        <v>109</v>
      </c>
      <c r="BP25" s="34" t="s">
        <v>108</v>
      </c>
      <c r="BQ25" s="34" t="s">
        <v>111</v>
      </c>
      <c r="BR25" s="34" t="s">
        <v>107</v>
      </c>
    </row>
    <row r="26" spans="2:70" x14ac:dyDescent="0.25"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W26" s="34" t="str">
        <f t="shared" si="3"/>
        <v>CDFGHIJK</v>
      </c>
      <c r="AX26" s="34">
        <v>24</v>
      </c>
      <c r="BA26" s="34" t="s">
        <v>115</v>
      </c>
      <c r="BB26" s="34" t="s">
        <v>113</v>
      </c>
      <c r="BD26" s="34" t="s">
        <v>98</v>
      </c>
      <c r="BE26" s="34" t="s">
        <v>99</v>
      </c>
      <c r="BF26" s="34" t="s">
        <v>100</v>
      </c>
      <c r="BG26" s="34" t="s">
        <v>101</v>
      </c>
      <c r="BH26" s="34" t="s">
        <v>102</v>
      </c>
      <c r="BI26" s="34" t="s">
        <v>103</v>
      </c>
      <c r="BK26" s="34" t="s">
        <v>116</v>
      </c>
      <c r="BL26" s="34" t="s">
        <v>110</v>
      </c>
      <c r="BM26" s="34" t="s">
        <v>106</v>
      </c>
      <c r="BN26" s="34" t="s">
        <v>114</v>
      </c>
      <c r="BO26" s="34" t="s">
        <v>109</v>
      </c>
      <c r="BP26" s="34" t="s">
        <v>108</v>
      </c>
      <c r="BQ26" s="34" t="s">
        <v>107</v>
      </c>
      <c r="BR26" s="34" t="s">
        <v>112</v>
      </c>
    </row>
    <row r="27" spans="2:70" x14ac:dyDescent="0.25">
      <c r="AW27" s="34" t="str">
        <f t="shared" si="3"/>
        <v>CDEHIJKL</v>
      </c>
      <c r="AX27" s="34">
        <v>25</v>
      </c>
      <c r="BA27" s="34" t="s">
        <v>115</v>
      </c>
      <c r="BB27" s="34" t="s">
        <v>113</v>
      </c>
      <c r="BC27" s="34" t="s">
        <v>97</v>
      </c>
      <c r="BF27" s="34" t="s">
        <v>100</v>
      </c>
      <c r="BG27" s="34" t="s">
        <v>101</v>
      </c>
      <c r="BH27" s="34" t="s">
        <v>102</v>
      </c>
      <c r="BI27" s="34" t="s">
        <v>103</v>
      </c>
      <c r="BJ27" s="34" t="s">
        <v>104</v>
      </c>
      <c r="BK27" s="34" t="s">
        <v>105</v>
      </c>
      <c r="BL27" s="34" t="s">
        <v>106</v>
      </c>
      <c r="BM27" s="34" t="s">
        <v>107</v>
      </c>
      <c r="BN27" s="34" t="s">
        <v>116</v>
      </c>
      <c r="BO27" s="34" t="s">
        <v>109</v>
      </c>
      <c r="BP27" s="34" t="s">
        <v>114</v>
      </c>
      <c r="BQ27" s="34" t="s">
        <v>111</v>
      </c>
      <c r="BR27" s="34" t="s">
        <v>112</v>
      </c>
    </row>
    <row r="28" spans="2:70" x14ac:dyDescent="0.25">
      <c r="AW28" s="34" t="str">
        <f t="shared" si="3"/>
        <v>CDEGIJKL</v>
      </c>
      <c r="AX28" s="34">
        <v>26</v>
      </c>
      <c r="BA28" s="34" t="s">
        <v>115</v>
      </c>
      <c r="BB28" s="34" t="s">
        <v>113</v>
      </c>
      <c r="BC28" s="34" t="s">
        <v>97</v>
      </c>
      <c r="BE28" s="34" t="s">
        <v>99</v>
      </c>
      <c r="BG28" s="34" t="s">
        <v>101</v>
      </c>
      <c r="BH28" s="34" t="s">
        <v>102</v>
      </c>
      <c r="BI28" s="34" t="s">
        <v>103</v>
      </c>
      <c r="BJ28" s="34" t="s">
        <v>104</v>
      </c>
      <c r="BK28" s="34" t="s">
        <v>105</v>
      </c>
      <c r="BL28" s="34" t="s">
        <v>110</v>
      </c>
      <c r="BM28" s="34" t="s">
        <v>107</v>
      </c>
      <c r="BN28" s="34" t="s">
        <v>116</v>
      </c>
      <c r="BO28" s="34" t="s">
        <v>106</v>
      </c>
      <c r="BP28" s="34" t="s">
        <v>114</v>
      </c>
      <c r="BQ28" s="34" t="s">
        <v>111</v>
      </c>
      <c r="BR28" s="34" t="s">
        <v>112</v>
      </c>
    </row>
    <row r="29" spans="2:70" x14ac:dyDescent="0.25">
      <c r="AW29" s="34" t="str">
        <f t="shared" si="3"/>
        <v>CDEGHJKL</v>
      </c>
      <c r="AX29" s="34">
        <v>27</v>
      </c>
      <c r="BA29" s="34" t="s">
        <v>115</v>
      </c>
      <c r="BB29" s="34" t="s">
        <v>113</v>
      </c>
      <c r="BC29" s="34" t="s">
        <v>97</v>
      </c>
      <c r="BE29" s="34" t="s">
        <v>99</v>
      </c>
      <c r="BF29" s="34" t="s">
        <v>100</v>
      </c>
      <c r="BH29" s="34" t="s">
        <v>102</v>
      </c>
      <c r="BI29" s="34" t="s">
        <v>103</v>
      </c>
      <c r="BJ29" s="34" t="s">
        <v>104</v>
      </c>
      <c r="BK29" s="34" t="s">
        <v>105</v>
      </c>
      <c r="BL29" s="34" t="s">
        <v>110</v>
      </c>
      <c r="BM29" s="34" t="s">
        <v>106</v>
      </c>
      <c r="BN29" s="34" t="s">
        <v>116</v>
      </c>
      <c r="BO29" s="34" t="s">
        <v>109</v>
      </c>
      <c r="BP29" s="34" t="s">
        <v>114</v>
      </c>
      <c r="BQ29" s="34" t="s">
        <v>111</v>
      </c>
      <c r="BR29" s="34" t="s">
        <v>112</v>
      </c>
    </row>
    <row r="30" spans="2:70" x14ac:dyDescent="0.25">
      <c r="AW30" s="34" t="str">
        <f t="shared" si="3"/>
        <v>CDEGHIKL</v>
      </c>
      <c r="AX30" s="34">
        <v>28</v>
      </c>
      <c r="BA30" s="34" t="s">
        <v>115</v>
      </c>
      <c r="BB30" s="34" t="s">
        <v>113</v>
      </c>
      <c r="BC30" s="34" t="s">
        <v>97</v>
      </c>
      <c r="BE30" s="34" t="s">
        <v>99</v>
      </c>
      <c r="BF30" s="34" t="s">
        <v>100</v>
      </c>
      <c r="BG30" s="34" t="s">
        <v>101</v>
      </c>
      <c r="BI30" s="34" t="s">
        <v>103</v>
      </c>
      <c r="BJ30" s="34" t="s">
        <v>104</v>
      </c>
      <c r="BK30" s="34" t="s">
        <v>105</v>
      </c>
      <c r="BL30" s="34" t="s">
        <v>110</v>
      </c>
      <c r="BM30" s="34" t="s">
        <v>107</v>
      </c>
      <c r="BN30" s="34" t="s">
        <v>116</v>
      </c>
      <c r="BO30" s="34" t="s">
        <v>109</v>
      </c>
      <c r="BP30" s="34" t="s">
        <v>114</v>
      </c>
      <c r="BQ30" s="34" t="s">
        <v>111</v>
      </c>
      <c r="BR30" s="34" t="s">
        <v>112</v>
      </c>
    </row>
    <row r="31" spans="2:70" x14ac:dyDescent="0.25">
      <c r="AW31" s="34" t="str">
        <f t="shared" si="3"/>
        <v>CDEGHIJL</v>
      </c>
      <c r="AX31" s="34">
        <v>29</v>
      </c>
      <c r="BA31" s="34" t="s">
        <v>115</v>
      </c>
      <c r="BB31" s="34" t="s">
        <v>113</v>
      </c>
      <c r="BC31" s="34" t="s">
        <v>97</v>
      </c>
      <c r="BE31" s="34" t="s">
        <v>99</v>
      </c>
      <c r="BF31" s="34" t="s">
        <v>100</v>
      </c>
      <c r="BG31" s="34" t="s">
        <v>101</v>
      </c>
      <c r="BH31" s="34" t="s">
        <v>102</v>
      </c>
      <c r="BJ31" s="34" t="s">
        <v>104</v>
      </c>
      <c r="BK31" s="34" t="s">
        <v>105</v>
      </c>
      <c r="BL31" s="34" t="s">
        <v>110</v>
      </c>
      <c r="BM31" s="34" t="s">
        <v>106</v>
      </c>
      <c r="BN31" s="34" t="s">
        <v>116</v>
      </c>
      <c r="BO31" s="34" t="s">
        <v>109</v>
      </c>
      <c r="BP31" s="34" t="s">
        <v>114</v>
      </c>
      <c r="BQ31" s="34" t="s">
        <v>111</v>
      </c>
      <c r="BR31" s="34" t="s">
        <v>107</v>
      </c>
    </row>
    <row r="32" spans="2:70" x14ac:dyDescent="0.25">
      <c r="AW32" s="34" t="str">
        <f t="shared" si="3"/>
        <v>CDEGHIJK</v>
      </c>
      <c r="AX32" s="34">
        <v>30</v>
      </c>
      <c r="BA32" s="34" t="s">
        <v>115</v>
      </c>
      <c r="BB32" s="34" t="s">
        <v>113</v>
      </c>
      <c r="BC32" s="34" t="s">
        <v>97</v>
      </c>
      <c r="BE32" s="34" t="s">
        <v>99</v>
      </c>
      <c r="BF32" s="34" t="s">
        <v>100</v>
      </c>
      <c r="BG32" s="34" t="s">
        <v>101</v>
      </c>
      <c r="BH32" s="34" t="s">
        <v>102</v>
      </c>
      <c r="BI32" s="34" t="s">
        <v>103</v>
      </c>
      <c r="BK32" s="34" t="s">
        <v>105</v>
      </c>
      <c r="BL32" s="34" t="s">
        <v>110</v>
      </c>
      <c r="BM32" s="34" t="s">
        <v>106</v>
      </c>
      <c r="BN32" s="34" t="s">
        <v>116</v>
      </c>
      <c r="BO32" s="34" t="s">
        <v>109</v>
      </c>
      <c r="BP32" s="34" t="s">
        <v>114</v>
      </c>
      <c r="BQ32" s="34" t="s">
        <v>107</v>
      </c>
      <c r="BR32" s="34" t="s">
        <v>112</v>
      </c>
    </row>
    <row r="33" spans="49:70" x14ac:dyDescent="0.25">
      <c r="AW33" s="34" t="str">
        <f t="shared" si="3"/>
        <v>CDEFIJKL</v>
      </c>
      <c r="AX33" s="34">
        <v>31</v>
      </c>
      <c r="BA33" s="34" t="s">
        <v>115</v>
      </c>
      <c r="BB33" s="34" t="s">
        <v>113</v>
      </c>
      <c r="BC33" s="34" t="s">
        <v>97</v>
      </c>
      <c r="BD33" s="34" t="s">
        <v>98</v>
      </c>
      <c r="BG33" s="34" t="s">
        <v>101</v>
      </c>
      <c r="BH33" s="34" t="s">
        <v>102</v>
      </c>
      <c r="BI33" s="34" t="s">
        <v>103</v>
      </c>
      <c r="BJ33" s="34" t="s">
        <v>104</v>
      </c>
      <c r="BK33" s="34" t="s">
        <v>116</v>
      </c>
      <c r="BL33" s="34" t="s">
        <v>106</v>
      </c>
      <c r="BM33" s="34" t="s">
        <v>105</v>
      </c>
      <c r="BN33" s="34" t="s">
        <v>114</v>
      </c>
      <c r="BO33" s="34" t="s">
        <v>107</v>
      </c>
      <c r="BP33" s="34" t="s">
        <v>108</v>
      </c>
      <c r="BQ33" s="34" t="s">
        <v>111</v>
      </c>
      <c r="BR33" s="34" t="s">
        <v>112</v>
      </c>
    </row>
    <row r="34" spans="49:70" x14ac:dyDescent="0.25">
      <c r="AW34" s="34" t="str">
        <f t="shared" si="3"/>
        <v>CDEFHJKL</v>
      </c>
      <c r="AX34" s="34">
        <v>32</v>
      </c>
      <c r="BA34" s="34" t="s">
        <v>115</v>
      </c>
      <c r="BB34" s="34" t="s">
        <v>113</v>
      </c>
      <c r="BC34" s="34" t="s">
        <v>97</v>
      </c>
      <c r="BD34" s="34" t="s">
        <v>98</v>
      </c>
      <c r="BF34" s="34" t="s">
        <v>100</v>
      </c>
      <c r="BH34" s="34" t="s">
        <v>102</v>
      </c>
      <c r="BI34" s="34" t="s">
        <v>103</v>
      </c>
      <c r="BJ34" s="34" t="s">
        <v>104</v>
      </c>
      <c r="BK34" s="34" t="s">
        <v>116</v>
      </c>
      <c r="BL34" s="34" t="s">
        <v>106</v>
      </c>
      <c r="BM34" s="34" t="s">
        <v>105</v>
      </c>
      <c r="BN34" s="34" t="s">
        <v>114</v>
      </c>
      <c r="BO34" s="34" t="s">
        <v>109</v>
      </c>
      <c r="BP34" s="34" t="s">
        <v>108</v>
      </c>
      <c r="BQ34" s="34" t="s">
        <v>111</v>
      </c>
      <c r="BR34" s="34" t="s">
        <v>112</v>
      </c>
    </row>
    <row r="35" spans="49:70" x14ac:dyDescent="0.25">
      <c r="AW35" s="34" t="str">
        <f t="shared" si="3"/>
        <v>CDEFHIKL</v>
      </c>
      <c r="AX35" s="34">
        <v>33</v>
      </c>
      <c r="BA35" s="34" t="s">
        <v>115</v>
      </c>
      <c r="BB35" s="34" t="s">
        <v>113</v>
      </c>
      <c r="BC35" s="34" t="s">
        <v>97</v>
      </c>
      <c r="BD35" s="34" t="s">
        <v>98</v>
      </c>
      <c r="BF35" s="34" t="s">
        <v>100</v>
      </c>
      <c r="BG35" s="34" t="s">
        <v>101</v>
      </c>
      <c r="BI35" s="34" t="s">
        <v>103</v>
      </c>
      <c r="BJ35" s="34" t="s">
        <v>104</v>
      </c>
      <c r="BK35" s="34" t="s">
        <v>116</v>
      </c>
      <c r="BL35" s="34" t="s">
        <v>105</v>
      </c>
      <c r="BM35" s="34" t="s">
        <v>107</v>
      </c>
      <c r="BN35" s="34" t="s">
        <v>114</v>
      </c>
      <c r="BO35" s="34" t="s">
        <v>109</v>
      </c>
      <c r="BP35" s="34" t="s">
        <v>108</v>
      </c>
      <c r="BQ35" s="34" t="s">
        <v>111</v>
      </c>
      <c r="BR35" s="34" t="s">
        <v>112</v>
      </c>
    </row>
    <row r="36" spans="49:70" x14ac:dyDescent="0.25">
      <c r="AW36" s="34" t="str">
        <f t="shared" si="3"/>
        <v>CDEFHIJL</v>
      </c>
      <c r="AX36" s="34">
        <v>34</v>
      </c>
      <c r="BA36" s="34" t="s">
        <v>115</v>
      </c>
      <c r="BB36" s="34" t="s">
        <v>113</v>
      </c>
      <c r="BC36" s="34" t="s">
        <v>97</v>
      </c>
      <c r="BD36" s="34" t="s">
        <v>98</v>
      </c>
      <c r="BF36" s="34" t="s">
        <v>100</v>
      </c>
      <c r="BG36" s="34" t="s">
        <v>101</v>
      </c>
      <c r="BH36" s="34" t="s">
        <v>102</v>
      </c>
      <c r="BJ36" s="34" t="s">
        <v>104</v>
      </c>
      <c r="BK36" s="34" t="s">
        <v>116</v>
      </c>
      <c r="BL36" s="34" t="s">
        <v>106</v>
      </c>
      <c r="BM36" s="34" t="s">
        <v>105</v>
      </c>
      <c r="BN36" s="34" t="s">
        <v>114</v>
      </c>
      <c r="BO36" s="34" t="s">
        <v>109</v>
      </c>
      <c r="BP36" s="34" t="s">
        <v>108</v>
      </c>
      <c r="BQ36" s="34" t="s">
        <v>111</v>
      </c>
      <c r="BR36" s="34" t="s">
        <v>107</v>
      </c>
    </row>
    <row r="37" spans="49:70" x14ac:dyDescent="0.25">
      <c r="AW37" s="34" t="str">
        <f t="shared" si="3"/>
        <v>CDEFHIJK</v>
      </c>
      <c r="AX37" s="34">
        <v>35</v>
      </c>
      <c r="BA37" s="34" t="s">
        <v>115</v>
      </c>
      <c r="BB37" s="34" t="s">
        <v>113</v>
      </c>
      <c r="BC37" s="34" t="s">
        <v>97</v>
      </c>
      <c r="BD37" s="34" t="s">
        <v>98</v>
      </c>
      <c r="BF37" s="34" t="s">
        <v>100</v>
      </c>
      <c r="BG37" s="34" t="s">
        <v>101</v>
      </c>
      <c r="BH37" s="34" t="s">
        <v>102</v>
      </c>
      <c r="BI37" s="34" t="s">
        <v>103</v>
      </c>
      <c r="BK37" s="34" t="s">
        <v>116</v>
      </c>
      <c r="BL37" s="34" t="s">
        <v>106</v>
      </c>
      <c r="BM37" s="34" t="s">
        <v>105</v>
      </c>
      <c r="BN37" s="34" t="s">
        <v>114</v>
      </c>
      <c r="BO37" s="34" t="s">
        <v>109</v>
      </c>
      <c r="BP37" s="34" t="s">
        <v>108</v>
      </c>
      <c r="BQ37" s="34" t="s">
        <v>107</v>
      </c>
      <c r="BR37" s="34" t="s">
        <v>112</v>
      </c>
    </row>
    <row r="38" spans="49:70" x14ac:dyDescent="0.25">
      <c r="AW38" s="34" t="str">
        <f t="shared" si="3"/>
        <v>CDEFGJKL</v>
      </c>
      <c r="AX38" s="34">
        <v>36</v>
      </c>
      <c r="BA38" s="34" t="s">
        <v>115</v>
      </c>
      <c r="BB38" s="34" t="s">
        <v>113</v>
      </c>
      <c r="BC38" s="34" t="s">
        <v>97</v>
      </c>
      <c r="BD38" s="34" t="s">
        <v>98</v>
      </c>
      <c r="BE38" s="34" t="s">
        <v>99</v>
      </c>
      <c r="BH38" s="34" t="s">
        <v>102</v>
      </c>
      <c r="BI38" s="34" t="s">
        <v>103</v>
      </c>
      <c r="BJ38" s="34" t="s">
        <v>104</v>
      </c>
      <c r="BK38" s="34" t="s">
        <v>116</v>
      </c>
      <c r="BL38" s="34" t="s">
        <v>110</v>
      </c>
      <c r="BM38" s="34" t="s">
        <v>105</v>
      </c>
      <c r="BN38" s="34" t="s">
        <v>114</v>
      </c>
      <c r="BO38" s="34" t="s">
        <v>106</v>
      </c>
      <c r="BP38" s="34" t="s">
        <v>108</v>
      </c>
      <c r="BQ38" s="34" t="s">
        <v>111</v>
      </c>
      <c r="BR38" s="34" t="s">
        <v>112</v>
      </c>
    </row>
    <row r="39" spans="49:70" x14ac:dyDescent="0.25">
      <c r="AW39" s="34" t="str">
        <f t="shared" si="3"/>
        <v>CDEFGIKL</v>
      </c>
      <c r="AX39" s="34">
        <v>37</v>
      </c>
      <c r="BA39" s="34" t="s">
        <v>115</v>
      </c>
      <c r="BB39" s="34" t="s">
        <v>113</v>
      </c>
      <c r="BC39" s="34" t="s">
        <v>97</v>
      </c>
      <c r="BD39" s="34" t="s">
        <v>98</v>
      </c>
      <c r="BE39" s="34" t="s">
        <v>99</v>
      </c>
      <c r="BG39" s="34" t="s">
        <v>101</v>
      </c>
      <c r="BI39" s="34" t="s">
        <v>103</v>
      </c>
      <c r="BJ39" s="34" t="s">
        <v>104</v>
      </c>
      <c r="BK39" s="34" t="s">
        <v>116</v>
      </c>
      <c r="BL39" s="34" t="s">
        <v>110</v>
      </c>
      <c r="BM39" s="34" t="s">
        <v>105</v>
      </c>
      <c r="BN39" s="34" t="s">
        <v>114</v>
      </c>
      <c r="BO39" s="34" t="s">
        <v>107</v>
      </c>
      <c r="BP39" s="34" t="s">
        <v>108</v>
      </c>
      <c r="BQ39" s="34" t="s">
        <v>111</v>
      </c>
      <c r="BR39" s="34" t="s">
        <v>112</v>
      </c>
    </row>
    <row r="40" spans="49:70" x14ac:dyDescent="0.25">
      <c r="AW40" s="34" t="str">
        <f t="shared" si="3"/>
        <v>CDEFGIJL</v>
      </c>
      <c r="AX40" s="34">
        <v>38</v>
      </c>
      <c r="BA40" s="34" t="s">
        <v>115</v>
      </c>
      <c r="BB40" s="34" t="s">
        <v>113</v>
      </c>
      <c r="BC40" s="34" t="s">
        <v>97</v>
      </c>
      <c r="BD40" s="34" t="s">
        <v>98</v>
      </c>
      <c r="BE40" s="34" t="s">
        <v>99</v>
      </c>
      <c r="BG40" s="34" t="s">
        <v>101</v>
      </c>
      <c r="BH40" s="34" t="s">
        <v>102</v>
      </c>
      <c r="BJ40" s="34" t="s">
        <v>104</v>
      </c>
      <c r="BK40" s="34" t="s">
        <v>116</v>
      </c>
      <c r="BL40" s="34" t="s">
        <v>110</v>
      </c>
      <c r="BM40" s="34" t="s">
        <v>105</v>
      </c>
      <c r="BN40" s="34" t="s">
        <v>114</v>
      </c>
      <c r="BO40" s="34" t="s">
        <v>106</v>
      </c>
      <c r="BP40" s="34" t="s">
        <v>108</v>
      </c>
      <c r="BQ40" s="34" t="s">
        <v>111</v>
      </c>
      <c r="BR40" s="34" t="s">
        <v>107</v>
      </c>
    </row>
    <row r="41" spans="49:70" x14ac:dyDescent="0.25">
      <c r="AW41" s="34" t="str">
        <f t="shared" si="3"/>
        <v>CDEFGIJK</v>
      </c>
      <c r="AX41" s="34">
        <v>39</v>
      </c>
      <c r="BA41" s="34" t="s">
        <v>115</v>
      </c>
      <c r="BB41" s="34" t="s">
        <v>113</v>
      </c>
      <c r="BC41" s="34" t="s">
        <v>97</v>
      </c>
      <c r="BD41" s="34" t="s">
        <v>98</v>
      </c>
      <c r="BE41" s="34" t="s">
        <v>99</v>
      </c>
      <c r="BG41" s="34" t="s">
        <v>101</v>
      </c>
      <c r="BH41" s="34" t="s">
        <v>102</v>
      </c>
      <c r="BI41" s="34" t="s">
        <v>103</v>
      </c>
      <c r="BK41" s="34" t="s">
        <v>116</v>
      </c>
      <c r="BL41" s="34" t="s">
        <v>110</v>
      </c>
      <c r="BM41" s="34" t="s">
        <v>105</v>
      </c>
      <c r="BN41" s="34" t="s">
        <v>114</v>
      </c>
      <c r="BO41" s="34" t="s">
        <v>106</v>
      </c>
      <c r="BP41" s="34" t="s">
        <v>108</v>
      </c>
      <c r="BQ41" s="34" t="s">
        <v>107</v>
      </c>
      <c r="BR41" s="34" t="s">
        <v>112</v>
      </c>
    </row>
    <row r="42" spans="49:70" x14ac:dyDescent="0.25">
      <c r="AW42" s="34" t="str">
        <f t="shared" si="3"/>
        <v>CDEFGHKL</v>
      </c>
      <c r="AX42" s="34">
        <v>40</v>
      </c>
      <c r="BA42" s="34" t="s">
        <v>115</v>
      </c>
      <c r="BB42" s="34" t="s">
        <v>113</v>
      </c>
      <c r="BC42" s="34" t="s">
        <v>97</v>
      </c>
      <c r="BD42" s="34" t="s">
        <v>98</v>
      </c>
      <c r="BE42" s="34" t="s">
        <v>99</v>
      </c>
      <c r="BF42" s="34" t="s">
        <v>100</v>
      </c>
      <c r="BI42" s="34" t="s">
        <v>103</v>
      </c>
      <c r="BJ42" s="34" t="s">
        <v>104</v>
      </c>
      <c r="BK42" s="34" t="s">
        <v>116</v>
      </c>
      <c r="BL42" s="34" t="s">
        <v>110</v>
      </c>
      <c r="BM42" s="34" t="s">
        <v>105</v>
      </c>
      <c r="BN42" s="34" t="s">
        <v>114</v>
      </c>
      <c r="BO42" s="34" t="s">
        <v>109</v>
      </c>
      <c r="BP42" s="34" t="s">
        <v>108</v>
      </c>
      <c r="BQ42" s="34" t="s">
        <v>111</v>
      </c>
      <c r="BR42" s="34" t="s">
        <v>112</v>
      </c>
    </row>
    <row r="43" spans="49:70" x14ac:dyDescent="0.25">
      <c r="AW43" s="34" t="str">
        <f t="shared" si="3"/>
        <v>CDEFGHJL</v>
      </c>
      <c r="AX43" s="34">
        <v>41</v>
      </c>
      <c r="BA43" s="34" t="s">
        <v>115</v>
      </c>
      <c r="BB43" s="34" t="s">
        <v>113</v>
      </c>
      <c r="BC43" s="34" t="s">
        <v>97</v>
      </c>
      <c r="BD43" s="34" t="s">
        <v>98</v>
      </c>
      <c r="BE43" s="34" t="s">
        <v>99</v>
      </c>
      <c r="BF43" s="34" t="s">
        <v>100</v>
      </c>
      <c r="BH43" s="34" t="s">
        <v>102</v>
      </c>
      <c r="BJ43" s="34" t="s">
        <v>104</v>
      </c>
      <c r="BK43" s="34" t="s">
        <v>116</v>
      </c>
      <c r="BL43" s="34" t="s">
        <v>110</v>
      </c>
      <c r="BM43" s="34" t="s">
        <v>106</v>
      </c>
      <c r="BN43" s="34" t="s">
        <v>114</v>
      </c>
      <c r="BO43" s="34" t="s">
        <v>109</v>
      </c>
      <c r="BP43" s="34" t="s">
        <v>108</v>
      </c>
      <c r="BQ43" s="34" t="s">
        <v>111</v>
      </c>
      <c r="BR43" s="34" t="s">
        <v>105</v>
      </c>
    </row>
    <row r="44" spans="49:70" x14ac:dyDescent="0.25">
      <c r="AW44" s="34" t="str">
        <f t="shared" si="3"/>
        <v>CDEFGHJK</v>
      </c>
      <c r="AX44" s="34">
        <v>42</v>
      </c>
      <c r="BA44" s="34" t="s">
        <v>115</v>
      </c>
      <c r="BB44" s="34" t="s">
        <v>113</v>
      </c>
      <c r="BC44" s="34" t="s">
        <v>97</v>
      </c>
      <c r="BD44" s="34" t="s">
        <v>98</v>
      </c>
      <c r="BE44" s="34" t="s">
        <v>99</v>
      </c>
      <c r="BF44" s="34" t="s">
        <v>100</v>
      </c>
      <c r="BH44" s="34" t="s">
        <v>102</v>
      </c>
      <c r="BI44" s="34" t="s">
        <v>103</v>
      </c>
      <c r="BK44" s="34" t="s">
        <v>116</v>
      </c>
      <c r="BL44" s="34" t="s">
        <v>110</v>
      </c>
      <c r="BM44" s="34" t="s">
        <v>106</v>
      </c>
      <c r="BN44" s="34" t="s">
        <v>114</v>
      </c>
      <c r="BO44" s="34" t="s">
        <v>109</v>
      </c>
      <c r="BP44" s="34" t="s">
        <v>108</v>
      </c>
      <c r="BQ44" s="34" t="s">
        <v>105</v>
      </c>
      <c r="BR44" s="34" t="s">
        <v>112</v>
      </c>
    </row>
    <row r="45" spans="49:70" x14ac:dyDescent="0.25">
      <c r="AW45" s="34" t="str">
        <f t="shared" si="3"/>
        <v>CDEFGHIL</v>
      </c>
      <c r="AX45" s="34">
        <v>43</v>
      </c>
      <c r="BA45" s="34" t="s">
        <v>115</v>
      </c>
      <c r="BB45" s="34" t="s">
        <v>113</v>
      </c>
      <c r="BC45" s="34" t="s">
        <v>97</v>
      </c>
      <c r="BD45" s="34" t="s">
        <v>98</v>
      </c>
      <c r="BE45" s="34" t="s">
        <v>99</v>
      </c>
      <c r="BF45" s="34" t="s">
        <v>100</v>
      </c>
      <c r="BG45" s="34" t="s">
        <v>101</v>
      </c>
      <c r="BJ45" s="34" t="s">
        <v>104</v>
      </c>
      <c r="BK45" s="34" t="s">
        <v>116</v>
      </c>
      <c r="BL45" s="34" t="s">
        <v>110</v>
      </c>
      <c r="BM45" s="34" t="s">
        <v>105</v>
      </c>
      <c r="BN45" s="34" t="s">
        <v>114</v>
      </c>
      <c r="BO45" s="34" t="s">
        <v>109</v>
      </c>
      <c r="BP45" s="34" t="s">
        <v>108</v>
      </c>
      <c r="BQ45" s="34" t="s">
        <v>111</v>
      </c>
      <c r="BR45" s="34" t="s">
        <v>107</v>
      </c>
    </row>
    <row r="46" spans="49:70" x14ac:dyDescent="0.25">
      <c r="AW46" s="34" t="str">
        <f t="shared" si="3"/>
        <v>CDEFGHIK</v>
      </c>
      <c r="AX46" s="34">
        <v>44</v>
      </c>
      <c r="BA46" s="34" t="s">
        <v>115</v>
      </c>
      <c r="BB46" s="34" t="s">
        <v>113</v>
      </c>
      <c r="BC46" s="34" t="s">
        <v>97</v>
      </c>
      <c r="BD46" s="34" t="s">
        <v>98</v>
      </c>
      <c r="BE46" s="34" t="s">
        <v>99</v>
      </c>
      <c r="BF46" s="34" t="s">
        <v>100</v>
      </c>
      <c r="BG46" s="34" t="s">
        <v>101</v>
      </c>
      <c r="BI46" s="34" t="s">
        <v>103</v>
      </c>
      <c r="BK46" s="34" t="s">
        <v>116</v>
      </c>
      <c r="BL46" s="34" t="s">
        <v>110</v>
      </c>
      <c r="BM46" s="34" t="s">
        <v>105</v>
      </c>
      <c r="BN46" s="34" t="s">
        <v>114</v>
      </c>
      <c r="BO46" s="34" t="s">
        <v>109</v>
      </c>
      <c r="BP46" s="34" t="s">
        <v>108</v>
      </c>
      <c r="BQ46" s="34" t="s">
        <v>107</v>
      </c>
      <c r="BR46" s="34" t="s">
        <v>112</v>
      </c>
    </row>
    <row r="47" spans="49:70" x14ac:dyDescent="0.25">
      <c r="AW47" s="34" t="str">
        <f t="shared" si="3"/>
        <v>CDEFGHIJ</v>
      </c>
      <c r="AX47" s="34">
        <v>45</v>
      </c>
      <c r="BA47" s="34" t="s">
        <v>115</v>
      </c>
      <c r="BB47" s="34" t="s">
        <v>113</v>
      </c>
      <c r="BC47" s="34" t="s">
        <v>97</v>
      </c>
      <c r="BD47" s="34" t="s">
        <v>98</v>
      </c>
      <c r="BE47" s="34" t="s">
        <v>99</v>
      </c>
      <c r="BF47" s="34" t="s">
        <v>100</v>
      </c>
      <c r="BG47" s="34" t="s">
        <v>101</v>
      </c>
      <c r="BH47" s="34" t="s">
        <v>102</v>
      </c>
      <c r="BK47" s="34" t="s">
        <v>116</v>
      </c>
      <c r="BL47" s="34" t="s">
        <v>110</v>
      </c>
      <c r="BM47" s="34" t="s">
        <v>106</v>
      </c>
      <c r="BN47" s="34" t="s">
        <v>114</v>
      </c>
      <c r="BO47" s="34" t="s">
        <v>109</v>
      </c>
      <c r="BP47" s="34" t="s">
        <v>108</v>
      </c>
      <c r="BQ47" s="34" t="s">
        <v>105</v>
      </c>
      <c r="BR47" s="34" t="s">
        <v>107</v>
      </c>
    </row>
    <row r="48" spans="49:70" x14ac:dyDescent="0.25">
      <c r="AW48" s="34" t="str">
        <f t="shared" si="3"/>
        <v>BFGHIJKL</v>
      </c>
      <c r="AX48" s="34">
        <v>46</v>
      </c>
      <c r="AZ48" s="34" t="s">
        <v>117</v>
      </c>
      <c r="BD48" s="34" t="s">
        <v>98</v>
      </c>
      <c r="BE48" s="34" t="s">
        <v>99</v>
      </c>
      <c r="BF48" s="34" t="s">
        <v>100</v>
      </c>
      <c r="BG48" s="34" t="s">
        <v>101</v>
      </c>
      <c r="BH48" s="34" t="s">
        <v>102</v>
      </c>
      <c r="BI48" s="34" t="s">
        <v>103</v>
      </c>
      <c r="BJ48" s="34" t="s">
        <v>104</v>
      </c>
      <c r="BK48" s="34" t="s">
        <v>109</v>
      </c>
      <c r="BL48" s="34" t="s">
        <v>106</v>
      </c>
      <c r="BM48" s="34" t="s">
        <v>118</v>
      </c>
      <c r="BN48" s="34" t="s">
        <v>108</v>
      </c>
      <c r="BO48" s="34" t="s">
        <v>107</v>
      </c>
      <c r="BP48" s="34" t="s">
        <v>110</v>
      </c>
      <c r="BQ48" s="34" t="s">
        <v>111</v>
      </c>
      <c r="BR48" s="34" t="s">
        <v>112</v>
      </c>
    </row>
    <row r="49" spans="49:70" x14ac:dyDescent="0.25">
      <c r="AW49" s="34" t="str">
        <f t="shared" si="3"/>
        <v>BEGHIJKL</v>
      </c>
      <c r="AX49" s="34">
        <v>47</v>
      </c>
      <c r="AZ49" s="34" t="s">
        <v>117</v>
      </c>
      <c r="BC49" s="34" t="s">
        <v>97</v>
      </c>
      <c r="BE49" s="34" t="s">
        <v>99</v>
      </c>
      <c r="BF49" s="34" t="s">
        <v>100</v>
      </c>
      <c r="BG49" s="34" t="s">
        <v>101</v>
      </c>
      <c r="BH49" s="34" t="s">
        <v>102</v>
      </c>
      <c r="BI49" s="34" t="s">
        <v>103</v>
      </c>
      <c r="BJ49" s="34" t="s">
        <v>104</v>
      </c>
      <c r="BK49" s="34" t="s">
        <v>105</v>
      </c>
      <c r="BL49" s="34" t="s">
        <v>106</v>
      </c>
      <c r="BM49" s="34" t="s">
        <v>107</v>
      </c>
      <c r="BN49" s="34" t="s">
        <v>118</v>
      </c>
      <c r="BO49" s="34" t="s">
        <v>109</v>
      </c>
      <c r="BP49" s="34" t="s">
        <v>110</v>
      </c>
      <c r="BQ49" s="34" t="s">
        <v>111</v>
      </c>
      <c r="BR49" s="34" t="s">
        <v>112</v>
      </c>
    </row>
    <row r="50" spans="49:70" x14ac:dyDescent="0.25">
      <c r="AW50" s="34" t="str">
        <f t="shared" si="3"/>
        <v>BEFHIJKL</v>
      </c>
      <c r="AX50" s="34">
        <v>48</v>
      </c>
      <c r="AZ50" s="34" t="s">
        <v>117</v>
      </c>
      <c r="BC50" s="34" t="s">
        <v>97</v>
      </c>
      <c r="BD50" s="34" t="s">
        <v>98</v>
      </c>
      <c r="BF50" s="34" t="s">
        <v>100</v>
      </c>
      <c r="BG50" s="34" t="s">
        <v>101</v>
      </c>
      <c r="BH50" s="34" t="s">
        <v>102</v>
      </c>
      <c r="BI50" s="34" t="s">
        <v>103</v>
      </c>
      <c r="BJ50" s="34" t="s">
        <v>104</v>
      </c>
      <c r="BK50" s="34" t="s">
        <v>105</v>
      </c>
      <c r="BL50" s="34" t="s">
        <v>106</v>
      </c>
      <c r="BM50" s="34" t="s">
        <v>118</v>
      </c>
      <c r="BN50" s="34" t="s">
        <v>108</v>
      </c>
      <c r="BO50" s="34" t="s">
        <v>107</v>
      </c>
      <c r="BP50" s="34" t="s">
        <v>109</v>
      </c>
      <c r="BQ50" s="34" t="s">
        <v>111</v>
      </c>
      <c r="BR50" s="34" t="s">
        <v>112</v>
      </c>
    </row>
    <row r="51" spans="49:70" x14ac:dyDescent="0.25">
      <c r="AW51" s="34" t="str">
        <f t="shared" si="3"/>
        <v>BEFGIJKL</v>
      </c>
      <c r="AX51" s="34">
        <v>49</v>
      </c>
      <c r="AZ51" s="34" t="s">
        <v>117</v>
      </c>
      <c r="BC51" s="34" t="s">
        <v>97</v>
      </c>
      <c r="BD51" s="34" t="s">
        <v>98</v>
      </c>
      <c r="BE51" s="34" t="s">
        <v>99</v>
      </c>
      <c r="BG51" s="34" t="s">
        <v>101</v>
      </c>
      <c r="BH51" s="34" t="s">
        <v>102</v>
      </c>
      <c r="BI51" s="34" t="s">
        <v>103</v>
      </c>
      <c r="BJ51" s="34" t="s">
        <v>104</v>
      </c>
      <c r="BK51" s="34" t="s">
        <v>105</v>
      </c>
      <c r="BL51" s="34" t="s">
        <v>106</v>
      </c>
      <c r="BM51" s="34" t="s">
        <v>118</v>
      </c>
      <c r="BN51" s="34" t="s">
        <v>108</v>
      </c>
      <c r="BO51" s="34" t="s">
        <v>107</v>
      </c>
      <c r="BP51" s="34" t="s">
        <v>110</v>
      </c>
      <c r="BQ51" s="34" t="s">
        <v>111</v>
      </c>
      <c r="BR51" s="34" t="s">
        <v>112</v>
      </c>
    </row>
    <row r="52" spans="49:70" x14ac:dyDescent="0.25">
      <c r="AW52" s="34" t="str">
        <f t="shared" si="3"/>
        <v>BEFGHJKL</v>
      </c>
      <c r="AX52" s="34">
        <v>50</v>
      </c>
      <c r="AZ52" s="34" t="s">
        <v>117</v>
      </c>
      <c r="BC52" s="34" t="s">
        <v>97</v>
      </c>
      <c r="BD52" s="34" t="s">
        <v>98</v>
      </c>
      <c r="BE52" s="34" t="s">
        <v>99</v>
      </c>
      <c r="BF52" s="34" t="s">
        <v>100</v>
      </c>
      <c r="BH52" s="34" t="s">
        <v>102</v>
      </c>
      <c r="BI52" s="34" t="s">
        <v>103</v>
      </c>
      <c r="BJ52" s="34" t="s">
        <v>104</v>
      </c>
      <c r="BK52" s="34" t="s">
        <v>105</v>
      </c>
      <c r="BL52" s="34" t="s">
        <v>106</v>
      </c>
      <c r="BM52" s="34" t="s">
        <v>118</v>
      </c>
      <c r="BN52" s="34" t="s">
        <v>108</v>
      </c>
      <c r="BO52" s="34" t="s">
        <v>109</v>
      </c>
      <c r="BP52" s="34" t="s">
        <v>110</v>
      </c>
      <c r="BQ52" s="34" t="s">
        <v>111</v>
      </c>
      <c r="BR52" s="34" t="s">
        <v>112</v>
      </c>
    </row>
    <row r="53" spans="49:70" x14ac:dyDescent="0.25">
      <c r="AW53" s="34" t="str">
        <f t="shared" si="3"/>
        <v>BEFGHIKL</v>
      </c>
      <c r="AX53" s="34">
        <v>51</v>
      </c>
      <c r="AZ53" s="34" t="s">
        <v>117</v>
      </c>
      <c r="BC53" s="34" t="s">
        <v>97</v>
      </c>
      <c r="BD53" s="34" t="s">
        <v>98</v>
      </c>
      <c r="BE53" s="34" t="s">
        <v>99</v>
      </c>
      <c r="BF53" s="34" t="s">
        <v>100</v>
      </c>
      <c r="BG53" s="34" t="s">
        <v>101</v>
      </c>
      <c r="BI53" s="34" t="s">
        <v>103</v>
      </c>
      <c r="BJ53" s="34" t="s">
        <v>104</v>
      </c>
      <c r="BK53" s="34" t="s">
        <v>105</v>
      </c>
      <c r="BL53" s="34" t="s">
        <v>110</v>
      </c>
      <c r="BM53" s="34" t="s">
        <v>118</v>
      </c>
      <c r="BN53" s="34" t="s">
        <v>108</v>
      </c>
      <c r="BO53" s="34" t="s">
        <v>107</v>
      </c>
      <c r="BP53" s="34" t="s">
        <v>109</v>
      </c>
      <c r="BQ53" s="34" t="s">
        <v>111</v>
      </c>
      <c r="BR53" s="34" t="s">
        <v>112</v>
      </c>
    </row>
    <row r="54" spans="49:70" x14ac:dyDescent="0.25">
      <c r="AW54" s="34" t="str">
        <f t="shared" si="3"/>
        <v>BEFGHIJL</v>
      </c>
      <c r="AX54" s="34">
        <v>52</v>
      </c>
      <c r="AZ54" s="34" t="s">
        <v>117</v>
      </c>
      <c r="BC54" s="34" t="s">
        <v>97</v>
      </c>
      <c r="BD54" s="34" t="s">
        <v>98</v>
      </c>
      <c r="BE54" s="34" t="s">
        <v>99</v>
      </c>
      <c r="BF54" s="34" t="s">
        <v>100</v>
      </c>
      <c r="BG54" s="34" t="s">
        <v>101</v>
      </c>
      <c r="BH54" s="34" t="s">
        <v>102</v>
      </c>
      <c r="BJ54" s="34" t="s">
        <v>104</v>
      </c>
      <c r="BK54" s="34" t="s">
        <v>105</v>
      </c>
      <c r="BL54" s="34" t="s">
        <v>106</v>
      </c>
      <c r="BM54" s="34" t="s">
        <v>118</v>
      </c>
      <c r="BN54" s="34" t="s">
        <v>108</v>
      </c>
      <c r="BO54" s="34" t="s">
        <v>109</v>
      </c>
      <c r="BP54" s="34" t="s">
        <v>110</v>
      </c>
      <c r="BQ54" s="34" t="s">
        <v>111</v>
      </c>
      <c r="BR54" s="34" t="s">
        <v>107</v>
      </c>
    </row>
    <row r="55" spans="49:70" x14ac:dyDescent="0.25">
      <c r="AW55" s="34" t="str">
        <f t="shared" si="3"/>
        <v>BEFGHIJK</v>
      </c>
      <c r="AX55" s="34">
        <v>53</v>
      </c>
      <c r="AZ55" s="34" t="s">
        <v>117</v>
      </c>
      <c r="BC55" s="34" t="s">
        <v>97</v>
      </c>
      <c r="BD55" s="34" t="s">
        <v>98</v>
      </c>
      <c r="BE55" s="34" t="s">
        <v>99</v>
      </c>
      <c r="BF55" s="34" t="s">
        <v>100</v>
      </c>
      <c r="BG55" s="34" t="s">
        <v>101</v>
      </c>
      <c r="BH55" s="34" t="s">
        <v>102</v>
      </c>
      <c r="BI55" s="34" t="s">
        <v>103</v>
      </c>
      <c r="BK55" s="34" t="s">
        <v>105</v>
      </c>
      <c r="BL55" s="34" t="s">
        <v>106</v>
      </c>
      <c r="BM55" s="34" t="s">
        <v>118</v>
      </c>
      <c r="BN55" s="34" t="s">
        <v>108</v>
      </c>
      <c r="BO55" s="34" t="s">
        <v>109</v>
      </c>
      <c r="BP55" s="34" t="s">
        <v>110</v>
      </c>
      <c r="BQ55" s="34" t="s">
        <v>107</v>
      </c>
      <c r="BR55" s="34" t="s">
        <v>112</v>
      </c>
    </row>
    <row r="56" spans="49:70" x14ac:dyDescent="0.25">
      <c r="AW56" s="34" t="str">
        <f t="shared" si="3"/>
        <v>BDGHIJKL</v>
      </c>
      <c r="AX56" s="34">
        <v>54</v>
      </c>
      <c r="AZ56" s="34" t="s">
        <v>117</v>
      </c>
      <c r="BB56" s="34" t="s">
        <v>113</v>
      </c>
      <c r="BE56" s="34" t="s">
        <v>99</v>
      </c>
      <c r="BF56" s="34" t="s">
        <v>100</v>
      </c>
      <c r="BG56" s="34" t="s">
        <v>101</v>
      </c>
      <c r="BH56" s="34" t="s">
        <v>102</v>
      </c>
      <c r="BI56" s="34" t="s">
        <v>103</v>
      </c>
      <c r="BJ56" s="34" t="s">
        <v>104</v>
      </c>
      <c r="BK56" s="34" t="s">
        <v>109</v>
      </c>
      <c r="BL56" s="34" t="s">
        <v>106</v>
      </c>
      <c r="BM56" s="34" t="s">
        <v>118</v>
      </c>
      <c r="BN56" s="34" t="s">
        <v>114</v>
      </c>
      <c r="BO56" s="34" t="s">
        <v>107</v>
      </c>
      <c r="BP56" s="34" t="s">
        <v>110</v>
      </c>
      <c r="BQ56" s="34" t="s">
        <v>111</v>
      </c>
      <c r="BR56" s="34" t="s">
        <v>112</v>
      </c>
    </row>
    <row r="57" spans="49:70" x14ac:dyDescent="0.25">
      <c r="AW57" s="34" t="str">
        <f t="shared" si="3"/>
        <v>BDFHIJKL</v>
      </c>
      <c r="AX57" s="34">
        <v>55</v>
      </c>
      <c r="AZ57" s="34" t="s">
        <v>117</v>
      </c>
      <c r="BB57" s="34" t="s">
        <v>113</v>
      </c>
      <c r="BD57" s="34" t="s">
        <v>98</v>
      </c>
      <c r="BF57" s="34" t="s">
        <v>100</v>
      </c>
      <c r="BG57" s="34" t="s">
        <v>101</v>
      </c>
      <c r="BH57" s="34" t="s">
        <v>102</v>
      </c>
      <c r="BI57" s="34" t="s">
        <v>103</v>
      </c>
      <c r="BJ57" s="34" t="s">
        <v>104</v>
      </c>
      <c r="BK57" s="34" t="s">
        <v>109</v>
      </c>
      <c r="BL57" s="34" t="s">
        <v>106</v>
      </c>
      <c r="BM57" s="34" t="s">
        <v>118</v>
      </c>
      <c r="BN57" s="34" t="s">
        <v>114</v>
      </c>
      <c r="BO57" s="34" t="s">
        <v>107</v>
      </c>
      <c r="BP57" s="34" t="s">
        <v>108</v>
      </c>
      <c r="BQ57" s="34" t="s">
        <v>111</v>
      </c>
      <c r="BR57" s="34" t="s">
        <v>112</v>
      </c>
    </row>
    <row r="58" spans="49:70" x14ac:dyDescent="0.25">
      <c r="AW58" s="34" t="str">
        <f t="shared" si="3"/>
        <v>BDFGIJKL</v>
      </c>
      <c r="AX58" s="34">
        <v>56</v>
      </c>
      <c r="AZ58" s="34" t="s">
        <v>117</v>
      </c>
      <c r="BB58" s="34" t="s">
        <v>113</v>
      </c>
      <c r="BD58" s="34" t="s">
        <v>98</v>
      </c>
      <c r="BE58" s="34" t="s">
        <v>99</v>
      </c>
      <c r="BG58" s="34" t="s">
        <v>101</v>
      </c>
      <c r="BH58" s="34" t="s">
        <v>102</v>
      </c>
      <c r="BI58" s="34" t="s">
        <v>103</v>
      </c>
      <c r="BJ58" s="34" t="s">
        <v>104</v>
      </c>
      <c r="BK58" s="34" t="s">
        <v>107</v>
      </c>
      <c r="BL58" s="34" t="s">
        <v>110</v>
      </c>
      <c r="BM58" s="34" t="s">
        <v>118</v>
      </c>
      <c r="BN58" s="34" t="s">
        <v>114</v>
      </c>
      <c r="BO58" s="34" t="s">
        <v>106</v>
      </c>
      <c r="BP58" s="34" t="s">
        <v>108</v>
      </c>
      <c r="BQ58" s="34" t="s">
        <v>111</v>
      </c>
      <c r="BR58" s="34" t="s">
        <v>112</v>
      </c>
    </row>
    <row r="59" spans="49:70" x14ac:dyDescent="0.25">
      <c r="AW59" s="34" t="str">
        <f t="shared" si="3"/>
        <v>BDFGHJKL</v>
      </c>
      <c r="AX59" s="34">
        <v>57</v>
      </c>
      <c r="AZ59" s="34" t="s">
        <v>117</v>
      </c>
      <c r="BB59" s="34" t="s">
        <v>113</v>
      </c>
      <c r="BD59" s="34" t="s">
        <v>98</v>
      </c>
      <c r="BE59" s="34" t="s">
        <v>99</v>
      </c>
      <c r="BF59" s="34" t="s">
        <v>100</v>
      </c>
      <c r="BH59" s="34" t="s">
        <v>102</v>
      </c>
      <c r="BI59" s="34" t="s">
        <v>103</v>
      </c>
      <c r="BJ59" s="34" t="s">
        <v>104</v>
      </c>
      <c r="BK59" s="34" t="s">
        <v>109</v>
      </c>
      <c r="BL59" s="34" t="s">
        <v>110</v>
      </c>
      <c r="BM59" s="34" t="s">
        <v>118</v>
      </c>
      <c r="BN59" s="34" t="s">
        <v>114</v>
      </c>
      <c r="BO59" s="34" t="s">
        <v>106</v>
      </c>
      <c r="BP59" s="34" t="s">
        <v>108</v>
      </c>
      <c r="BQ59" s="34" t="s">
        <v>111</v>
      </c>
      <c r="BR59" s="34" t="s">
        <v>112</v>
      </c>
    </row>
    <row r="60" spans="49:70" x14ac:dyDescent="0.25">
      <c r="AW60" s="34" t="str">
        <f t="shared" si="3"/>
        <v>BDFGHIKL</v>
      </c>
      <c r="AX60" s="34">
        <v>58</v>
      </c>
      <c r="AZ60" s="34" t="s">
        <v>117</v>
      </c>
      <c r="BB60" s="34" t="s">
        <v>113</v>
      </c>
      <c r="BD60" s="34" t="s">
        <v>98</v>
      </c>
      <c r="BE60" s="34" t="s">
        <v>99</v>
      </c>
      <c r="BF60" s="34" t="s">
        <v>100</v>
      </c>
      <c r="BG60" s="34" t="s">
        <v>101</v>
      </c>
      <c r="BI60" s="34" t="s">
        <v>103</v>
      </c>
      <c r="BJ60" s="34" t="s">
        <v>104</v>
      </c>
      <c r="BK60" s="34" t="s">
        <v>109</v>
      </c>
      <c r="BL60" s="34" t="s">
        <v>110</v>
      </c>
      <c r="BM60" s="34" t="s">
        <v>118</v>
      </c>
      <c r="BN60" s="34" t="s">
        <v>114</v>
      </c>
      <c r="BO60" s="34" t="s">
        <v>107</v>
      </c>
      <c r="BP60" s="34" t="s">
        <v>108</v>
      </c>
      <c r="BQ60" s="34" t="s">
        <v>111</v>
      </c>
      <c r="BR60" s="34" t="s">
        <v>112</v>
      </c>
    </row>
    <row r="61" spans="49:70" x14ac:dyDescent="0.25">
      <c r="AW61" s="34" t="str">
        <f t="shared" si="3"/>
        <v>BDFGHIJL</v>
      </c>
      <c r="AX61" s="34">
        <v>59</v>
      </c>
      <c r="AZ61" s="34" t="s">
        <v>117</v>
      </c>
      <c r="BB61" s="34" t="s">
        <v>113</v>
      </c>
      <c r="BD61" s="34" t="s">
        <v>98</v>
      </c>
      <c r="BE61" s="34" t="s">
        <v>99</v>
      </c>
      <c r="BF61" s="34" t="s">
        <v>100</v>
      </c>
      <c r="BG61" s="34" t="s">
        <v>101</v>
      </c>
      <c r="BH61" s="34" t="s">
        <v>102</v>
      </c>
      <c r="BJ61" s="34" t="s">
        <v>104</v>
      </c>
      <c r="BK61" s="34" t="s">
        <v>109</v>
      </c>
      <c r="BL61" s="34" t="s">
        <v>110</v>
      </c>
      <c r="BM61" s="34" t="s">
        <v>118</v>
      </c>
      <c r="BN61" s="34" t="s">
        <v>114</v>
      </c>
      <c r="BO61" s="34" t="s">
        <v>106</v>
      </c>
      <c r="BP61" s="34" t="s">
        <v>108</v>
      </c>
      <c r="BQ61" s="34" t="s">
        <v>111</v>
      </c>
      <c r="BR61" s="34" t="s">
        <v>107</v>
      </c>
    </row>
    <row r="62" spans="49:70" x14ac:dyDescent="0.25">
      <c r="AW62" s="34" t="str">
        <f t="shared" si="3"/>
        <v>BDFGHIJK</v>
      </c>
      <c r="AX62" s="34">
        <v>60</v>
      </c>
      <c r="AZ62" s="34" t="s">
        <v>117</v>
      </c>
      <c r="BB62" s="34" t="s">
        <v>113</v>
      </c>
      <c r="BD62" s="34" t="s">
        <v>98</v>
      </c>
      <c r="BE62" s="34" t="s">
        <v>99</v>
      </c>
      <c r="BF62" s="34" t="s">
        <v>100</v>
      </c>
      <c r="BG62" s="34" t="s">
        <v>101</v>
      </c>
      <c r="BH62" s="34" t="s">
        <v>102</v>
      </c>
      <c r="BI62" s="34" t="s">
        <v>103</v>
      </c>
      <c r="BK62" s="34" t="s">
        <v>109</v>
      </c>
      <c r="BL62" s="34" t="s">
        <v>110</v>
      </c>
      <c r="BM62" s="34" t="s">
        <v>118</v>
      </c>
      <c r="BN62" s="34" t="s">
        <v>114</v>
      </c>
      <c r="BO62" s="34" t="s">
        <v>106</v>
      </c>
      <c r="BP62" s="34" t="s">
        <v>108</v>
      </c>
      <c r="BQ62" s="34" t="s">
        <v>107</v>
      </c>
      <c r="BR62" s="34" t="s">
        <v>112</v>
      </c>
    </row>
    <row r="63" spans="49:70" x14ac:dyDescent="0.25">
      <c r="AW63" s="34" t="str">
        <f t="shared" si="3"/>
        <v>BDEHIJKL</v>
      </c>
      <c r="AX63" s="34">
        <v>61</v>
      </c>
      <c r="AZ63" s="34" t="s">
        <v>117</v>
      </c>
      <c r="BB63" s="34" t="s">
        <v>113</v>
      </c>
      <c r="BC63" s="34" t="s">
        <v>97</v>
      </c>
      <c r="BF63" s="34" t="s">
        <v>100</v>
      </c>
      <c r="BG63" s="34" t="s">
        <v>101</v>
      </c>
      <c r="BH63" s="34" t="s">
        <v>102</v>
      </c>
      <c r="BI63" s="34" t="s">
        <v>103</v>
      </c>
      <c r="BJ63" s="34" t="s">
        <v>104</v>
      </c>
      <c r="BK63" s="34" t="s">
        <v>105</v>
      </c>
      <c r="BL63" s="34" t="s">
        <v>106</v>
      </c>
      <c r="BM63" s="34" t="s">
        <v>118</v>
      </c>
      <c r="BN63" s="34" t="s">
        <v>114</v>
      </c>
      <c r="BO63" s="34" t="s">
        <v>107</v>
      </c>
      <c r="BP63" s="34" t="s">
        <v>109</v>
      </c>
      <c r="BQ63" s="34" t="s">
        <v>111</v>
      </c>
      <c r="BR63" s="34" t="s">
        <v>112</v>
      </c>
    </row>
    <row r="64" spans="49:70" x14ac:dyDescent="0.25">
      <c r="AW64" s="34" t="str">
        <f t="shared" si="3"/>
        <v>BDEGIJKL</v>
      </c>
      <c r="AX64" s="34">
        <v>62</v>
      </c>
      <c r="AZ64" s="34" t="s">
        <v>117</v>
      </c>
      <c r="BB64" s="34" t="s">
        <v>113</v>
      </c>
      <c r="BC64" s="34" t="s">
        <v>97</v>
      </c>
      <c r="BE64" s="34" t="s">
        <v>99</v>
      </c>
      <c r="BG64" s="34" t="s">
        <v>101</v>
      </c>
      <c r="BH64" s="34" t="s">
        <v>102</v>
      </c>
      <c r="BI64" s="34" t="s">
        <v>103</v>
      </c>
      <c r="BJ64" s="34" t="s">
        <v>104</v>
      </c>
      <c r="BK64" s="34" t="s">
        <v>105</v>
      </c>
      <c r="BL64" s="34" t="s">
        <v>106</v>
      </c>
      <c r="BM64" s="34" t="s">
        <v>118</v>
      </c>
      <c r="BN64" s="34" t="s">
        <v>114</v>
      </c>
      <c r="BO64" s="34" t="s">
        <v>107</v>
      </c>
      <c r="BP64" s="34" t="s">
        <v>110</v>
      </c>
      <c r="BQ64" s="34" t="s">
        <v>111</v>
      </c>
      <c r="BR64" s="34" t="s">
        <v>112</v>
      </c>
    </row>
    <row r="65" spans="49:70" x14ac:dyDescent="0.25">
      <c r="AW65" s="34" t="str">
        <f t="shared" si="3"/>
        <v>BDEGHJKL</v>
      </c>
      <c r="AX65" s="34">
        <v>63</v>
      </c>
      <c r="AZ65" s="34" t="s">
        <v>117</v>
      </c>
      <c r="BB65" s="34" t="s">
        <v>113</v>
      </c>
      <c r="BC65" s="34" t="s">
        <v>97</v>
      </c>
      <c r="BE65" s="34" t="s">
        <v>99</v>
      </c>
      <c r="BF65" s="34" t="s">
        <v>100</v>
      </c>
      <c r="BH65" s="34" t="s">
        <v>102</v>
      </c>
      <c r="BI65" s="34" t="s">
        <v>103</v>
      </c>
      <c r="BJ65" s="34" t="s">
        <v>104</v>
      </c>
      <c r="BK65" s="34" t="s">
        <v>105</v>
      </c>
      <c r="BL65" s="34" t="s">
        <v>106</v>
      </c>
      <c r="BM65" s="34" t="s">
        <v>118</v>
      </c>
      <c r="BN65" s="34" t="s">
        <v>114</v>
      </c>
      <c r="BO65" s="34" t="s">
        <v>109</v>
      </c>
      <c r="BP65" s="34" t="s">
        <v>110</v>
      </c>
      <c r="BQ65" s="34" t="s">
        <v>111</v>
      </c>
      <c r="BR65" s="34" t="s">
        <v>112</v>
      </c>
    </row>
    <row r="66" spans="49:70" x14ac:dyDescent="0.25">
      <c r="AW66" s="34" t="str">
        <f t="shared" si="3"/>
        <v>BDEGHIKL</v>
      </c>
      <c r="AX66" s="34">
        <v>64</v>
      </c>
      <c r="AZ66" s="34" t="s">
        <v>117</v>
      </c>
      <c r="BB66" s="34" t="s">
        <v>113</v>
      </c>
      <c r="BC66" s="34" t="s">
        <v>97</v>
      </c>
      <c r="BE66" s="34" t="s">
        <v>99</v>
      </c>
      <c r="BF66" s="34" t="s">
        <v>100</v>
      </c>
      <c r="BG66" s="34" t="s">
        <v>101</v>
      </c>
      <c r="BI66" s="34" t="s">
        <v>103</v>
      </c>
      <c r="BJ66" s="34" t="s">
        <v>104</v>
      </c>
      <c r="BK66" s="34" t="s">
        <v>105</v>
      </c>
      <c r="BL66" s="34" t="s">
        <v>110</v>
      </c>
      <c r="BM66" s="34" t="s">
        <v>118</v>
      </c>
      <c r="BN66" s="34" t="s">
        <v>114</v>
      </c>
      <c r="BO66" s="34" t="s">
        <v>107</v>
      </c>
      <c r="BP66" s="34" t="s">
        <v>109</v>
      </c>
      <c r="BQ66" s="34" t="s">
        <v>111</v>
      </c>
      <c r="BR66" s="34" t="s">
        <v>112</v>
      </c>
    </row>
    <row r="67" spans="49:70" x14ac:dyDescent="0.25">
      <c r="AW67" s="34" t="str">
        <f t="shared" si="3"/>
        <v>BDEGHIJL</v>
      </c>
      <c r="AX67" s="34">
        <v>65</v>
      </c>
      <c r="AZ67" s="34" t="s">
        <v>117</v>
      </c>
      <c r="BB67" s="34" t="s">
        <v>113</v>
      </c>
      <c r="BC67" s="34" t="s">
        <v>97</v>
      </c>
      <c r="BE67" s="34" t="s">
        <v>99</v>
      </c>
      <c r="BF67" s="34" t="s">
        <v>100</v>
      </c>
      <c r="BG67" s="34" t="s">
        <v>101</v>
      </c>
      <c r="BH67" s="34" t="s">
        <v>102</v>
      </c>
      <c r="BJ67" s="34" t="s">
        <v>104</v>
      </c>
      <c r="BK67" s="34" t="s">
        <v>105</v>
      </c>
      <c r="BL67" s="34" t="s">
        <v>106</v>
      </c>
      <c r="BM67" s="34" t="s">
        <v>118</v>
      </c>
      <c r="BN67" s="34" t="s">
        <v>114</v>
      </c>
      <c r="BO67" s="34" t="s">
        <v>109</v>
      </c>
      <c r="BP67" s="34" t="s">
        <v>110</v>
      </c>
      <c r="BQ67" s="34" t="s">
        <v>111</v>
      </c>
      <c r="BR67" s="34" t="s">
        <v>107</v>
      </c>
    </row>
    <row r="68" spans="49:70" x14ac:dyDescent="0.25">
      <c r="AW68" s="34" t="str">
        <f t="shared" ref="AW68:AW131" si="16">AY68&amp;AZ68&amp;BA68&amp;BB68&amp;BC68&amp;BD68&amp;BE68&amp;BF68&amp;BG68&amp;BH68&amp;BI68&amp;BJ68</f>
        <v>BDEGHIJK</v>
      </c>
      <c r="AX68" s="34">
        <v>66</v>
      </c>
      <c r="AZ68" s="34" t="s">
        <v>117</v>
      </c>
      <c r="BB68" s="34" t="s">
        <v>113</v>
      </c>
      <c r="BC68" s="34" t="s">
        <v>97</v>
      </c>
      <c r="BE68" s="34" t="s">
        <v>99</v>
      </c>
      <c r="BF68" s="34" t="s">
        <v>100</v>
      </c>
      <c r="BG68" s="34" t="s">
        <v>101</v>
      </c>
      <c r="BH68" s="34" t="s">
        <v>102</v>
      </c>
      <c r="BI68" s="34" t="s">
        <v>103</v>
      </c>
      <c r="BK68" s="34" t="s">
        <v>105</v>
      </c>
      <c r="BL68" s="34" t="s">
        <v>106</v>
      </c>
      <c r="BM68" s="34" t="s">
        <v>118</v>
      </c>
      <c r="BN68" s="34" t="s">
        <v>114</v>
      </c>
      <c r="BO68" s="34" t="s">
        <v>109</v>
      </c>
      <c r="BP68" s="34" t="s">
        <v>110</v>
      </c>
      <c r="BQ68" s="34" t="s">
        <v>107</v>
      </c>
      <c r="BR68" s="34" t="s">
        <v>112</v>
      </c>
    </row>
    <row r="69" spans="49:70" x14ac:dyDescent="0.25">
      <c r="AW69" s="34" t="str">
        <f t="shared" si="16"/>
        <v>BDEFIJKL</v>
      </c>
      <c r="AX69" s="34">
        <v>67</v>
      </c>
      <c r="AZ69" s="34" t="s">
        <v>117</v>
      </c>
      <c r="BB69" s="34" t="s">
        <v>113</v>
      </c>
      <c r="BC69" s="34" t="s">
        <v>97</v>
      </c>
      <c r="BD69" s="34" t="s">
        <v>98</v>
      </c>
      <c r="BG69" s="34" t="s">
        <v>101</v>
      </c>
      <c r="BH69" s="34" t="s">
        <v>102</v>
      </c>
      <c r="BI69" s="34" t="s">
        <v>103</v>
      </c>
      <c r="BJ69" s="34" t="s">
        <v>104</v>
      </c>
      <c r="BK69" s="34" t="s">
        <v>105</v>
      </c>
      <c r="BL69" s="34" t="s">
        <v>106</v>
      </c>
      <c r="BM69" s="34" t="s">
        <v>118</v>
      </c>
      <c r="BN69" s="34" t="s">
        <v>114</v>
      </c>
      <c r="BO69" s="34" t="s">
        <v>107</v>
      </c>
      <c r="BP69" s="34" t="s">
        <v>108</v>
      </c>
      <c r="BQ69" s="34" t="s">
        <v>111</v>
      </c>
      <c r="BR69" s="34" t="s">
        <v>112</v>
      </c>
    </row>
    <row r="70" spans="49:70" x14ac:dyDescent="0.25">
      <c r="AW70" s="34" t="str">
        <f t="shared" si="16"/>
        <v>BDEFHJKL</v>
      </c>
      <c r="AX70" s="34">
        <v>68</v>
      </c>
      <c r="AZ70" s="34" t="s">
        <v>117</v>
      </c>
      <c r="BB70" s="34" t="s">
        <v>113</v>
      </c>
      <c r="BC70" s="34" t="s">
        <v>97</v>
      </c>
      <c r="BD70" s="34" t="s">
        <v>98</v>
      </c>
      <c r="BF70" s="34" t="s">
        <v>100</v>
      </c>
      <c r="BH70" s="34" t="s">
        <v>102</v>
      </c>
      <c r="BI70" s="34" t="s">
        <v>103</v>
      </c>
      <c r="BJ70" s="34" t="s">
        <v>104</v>
      </c>
      <c r="BK70" s="34" t="s">
        <v>105</v>
      </c>
      <c r="BL70" s="34" t="s">
        <v>106</v>
      </c>
      <c r="BM70" s="34" t="s">
        <v>118</v>
      </c>
      <c r="BN70" s="34" t="s">
        <v>114</v>
      </c>
      <c r="BO70" s="34" t="s">
        <v>109</v>
      </c>
      <c r="BP70" s="34" t="s">
        <v>108</v>
      </c>
      <c r="BQ70" s="34" t="s">
        <v>111</v>
      </c>
      <c r="BR70" s="34" t="s">
        <v>112</v>
      </c>
    </row>
    <row r="71" spans="49:70" x14ac:dyDescent="0.25">
      <c r="AW71" s="34" t="str">
        <f t="shared" si="16"/>
        <v>BDEFHIKL</v>
      </c>
      <c r="AX71" s="34">
        <v>69</v>
      </c>
      <c r="AZ71" s="34" t="s">
        <v>117</v>
      </c>
      <c r="BB71" s="34" t="s">
        <v>113</v>
      </c>
      <c r="BC71" s="34" t="s">
        <v>97</v>
      </c>
      <c r="BD71" s="34" t="s">
        <v>98</v>
      </c>
      <c r="BF71" s="34" t="s">
        <v>100</v>
      </c>
      <c r="BG71" s="34" t="s">
        <v>101</v>
      </c>
      <c r="BI71" s="34" t="s">
        <v>103</v>
      </c>
      <c r="BJ71" s="34" t="s">
        <v>104</v>
      </c>
      <c r="BK71" s="34" t="s">
        <v>105</v>
      </c>
      <c r="BL71" s="34" t="s">
        <v>107</v>
      </c>
      <c r="BM71" s="34" t="s">
        <v>118</v>
      </c>
      <c r="BN71" s="34" t="s">
        <v>114</v>
      </c>
      <c r="BO71" s="34" t="s">
        <v>109</v>
      </c>
      <c r="BP71" s="34" t="s">
        <v>108</v>
      </c>
      <c r="BQ71" s="34" t="s">
        <v>111</v>
      </c>
      <c r="BR71" s="34" t="s">
        <v>112</v>
      </c>
    </row>
    <row r="72" spans="49:70" x14ac:dyDescent="0.25">
      <c r="AW72" s="34" t="str">
        <f t="shared" si="16"/>
        <v>BDEFHIJL</v>
      </c>
      <c r="AX72" s="34">
        <v>70</v>
      </c>
      <c r="AZ72" s="34" t="s">
        <v>117</v>
      </c>
      <c r="BB72" s="34" t="s">
        <v>113</v>
      </c>
      <c r="BC72" s="34" t="s">
        <v>97</v>
      </c>
      <c r="BD72" s="34" t="s">
        <v>98</v>
      </c>
      <c r="BF72" s="34" t="s">
        <v>100</v>
      </c>
      <c r="BG72" s="34" t="s">
        <v>101</v>
      </c>
      <c r="BH72" s="34" t="s">
        <v>102</v>
      </c>
      <c r="BJ72" s="34" t="s">
        <v>104</v>
      </c>
      <c r="BK72" s="34" t="s">
        <v>105</v>
      </c>
      <c r="BL72" s="34" t="s">
        <v>106</v>
      </c>
      <c r="BM72" s="34" t="s">
        <v>118</v>
      </c>
      <c r="BN72" s="34" t="s">
        <v>114</v>
      </c>
      <c r="BO72" s="34" t="s">
        <v>109</v>
      </c>
      <c r="BP72" s="34" t="s">
        <v>108</v>
      </c>
      <c r="BQ72" s="34" t="s">
        <v>111</v>
      </c>
      <c r="BR72" s="34" t="s">
        <v>107</v>
      </c>
    </row>
    <row r="73" spans="49:70" x14ac:dyDescent="0.25">
      <c r="AW73" s="34" t="str">
        <f t="shared" si="16"/>
        <v>BDEFHIJK</v>
      </c>
      <c r="AX73" s="34">
        <v>71</v>
      </c>
      <c r="AZ73" s="34" t="s">
        <v>117</v>
      </c>
      <c r="BB73" s="34" t="s">
        <v>113</v>
      </c>
      <c r="BC73" s="34" t="s">
        <v>97</v>
      </c>
      <c r="BD73" s="34" t="s">
        <v>98</v>
      </c>
      <c r="BF73" s="34" t="s">
        <v>100</v>
      </c>
      <c r="BG73" s="34" t="s">
        <v>101</v>
      </c>
      <c r="BH73" s="34" t="s">
        <v>102</v>
      </c>
      <c r="BI73" s="34" t="s">
        <v>103</v>
      </c>
      <c r="BK73" s="34" t="s">
        <v>105</v>
      </c>
      <c r="BL73" s="34" t="s">
        <v>106</v>
      </c>
      <c r="BM73" s="34" t="s">
        <v>118</v>
      </c>
      <c r="BN73" s="34" t="s">
        <v>114</v>
      </c>
      <c r="BO73" s="34" t="s">
        <v>109</v>
      </c>
      <c r="BP73" s="34" t="s">
        <v>108</v>
      </c>
      <c r="BQ73" s="34" t="s">
        <v>107</v>
      </c>
      <c r="BR73" s="34" t="s">
        <v>112</v>
      </c>
    </row>
    <row r="74" spans="49:70" x14ac:dyDescent="0.25">
      <c r="AW74" s="34" t="str">
        <f t="shared" si="16"/>
        <v>BDEFGJKL</v>
      </c>
      <c r="AX74" s="34">
        <v>72</v>
      </c>
      <c r="AZ74" s="34" t="s">
        <v>117</v>
      </c>
      <c r="BB74" s="34" t="s">
        <v>113</v>
      </c>
      <c r="BC74" s="34" t="s">
        <v>97</v>
      </c>
      <c r="BD74" s="34" t="s">
        <v>98</v>
      </c>
      <c r="BE74" s="34" t="s">
        <v>99</v>
      </c>
      <c r="BH74" s="34" t="s">
        <v>102</v>
      </c>
      <c r="BI74" s="34" t="s">
        <v>103</v>
      </c>
      <c r="BJ74" s="34" t="s">
        <v>104</v>
      </c>
      <c r="BK74" s="34" t="s">
        <v>105</v>
      </c>
      <c r="BL74" s="34" t="s">
        <v>110</v>
      </c>
      <c r="BM74" s="34" t="s">
        <v>118</v>
      </c>
      <c r="BN74" s="34" t="s">
        <v>114</v>
      </c>
      <c r="BO74" s="34" t="s">
        <v>106</v>
      </c>
      <c r="BP74" s="34" t="s">
        <v>108</v>
      </c>
      <c r="BQ74" s="34" t="s">
        <v>111</v>
      </c>
      <c r="BR74" s="34" t="s">
        <v>112</v>
      </c>
    </row>
    <row r="75" spans="49:70" x14ac:dyDescent="0.25">
      <c r="AW75" s="34" t="str">
        <f t="shared" si="16"/>
        <v>BDEFGIKL</v>
      </c>
      <c r="AX75" s="34">
        <v>73</v>
      </c>
      <c r="AZ75" s="34" t="s">
        <v>117</v>
      </c>
      <c r="BB75" s="34" t="s">
        <v>113</v>
      </c>
      <c r="BC75" s="34" t="s">
        <v>97</v>
      </c>
      <c r="BD75" s="34" t="s">
        <v>98</v>
      </c>
      <c r="BE75" s="34" t="s">
        <v>99</v>
      </c>
      <c r="BG75" s="34" t="s">
        <v>101</v>
      </c>
      <c r="BI75" s="34" t="s">
        <v>103</v>
      </c>
      <c r="BJ75" s="34" t="s">
        <v>104</v>
      </c>
      <c r="BK75" s="34" t="s">
        <v>105</v>
      </c>
      <c r="BL75" s="34" t="s">
        <v>110</v>
      </c>
      <c r="BM75" s="34" t="s">
        <v>118</v>
      </c>
      <c r="BN75" s="34" t="s">
        <v>114</v>
      </c>
      <c r="BO75" s="34" t="s">
        <v>107</v>
      </c>
      <c r="BP75" s="34" t="s">
        <v>108</v>
      </c>
      <c r="BQ75" s="34" t="s">
        <v>111</v>
      </c>
      <c r="BR75" s="34" t="s">
        <v>112</v>
      </c>
    </row>
    <row r="76" spans="49:70" x14ac:dyDescent="0.25">
      <c r="AW76" s="34" t="str">
        <f t="shared" si="16"/>
        <v>BDEFGIJL</v>
      </c>
      <c r="AX76" s="34">
        <v>74</v>
      </c>
      <c r="AZ76" s="34" t="s">
        <v>117</v>
      </c>
      <c r="BB76" s="34" t="s">
        <v>113</v>
      </c>
      <c r="BC76" s="34" t="s">
        <v>97</v>
      </c>
      <c r="BD76" s="34" t="s">
        <v>98</v>
      </c>
      <c r="BE76" s="34" t="s">
        <v>99</v>
      </c>
      <c r="BG76" s="34" t="s">
        <v>101</v>
      </c>
      <c r="BH76" s="34" t="s">
        <v>102</v>
      </c>
      <c r="BJ76" s="34" t="s">
        <v>104</v>
      </c>
      <c r="BK76" s="34" t="s">
        <v>105</v>
      </c>
      <c r="BL76" s="34" t="s">
        <v>110</v>
      </c>
      <c r="BM76" s="34" t="s">
        <v>118</v>
      </c>
      <c r="BN76" s="34" t="s">
        <v>114</v>
      </c>
      <c r="BO76" s="34" t="s">
        <v>106</v>
      </c>
      <c r="BP76" s="34" t="s">
        <v>108</v>
      </c>
      <c r="BQ76" s="34" t="s">
        <v>111</v>
      </c>
      <c r="BR76" s="34" t="s">
        <v>107</v>
      </c>
    </row>
    <row r="77" spans="49:70" x14ac:dyDescent="0.25">
      <c r="AW77" s="34" t="str">
        <f t="shared" si="16"/>
        <v>BDEFGIJK</v>
      </c>
      <c r="AX77" s="34">
        <v>75</v>
      </c>
      <c r="AZ77" s="34" t="s">
        <v>117</v>
      </c>
      <c r="BB77" s="34" t="s">
        <v>113</v>
      </c>
      <c r="BC77" s="34" t="s">
        <v>97</v>
      </c>
      <c r="BD77" s="34" t="s">
        <v>98</v>
      </c>
      <c r="BE77" s="34" t="s">
        <v>99</v>
      </c>
      <c r="BG77" s="34" t="s">
        <v>101</v>
      </c>
      <c r="BH77" s="34" t="s">
        <v>102</v>
      </c>
      <c r="BI77" s="34" t="s">
        <v>103</v>
      </c>
      <c r="BK77" s="34" t="s">
        <v>105</v>
      </c>
      <c r="BL77" s="34" t="s">
        <v>110</v>
      </c>
      <c r="BM77" s="34" t="s">
        <v>118</v>
      </c>
      <c r="BN77" s="34" t="s">
        <v>114</v>
      </c>
      <c r="BO77" s="34" t="s">
        <v>106</v>
      </c>
      <c r="BP77" s="34" t="s">
        <v>108</v>
      </c>
      <c r="BQ77" s="34" t="s">
        <v>107</v>
      </c>
      <c r="BR77" s="34" t="s">
        <v>112</v>
      </c>
    </row>
    <row r="78" spans="49:70" x14ac:dyDescent="0.25">
      <c r="AW78" s="34" t="str">
        <f t="shared" si="16"/>
        <v>BDEFGHKL</v>
      </c>
      <c r="AX78" s="34">
        <v>76</v>
      </c>
      <c r="AZ78" s="34" t="s">
        <v>117</v>
      </c>
      <c r="BB78" s="34" t="s">
        <v>113</v>
      </c>
      <c r="BC78" s="34" t="s">
        <v>97</v>
      </c>
      <c r="BD78" s="34" t="s">
        <v>98</v>
      </c>
      <c r="BE78" s="34" t="s">
        <v>99</v>
      </c>
      <c r="BF78" s="34" t="s">
        <v>100</v>
      </c>
      <c r="BI78" s="34" t="s">
        <v>103</v>
      </c>
      <c r="BJ78" s="34" t="s">
        <v>104</v>
      </c>
      <c r="BK78" s="34" t="s">
        <v>105</v>
      </c>
      <c r="BL78" s="34" t="s">
        <v>110</v>
      </c>
      <c r="BM78" s="34" t="s">
        <v>118</v>
      </c>
      <c r="BN78" s="34" t="s">
        <v>114</v>
      </c>
      <c r="BO78" s="34" t="s">
        <v>109</v>
      </c>
      <c r="BP78" s="34" t="s">
        <v>108</v>
      </c>
      <c r="BQ78" s="34" t="s">
        <v>111</v>
      </c>
      <c r="BR78" s="34" t="s">
        <v>112</v>
      </c>
    </row>
    <row r="79" spans="49:70" x14ac:dyDescent="0.25">
      <c r="AW79" s="34" t="str">
        <f t="shared" si="16"/>
        <v>BDEFGHJL</v>
      </c>
      <c r="AX79" s="34">
        <v>77</v>
      </c>
      <c r="AZ79" s="34" t="s">
        <v>117</v>
      </c>
      <c r="BB79" s="34" t="s">
        <v>113</v>
      </c>
      <c r="BC79" s="34" t="s">
        <v>97</v>
      </c>
      <c r="BD79" s="34" t="s">
        <v>98</v>
      </c>
      <c r="BE79" s="34" t="s">
        <v>99</v>
      </c>
      <c r="BF79" s="34" t="s">
        <v>100</v>
      </c>
      <c r="BH79" s="34" t="s">
        <v>102</v>
      </c>
      <c r="BJ79" s="34" t="s">
        <v>104</v>
      </c>
      <c r="BK79" s="34" t="s">
        <v>109</v>
      </c>
      <c r="BL79" s="34" t="s">
        <v>110</v>
      </c>
      <c r="BM79" s="34" t="s">
        <v>118</v>
      </c>
      <c r="BN79" s="34" t="s">
        <v>114</v>
      </c>
      <c r="BO79" s="34" t="s">
        <v>106</v>
      </c>
      <c r="BP79" s="34" t="s">
        <v>108</v>
      </c>
      <c r="BQ79" s="34" t="s">
        <v>111</v>
      </c>
      <c r="BR79" s="34" t="s">
        <v>105</v>
      </c>
    </row>
    <row r="80" spans="49:70" x14ac:dyDescent="0.25">
      <c r="AW80" s="34" t="str">
        <f t="shared" si="16"/>
        <v>BDEFGHJK</v>
      </c>
      <c r="AX80" s="34">
        <v>78</v>
      </c>
      <c r="AZ80" s="34" t="s">
        <v>117</v>
      </c>
      <c r="BB80" s="34" t="s">
        <v>113</v>
      </c>
      <c r="BC80" s="34" t="s">
        <v>97</v>
      </c>
      <c r="BD80" s="34" t="s">
        <v>98</v>
      </c>
      <c r="BE80" s="34" t="s">
        <v>99</v>
      </c>
      <c r="BF80" s="34" t="s">
        <v>100</v>
      </c>
      <c r="BH80" s="34" t="s">
        <v>102</v>
      </c>
      <c r="BI80" s="34" t="s">
        <v>103</v>
      </c>
      <c r="BK80" s="34" t="s">
        <v>109</v>
      </c>
      <c r="BL80" s="34" t="s">
        <v>110</v>
      </c>
      <c r="BM80" s="34" t="s">
        <v>118</v>
      </c>
      <c r="BN80" s="34" t="s">
        <v>114</v>
      </c>
      <c r="BO80" s="34" t="s">
        <v>106</v>
      </c>
      <c r="BP80" s="34" t="s">
        <v>108</v>
      </c>
      <c r="BQ80" s="34" t="s">
        <v>105</v>
      </c>
      <c r="BR80" s="34" t="s">
        <v>112</v>
      </c>
    </row>
    <row r="81" spans="49:70" x14ac:dyDescent="0.25">
      <c r="AW81" s="34" t="str">
        <f t="shared" si="16"/>
        <v>BDEFGHIL</v>
      </c>
      <c r="AX81" s="34">
        <v>79</v>
      </c>
      <c r="AZ81" s="34" t="s">
        <v>117</v>
      </c>
      <c r="BB81" s="34" t="s">
        <v>113</v>
      </c>
      <c r="BC81" s="34" t="s">
        <v>97</v>
      </c>
      <c r="BD81" s="34" t="s">
        <v>98</v>
      </c>
      <c r="BE81" s="34" t="s">
        <v>99</v>
      </c>
      <c r="BF81" s="34" t="s">
        <v>100</v>
      </c>
      <c r="BG81" s="34" t="s">
        <v>101</v>
      </c>
      <c r="BJ81" s="34" t="s">
        <v>104</v>
      </c>
      <c r="BK81" s="34" t="s">
        <v>105</v>
      </c>
      <c r="BL81" s="34" t="s">
        <v>110</v>
      </c>
      <c r="BM81" s="34" t="s">
        <v>118</v>
      </c>
      <c r="BN81" s="34" t="s">
        <v>114</v>
      </c>
      <c r="BO81" s="34" t="s">
        <v>109</v>
      </c>
      <c r="BP81" s="34" t="s">
        <v>108</v>
      </c>
      <c r="BQ81" s="34" t="s">
        <v>111</v>
      </c>
      <c r="BR81" s="34" t="s">
        <v>107</v>
      </c>
    </row>
    <row r="82" spans="49:70" x14ac:dyDescent="0.25">
      <c r="AW82" s="34" t="str">
        <f t="shared" si="16"/>
        <v>BDEFGHIK</v>
      </c>
      <c r="AX82" s="34">
        <v>80</v>
      </c>
      <c r="AZ82" s="34" t="s">
        <v>117</v>
      </c>
      <c r="BB82" s="34" t="s">
        <v>113</v>
      </c>
      <c r="BC82" s="34" t="s">
        <v>97</v>
      </c>
      <c r="BD82" s="34" t="s">
        <v>98</v>
      </c>
      <c r="BE82" s="34" t="s">
        <v>99</v>
      </c>
      <c r="BF82" s="34" t="s">
        <v>100</v>
      </c>
      <c r="BG82" s="34" t="s">
        <v>101</v>
      </c>
      <c r="BI82" s="34" t="s">
        <v>103</v>
      </c>
      <c r="BK82" s="34" t="s">
        <v>105</v>
      </c>
      <c r="BL82" s="34" t="s">
        <v>110</v>
      </c>
      <c r="BM82" s="34" t="s">
        <v>118</v>
      </c>
      <c r="BN82" s="34" t="s">
        <v>114</v>
      </c>
      <c r="BO82" s="34" t="s">
        <v>109</v>
      </c>
      <c r="BP82" s="34" t="s">
        <v>108</v>
      </c>
      <c r="BQ82" s="34" t="s">
        <v>107</v>
      </c>
      <c r="BR82" s="34" t="s">
        <v>112</v>
      </c>
    </row>
    <row r="83" spans="49:70" x14ac:dyDescent="0.25">
      <c r="AW83" s="34" t="str">
        <f t="shared" si="16"/>
        <v>BDEFGHIJ</v>
      </c>
      <c r="AX83" s="34">
        <v>81</v>
      </c>
      <c r="AZ83" s="34" t="s">
        <v>117</v>
      </c>
      <c r="BB83" s="34" t="s">
        <v>113</v>
      </c>
      <c r="BC83" s="34" t="s">
        <v>97</v>
      </c>
      <c r="BD83" s="34" t="s">
        <v>98</v>
      </c>
      <c r="BE83" s="34" t="s">
        <v>99</v>
      </c>
      <c r="BF83" s="34" t="s">
        <v>100</v>
      </c>
      <c r="BG83" s="34" t="s">
        <v>101</v>
      </c>
      <c r="BH83" s="34" t="s">
        <v>102</v>
      </c>
      <c r="BK83" s="34" t="s">
        <v>109</v>
      </c>
      <c r="BL83" s="34" t="s">
        <v>110</v>
      </c>
      <c r="BM83" s="34" t="s">
        <v>118</v>
      </c>
      <c r="BN83" s="34" t="s">
        <v>114</v>
      </c>
      <c r="BO83" s="34" t="s">
        <v>106</v>
      </c>
      <c r="BP83" s="34" t="s">
        <v>108</v>
      </c>
      <c r="BQ83" s="34" t="s">
        <v>105</v>
      </c>
      <c r="BR83" s="34" t="s">
        <v>107</v>
      </c>
    </row>
    <row r="84" spans="49:70" x14ac:dyDescent="0.25">
      <c r="AW84" s="34" t="str">
        <f t="shared" si="16"/>
        <v>BCGHIJKL</v>
      </c>
      <c r="AX84" s="34">
        <v>82</v>
      </c>
      <c r="AZ84" s="34" t="s">
        <v>117</v>
      </c>
      <c r="BA84" s="34" t="s">
        <v>115</v>
      </c>
      <c r="BE84" s="34" t="s">
        <v>99</v>
      </c>
      <c r="BF84" s="34" t="s">
        <v>100</v>
      </c>
      <c r="BG84" s="34" t="s">
        <v>101</v>
      </c>
      <c r="BH84" s="34" t="s">
        <v>102</v>
      </c>
      <c r="BI84" s="34" t="s">
        <v>103</v>
      </c>
      <c r="BJ84" s="34" t="s">
        <v>104</v>
      </c>
      <c r="BK84" s="34" t="s">
        <v>109</v>
      </c>
      <c r="BL84" s="34" t="s">
        <v>106</v>
      </c>
      <c r="BM84" s="34" t="s">
        <v>118</v>
      </c>
      <c r="BN84" s="34" t="s">
        <v>116</v>
      </c>
      <c r="BO84" s="34" t="s">
        <v>107</v>
      </c>
      <c r="BP84" s="34" t="s">
        <v>110</v>
      </c>
      <c r="BQ84" s="34" t="s">
        <v>111</v>
      </c>
      <c r="BR84" s="34" t="s">
        <v>112</v>
      </c>
    </row>
    <row r="85" spans="49:70" x14ac:dyDescent="0.25">
      <c r="AW85" s="34" t="str">
        <f t="shared" si="16"/>
        <v>BCFHIJKL</v>
      </c>
      <c r="AX85" s="34">
        <v>83</v>
      </c>
      <c r="AZ85" s="34" t="s">
        <v>117</v>
      </c>
      <c r="BA85" s="34" t="s">
        <v>115</v>
      </c>
      <c r="BD85" s="34" t="s">
        <v>98</v>
      </c>
      <c r="BF85" s="34" t="s">
        <v>100</v>
      </c>
      <c r="BG85" s="34" t="s">
        <v>101</v>
      </c>
      <c r="BH85" s="34" t="s">
        <v>102</v>
      </c>
      <c r="BI85" s="34" t="s">
        <v>103</v>
      </c>
      <c r="BJ85" s="34" t="s">
        <v>104</v>
      </c>
      <c r="BK85" s="34" t="s">
        <v>109</v>
      </c>
      <c r="BL85" s="34" t="s">
        <v>106</v>
      </c>
      <c r="BM85" s="34" t="s">
        <v>118</v>
      </c>
      <c r="BN85" s="34" t="s">
        <v>116</v>
      </c>
      <c r="BO85" s="34" t="s">
        <v>107</v>
      </c>
      <c r="BP85" s="34" t="s">
        <v>108</v>
      </c>
      <c r="BQ85" s="34" t="s">
        <v>111</v>
      </c>
      <c r="BR85" s="34" t="s">
        <v>112</v>
      </c>
    </row>
    <row r="86" spans="49:70" x14ac:dyDescent="0.25">
      <c r="AW86" s="34" t="str">
        <f t="shared" si="16"/>
        <v>BCFGIJKL</v>
      </c>
      <c r="AX86" s="34">
        <v>84</v>
      </c>
      <c r="AZ86" s="34" t="s">
        <v>117</v>
      </c>
      <c r="BA86" s="34" t="s">
        <v>115</v>
      </c>
      <c r="BD86" s="34" t="s">
        <v>98</v>
      </c>
      <c r="BE86" s="34" t="s">
        <v>99</v>
      </c>
      <c r="BG86" s="34" t="s">
        <v>101</v>
      </c>
      <c r="BH86" s="34" t="s">
        <v>102</v>
      </c>
      <c r="BI86" s="34" t="s">
        <v>103</v>
      </c>
      <c r="BJ86" s="34" t="s">
        <v>104</v>
      </c>
      <c r="BK86" s="34" t="s">
        <v>107</v>
      </c>
      <c r="BL86" s="34" t="s">
        <v>110</v>
      </c>
      <c r="BM86" s="34" t="s">
        <v>118</v>
      </c>
      <c r="BN86" s="34" t="s">
        <v>116</v>
      </c>
      <c r="BO86" s="34" t="s">
        <v>106</v>
      </c>
      <c r="BP86" s="34" t="s">
        <v>108</v>
      </c>
      <c r="BQ86" s="34" t="s">
        <v>111</v>
      </c>
      <c r="BR86" s="34" t="s">
        <v>112</v>
      </c>
    </row>
    <row r="87" spans="49:70" x14ac:dyDescent="0.25">
      <c r="AW87" s="34" t="str">
        <f t="shared" si="16"/>
        <v>BCFGHJKL</v>
      </c>
      <c r="AX87" s="34">
        <v>85</v>
      </c>
      <c r="AZ87" s="34" t="s">
        <v>117</v>
      </c>
      <c r="BA87" s="34" t="s">
        <v>115</v>
      </c>
      <c r="BD87" s="34" t="s">
        <v>98</v>
      </c>
      <c r="BE87" s="34" t="s">
        <v>99</v>
      </c>
      <c r="BF87" s="34" t="s">
        <v>100</v>
      </c>
      <c r="BH87" s="34" t="s">
        <v>102</v>
      </c>
      <c r="BI87" s="34" t="s">
        <v>103</v>
      </c>
      <c r="BJ87" s="34" t="s">
        <v>104</v>
      </c>
      <c r="BK87" s="34" t="s">
        <v>109</v>
      </c>
      <c r="BL87" s="34" t="s">
        <v>110</v>
      </c>
      <c r="BM87" s="34" t="s">
        <v>118</v>
      </c>
      <c r="BN87" s="34" t="s">
        <v>116</v>
      </c>
      <c r="BO87" s="34" t="s">
        <v>106</v>
      </c>
      <c r="BP87" s="34" t="s">
        <v>108</v>
      </c>
      <c r="BQ87" s="34" t="s">
        <v>111</v>
      </c>
      <c r="BR87" s="34" t="s">
        <v>112</v>
      </c>
    </row>
    <row r="88" spans="49:70" x14ac:dyDescent="0.25">
      <c r="AW88" s="34" t="str">
        <f t="shared" si="16"/>
        <v>BCFGHIKL</v>
      </c>
      <c r="AX88" s="34">
        <v>86</v>
      </c>
      <c r="AZ88" s="34" t="s">
        <v>117</v>
      </c>
      <c r="BA88" s="34" t="s">
        <v>115</v>
      </c>
      <c r="BD88" s="34" t="s">
        <v>98</v>
      </c>
      <c r="BE88" s="34" t="s">
        <v>99</v>
      </c>
      <c r="BF88" s="34" t="s">
        <v>100</v>
      </c>
      <c r="BG88" s="34" t="s">
        <v>101</v>
      </c>
      <c r="BI88" s="34" t="s">
        <v>103</v>
      </c>
      <c r="BJ88" s="34" t="s">
        <v>104</v>
      </c>
      <c r="BK88" s="34" t="s">
        <v>109</v>
      </c>
      <c r="BL88" s="34" t="s">
        <v>110</v>
      </c>
      <c r="BM88" s="34" t="s">
        <v>118</v>
      </c>
      <c r="BN88" s="34" t="s">
        <v>116</v>
      </c>
      <c r="BO88" s="34" t="s">
        <v>107</v>
      </c>
      <c r="BP88" s="34" t="s">
        <v>108</v>
      </c>
      <c r="BQ88" s="34" t="s">
        <v>111</v>
      </c>
      <c r="BR88" s="34" t="s">
        <v>112</v>
      </c>
    </row>
    <row r="89" spans="49:70" x14ac:dyDescent="0.25">
      <c r="AW89" s="34" t="str">
        <f t="shared" si="16"/>
        <v>BCFGHIJL</v>
      </c>
      <c r="AX89" s="34">
        <v>87</v>
      </c>
      <c r="AZ89" s="34" t="s">
        <v>117</v>
      </c>
      <c r="BA89" s="34" t="s">
        <v>115</v>
      </c>
      <c r="BD89" s="34" t="s">
        <v>98</v>
      </c>
      <c r="BE89" s="34" t="s">
        <v>99</v>
      </c>
      <c r="BF89" s="34" t="s">
        <v>100</v>
      </c>
      <c r="BG89" s="34" t="s">
        <v>101</v>
      </c>
      <c r="BH89" s="34" t="s">
        <v>102</v>
      </c>
      <c r="BJ89" s="34" t="s">
        <v>104</v>
      </c>
      <c r="BK89" s="34" t="s">
        <v>109</v>
      </c>
      <c r="BL89" s="34" t="s">
        <v>110</v>
      </c>
      <c r="BM89" s="34" t="s">
        <v>118</v>
      </c>
      <c r="BN89" s="34" t="s">
        <v>116</v>
      </c>
      <c r="BO89" s="34" t="s">
        <v>106</v>
      </c>
      <c r="BP89" s="34" t="s">
        <v>108</v>
      </c>
      <c r="BQ89" s="34" t="s">
        <v>111</v>
      </c>
      <c r="BR89" s="34" t="s">
        <v>107</v>
      </c>
    </row>
    <row r="90" spans="49:70" x14ac:dyDescent="0.25">
      <c r="AW90" s="34" t="str">
        <f t="shared" si="16"/>
        <v>BCFGHIJK</v>
      </c>
      <c r="AX90" s="34">
        <v>88</v>
      </c>
      <c r="AZ90" s="34" t="s">
        <v>117</v>
      </c>
      <c r="BA90" s="34" t="s">
        <v>115</v>
      </c>
      <c r="BD90" s="34" t="s">
        <v>98</v>
      </c>
      <c r="BE90" s="34" t="s">
        <v>99</v>
      </c>
      <c r="BF90" s="34" t="s">
        <v>100</v>
      </c>
      <c r="BG90" s="34" t="s">
        <v>101</v>
      </c>
      <c r="BH90" s="34" t="s">
        <v>102</v>
      </c>
      <c r="BI90" s="34" t="s">
        <v>103</v>
      </c>
      <c r="BK90" s="34" t="s">
        <v>109</v>
      </c>
      <c r="BL90" s="34" t="s">
        <v>110</v>
      </c>
      <c r="BM90" s="34" t="s">
        <v>118</v>
      </c>
      <c r="BN90" s="34" t="s">
        <v>116</v>
      </c>
      <c r="BO90" s="34" t="s">
        <v>106</v>
      </c>
      <c r="BP90" s="34" t="s">
        <v>108</v>
      </c>
      <c r="BQ90" s="34" t="s">
        <v>107</v>
      </c>
      <c r="BR90" s="34" t="s">
        <v>112</v>
      </c>
    </row>
    <row r="91" spans="49:70" x14ac:dyDescent="0.25">
      <c r="AW91" s="34" t="str">
        <f t="shared" si="16"/>
        <v>BCEHIJKL</v>
      </c>
      <c r="AX91" s="34">
        <v>89</v>
      </c>
      <c r="AZ91" s="34" t="s">
        <v>117</v>
      </c>
      <c r="BA91" s="34" t="s">
        <v>115</v>
      </c>
      <c r="BC91" s="34" t="s">
        <v>97</v>
      </c>
      <c r="BF91" s="34" t="s">
        <v>100</v>
      </c>
      <c r="BG91" s="34" t="s">
        <v>101</v>
      </c>
      <c r="BH91" s="34" t="s">
        <v>102</v>
      </c>
      <c r="BI91" s="34" t="s">
        <v>103</v>
      </c>
      <c r="BJ91" s="34" t="s">
        <v>104</v>
      </c>
      <c r="BK91" s="34" t="s">
        <v>105</v>
      </c>
      <c r="BL91" s="34" t="s">
        <v>106</v>
      </c>
      <c r="BM91" s="34" t="s">
        <v>118</v>
      </c>
      <c r="BN91" s="34" t="s">
        <v>116</v>
      </c>
      <c r="BO91" s="34" t="s">
        <v>107</v>
      </c>
      <c r="BP91" s="34" t="s">
        <v>109</v>
      </c>
      <c r="BQ91" s="34" t="s">
        <v>111</v>
      </c>
      <c r="BR91" s="34" t="s">
        <v>112</v>
      </c>
    </row>
    <row r="92" spans="49:70" x14ac:dyDescent="0.25">
      <c r="AW92" s="34" t="str">
        <f t="shared" si="16"/>
        <v>BCEGIJKL</v>
      </c>
      <c r="AX92" s="34">
        <v>90</v>
      </c>
      <c r="AZ92" s="34" t="s">
        <v>117</v>
      </c>
      <c r="BA92" s="34" t="s">
        <v>115</v>
      </c>
      <c r="BC92" s="34" t="s">
        <v>97</v>
      </c>
      <c r="BE92" s="34" t="s">
        <v>99</v>
      </c>
      <c r="BG92" s="34" t="s">
        <v>101</v>
      </c>
      <c r="BH92" s="34" t="s">
        <v>102</v>
      </c>
      <c r="BI92" s="34" t="s">
        <v>103</v>
      </c>
      <c r="BJ92" s="34" t="s">
        <v>104</v>
      </c>
      <c r="BK92" s="34" t="s">
        <v>105</v>
      </c>
      <c r="BL92" s="34" t="s">
        <v>106</v>
      </c>
      <c r="BM92" s="34" t="s">
        <v>118</v>
      </c>
      <c r="BN92" s="34" t="s">
        <v>116</v>
      </c>
      <c r="BO92" s="34" t="s">
        <v>107</v>
      </c>
      <c r="BP92" s="34" t="s">
        <v>110</v>
      </c>
      <c r="BQ92" s="34" t="s">
        <v>111</v>
      </c>
      <c r="BR92" s="34" t="s">
        <v>112</v>
      </c>
    </row>
    <row r="93" spans="49:70" x14ac:dyDescent="0.25">
      <c r="AW93" s="34" t="str">
        <f t="shared" si="16"/>
        <v>BCEGHJKL</v>
      </c>
      <c r="AX93" s="34">
        <v>91</v>
      </c>
      <c r="AZ93" s="34" t="s">
        <v>117</v>
      </c>
      <c r="BA93" s="34" t="s">
        <v>115</v>
      </c>
      <c r="BC93" s="34" t="s">
        <v>97</v>
      </c>
      <c r="BE93" s="34" t="s">
        <v>99</v>
      </c>
      <c r="BF93" s="34" t="s">
        <v>100</v>
      </c>
      <c r="BH93" s="34" t="s">
        <v>102</v>
      </c>
      <c r="BI93" s="34" t="s">
        <v>103</v>
      </c>
      <c r="BJ93" s="34" t="s">
        <v>104</v>
      </c>
      <c r="BK93" s="34" t="s">
        <v>105</v>
      </c>
      <c r="BL93" s="34" t="s">
        <v>106</v>
      </c>
      <c r="BM93" s="34" t="s">
        <v>118</v>
      </c>
      <c r="BN93" s="34" t="s">
        <v>116</v>
      </c>
      <c r="BO93" s="34" t="s">
        <v>109</v>
      </c>
      <c r="BP93" s="34" t="s">
        <v>110</v>
      </c>
      <c r="BQ93" s="34" t="s">
        <v>111</v>
      </c>
      <c r="BR93" s="34" t="s">
        <v>112</v>
      </c>
    </row>
    <row r="94" spans="49:70" x14ac:dyDescent="0.25">
      <c r="AW94" s="34" t="str">
        <f t="shared" si="16"/>
        <v>BCEGHIKL</v>
      </c>
      <c r="AX94" s="34">
        <v>92</v>
      </c>
      <c r="AZ94" s="34" t="s">
        <v>117</v>
      </c>
      <c r="BA94" s="34" t="s">
        <v>115</v>
      </c>
      <c r="BC94" s="34" t="s">
        <v>97</v>
      </c>
      <c r="BE94" s="34" t="s">
        <v>99</v>
      </c>
      <c r="BF94" s="34" t="s">
        <v>100</v>
      </c>
      <c r="BG94" s="34" t="s">
        <v>101</v>
      </c>
      <c r="BI94" s="34" t="s">
        <v>103</v>
      </c>
      <c r="BJ94" s="34" t="s">
        <v>104</v>
      </c>
      <c r="BK94" s="34" t="s">
        <v>105</v>
      </c>
      <c r="BL94" s="34" t="s">
        <v>110</v>
      </c>
      <c r="BM94" s="34" t="s">
        <v>118</v>
      </c>
      <c r="BN94" s="34" t="s">
        <v>116</v>
      </c>
      <c r="BO94" s="34" t="s">
        <v>107</v>
      </c>
      <c r="BP94" s="34" t="s">
        <v>109</v>
      </c>
      <c r="BQ94" s="34" t="s">
        <v>111</v>
      </c>
      <c r="BR94" s="34" t="s">
        <v>112</v>
      </c>
    </row>
    <row r="95" spans="49:70" x14ac:dyDescent="0.25">
      <c r="AW95" s="34" t="str">
        <f t="shared" si="16"/>
        <v>BCEGHIJL</v>
      </c>
      <c r="AX95" s="34">
        <v>93</v>
      </c>
      <c r="AZ95" s="34" t="s">
        <v>117</v>
      </c>
      <c r="BA95" s="34" t="s">
        <v>115</v>
      </c>
      <c r="BC95" s="34" t="s">
        <v>97</v>
      </c>
      <c r="BE95" s="34" t="s">
        <v>99</v>
      </c>
      <c r="BF95" s="34" t="s">
        <v>100</v>
      </c>
      <c r="BG95" s="34" t="s">
        <v>101</v>
      </c>
      <c r="BH95" s="34" t="s">
        <v>102</v>
      </c>
      <c r="BJ95" s="34" t="s">
        <v>104</v>
      </c>
      <c r="BK95" s="34" t="s">
        <v>105</v>
      </c>
      <c r="BL95" s="34" t="s">
        <v>106</v>
      </c>
      <c r="BM95" s="34" t="s">
        <v>118</v>
      </c>
      <c r="BN95" s="34" t="s">
        <v>116</v>
      </c>
      <c r="BO95" s="34" t="s">
        <v>109</v>
      </c>
      <c r="BP95" s="34" t="s">
        <v>110</v>
      </c>
      <c r="BQ95" s="34" t="s">
        <v>111</v>
      </c>
      <c r="BR95" s="34" t="s">
        <v>107</v>
      </c>
    </row>
    <row r="96" spans="49:70" x14ac:dyDescent="0.25">
      <c r="AW96" s="34" t="str">
        <f t="shared" si="16"/>
        <v>BCEGHIJK</v>
      </c>
      <c r="AX96" s="34">
        <v>94</v>
      </c>
      <c r="AZ96" s="34" t="s">
        <v>117</v>
      </c>
      <c r="BA96" s="34" t="s">
        <v>115</v>
      </c>
      <c r="BC96" s="34" t="s">
        <v>97</v>
      </c>
      <c r="BE96" s="34" t="s">
        <v>99</v>
      </c>
      <c r="BF96" s="34" t="s">
        <v>100</v>
      </c>
      <c r="BG96" s="34" t="s">
        <v>101</v>
      </c>
      <c r="BH96" s="34" t="s">
        <v>102</v>
      </c>
      <c r="BI96" s="34" t="s">
        <v>103</v>
      </c>
      <c r="BK96" s="34" t="s">
        <v>105</v>
      </c>
      <c r="BL96" s="34" t="s">
        <v>106</v>
      </c>
      <c r="BM96" s="34" t="s">
        <v>118</v>
      </c>
      <c r="BN96" s="34" t="s">
        <v>116</v>
      </c>
      <c r="BO96" s="34" t="s">
        <v>109</v>
      </c>
      <c r="BP96" s="34" t="s">
        <v>110</v>
      </c>
      <c r="BQ96" s="34" t="s">
        <v>107</v>
      </c>
      <c r="BR96" s="34" t="s">
        <v>112</v>
      </c>
    </row>
    <row r="97" spans="49:70" x14ac:dyDescent="0.25">
      <c r="AW97" s="34" t="str">
        <f t="shared" si="16"/>
        <v>BCEFIJKL</v>
      </c>
      <c r="AX97" s="34">
        <v>95</v>
      </c>
      <c r="AZ97" s="34" t="s">
        <v>117</v>
      </c>
      <c r="BA97" s="34" t="s">
        <v>115</v>
      </c>
      <c r="BC97" s="34" t="s">
        <v>97</v>
      </c>
      <c r="BD97" s="34" t="s">
        <v>98</v>
      </c>
      <c r="BG97" s="34" t="s">
        <v>101</v>
      </c>
      <c r="BH97" s="34" t="s">
        <v>102</v>
      </c>
      <c r="BI97" s="34" t="s">
        <v>103</v>
      </c>
      <c r="BJ97" s="34" t="s">
        <v>104</v>
      </c>
      <c r="BK97" s="34" t="s">
        <v>105</v>
      </c>
      <c r="BL97" s="34" t="s">
        <v>106</v>
      </c>
      <c r="BM97" s="34" t="s">
        <v>118</v>
      </c>
      <c r="BN97" s="34" t="s">
        <v>116</v>
      </c>
      <c r="BO97" s="34" t="s">
        <v>107</v>
      </c>
      <c r="BP97" s="34" t="s">
        <v>108</v>
      </c>
      <c r="BQ97" s="34" t="s">
        <v>111</v>
      </c>
      <c r="BR97" s="34" t="s">
        <v>112</v>
      </c>
    </row>
    <row r="98" spans="49:70" x14ac:dyDescent="0.25">
      <c r="AW98" s="34" t="str">
        <f t="shared" si="16"/>
        <v>BCEFHJKL</v>
      </c>
      <c r="AX98" s="34">
        <v>96</v>
      </c>
      <c r="AZ98" s="34" t="s">
        <v>117</v>
      </c>
      <c r="BA98" s="34" t="s">
        <v>115</v>
      </c>
      <c r="BC98" s="34" t="s">
        <v>97</v>
      </c>
      <c r="BD98" s="34" t="s">
        <v>98</v>
      </c>
      <c r="BF98" s="34" t="s">
        <v>100</v>
      </c>
      <c r="BH98" s="34" t="s">
        <v>102</v>
      </c>
      <c r="BI98" s="34" t="s">
        <v>103</v>
      </c>
      <c r="BJ98" s="34" t="s">
        <v>104</v>
      </c>
      <c r="BK98" s="34" t="s">
        <v>105</v>
      </c>
      <c r="BL98" s="34" t="s">
        <v>106</v>
      </c>
      <c r="BM98" s="34" t="s">
        <v>118</v>
      </c>
      <c r="BN98" s="34" t="s">
        <v>116</v>
      </c>
      <c r="BO98" s="34" t="s">
        <v>109</v>
      </c>
      <c r="BP98" s="34" t="s">
        <v>108</v>
      </c>
      <c r="BQ98" s="34" t="s">
        <v>111</v>
      </c>
      <c r="BR98" s="34" t="s">
        <v>112</v>
      </c>
    </row>
    <row r="99" spans="49:70" x14ac:dyDescent="0.25">
      <c r="AW99" s="34" t="str">
        <f t="shared" si="16"/>
        <v>BCEFHIKL</v>
      </c>
      <c r="AX99" s="34">
        <v>97</v>
      </c>
      <c r="AZ99" s="34" t="s">
        <v>117</v>
      </c>
      <c r="BA99" s="34" t="s">
        <v>115</v>
      </c>
      <c r="BC99" s="34" t="s">
        <v>97</v>
      </c>
      <c r="BD99" s="34" t="s">
        <v>98</v>
      </c>
      <c r="BF99" s="34" t="s">
        <v>100</v>
      </c>
      <c r="BG99" s="34" t="s">
        <v>101</v>
      </c>
      <c r="BI99" s="34" t="s">
        <v>103</v>
      </c>
      <c r="BJ99" s="34" t="s">
        <v>104</v>
      </c>
      <c r="BK99" s="34" t="s">
        <v>105</v>
      </c>
      <c r="BL99" s="34" t="s">
        <v>107</v>
      </c>
      <c r="BM99" s="34" t="s">
        <v>118</v>
      </c>
      <c r="BN99" s="34" t="s">
        <v>116</v>
      </c>
      <c r="BO99" s="34" t="s">
        <v>109</v>
      </c>
      <c r="BP99" s="34" t="s">
        <v>108</v>
      </c>
      <c r="BQ99" s="34" t="s">
        <v>111</v>
      </c>
      <c r="BR99" s="34" t="s">
        <v>112</v>
      </c>
    </row>
    <row r="100" spans="49:70" x14ac:dyDescent="0.25">
      <c r="AW100" s="34" t="str">
        <f t="shared" si="16"/>
        <v>BCEFHIJL</v>
      </c>
      <c r="AX100" s="34">
        <v>98</v>
      </c>
      <c r="AZ100" s="34" t="s">
        <v>117</v>
      </c>
      <c r="BA100" s="34" t="s">
        <v>115</v>
      </c>
      <c r="BC100" s="34" t="s">
        <v>97</v>
      </c>
      <c r="BD100" s="34" t="s">
        <v>98</v>
      </c>
      <c r="BF100" s="34" t="s">
        <v>100</v>
      </c>
      <c r="BG100" s="34" t="s">
        <v>101</v>
      </c>
      <c r="BH100" s="34" t="s">
        <v>102</v>
      </c>
      <c r="BJ100" s="34" t="s">
        <v>104</v>
      </c>
      <c r="BK100" s="34" t="s">
        <v>105</v>
      </c>
      <c r="BL100" s="34" t="s">
        <v>106</v>
      </c>
      <c r="BM100" s="34" t="s">
        <v>118</v>
      </c>
      <c r="BN100" s="34" t="s">
        <v>116</v>
      </c>
      <c r="BO100" s="34" t="s">
        <v>109</v>
      </c>
      <c r="BP100" s="34" t="s">
        <v>108</v>
      </c>
      <c r="BQ100" s="34" t="s">
        <v>111</v>
      </c>
      <c r="BR100" s="34" t="s">
        <v>107</v>
      </c>
    </row>
    <row r="101" spans="49:70" x14ac:dyDescent="0.25">
      <c r="AW101" s="34" t="str">
        <f t="shared" si="16"/>
        <v>BCEFHIJK</v>
      </c>
      <c r="AX101" s="34">
        <v>99</v>
      </c>
      <c r="AZ101" s="34" t="s">
        <v>117</v>
      </c>
      <c r="BA101" s="34" t="s">
        <v>115</v>
      </c>
      <c r="BC101" s="34" t="s">
        <v>97</v>
      </c>
      <c r="BD101" s="34" t="s">
        <v>98</v>
      </c>
      <c r="BF101" s="34" t="s">
        <v>100</v>
      </c>
      <c r="BG101" s="34" t="s">
        <v>101</v>
      </c>
      <c r="BH101" s="34" t="s">
        <v>102</v>
      </c>
      <c r="BI101" s="34" t="s">
        <v>103</v>
      </c>
      <c r="BK101" s="34" t="s">
        <v>105</v>
      </c>
      <c r="BL101" s="34" t="s">
        <v>106</v>
      </c>
      <c r="BM101" s="34" t="s">
        <v>118</v>
      </c>
      <c r="BN101" s="34" t="s">
        <v>116</v>
      </c>
      <c r="BO101" s="34" t="s">
        <v>109</v>
      </c>
      <c r="BP101" s="34" t="s">
        <v>108</v>
      </c>
      <c r="BQ101" s="34" t="s">
        <v>107</v>
      </c>
      <c r="BR101" s="34" t="s">
        <v>112</v>
      </c>
    </row>
    <row r="102" spans="49:70" x14ac:dyDescent="0.25">
      <c r="AW102" s="34" t="str">
        <f t="shared" si="16"/>
        <v>BCEFGJKL</v>
      </c>
      <c r="AX102" s="34">
        <v>100</v>
      </c>
      <c r="AZ102" s="34" t="s">
        <v>117</v>
      </c>
      <c r="BA102" s="34" t="s">
        <v>115</v>
      </c>
      <c r="BC102" s="34" t="s">
        <v>97</v>
      </c>
      <c r="BD102" s="34" t="s">
        <v>98</v>
      </c>
      <c r="BE102" s="34" t="s">
        <v>99</v>
      </c>
      <c r="BH102" s="34" t="s">
        <v>102</v>
      </c>
      <c r="BI102" s="34" t="s">
        <v>103</v>
      </c>
      <c r="BJ102" s="34" t="s">
        <v>104</v>
      </c>
      <c r="BK102" s="34" t="s">
        <v>105</v>
      </c>
      <c r="BL102" s="34" t="s">
        <v>110</v>
      </c>
      <c r="BM102" s="34" t="s">
        <v>118</v>
      </c>
      <c r="BN102" s="34" t="s">
        <v>116</v>
      </c>
      <c r="BO102" s="34" t="s">
        <v>106</v>
      </c>
      <c r="BP102" s="34" t="s">
        <v>108</v>
      </c>
      <c r="BQ102" s="34" t="s">
        <v>111</v>
      </c>
      <c r="BR102" s="34" t="s">
        <v>112</v>
      </c>
    </row>
    <row r="103" spans="49:70" x14ac:dyDescent="0.25">
      <c r="AW103" s="34" t="str">
        <f t="shared" si="16"/>
        <v>BCEFGIKL</v>
      </c>
      <c r="AX103" s="34">
        <v>101</v>
      </c>
      <c r="AZ103" s="34" t="s">
        <v>117</v>
      </c>
      <c r="BA103" s="34" t="s">
        <v>115</v>
      </c>
      <c r="BC103" s="34" t="s">
        <v>97</v>
      </c>
      <c r="BD103" s="34" t="s">
        <v>98</v>
      </c>
      <c r="BE103" s="34" t="s">
        <v>99</v>
      </c>
      <c r="BG103" s="34" t="s">
        <v>101</v>
      </c>
      <c r="BI103" s="34" t="s">
        <v>103</v>
      </c>
      <c r="BJ103" s="34" t="s">
        <v>104</v>
      </c>
      <c r="BK103" s="34" t="s">
        <v>105</v>
      </c>
      <c r="BL103" s="34" t="s">
        <v>110</v>
      </c>
      <c r="BM103" s="34" t="s">
        <v>118</v>
      </c>
      <c r="BN103" s="34" t="s">
        <v>116</v>
      </c>
      <c r="BO103" s="34" t="s">
        <v>107</v>
      </c>
      <c r="BP103" s="34" t="s">
        <v>108</v>
      </c>
      <c r="BQ103" s="34" t="s">
        <v>111</v>
      </c>
      <c r="BR103" s="34" t="s">
        <v>112</v>
      </c>
    </row>
    <row r="104" spans="49:70" x14ac:dyDescent="0.25">
      <c r="AW104" s="34" t="str">
        <f t="shared" si="16"/>
        <v>BCEFGIJL</v>
      </c>
      <c r="AX104" s="34">
        <v>102</v>
      </c>
      <c r="AZ104" s="34" t="s">
        <v>117</v>
      </c>
      <c r="BA104" s="34" t="s">
        <v>115</v>
      </c>
      <c r="BC104" s="34" t="s">
        <v>97</v>
      </c>
      <c r="BD104" s="34" t="s">
        <v>98</v>
      </c>
      <c r="BE104" s="34" t="s">
        <v>99</v>
      </c>
      <c r="BG104" s="34" t="s">
        <v>101</v>
      </c>
      <c r="BH104" s="34" t="s">
        <v>102</v>
      </c>
      <c r="BJ104" s="34" t="s">
        <v>104</v>
      </c>
      <c r="BK104" s="34" t="s">
        <v>105</v>
      </c>
      <c r="BL104" s="34" t="s">
        <v>110</v>
      </c>
      <c r="BM104" s="34" t="s">
        <v>118</v>
      </c>
      <c r="BN104" s="34" t="s">
        <v>116</v>
      </c>
      <c r="BO104" s="34" t="s">
        <v>106</v>
      </c>
      <c r="BP104" s="34" t="s">
        <v>108</v>
      </c>
      <c r="BQ104" s="34" t="s">
        <v>111</v>
      </c>
      <c r="BR104" s="34" t="s">
        <v>107</v>
      </c>
    </row>
    <row r="105" spans="49:70" x14ac:dyDescent="0.25">
      <c r="AW105" s="34" t="str">
        <f t="shared" si="16"/>
        <v>BCEFGIJK</v>
      </c>
      <c r="AX105" s="34">
        <v>103</v>
      </c>
      <c r="AZ105" s="34" t="s">
        <v>117</v>
      </c>
      <c r="BA105" s="34" t="s">
        <v>115</v>
      </c>
      <c r="BC105" s="34" t="s">
        <v>97</v>
      </c>
      <c r="BD105" s="34" t="s">
        <v>98</v>
      </c>
      <c r="BE105" s="34" t="s">
        <v>99</v>
      </c>
      <c r="BG105" s="34" t="s">
        <v>101</v>
      </c>
      <c r="BH105" s="34" t="s">
        <v>102</v>
      </c>
      <c r="BI105" s="34" t="s">
        <v>103</v>
      </c>
      <c r="BK105" s="34" t="s">
        <v>105</v>
      </c>
      <c r="BL105" s="34" t="s">
        <v>110</v>
      </c>
      <c r="BM105" s="34" t="s">
        <v>118</v>
      </c>
      <c r="BN105" s="34" t="s">
        <v>116</v>
      </c>
      <c r="BO105" s="34" t="s">
        <v>106</v>
      </c>
      <c r="BP105" s="34" t="s">
        <v>108</v>
      </c>
      <c r="BQ105" s="34" t="s">
        <v>107</v>
      </c>
      <c r="BR105" s="34" t="s">
        <v>112</v>
      </c>
    </row>
    <row r="106" spans="49:70" x14ac:dyDescent="0.25">
      <c r="AW106" s="34" t="str">
        <f t="shared" si="16"/>
        <v>BCEFGHKL</v>
      </c>
      <c r="AX106" s="34">
        <v>104</v>
      </c>
      <c r="AZ106" s="34" t="s">
        <v>117</v>
      </c>
      <c r="BA106" s="34" t="s">
        <v>115</v>
      </c>
      <c r="BC106" s="34" t="s">
        <v>97</v>
      </c>
      <c r="BD106" s="34" t="s">
        <v>98</v>
      </c>
      <c r="BE106" s="34" t="s">
        <v>99</v>
      </c>
      <c r="BF106" s="34" t="s">
        <v>100</v>
      </c>
      <c r="BI106" s="34" t="s">
        <v>103</v>
      </c>
      <c r="BJ106" s="34" t="s">
        <v>104</v>
      </c>
      <c r="BK106" s="34" t="s">
        <v>105</v>
      </c>
      <c r="BL106" s="34" t="s">
        <v>110</v>
      </c>
      <c r="BM106" s="34" t="s">
        <v>118</v>
      </c>
      <c r="BN106" s="34" t="s">
        <v>116</v>
      </c>
      <c r="BO106" s="34" t="s">
        <v>109</v>
      </c>
      <c r="BP106" s="34" t="s">
        <v>108</v>
      </c>
      <c r="BQ106" s="34" t="s">
        <v>111</v>
      </c>
      <c r="BR106" s="34" t="s">
        <v>112</v>
      </c>
    </row>
    <row r="107" spans="49:70" x14ac:dyDescent="0.25">
      <c r="AW107" s="34" t="str">
        <f t="shared" si="16"/>
        <v>BCEFGHJL</v>
      </c>
      <c r="AX107" s="34">
        <v>105</v>
      </c>
      <c r="AZ107" s="34" t="s">
        <v>117</v>
      </c>
      <c r="BA107" s="34" t="s">
        <v>115</v>
      </c>
      <c r="BC107" s="34" t="s">
        <v>97</v>
      </c>
      <c r="BD107" s="34" t="s">
        <v>98</v>
      </c>
      <c r="BE107" s="34" t="s">
        <v>99</v>
      </c>
      <c r="BF107" s="34" t="s">
        <v>100</v>
      </c>
      <c r="BH107" s="34" t="s">
        <v>102</v>
      </c>
      <c r="BJ107" s="34" t="s">
        <v>104</v>
      </c>
      <c r="BK107" s="34" t="s">
        <v>109</v>
      </c>
      <c r="BL107" s="34" t="s">
        <v>110</v>
      </c>
      <c r="BM107" s="34" t="s">
        <v>118</v>
      </c>
      <c r="BN107" s="34" t="s">
        <v>116</v>
      </c>
      <c r="BO107" s="34" t="s">
        <v>106</v>
      </c>
      <c r="BP107" s="34" t="s">
        <v>108</v>
      </c>
      <c r="BQ107" s="34" t="s">
        <v>111</v>
      </c>
      <c r="BR107" s="34" t="s">
        <v>105</v>
      </c>
    </row>
    <row r="108" spans="49:70" x14ac:dyDescent="0.25">
      <c r="AW108" s="34" t="str">
        <f t="shared" si="16"/>
        <v>BCEFGHJK</v>
      </c>
      <c r="AX108" s="34">
        <v>106</v>
      </c>
      <c r="AZ108" s="34" t="s">
        <v>117</v>
      </c>
      <c r="BA108" s="34" t="s">
        <v>115</v>
      </c>
      <c r="BC108" s="34" t="s">
        <v>97</v>
      </c>
      <c r="BD108" s="34" t="s">
        <v>98</v>
      </c>
      <c r="BE108" s="34" t="s">
        <v>99</v>
      </c>
      <c r="BF108" s="34" t="s">
        <v>100</v>
      </c>
      <c r="BH108" s="34" t="s">
        <v>102</v>
      </c>
      <c r="BI108" s="34" t="s">
        <v>103</v>
      </c>
      <c r="BK108" s="34" t="s">
        <v>109</v>
      </c>
      <c r="BL108" s="34" t="s">
        <v>110</v>
      </c>
      <c r="BM108" s="34" t="s">
        <v>118</v>
      </c>
      <c r="BN108" s="34" t="s">
        <v>116</v>
      </c>
      <c r="BO108" s="34" t="s">
        <v>106</v>
      </c>
      <c r="BP108" s="34" t="s">
        <v>108</v>
      </c>
      <c r="BQ108" s="34" t="s">
        <v>105</v>
      </c>
      <c r="BR108" s="34" t="s">
        <v>112</v>
      </c>
    </row>
    <row r="109" spans="49:70" x14ac:dyDescent="0.25">
      <c r="AW109" s="34" t="str">
        <f t="shared" si="16"/>
        <v>BCEFGHIL</v>
      </c>
      <c r="AX109" s="34">
        <v>107</v>
      </c>
      <c r="AZ109" s="34" t="s">
        <v>117</v>
      </c>
      <c r="BA109" s="34" t="s">
        <v>115</v>
      </c>
      <c r="BC109" s="34" t="s">
        <v>97</v>
      </c>
      <c r="BD109" s="34" t="s">
        <v>98</v>
      </c>
      <c r="BE109" s="34" t="s">
        <v>99</v>
      </c>
      <c r="BF109" s="34" t="s">
        <v>100</v>
      </c>
      <c r="BG109" s="34" t="s">
        <v>101</v>
      </c>
      <c r="BJ109" s="34" t="s">
        <v>104</v>
      </c>
      <c r="BK109" s="34" t="s">
        <v>105</v>
      </c>
      <c r="BL109" s="34" t="s">
        <v>110</v>
      </c>
      <c r="BM109" s="34" t="s">
        <v>118</v>
      </c>
      <c r="BN109" s="34" t="s">
        <v>116</v>
      </c>
      <c r="BO109" s="34" t="s">
        <v>109</v>
      </c>
      <c r="BP109" s="34" t="s">
        <v>108</v>
      </c>
      <c r="BQ109" s="34" t="s">
        <v>111</v>
      </c>
      <c r="BR109" s="34" t="s">
        <v>107</v>
      </c>
    </row>
    <row r="110" spans="49:70" x14ac:dyDescent="0.25">
      <c r="AW110" s="34" t="str">
        <f t="shared" si="16"/>
        <v>BCEFGHIK</v>
      </c>
      <c r="AX110" s="34">
        <v>108</v>
      </c>
      <c r="AZ110" s="34" t="s">
        <v>117</v>
      </c>
      <c r="BA110" s="34" t="s">
        <v>115</v>
      </c>
      <c r="BC110" s="34" t="s">
        <v>97</v>
      </c>
      <c r="BD110" s="34" t="s">
        <v>98</v>
      </c>
      <c r="BE110" s="34" t="s">
        <v>99</v>
      </c>
      <c r="BF110" s="34" t="s">
        <v>100</v>
      </c>
      <c r="BG110" s="34" t="s">
        <v>101</v>
      </c>
      <c r="BI110" s="34" t="s">
        <v>103</v>
      </c>
      <c r="BK110" s="34" t="s">
        <v>105</v>
      </c>
      <c r="BL110" s="34" t="s">
        <v>110</v>
      </c>
      <c r="BM110" s="34" t="s">
        <v>118</v>
      </c>
      <c r="BN110" s="34" t="s">
        <v>116</v>
      </c>
      <c r="BO110" s="34" t="s">
        <v>109</v>
      </c>
      <c r="BP110" s="34" t="s">
        <v>108</v>
      </c>
      <c r="BQ110" s="34" t="s">
        <v>107</v>
      </c>
      <c r="BR110" s="34" t="s">
        <v>112</v>
      </c>
    </row>
    <row r="111" spans="49:70" x14ac:dyDescent="0.25">
      <c r="AW111" s="34" t="str">
        <f t="shared" si="16"/>
        <v>BCEFGHIJ</v>
      </c>
      <c r="AX111" s="34">
        <v>109</v>
      </c>
      <c r="AZ111" s="34" t="s">
        <v>117</v>
      </c>
      <c r="BA111" s="34" t="s">
        <v>115</v>
      </c>
      <c r="BC111" s="34" t="s">
        <v>97</v>
      </c>
      <c r="BD111" s="34" t="s">
        <v>98</v>
      </c>
      <c r="BE111" s="34" t="s">
        <v>99</v>
      </c>
      <c r="BF111" s="34" t="s">
        <v>100</v>
      </c>
      <c r="BG111" s="34" t="s">
        <v>101</v>
      </c>
      <c r="BH111" s="34" t="s">
        <v>102</v>
      </c>
      <c r="BK111" s="34" t="s">
        <v>109</v>
      </c>
      <c r="BL111" s="34" t="s">
        <v>110</v>
      </c>
      <c r="BM111" s="34" t="s">
        <v>118</v>
      </c>
      <c r="BN111" s="34" t="s">
        <v>116</v>
      </c>
      <c r="BO111" s="34" t="s">
        <v>106</v>
      </c>
      <c r="BP111" s="34" t="s">
        <v>108</v>
      </c>
      <c r="BQ111" s="34" t="s">
        <v>105</v>
      </c>
      <c r="BR111" s="34" t="s">
        <v>107</v>
      </c>
    </row>
    <row r="112" spans="49:70" x14ac:dyDescent="0.25">
      <c r="AW112" s="34" t="str">
        <f t="shared" si="16"/>
        <v>BCDHIJKL</v>
      </c>
      <c r="AX112" s="34">
        <v>110</v>
      </c>
      <c r="AZ112" s="34" t="s">
        <v>117</v>
      </c>
      <c r="BA112" s="34" t="s">
        <v>115</v>
      </c>
      <c r="BB112" s="34" t="s">
        <v>113</v>
      </c>
      <c r="BF112" s="34" t="s">
        <v>100</v>
      </c>
      <c r="BG112" s="34" t="s">
        <v>101</v>
      </c>
      <c r="BH112" s="34" t="s">
        <v>102</v>
      </c>
      <c r="BI112" s="34" t="s">
        <v>103</v>
      </c>
      <c r="BJ112" s="34" t="s">
        <v>104</v>
      </c>
      <c r="BK112" s="34" t="s">
        <v>109</v>
      </c>
      <c r="BL112" s="34" t="s">
        <v>106</v>
      </c>
      <c r="BM112" s="34" t="s">
        <v>118</v>
      </c>
      <c r="BN112" s="34" t="s">
        <v>116</v>
      </c>
      <c r="BO112" s="34" t="s">
        <v>107</v>
      </c>
      <c r="BP112" s="34" t="s">
        <v>114</v>
      </c>
      <c r="BQ112" s="34" t="s">
        <v>111</v>
      </c>
      <c r="BR112" s="34" t="s">
        <v>112</v>
      </c>
    </row>
    <row r="113" spans="49:70" x14ac:dyDescent="0.25">
      <c r="AW113" s="34" t="str">
        <f t="shared" si="16"/>
        <v>BCDGIJKL</v>
      </c>
      <c r="AX113" s="34">
        <v>111</v>
      </c>
      <c r="AZ113" s="34" t="s">
        <v>117</v>
      </c>
      <c r="BA113" s="34" t="s">
        <v>115</v>
      </c>
      <c r="BB113" s="34" t="s">
        <v>113</v>
      </c>
      <c r="BE113" s="34" t="s">
        <v>99</v>
      </c>
      <c r="BG113" s="34" t="s">
        <v>101</v>
      </c>
      <c r="BH113" s="34" t="s">
        <v>102</v>
      </c>
      <c r="BI113" s="34" t="s">
        <v>103</v>
      </c>
      <c r="BJ113" s="34" t="s">
        <v>104</v>
      </c>
      <c r="BK113" s="34" t="s">
        <v>107</v>
      </c>
      <c r="BL113" s="34" t="s">
        <v>110</v>
      </c>
      <c r="BM113" s="34" t="s">
        <v>118</v>
      </c>
      <c r="BN113" s="34" t="s">
        <v>116</v>
      </c>
      <c r="BO113" s="34" t="s">
        <v>106</v>
      </c>
      <c r="BP113" s="34" t="s">
        <v>114</v>
      </c>
      <c r="BQ113" s="34" t="s">
        <v>111</v>
      </c>
      <c r="BR113" s="34" t="s">
        <v>112</v>
      </c>
    </row>
    <row r="114" spans="49:70" x14ac:dyDescent="0.25">
      <c r="AW114" s="34" t="str">
        <f t="shared" si="16"/>
        <v>BCDGHJKL</v>
      </c>
      <c r="AX114" s="34">
        <v>112</v>
      </c>
      <c r="AZ114" s="34" t="s">
        <v>117</v>
      </c>
      <c r="BA114" s="34" t="s">
        <v>115</v>
      </c>
      <c r="BB114" s="34" t="s">
        <v>113</v>
      </c>
      <c r="BE114" s="34" t="s">
        <v>99</v>
      </c>
      <c r="BF114" s="34" t="s">
        <v>100</v>
      </c>
      <c r="BH114" s="34" t="s">
        <v>102</v>
      </c>
      <c r="BI114" s="34" t="s">
        <v>103</v>
      </c>
      <c r="BJ114" s="34" t="s">
        <v>104</v>
      </c>
      <c r="BK114" s="34" t="s">
        <v>109</v>
      </c>
      <c r="BL114" s="34" t="s">
        <v>110</v>
      </c>
      <c r="BM114" s="34" t="s">
        <v>118</v>
      </c>
      <c r="BN114" s="34" t="s">
        <v>116</v>
      </c>
      <c r="BO114" s="34" t="s">
        <v>106</v>
      </c>
      <c r="BP114" s="34" t="s">
        <v>114</v>
      </c>
      <c r="BQ114" s="34" t="s">
        <v>111</v>
      </c>
      <c r="BR114" s="34" t="s">
        <v>112</v>
      </c>
    </row>
    <row r="115" spans="49:70" x14ac:dyDescent="0.25">
      <c r="AW115" s="34" t="str">
        <f t="shared" si="16"/>
        <v>BCDGHIKL</v>
      </c>
      <c r="AX115" s="34">
        <v>113</v>
      </c>
      <c r="AZ115" s="34" t="s">
        <v>117</v>
      </c>
      <c r="BA115" s="34" t="s">
        <v>115</v>
      </c>
      <c r="BB115" s="34" t="s">
        <v>113</v>
      </c>
      <c r="BE115" s="34" t="s">
        <v>99</v>
      </c>
      <c r="BF115" s="34" t="s">
        <v>100</v>
      </c>
      <c r="BG115" s="34" t="s">
        <v>101</v>
      </c>
      <c r="BI115" s="34" t="s">
        <v>103</v>
      </c>
      <c r="BJ115" s="34" t="s">
        <v>104</v>
      </c>
      <c r="BK115" s="34" t="s">
        <v>109</v>
      </c>
      <c r="BL115" s="34" t="s">
        <v>110</v>
      </c>
      <c r="BM115" s="34" t="s">
        <v>118</v>
      </c>
      <c r="BN115" s="34" t="s">
        <v>116</v>
      </c>
      <c r="BO115" s="34" t="s">
        <v>107</v>
      </c>
      <c r="BP115" s="34" t="s">
        <v>114</v>
      </c>
      <c r="BQ115" s="34" t="s">
        <v>111</v>
      </c>
      <c r="BR115" s="34" t="s">
        <v>112</v>
      </c>
    </row>
    <row r="116" spans="49:70" x14ac:dyDescent="0.25">
      <c r="AW116" s="34" t="str">
        <f t="shared" si="16"/>
        <v>BCDGHIJL</v>
      </c>
      <c r="AX116" s="34">
        <v>114</v>
      </c>
      <c r="AZ116" s="34" t="s">
        <v>117</v>
      </c>
      <c r="BA116" s="34" t="s">
        <v>115</v>
      </c>
      <c r="BB116" s="34" t="s">
        <v>113</v>
      </c>
      <c r="BE116" s="34" t="s">
        <v>99</v>
      </c>
      <c r="BF116" s="34" t="s">
        <v>100</v>
      </c>
      <c r="BG116" s="34" t="s">
        <v>101</v>
      </c>
      <c r="BH116" s="34" t="s">
        <v>102</v>
      </c>
      <c r="BJ116" s="34" t="s">
        <v>104</v>
      </c>
      <c r="BK116" s="34" t="s">
        <v>109</v>
      </c>
      <c r="BL116" s="34" t="s">
        <v>110</v>
      </c>
      <c r="BM116" s="34" t="s">
        <v>118</v>
      </c>
      <c r="BN116" s="34" t="s">
        <v>116</v>
      </c>
      <c r="BO116" s="34" t="s">
        <v>106</v>
      </c>
      <c r="BP116" s="34" t="s">
        <v>114</v>
      </c>
      <c r="BQ116" s="34" t="s">
        <v>111</v>
      </c>
      <c r="BR116" s="34" t="s">
        <v>107</v>
      </c>
    </row>
    <row r="117" spans="49:70" x14ac:dyDescent="0.25">
      <c r="AW117" s="34" t="str">
        <f t="shared" si="16"/>
        <v>BCDGHIJK</v>
      </c>
      <c r="AX117" s="34">
        <v>115</v>
      </c>
      <c r="AZ117" s="34" t="s">
        <v>117</v>
      </c>
      <c r="BA117" s="34" t="s">
        <v>115</v>
      </c>
      <c r="BB117" s="34" t="s">
        <v>113</v>
      </c>
      <c r="BE117" s="34" t="s">
        <v>99</v>
      </c>
      <c r="BF117" s="34" t="s">
        <v>100</v>
      </c>
      <c r="BG117" s="34" t="s">
        <v>101</v>
      </c>
      <c r="BH117" s="34" t="s">
        <v>102</v>
      </c>
      <c r="BI117" s="34" t="s">
        <v>103</v>
      </c>
      <c r="BK117" s="34" t="s">
        <v>109</v>
      </c>
      <c r="BL117" s="34" t="s">
        <v>110</v>
      </c>
      <c r="BM117" s="34" t="s">
        <v>118</v>
      </c>
      <c r="BN117" s="34" t="s">
        <v>116</v>
      </c>
      <c r="BO117" s="34" t="s">
        <v>106</v>
      </c>
      <c r="BP117" s="34" t="s">
        <v>114</v>
      </c>
      <c r="BQ117" s="34" t="s">
        <v>107</v>
      </c>
      <c r="BR117" s="34" t="s">
        <v>112</v>
      </c>
    </row>
    <row r="118" spans="49:70" x14ac:dyDescent="0.25">
      <c r="AW118" s="34" t="str">
        <f t="shared" si="16"/>
        <v>BCDFIJKL</v>
      </c>
      <c r="AX118" s="34">
        <v>116</v>
      </c>
      <c r="AZ118" s="34" t="s">
        <v>117</v>
      </c>
      <c r="BA118" s="34" t="s">
        <v>115</v>
      </c>
      <c r="BB118" s="34" t="s">
        <v>113</v>
      </c>
      <c r="BD118" s="34" t="s">
        <v>98</v>
      </c>
      <c r="BG118" s="34" t="s">
        <v>101</v>
      </c>
      <c r="BH118" s="34" t="s">
        <v>102</v>
      </c>
      <c r="BI118" s="34" t="s">
        <v>103</v>
      </c>
      <c r="BJ118" s="34" t="s">
        <v>104</v>
      </c>
      <c r="BK118" s="34" t="s">
        <v>116</v>
      </c>
      <c r="BL118" s="34" t="s">
        <v>106</v>
      </c>
      <c r="BM118" s="34" t="s">
        <v>118</v>
      </c>
      <c r="BN118" s="34" t="s">
        <v>114</v>
      </c>
      <c r="BO118" s="34" t="s">
        <v>107</v>
      </c>
      <c r="BP118" s="34" t="s">
        <v>108</v>
      </c>
      <c r="BQ118" s="34" t="s">
        <v>111</v>
      </c>
      <c r="BR118" s="34" t="s">
        <v>112</v>
      </c>
    </row>
    <row r="119" spans="49:70" x14ac:dyDescent="0.25">
      <c r="AW119" s="34" t="str">
        <f t="shared" si="16"/>
        <v>BCDFHJKL</v>
      </c>
      <c r="AX119" s="34">
        <v>117</v>
      </c>
      <c r="AZ119" s="34" t="s">
        <v>117</v>
      </c>
      <c r="BA119" s="34" t="s">
        <v>115</v>
      </c>
      <c r="BB119" s="34" t="s">
        <v>113</v>
      </c>
      <c r="BD119" s="34" t="s">
        <v>98</v>
      </c>
      <c r="BF119" s="34" t="s">
        <v>100</v>
      </c>
      <c r="BH119" s="34" t="s">
        <v>102</v>
      </c>
      <c r="BI119" s="34" t="s">
        <v>103</v>
      </c>
      <c r="BJ119" s="34" t="s">
        <v>104</v>
      </c>
      <c r="BK119" s="34" t="s">
        <v>116</v>
      </c>
      <c r="BL119" s="34" t="s">
        <v>106</v>
      </c>
      <c r="BM119" s="34" t="s">
        <v>118</v>
      </c>
      <c r="BN119" s="34" t="s">
        <v>114</v>
      </c>
      <c r="BO119" s="34" t="s">
        <v>109</v>
      </c>
      <c r="BP119" s="34" t="s">
        <v>108</v>
      </c>
      <c r="BQ119" s="34" t="s">
        <v>111</v>
      </c>
      <c r="BR119" s="34" t="s">
        <v>112</v>
      </c>
    </row>
    <row r="120" spans="49:70" x14ac:dyDescent="0.25">
      <c r="AW120" s="34" t="str">
        <f t="shared" si="16"/>
        <v>BCDFHIKL</v>
      </c>
      <c r="AX120" s="34">
        <v>118</v>
      </c>
      <c r="AZ120" s="34" t="s">
        <v>117</v>
      </c>
      <c r="BA120" s="34" t="s">
        <v>115</v>
      </c>
      <c r="BB120" s="34" t="s">
        <v>113</v>
      </c>
      <c r="BD120" s="34" t="s">
        <v>98</v>
      </c>
      <c r="BF120" s="34" t="s">
        <v>100</v>
      </c>
      <c r="BG120" s="34" t="s">
        <v>101</v>
      </c>
      <c r="BI120" s="34" t="s">
        <v>103</v>
      </c>
      <c r="BJ120" s="34" t="s">
        <v>104</v>
      </c>
      <c r="BK120" s="34" t="s">
        <v>116</v>
      </c>
      <c r="BL120" s="34" t="s">
        <v>107</v>
      </c>
      <c r="BM120" s="34" t="s">
        <v>118</v>
      </c>
      <c r="BN120" s="34" t="s">
        <v>114</v>
      </c>
      <c r="BO120" s="34" t="s">
        <v>109</v>
      </c>
      <c r="BP120" s="34" t="s">
        <v>108</v>
      </c>
      <c r="BQ120" s="34" t="s">
        <v>111</v>
      </c>
      <c r="BR120" s="34" t="s">
        <v>112</v>
      </c>
    </row>
    <row r="121" spans="49:70" x14ac:dyDescent="0.25">
      <c r="AW121" s="34" t="str">
        <f t="shared" si="16"/>
        <v>BCDFHIJL</v>
      </c>
      <c r="AX121" s="34">
        <v>119</v>
      </c>
      <c r="AZ121" s="34" t="s">
        <v>117</v>
      </c>
      <c r="BA121" s="34" t="s">
        <v>115</v>
      </c>
      <c r="BB121" s="34" t="s">
        <v>113</v>
      </c>
      <c r="BD121" s="34" t="s">
        <v>98</v>
      </c>
      <c r="BF121" s="34" t="s">
        <v>100</v>
      </c>
      <c r="BG121" s="34" t="s">
        <v>101</v>
      </c>
      <c r="BH121" s="34" t="s">
        <v>102</v>
      </c>
      <c r="BJ121" s="34" t="s">
        <v>104</v>
      </c>
      <c r="BK121" s="34" t="s">
        <v>116</v>
      </c>
      <c r="BL121" s="34" t="s">
        <v>106</v>
      </c>
      <c r="BM121" s="34" t="s">
        <v>118</v>
      </c>
      <c r="BN121" s="34" t="s">
        <v>114</v>
      </c>
      <c r="BO121" s="34" t="s">
        <v>109</v>
      </c>
      <c r="BP121" s="34" t="s">
        <v>108</v>
      </c>
      <c r="BQ121" s="34" t="s">
        <v>111</v>
      </c>
      <c r="BR121" s="34" t="s">
        <v>107</v>
      </c>
    </row>
    <row r="122" spans="49:70" x14ac:dyDescent="0.25">
      <c r="AW122" s="34" t="str">
        <f t="shared" si="16"/>
        <v>BCDFHIJK</v>
      </c>
      <c r="AX122" s="34">
        <v>120</v>
      </c>
      <c r="AZ122" s="34" t="s">
        <v>117</v>
      </c>
      <c r="BA122" s="34" t="s">
        <v>115</v>
      </c>
      <c r="BB122" s="34" t="s">
        <v>113</v>
      </c>
      <c r="BD122" s="34" t="s">
        <v>98</v>
      </c>
      <c r="BF122" s="34" t="s">
        <v>100</v>
      </c>
      <c r="BG122" s="34" t="s">
        <v>101</v>
      </c>
      <c r="BH122" s="34" t="s">
        <v>102</v>
      </c>
      <c r="BI122" s="34" t="s">
        <v>103</v>
      </c>
      <c r="BK122" s="34" t="s">
        <v>116</v>
      </c>
      <c r="BL122" s="34" t="s">
        <v>106</v>
      </c>
      <c r="BM122" s="34" t="s">
        <v>118</v>
      </c>
      <c r="BN122" s="34" t="s">
        <v>114</v>
      </c>
      <c r="BO122" s="34" t="s">
        <v>109</v>
      </c>
      <c r="BP122" s="34" t="s">
        <v>108</v>
      </c>
      <c r="BQ122" s="34" t="s">
        <v>107</v>
      </c>
      <c r="BR122" s="34" t="s">
        <v>112</v>
      </c>
    </row>
    <row r="123" spans="49:70" x14ac:dyDescent="0.25">
      <c r="AW123" s="34" t="str">
        <f t="shared" si="16"/>
        <v>BCDFGJKL</v>
      </c>
      <c r="AX123" s="34">
        <v>121</v>
      </c>
      <c r="AZ123" s="34" t="s">
        <v>117</v>
      </c>
      <c r="BA123" s="34" t="s">
        <v>115</v>
      </c>
      <c r="BB123" s="34" t="s">
        <v>113</v>
      </c>
      <c r="BD123" s="34" t="s">
        <v>98</v>
      </c>
      <c r="BE123" s="34" t="s">
        <v>99</v>
      </c>
      <c r="BH123" s="34" t="s">
        <v>102</v>
      </c>
      <c r="BI123" s="34" t="s">
        <v>103</v>
      </c>
      <c r="BJ123" s="34" t="s">
        <v>104</v>
      </c>
      <c r="BK123" s="34" t="s">
        <v>116</v>
      </c>
      <c r="BL123" s="34" t="s">
        <v>110</v>
      </c>
      <c r="BM123" s="34" t="s">
        <v>118</v>
      </c>
      <c r="BN123" s="34" t="s">
        <v>114</v>
      </c>
      <c r="BO123" s="34" t="s">
        <v>106</v>
      </c>
      <c r="BP123" s="34" t="s">
        <v>108</v>
      </c>
      <c r="BQ123" s="34" t="s">
        <v>111</v>
      </c>
      <c r="BR123" s="34" t="s">
        <v>112</v>
      </c>
    </row>
    <row r="124" spans="49:70" x14ac:dyDescent="0.25">
      <c r="AW124" s="34" t="str">
        <f t="shared" si="16"/>
        <v>BCDFGIKL</v>
      </c>
      <c r="AX124" s="34">
        <v>122</v>
      </c>
      <c r="AZ124" s="34" t="s">
        <v>117</v>
      </c>
      <c r="BA124" s="34" t="s">
        <v>115</v>
      </c>
      <c r="BB124" s="34" t="s">
        <v>113</v>
      </c>
      <c r="BD124" s="34" t="s">
        <v>98</v>
      </c>
      <c r="BE124" s="34" t="s">
        <v>99</v>
      </c>
      <c r="BG124" s="34" t="s">
        <v>101</v>
      </c>
      <c r="BI124" s="34" t="s">
        <v>103</v>
      </c>
      <c r="BJ124" s="34" t="s">
        <v>104</v>
      </c>
      <c r="BK124" s="34" t="s">
        <v>116</v>
      </c>
      <c r="BL124" s="34" t="s">
        <v>110</v>
      </c>
      <c r="BM124" s="34" t="s">
        <v>118</v>
      </c>
      <c r="BN124" s="34" t="s">
        <v>114</v>
      </c>
      <c r="BO124" s="34" t="s">
        <v>107</v>
      </c>
      <c r="BP124" s="34" t="s">
        <v>108</v>
      </c>
      <c r="BQ124" s="34" t="s">
        <v>111</v>
      </c>
      <c r="BR124" s="34" t="s">
        <v>112</v>
      </c>
    </row>
    <row r="125" spans="49:70" x14ac:dyDescent="0.25">
      <c r="AW125" s="34" t="str">
        <f t="shared" si="16"/>
        <v>BCDFGIJL</v>
      </c>
      <c r="AX125" s="34">
        <v>123</v>
      </c>
      <c r="AZ125" s="34" t="s">
        <v>117</v>
      </c>
      <c r="BA125" s="34" t="s">
        <v>115</v>
      </c>
      <c r="BB125" s="34" t="s">
        <v>113</v>
      </c>
      <c r="BD125" s="34" t="s">
        <v>98</v>
      </c>
      <c r="BE125" s="34" t="s">
        <v>99</v>
      </c>
      <c r="BG125" s="34" t="s">
        <v>101</v>
      </c>
      <c r="BH125" s="34" t="s">
        <v>102</v>
      </c>
      <c r="BJ125" s="34" t="s">
        <v>104</v>
      </c>
      <c r="BK125" s="34" t="s">
        <v>116</v>
      </c>
      <c r="BL125" s="34" t="s">
        <v>110</v>
      </c>
      <c r="BM125" s="34" t="s">
        <v>118</v>
      </c>
      <c r="BN125" s="34" t="s">
        <v>114</v>
      </c>
      <c r="BO125" s="34" t="s">
        <v>106</v>
      </c>
      <c r="BP125" s="34" t="s">
        <v>108</v>
      </c>
      <c r="BQ125" s="34" t="s">
        <v>111</v>
      </c>
      <c r="BR125" s="34" t="s">
        <v>107</v>
      </c>
    </row>
    <row r="126" spans="49:70" x14ac:dyDescent="0.25">
      <c r="AW126" s="34" t="str">
        <f t="shared" si="16"/>
        <v>BCDFGIJK</v>
      </c>
      <c r="AX126" s="34">
        <v>124</v>
      </c>
      <c r="AZ126" s="34" t="s">
        <v>117</v>
      </c>
      <c r="BA126" s="34" t="s">
        <v>115</v>
      </c>
      <c r="BB126" s="34" t="s">
        <v>113</v>
      </c>
      <c r="BD126" s="34" t="s">
        <v>98</v>
      </c>
      <c r="BE126" s="34" t="s">
        <v>99</v>
      </c>
      <c r="BG126" s="34" t="s">
        <v>101</v>
      </c>
      <c r="BH126" s="34" t="s">
        <v>102</v>
      </c>
      <c r="BI126" s="34" t="s">
        <v>103</v>
      </c>
      <c r="BK126" s="34" t="s">
        <v>116</v>
      </c>
      <c r="BL126" s="34" t="s">
        <v>110</v>
      </c>
      <c r="BM126" s="34" t="s">
        <v>118</v>
      </c>
      <c r="BN126" s="34" t="s">
        <v>114</v>
      </c>
      <c r="BO126" s="34" t="s">
        <v>106</v>
      </c>
      <c r="BP126" s="34" t="s">
        <v>108</v>
      </c>
      <c r="BQ126" s="34" t="s">
        <v>107</v>
      </c>
      <c r="BR126" s="34" t="s">
        <v>112</v>
      </c>
    </row>
    <row r="127" spans="49:70" x14ac:dyDescent="0.25">
      <c r="AW127" s="34" t="str">
        <f t="shared" si="16"/>
        <v>BCDFGHKL</v>
      </c>
      <c r="AX127" s="34">
        <v>125</v>
      </c>
      <c r="AZ127" s="34" t="s">
        <v>117</v>
      </c>
      <c r="BA127" s="34" t="s">
        <v>115</v>
      </c>
      <c r="BB127" s="34" t="s">
        <v>113</v>
      </c>
      <c r="BD127" s="34" t="s">
        <v>98</v>
      </c>
      <c r="BE127" s="34" t="s">
        <v>99</v>
      </c>
      <c r="BF127" s="34" t="s">
        <v>100</v>
      </c>
      <c r="BI127" s="34" t="s">
        <v>103</v>
      </c>
      <c r="BJ127" s="34" t="s">
        <v>104</v>
      </c>
      <c r="BK127" s="34" t="s">
        <v>116</v>
      </c>
      <c r="BL127" s="34" t="s">
        <v>110</v>
      </c>
      <c r="BM127" s="34" t="s">
        <v>118</v>
      </c>
      <c r="BN127" s="34" t="s">
        <v>114</v>
      </c>
      <c r="BO127" s="34" t="s">
        <v>109</v>
      </c>
      <c r="BP127" s="34" t="s">
        <v>108</v>
      </c>
      <c r="BQ127" s="34" t="s">
        <v>111</v>
      </c>
      <c r="BR127" s="34" t="s">
        <v>112</v>
      </c>
    </row>
    <row r="128" spans="49:70" x14ac:dyDescent="0.25">
      <c r="AW128" s="34" t="str">
        <f t="shared" si="16"/>
        <v>BCDFGHJL</v>
      </c>
      <c r="AX128" s="34">
        <v>126</v>
      </c>
      <c r="AZ128" s="34" t="s">
        <v>117</v>
      </c>
      <c r="BA128" s="34" t="s">
        <v>115</v>
      </c>
      <c r="BB128" s="34" t="s">
        <v>113</v>
      </c>
      <c r="BD128" s="34" t="s">
        <v>98</v>
      </c>
      <c r="BE128" s="34" t="s">
        <v>99</v>
      </c>
      <c r="BF128" s="34" t="s">
        <v>100</v>
      </c>
      <c r="BH128" s="34" t="s">
        <v>102</v>
      </c>
      <c r="BJ128" s="34" t="s">
        <v>104</v>
      </c>
      <c r="BK128" s="34" t="s">
        <v>116</v>
      </c>
      <c r="BL128" s="34" t="s">
        <v>110</v>
      </c>
      <c r="BM128" s="34" t="s">
        <v>118</v>
      </c>
      <c r="BN128" s="34" t="s">
        <v>114</v>
      </c>
      <c r="BO128" s="34" t="s">
        <v>109</v>
      </c>
      <c r="BP128" s="34" t="s">
        <v>108</v>
      </c>
      <c r="BQ128" s="34" t="s">
        <v>111</v>
      </c>
      <c r="BR128" s="34" t="s">
        <v>106</v>
      </c>
    </row>
    <row r="129" spans="49:70" x14ac:dyDescent="0.25">
      <c r="AW129" s="34" t="str">
        <f t="shared" si="16"/>
        <v>BCDFGHJK</v>
      </c>
      <c r="AX129" s="34">
        <v>127</v>
      </c>
      <c r="AZ129" s="34" t="s">
        <v>117</v>
      </c>
      <c r="BA129" s="34" t="s">
        <v>115</v>
      </c>
      <c r="BB129" s="34" t="s">
        <v>113</v>
      </c>
      <c r="BD129" s="34" t="s">
        <v>98</v>
      </c>
      <c r="BE129" s="34" t="s">
        <v>99</v>
      </c>
      <c r="BF129" s="34" t="s">
        <v>100</v>
      </c>
      <c r="BH129" s="34" t="s">
        <v>102</v>
      </c>
      <c r="BI129" s="34" t="s">
        <v>103</v>
      </c>
      <c r="BK129" s="34" t="s">
        <v>109</v>
      </c>
      <c r="BL129" s="34" t="s">
        <v>110</v>
      </c>
      <c r="BM129" s="34" t="s">
        <v>118</v>
      </c>
      <c r="BN129" s="34" t="s">
        <v>116</v>
      </c>
      <c r="BO129" s="34" t="s">
        <v>106</v>
      </c>
      <c r="BP129" s="34" t="s">
        <v>108</v>
      </c>
      <c r="BQ129" s="34" t="s">
        <v>114</v>
      </c>
      <c r="BR129" s="34" t="s">
        <v>112</v>
      </c>
    </row>
    <row r="130" spans="49:70" x14ac:dyDescent="0.25">
      <c r="AW130" s="34" t="str">
        <f t="shared" si="16"/>
        <v>BCDFGHIL</v>
      </c>
      <c r="AX130" s="34">
        <v>128</v>
      </c>
      <c r="AZ130" s="34" t="s">
        <v>117</v>
      </c>
      <c r="BA130" s="34" t="s">
        <v>115</v>
      </c>
      <c r="BB130" s="34" t="s">
        <v>113</v>
      </c>
      <c r="BD130" s="34" t="s">
        <v>98</v>
      </c>
      <c r="BE130" s="34" t="s">
        <v>99</v>
      </c>
      <c r="BF130" s="34" t="s">
        <v>100</v>
      </c>
      <c r="BG130" s="34" t="s">
        <v>101</v>
      </c>
      <c r="BJ130" s="34" t="s">
        <v>104</v>
      </c>
      <c r="BK130" s="34" t="s">
        <v>116</v>
      </c>
      <c r="BL130" s="34" t="s">
        <v>110</v>
      </c>
      <c r="BM130" s="34" t="s">
        <v>118</v>
      </c>
      <c r="BN130" s="34" t="s">
        <v>114</v>
      </c>
      <c r="BO130" s="34" t="s">
        <v>109</v>
      </c>
      <c r="BP130" s="34" t="s">
        <v>108</v>
      </c>
      <c r="BQ130" s="34" t="s">
        <v>111</v>
      </c>
      <c r="BR130" s="34" t="s">
        <v>107</v>
      </c>
    </row>
    <row r="131" spans="49:70" x14ac:dyDescent="0.25">
      <c r="AW131" s="34" t="str">
        <f t="shared" si="16"/>
        <v>BCDFGHIK</v>
      </c>
      <c r="AX131" s="34">
        <v>129</v>
      </c>
      <c r="AZ131" s="34" t="s">
        <v>117</v>
      </c>
      <c r="BA131" s="34" t="s">
        <v>115</v>
      </c>
      <c r="BB131" s="34" t="s">
        <v>113</v>
      </c>
      <c r="BD131" s="34" t="s">
        <v>98</v>
      </c>
      <c r="BE131" s="34" t="s">
        <v>99</v>
      </c>
      <c r="BF131" s="34" t="s">
        <v>100</v>
      </c>
      <c r="BG131" s="34" t="s">
        <v>101</v>
      </c>
      <c r="BI131" s="34" t="s">
        <v>103</v>
      </c>
      <c r="BK131" s="34" t="s">
        <v>116</v>
      </c>
      <c r="BL131" s="34" t="s">
        <v>110</v>
      </c>
      <c r="BM131" s="34" t="s">
        <v>118</v>
      </c>
      <c r="BN131" s="34" t="s">
        <v>114</v>
      </c>
      <c r="BO131" s="34" t="s">
        <v>109</v>
      </c>
      <c r="BP131" s="34" t="s">
        <v>108</v>
      </c>
      <c r="BQ131" s="34" t="s">
        <v>107</v>
      </c>
      <c r="BR131" s="34" t="s">
        <v>112</v>
      </c>
    </row>
    <row r="132" spans="49:70" x14ac:dyDescent="0.25">
      <c r="AW132" s="34" t="str">
        <f t="shared" ref="AW132:AW195" si="17">AY132&amp;AZ132&amp;BA132&amp;BB132&amp;BC132&amp;BD132&amp;BE132&amp;BF132&amp;BG132&amp;BH132&amp;BI132&amp;BJ132</f>
        <v>BCDFGHIJ</v>
      </c>
      <c r="AX132" s="34">
        <v>130</v>
      </c>
      <c r="AZ132" s="34" t="s">
        <v>117</v>
      </c>
      <c r="BA132" s="34" t="s">
        <v>115</v>
      </c>
      <c r="BB132" s="34" t="s">
        <v>113</v>
      </c>
      <c r="BD132" s="34" t="s">
        <v>98</v>
      </c>
      <c r="BE132" s="34" t="s">
        <v>99</v>
      </c>
      <c r="BF132" s="34" t="s">
        <v>100</v>
      </c>
      <c r="BG132" s="34" t="s">
        <v>101</v>
      </c>
      <c r="BH132" s="34" t="s">
        <v>102</v>
      </c>
      <c r="BK132" s="34" t="s">
        <v>109</v>
      </c>
      <c r="BL132" s="34" t="s">
        <v>110</v>
      </c>
      <c r="BM132" s="34" t="s">
        <v>118</v>
      </c>
      <c r="BN132" s="34" t="s">
        <v>116</v>
      </c>
      <c r="BO132" s="34" t="s">
        <v>106</v>
      </c>
      <c r="BP132" s="34" t="s">
        <v>108</v>
      </c>
      <c r="BQ132" s="34" t="s">
        <v>114</v>
      </c>
      <c r="BR132" s="34" t="s">
        <v>107</v>
      </c>
    </row>
    <row r="133" spans="49:70" x14ac:dyDescent="0.25">
      <c r="AW133" s="34" t="str">
        <f t="shared" si="17"/>
        <v>BCDEIJKL</v>
      </c>
      <c r="AX133" s="34">
        <v>131</v>
      </c>
      <c r="AZ133" s="34" t="s">
        <v>117</v>
      </c>
      <c r="BA133" s="34" t="s">
        <v>115</v>
      </c>
      <c r="BB133" s="34" t="s">
        <v>113</v>
      </c>
      <c r="BC133" s="34" t="s">
        <v>97</v>
      </c>
      <c r="BG133" s="34" t="s">
        <v>101</v>
      </c>
      <c r="BH133" s="34" t="s">
        <v>102</v>
      </c>
      <c r="BI133" s="34" t="s">
        <v>103</v>
      </c>
      <c r="BJ133" s="34" t="s">
        <v>104</v>
      </c>
      <c r="BK133" s="34" t="s">
        <v>105</v>
      </c>
      <c r="BL133" s="34" t="s">
        <v>106</v>
      </c>
      <c r="BM133" s="34" t="s">
        <v>118</v>
      </c>
      <c r="BN133" s="34" t="s">
        <v>116</v>
      </c>
      <c r="BO133" s="34" t="s">
        <v>107</v>
      </c>
      <c r="BP133" s="34" t="s">
        <v>114</v>
      </c>
      <c r="BQ133" s="34" t="s">
        <v>111</v>
      </c>
      <c r="BR133" s="34" t="s">
        <v>112</v>
      </c>
    </row>
    <row r="134" spans="49:70" x14ac:dyDescent="0.25">
      <c r="AW134" s="34" t="str">
        <f t="shared" si="17"/>
        <v>BCDEHJKL</v>
      </c>
      <c r="AX134" s="34">
        <v>132</v>
      </c>
      <c r="AZ134" s="34" t="s">
        <v>117</v>
      </c>
      <c r="BA134" s="34" t="s">
        <v>115</v>
      </c>
      <c r="BB134" s="34" t="s">
        <v>113</v>
      </c>
      <c r="BC134" s="34" t="s">
        <v>97</v>
      </c>
      <c r="BF134" s="34" t="s">
        <v>100</v>
      </c>
      <c r="BH134" s="34" t="s">
        <v>102</v>
      </c>
      <c r="BI134" s="34" t="s">
        <v>103</v>
      </c>
      <c r="BJ134" s="34" t="s">
        <v>104</v>
      </c>
      <c r="BK134" s="34" t="s">
        <v>105</v>
      </c>
      <c r="BL134" s="34" t="s">
        <v>106</v>
      </c>
      <c r="BM134" s="34" t="s">
        <v>118</v>
      </c>
      <c r="BN134" s="34" t="s">
        <v>116</v>
      </c>
      <c r="BO134" s="34" t="s">
        <v>109</v>
      </c>
      <c r="BP134" s="34" t="s">
        <v>114</v>
      </c>
      <c r="BQ134" s="34" t="s">
        <v>111</v>
      </c>
      <c r="BR134" s="34" t="s">
        <v>112</v>
      </c>
    </row>
    <row r="135" spans="49:70" x14ac:dyDescent="0.25">
      <c r="AW135" s="34" t="str">
        <f t="shared" si="17"/>
        <v>BCDEHIKL</v>
      </c>
      <c r="AX135" s="34">
        <v>133</v>
      </c>
      <c r="AZ135" s="34" t="s">
        <v>117</v>
      </c>
      <c r="BA135" s="34" t="s">
        <v>115</v>
      </c>
      <c r="BB135" s="34" t="s">
        <v>113</v>
      </c>
      <c r="BC135" s="34" t="s">
        <v>97</v>
      </c>
      <c r="BF135" s="34" t="s">
        <v>100</v>
      </c>
      <c r="BG135" s="34" t="s">
        <v>101</v>
      </c>
      <c r="BI135" s="34" t="s">
        <v>103</v>
      </c>
      <c r="BJ135" s="34" t="s">
        <v>104</v>
      </c>
      <c r="BK135" s="34" t="s">
        <v>105</v>
      </c>
      <c r="BL135" s="34" t="s">
        <v>107</v>
      </c>
      <c r="BM135" s="34" t="s">
        <v>118</v>
      </c>
      <c r="BN135" s="34" t="s">
        <v>116</v>
      </c>
      <c r="BO135" s="34" t="s">
        <v>109</v>
      </c>
      <c r="BP135" s="34" t="s">
        <v>114</v>
      </c>
      <c r="BQ135" s="34" t="s">
        <v>111</v>
      </c>
      <c r="BR135" s="34" t="s">
        <v>112</v>
      </c>
    </row>
    <row r="136" spans="49:70" x14ac:dyDescent="0.25">
      <c r="AW136" s="34" t="str">
        <f t="shared" si="17"/>
        <v>BCDEHIJL</v>
      </c>
      <c r="AX136" s="34">
        <v>134</v>
      </c>
      <c r="AZ136" s="34" t="s">
        <v>117</v>
      </c>
      <c r="BA136" s="34" t="s">
        <v>115</v>
      </c>
      <c r="BB136" s="34" t="s">
        <v>113</v>
      </c>
      <c r="BC136" s="34" t="s">
        <v>97</v>
      </c>
      <c r="BF136" s="34" t="s">
        <v>100</v>
      </c>
      <c r="BG136" s="34" t="s">
        <v>101</v>
      </c>
      <c r="BH136" s="34" t="s">
        <v>102</v>
      </c>
      <c r="BJ136" s="34" t="s">
        <v>104</v>
      </c>
      <c r="BK136" s="34" t="s">
        <v>105</v>
      </c>
      <c r="BL136" s="34" t="s">
        <v>106</v>
      </c>
      <c r="BM136" s="34" t="s">
        <v>118</v>
      </c>
      <c r="BN136" s="34" t="s">
        <v>116</v>
      </c>
      <c r="BO136" s="34" t="s">
        <v>109</v>
      </c>
      <c r="BP136" s="34" t="s">
        <v>114</v>
      </c>
      <c r="BQ136" s="34" t="s">
        <v>111</v>
      </c>
      <c r="BR136" s="34" t="s">
        <v>107</v>
      </c>
    </row>
    <row r="137" spans="49:70" x14ac:dyDescent="0.25">
      <c r="AW137" s="34" t="str">
        <f t="shared" si="17"/>
        <v>BCDEHIJK</v>
      </c>
      <c r="AX137" s="34">
        <v>135</v>
      </c>
      <c r="AZ137" s="34" t="s">
        <v>117</v>
      </c>
      <c r="BA137" s="34" t="s">
        <v>115</v>
      </c>
      <c r="BB137" s="34" t="s">
        <v>113</v>
      </c>
      <c r="BC137" s="34" t="s">
        <v>97</v>
      </c>
      <c r="BF137" s="34" t="s">
        <v>100</v>
      </c>
      <c r="BG137" s="34" t="s">
        <v>101</v>
      </c>
      <c r="BH137" s="34" t="s">
        <v>102</v>
      </c>
      <c r="BI137" s="34" t="s">
        <v>103</v>
      </c>
      <c r="BK137" s="34" t="s">
        <v>105</v>
      </c>
      <c r="BL137" s="34" t="s">
        <v>106</v>
      </c>
      <c r="BM137" s="34" t="s">
        <v>118</v>
      </c>
      <c r="BN137" s="34" t="s">
        <v>116</v>
      </c>
      <c r="BO137" s="34" t="s">
        <v>109</v>
      </c>
      <c r="BP137" s="34" t="s">
        <v>114</v>
      </c>
      <c r="BQ137" s="34" t="s">
        <v>107</v>
      </c>
      <c r="BR137" s="34" t="s">
        <v>112</v>
      </c>
    </row>
    <row r="138" spans="49:70" x14ac:dyDescent="0.25">
      <c r="AW138" s="34" t="str">
        <f t="shared" si="17"/>
        <v>BCDEGJKL</v>
      </c>
      <c r="AX138" s="34">
        <v>136</v>
      </c>
      <c r="AZ138" s="34" t="s">
        <v>117</v>
      </c>
      <c r="BA138" s="34" t="s">
        <v>115</v>
      </c>
      <c r="BB138" s="34" t="s">
        <v>113</v>
      </c>
      <c r="BC138" s="34" t="s">
        <v>97</v>
      </c>
      <c r="BE138" s="34" t="s">
        <v>99</v>
      </c>
      <c r="BH138" s="34" t="s">
        <v>102</v>
      </c>
      <c r="BI138" s="34" t="s">
        <v>103</v>
      </c>
      <c r="BJ138" s="34" t="s">
        <v>104</v>
      </c>
      <c r="BK138" s="34" t="s">
        <v>105</v>
      </c>
      <c r="BL138" s="34" t="s">
        <v>110</v>
      </c>
      <c r="BM138" s="34" t="s">
        <v>118</v>
      </c>
      <c r="BN138" s="34" t="s">
        <v>116</v>
      </c>
      <c r="BO138" s="34" t="s">
        <v>106</v>
      </c>
      <c r="BP138" s="34" t="s">
        <v>114</v>
      </c>
      <c r="BQ138" s="34" t="s">
        <v>111</v>
      </c>
      <c r="BR138" s="34" t="s">
        <v>112</v>
      </c>
    </row>
    <row r="139" spans="49:70" x14ac:dyDescent="0.25">
      <c r="AW139" s="34" t="str">
        <f t="shared" si="17"/>
        <v>BCDEGIKL</v>
      </c>
      <c r="AX139" s="34">
        <v>137</v>
      </c>
      <c r="AZ139" s="34" t="s">
        <v>117</v>
      </c>
      <c r="BA139" s="34" t="s">
        <v>115</v>
      </c>
      <c r="BB139" s="34" t="s">
        <v>113</v>
      </c>
      <c r="BC139" s="34" t="s">
        <v>97</v>
      </c>
      <c r="BE139" s="34" t="s">
        <v>99</v>
      </c>
      <c r="BG139" s="34" t="s">
        <v>101</v>
      </c>
      <c r="BI139" s="34" t="s">
        <v>103</v>
      </c>
      <c r="BJ139" s="34" t="s">
        <v>104</v>
      </c>
      <c r="BK139" s="34" t="s">
        <v>105</v>
      </c>
      <c r="BL139" s="34" t="s">
        <v>110</v>
      </c>
      <c r="BM139" s="34" t="s">
        <v>118</v>
      </c>
      <c r="BN139" s="34" t="s">
        <v>116</v>
      </c>
      <c r="BO139" s="34" t="s">
        <v>107</v>
      </c>
      <c r="BP139" s="34" t="s">
        <v>114</v>
      </c>
      <c r="BQ139" s="34" t="s">
        <v>111</v>
      </c>
      <c r="BR139" s="34" t="s">
        <v>112</v>
      </c>
    </row>
    <row r="140" spans="49:70" x14ac:dyDescent="0.25">
      <c r="AW140" s="34" t="str">
        <f t="shared" si="17"/>
        <v>BCDEGIJL</v>
      </c>
      <c r="AX140" s="34">
        <v>138</v>
      </c>
      <c r="AZ140" s="34" t="s">
        <v>117</v>
      </c>
      <c r="BA140" s="34" t="s">
        <v>115</v>
      </c>
      <c r="BB140" s="34" t="s">
        <v>113</v>
      </c>
      <c r="BC140" s="34" t="s">
        <v>97</v>
      </c>
      <c r="BE140" s="34" t="s">
        <v>99</v>
      </c>
      <c r="BG140" s="34" t="s">
        <v>101</v>
      </c>
      <c r="BH140" s="34" t="s">
        <v>102</v>
      </c>
      <c r="BJ140" s="34" t="s">
        <v>104</v>
      </c>
      <c r="BK140" s="34" t="s">
        <v>105</v>
      </c>
      <c r="BL140" s="34" t="s">
        <v>110</v>
      </c>
      <c r="BM140" s="34" t="s">
        <v>118</v>
      </c>
      <c r="BN140" s="34" t="s">
        <v>116</v>
      </c>
      <c r="BO140" s="34" t="s">
        <v>106</v>
      </c>
      <c r="BP140" s="34" t="s">
        <v>114</v>
      </c>
      <c r="BQ140" s="34" t="s">
        <v>111</v>
      </c>
      <c r="BR140" s="34" t="s">
        <v>107</v>
      </c>
    </row>
    <row r="141" spans="49:70" x14ac:dyDescent="0.25">
      <c r="AW141" s="34" t="str">
        <f t="shared" si="17"/>
        <v>BCDEGIJK</v>
      </c>
      <c r="AX141" s="34">
        <v>139</v>
      </c>
      <c r="AZ141" s="34" t="s">
        <v>117</v>
      </c>
      <c r="BA141" s="34" t="s">
        <v>115</v>
      </c>
      <c r="BB141" s="34" t="s">
        <v>113</v>
      </c>
      <c r="BC141" s="34" t="s">
        <v>97</v>
      </c>
      <c r="BE141" s="34" t="s">
        <v>99</v>
      </c>
      <c r="BG141" s="34" t="s">
        <v>101</v>
      </c>
      <c r="BH141" s="34" t="s">
        <v>102</v>
      </c>
      <c r="BI141" s="34" t="s">
        <v>103</v>
      </c>
      <c r="BK141" s="34" t="s">
        <v>105</v>
      </c>
      <c r="BL141" s="34" t="s">
        <v>110</v>
      </c>
      <c r="BM141" s="34" t="s">
        <v>118</v>
      </c>
      <c r="BN141" s="34" t="s">
        <v>116</v>
      </c>
      <c r="BO141" s="34" t="s">
        <v>106</v>
      </c>
      <c r="BP141" s="34" t="s">
        <v>114</v>
      </c>
      <c r="BQ141" s="34" t="s">
        <v>107</v>
      </c>
      <c r="BR141" s="34" t="s">
        <v>112</v>
      </c>
    </row>
    <row r="142" spans="49:70" x14ac:dyDescent="0.25">
      <c r="AW142" s="34" t="str">
        <f t="shared" si="17"/>
        <v>BCDEGHKL</v>
      </c>
      <c r="AX142" s="34">
        <v>140</v>
      </c>
      <c r="AZ142" s="34" t="s">
        <v>117</v>
      </c>
      <c r="BA142" s="34" t="s">
        <v>115</v>
      </c>
      <c r="BB142" s="34" t="s">
        <v>113</v>
      </c>
      <c r="BC142" s="34" t="s">
        <v>97</v>
      </c>
      <c r="BE142" s="34" t="s">
        <v>99</v>
      </c>
      <c r="BF142" s="34" t="s">
        <v>100</v>
      </c>
      <c r="BI142" s="34" t="s">
        <v>103</v>
      </c>
      <c r="BJ142" s="34" t="s">
        <v>104</v>
      </c>
      <c r="BK142" s="34" t="s">
        <v>105</v>
      </c>
      <c r="BL142" s="34" t="s">
        <v>110</v>
      </c>
      <c r="BM142" s="34" t="s">
        <v>118</v>
      </c>
      <c r="BN142" s="34" t="s">
        <v>116</v>
      </c>
      <c r="BO142" s="34" t="s">
        <v>109</v>
      </c>
      <c r="BP142" s="34" t="s">
        <v>114</v>
      </c>
      <c r="BQ142" s="34" t="s">
        <v>111</v>
      </c>
      <c r="BR142" s="34" t="s">
        <v>112</v>
      </c>
    </row>
    <row r="143" spans="49:70" x14ac:dyDescent="0.25">
      <c r="AW143" s="34" t="str">
        <f t="shared" si="17"/>
        <v>BCDEGHJL</v>
      </c>
      <c r="AX143" s="34">
        <v>141</v>
      </c>
      <c r="AZ143" s="34" t="s">
        <v>117</v>
      </c>
      <c r="BA143" s="34" t="s">
        <v>115</v>
      </c>
      <c r="BB143" s="34" t="s">
        <v>113</v>
      </c>
      <c r="BC143" s="34" t="s">
        <v>97</v>
      </c>
      <c r="BE143" s="34" t="s">
        <v>99</v>
      </c>
      <c r="BF143" s="34" t="s">
        <v>100</v>
      </c>
      <c r="BH143" s="34" t="s">
        <v>102</v>
      </c>
      <c r="BJ143" s="34" t="s">
        <v>104</v>
      </c>
      <c r="BK143" s="34" t="s">
        <v>109</v>
      </c>
      <c r="BL143" s="34" t="s">
        <v>110</v>
      </c>
      <c r="BM143" s="34" t="s">
        <v>118</v>
      </c>
      <c r="BN143" s="34" t="s">
        <v>116</v>
      </c>
      <c r="BO143" s="34" t="s">
        <v>106</v>
      </c>
      <c r="BP143" s="34" t="s">
        <v>114</v>
      </c>
      <c r="BQ143" s="34" t="s">
        <v>111</v>
      </c>
      <c r="BR143" s="34" t="s">
        <v>105</v>
      </c>
    </row>
    <row r="144" spans="49:70" x14ac:dyDescent="0.25">
      <c r="AW144" s="34" t="str">
        <f t="shared" si="17"/>
        <v>BCDEGHJK</v>
      </c>
      <c r="AX144" s="34">
        <v>142</v>
      </c>
      <c r="AZ144" s="34" t="s">
        <v>117</v>
      </c>
      <c r="BA144" s="34" t="s">
        <v>115</v>
      </c>
      <c r="BB144" s="34" t="s">
        <v>113</v>
      </c>
      <c r="BC144" s="34" t="s">
        <v>97</v>
      </c>
      <c r="BE144" s="34" t="s">
        <v>99</v>
      </c>
      <c r="BF144" s="34" t="s">
        <v>100</v>
      </c>
      <c r="BH144" s="34" t="s">
        <v>102</v>
      </c>
      <c r="BI144" s="34" t="s">
        <v>103</v>
      </c>
      <c r="BK144" s="34" t="s">
        <v>109</v>
      </c>
      <c r="BL144" s="34" t="s">
        <v>110</v>
      </c>
      <c r="BM144" s="34" t="s">
        <v>118</v>
      </c>
      <c r="BN144" s="34" t="s">
        <v>116</v>
      </c>
      <c r="BO144" s="34" t="s">
        <v>106</v>
      </c>
      <c r="BP144" s="34" t="s">
        <v>114</v>
      </c>
      <c r="BQ144" s="34" t="s">
        <v>105</v>
      </c>
      <c r="BR144" s="34" t="s">
        <v>112</v>
      </c>
    </row>
    <row r="145" spans="49:70" x14ac:dyDescent="0.25">
      <c r="AW145" s="34" t="str">
        <f t="shared" si="17"/>
        <v>BCDEGHIL</v>
      </c>
      <c r="AX145" s="34">
        <v>143</v>
      </c>
      <c r="AZ145" s="34" t="s">
        <v>117</v>
      </c>
      <c r="BA145" s="34" t="s">
        <v>115</v>
      </c>
      <c r="BB145" s="34" t="s">
        <v>113</v>
      </c>
      <c r="BC145" s="34" t="s">
        <v>97</v>
      </c>
      <c r="BE145" s="34" t="s">
        <v>99</v>
      </c>
      <c r="BF145" s="34" t="s">
        <v>100</v>
      </c>
      <c r="BG145" s="34" t="s">
        <v>101</v>
      </c>
      <c r="BJ145" s="34" t="s">
        <v>104</v>
      </c>
      <c r="BK145" s="34" t="s">
        <v>105</v>
      </c>
      <c r="BL145" s="34" t="s">
        <v>110</v>
      </c>
      <c r="BM145" s="34" t="s">
        <v>118</v>
      </c>
      <c r="BN145" s="34" t="s">
        <v>116</v>
      </c>
      <c r="BO145" s="34" t="s">
        <v>109</v>
      </c>
      <c r="BP145" s="34" t="s">
        <v>114</v>
      </c>
      <c r="BQ145" s="34" t="s">
        <v>111</v>
      </c>
      <c r="BR145" s="34" t="s">
        <v>107</v>
      </c>
    </row>
    <row r="146" spans="49:70" x14ac:dyDescent="0.25">
      <c r="AW146" s="34" t="str">
        <f t="shared" si="17"/>
        <v>BCDEGHIK</v>
      </c>
      <c r="AX146" s="34">
        <v>144</v>
      </c>
      <c r="AZ146" s="34" t="s">
        <v>117</v>
      </c>
      <c r="BA146" s="34" t="s">
        <v>115</v>
      </c>
      <c r="BB146" s="34" t="s">
        <v>113</v>
      </c>
      <c r="BC146" s="34" t="s">
        <v>97</v>
      </c>
      <c r="BE146" s="34" t="s">
        <v>99</v>
      </c>
      <c r="BF146" s="34" t="s">
        <v>100</v>
      </c>
      <c r="BG146" s="34" t="s">
        <v>101</v>
      </c>
      <c r="BI146" s="34" t="s">
        <v>103</v>
      </c>
      <c r="BK146" s="34" t="s">
        <v>105</v>
      </c>
      <c r="BL146" s="34" t="s">
        <v>110</v>
      </c>
      <c r="BM146" s="34" t="s">
        <v>118</v>
      </c>
      <c r="BN146" s="34" t="s">
        <v>116</v>
      </c>
      <c r="BO146" s="34" t="s">
        <v>109</v>
      </c>
      <c r="BP146" s="34" t="s">
        <v>114</v>
      </c>
      <c r="BQ146" s="34" t="s">
        <v>107</v>
      </c>
      <c r="BR146" s="34" t="s">
        <v>112</v>
      </c>
    </row>
    <row r="147" spans="49:70" x14ac:dyDescent="0.25">
      <c r="AW147" s="34" t="str">
        <f t="shared" si="17"/>
        <v>BCDEGHIJ</v>
      </c>
      <c r="AX147" s="34">
        <v>145</v>
      </c>
      <c r="AZ147" s="34" t="s">
        <v>117</v>
      </c>
      <c r="BA147" s="34" t="s">
        <v>115</v>
      </c>
      <c r="BB147" s="34" t="s">
        <v>113</v>
      </c>
      <c r="BC147" s="34" t="s">
        <v>97</v>
      </c>
      <c r="BE147" s="34" t="s">
        <v>99</v>
      </c>
      <c r="BF147" s="34" t="s">
        <v>100</v>
      </c>
      <c r="BG147" s="34" t="s">
        <v>101</v>
      </c>
      <c r="BH147" s="34" t="s">
        <v>102</v>
      </c>
      <c r="BK147" s="34" t="s">
        <v>109</v>
      </c>
      <c r="BL147" s="34" t="s">
        <v>110</v>
      </c>
      <c r="BM147" s="34" t="s">
        <v>118</v>
      </c>
      <c r="BN147" s="34" t="s">
        <v>116</v>
      </c>
      <c r="BO147" s="34" t="s">
        <v>106</v>
      </c>
      <c r="BP147" s="34" t="s">
        <v>114</v>
      </c>
      <c r="BQ147" s="34" t="s">
        <v>105</v>
      </c>
      <c r="BR147" s="34" t="s">
        <v>107</v>
      </c>
    </row>
    <row r="148" spans="49:70" x14ac:dyDescent="0.25">
      <c r="AW148" s="34" t="str">
        <f t="shared" si="17"/>
        <v>BCDEFJKL</v>
      </c>
      <c r="AX148" s="34">
        <v>146</v>
      </c>
      <c r="AZ148" s="34" t="s">
        <v>117</v>
      </c>
      <c r="BA148" s="34" t="s">
        <v>115</v>
      </c>
      <c r="BB148" s="34" t="s">
        <v>113</v>
      </c>
      <c r="BC148" s="34" t="s">
        <v>97</v>
      </c>
      <c r="BD148" s="34" t="s">
        <v>98</v>
      </c>
      <c r="BH148" s="34" t="s">
        <v>102</v>
      </c>
      <c r="BI148" s="34" t="s">
        <v>103</v>
      </c>
      <c r="BJ148" s="34" t="s">
        <v>104</v>
      </c>
      <c r="BK148" s="34" t="s">
        <v>116</v>
      </c>
      <c r="BL148" s="34" t="s">
        <v>106</v>
      </c>
      <c r="BM148" s="34" t="s">
        <v>118</v>
      </c>
      <c r="BN148" s="34" t="s">
        <v>114</v>
      </c>
      <c r="BO148" s="34" t="s">
        <v>105</v>
      </c>
      <c r="BP148" s="34" t="s">
        <v>108</v>
      </c>
      <c r="BQ148" s="34" t="s">
        <v>111</v>
      </c>
      <c r="BR148" s="34" t="s">
        <v>112</v>
      </c>
    </row>
    <row r="149" spans="49:70" x14ac:dyDescent="0.25">
      <c r="AW149" s="34" t="str">
        <f t="shared" si="17"/>
        <v>BCDEFIKL</v>
      </c>
      <c r="AX149" s="34">
        <v>147</v>
      </c>
      <c r="AZ149" s="34" t="s">
        <v>117</v>
      </c>
      <c r="BA149" s="34" t="s">
        <v>115</v>
      </c>
      <c r="BB149" s="34" t="s">
        <v>113</v>
      </c>
      <c r="BC149" s="34" t="s">
        <v>97</v>
      </c>
      <c r="BD149" s="34" t="s">
        <v>98</v>
      </c>
      <c r="BG149" s="34" t="s">
        <v>101</v>
      </c>
      <c r="BI149" s="34" t="s">
        <v>103</v>
      </c>
      <c r="BJ149" s="34" t="s">
        <v>104</v>
      </c>
      <c r="BK149" s="34" t="s">
        <v>116</v>
      </c>
      <c r="BL149" s="34" t="s">
        <v>105</v>
      </c>
      <c r="BM149" s="34" t="s">
        <v>118</v>
      </c>
      <c r="BN149" s="34" t="s">
        <v>114</v>
      </c>
      <c r="BO149" s="34" t="s">
        <v>107</v>
      </c>
      <c r="BP149" s="34" t="s">
        <v>108</v>
      </c>
      <c r="BQ149" s="34" t="s">
        <v>111</v>
      </c>
      <c r="BR149" s="34" t="s">
        <v>112</v>
      </c>
    </row>
    <row r="150" spans="49:70" x14ac:dyDescent="0.25">
      <c r="AW150" s="34" t="str">
        <f t="shared" si="17"/>
        <v>BCDEFIJL</v>
      </c>
      <c r="AX150" s="34">
        <v>148</v>
      </c>
      <c r="AZ150" s="34" t="s">
        <v>117</v>
      </c>
      <c r="BA150" s="34" t="s">
        <v>115</v>
      </c>
      <c r="BB150" s="34" t="s">
        <v>113</v>
      </c>
      <c r="BC150" s="34" t="s">
        <v>97</v>
      </c>
      <c r="BD150" s="34" t="s">
        <v>98</v>
      </c>
      <c r="BG150" s="34" t="s">
        <v>101</v>
      </c>
      <c r="BH150" s="34" t="s">
        <v>102</v>
      </c>
      <c r="BJ150" s="34" t="s">
        <v>104</v>
      </c>
      <c r="BK150" s="34" t="s">
        <v>116</v>
      </c>
      <c r="BL150" s="34" t="s">
        <v>106</v>
      </c>
      <c r="BM150" s="34" t="s">
        <v>118</v>
      </c>
      <c r="BN150" s="34" t="s">
        <v>114</v>
      </c>
      <c r="BO150" s="34" t="s">
        <v>105</v>
      </c>
      <c r="BP150" s="34" t="s">
        <v>108</v>
      </c>
      <c r="BQ150" s="34" t="s">
        <v>111</v>
      </c>
      <c r="BR150" s="34" t="s">
        <v>107</v>
      </c>
    </row>
    <row r="151" spans="49:70" x14ac:dyDescent="0.25">
      <c r="AW151" s="34" t="str">
        <f t="shared" si="17"/>
        <v>BCDEFIJK</v>
      </c>
      <c r="AX151" s="34">
        <v>149</v>
      </c>
      <c r="AZ151" s="34" t="s">
        <v>117</v>
      </c>
      <c r="BA151" s="34" t="s">
        <v>115</v>
      </c>
      <c r="BB151" s="34" t="s">
        <v>113</v>
      </c>
      <c r="BC151" s="34" t="s">
        <v>97</v>
      </c>
      <c r="BD151" s="34" t="s">
        <v>98</v>
      </c>
      <c r="BG151" s="34" t="s">
        <v>101</v>
      </c>
      <c r="BH151" s="34" t="s">
        <v>102</v>
      </c>
      <c r="BI151" s="34" t="s">
        <v>103</v>
      </c>
      <c r="BK151" s="34" t="s">
        <v>116</v>
      </c>
      <c r="BL151" s="34" t="s">
        <v>106</v>
      </c>
      <c r="BM151" s="34" t="s">
        <v>118</v>
      </c>
      <c r="BN151" s="34" t="s">
        <v>114</v>
      </c>
      <c r="BO151" s="34" t="s">
        <v>105</v>
      </c>
      <c r="BP151" s="34" t="s">
        <v>108</v>
      </c>
      <c r="BQ151" s="34" t="s">
        <v>107</v>
      </c>
      <c r="BR151" s="34" t="s">
        <v>112</v>
      </c>
    </row>
    <row r="152" spans="49:70" x14ac:dyDescent="0.25">
      <c r="AW152" s="34" t="str">
        <f t="shared" si="17"/>
        <v>BCDEFHKL</v>
      </c>
      <c r="AX152" s="34">
        <v>150</v>
      </c>
      <c r="AZ152" s="34" t="s">
        <v>117</v>
      </c>
      <c r="BA152" s="34" t="s">
        <v>115</v>
      </c>
      <c r="BB152" s="34" t="s">
        <v>113</v>
      </c>
      <c r="BC152" s="34" t="s">
        <v>97</v>
      </c>
      <c r="BD152" s="34" t="s">
        <v>98</v>
      </c>
      <c r="BF152" s="34" t="s">
        <v>100</v>
      </c>
      <c r="BI152" s="34" t="s">
        <v>103</v>
      </c>
      <c r="BJ152" s="34" t="s">
        <v>104</v>
      </c>
      <c r="BK152" s="34" t="s">
        <v>116</v>
      </c>
      <c r="BL152" s="34" t="s">
        <v>105</v>
      </c>
      <c r="BM152" s="34" t="s">
        <v>118</v>
      </c>
      <c r="BN152" s="34" t="s">
        <v>114</v>
      </c>
      <c r="BO152" s="34" t="s">
        <v>109</v>
      </c>
      <c r="BP152" s="34" t="s">
        <v>108</v>
      </c>
      <c r="BQ152" s="34" t="s">
        <v>111</v>
      </c>
      <c r="BR152" s="34" t="s">
        <v>112</v>
      </c>
    </row>
    <row r="153" spans="49:70" x14ac:dyDescent="0.25">
      <c r="AW153" s="34" t="str">
        <f t="shared" si="17"/>
        <v>BCDEFHJL</v>
      </c>
      <c r="AX153" s="34">
        <v>151</v>
      </c>
      <c r="AZ153" s="34" t="s">
        <v>117</v>
      </c>
      <c r="BA153" s="34" t="s">
        <v>115</v>
      </c>
      <c r="BB153" s="34" t="s">
        <v>113</v>
      </c>
      <c r="BC153" s="34" t="s">
        <v>97</v>
      </c>
      <c r="BD153" s="34" t="s">
        <v>98</v>
      </c>
      <c r="BF153" s="34" t="s">
        <v>100</v>
      </c>
      <c r="BH153" s="34" t="s">
        <v>102</v>
      </c>
      <c r="BJ153" s="34" t="s">
        <v>104</v>
      </c>
      <c r="BK153" s="34" t="s">
        <v>116</v>
      </c>
      <c r="BL153" s="34" t="s">
        <v>106</v>
      </c>
      <c r="BM153" s="34" t="s">
        <v>118</v>
      </c>
      <c r="BN153" s="34" t="s">
        <v>114</v>
      </c>
      <c r="BO153" s="34" t="s">
        <v>109</v>
      </c>
      <c r="BP153" s="34" t="s">
        <v>108</v>
      </c>
      <c r="BQ153" s="34" t="s">
        <v>111</v>
      </c>
      <c r="BR153" s="34" t="s">
        <v>105</v>
      </c>
    </row>
    <row r="154" spans="49:70" x14ac:dyDescent="0.25">
      <c r="AW154" s="34" t="str">
        <f t="shared" si="17"/>
        <v>BCDEFHJK</v>
      </c>
      <c r="AX154" s="34">
        <v>152</v>
      </c>
      <c r="AZ154" s="34" t="s">
        <v>117</v>
      </c>
      <c r="BA154" s="34" t="s">
        <v>115</v>
      </c>
      <c r="BB154" s="34" t="s">
        <v>113</v>
      </c>
      <c r="BC154" s="34" t="s">
        <v>97</v>
      </c>
      <c r="BD154" s="34" t="s">
        <v>98</v>
      </c>
      <c r="BF154" s="34" t="s">
        <v>100</v>
      </c>
      <c r="BH154" s="34" t="s">
        <v>102</v>
      </c>
      <c r="BI154" s="34" t="s">
        <v>103</v>
      </c>
      <c r="BK154" s="34" t="s">
        <v>116</v>
      </c>
      <c r="BL154" s="34" t="s">
        <v>106</v>
      </c>
      <c r="BM154" s="34" t="s">
        <v>118</v>
      </c>
      <c r="BN154" s="34" t="s">
        <v>114</v>
      </c>
      <c r="BO154" s="34" t="s">
        <v>109</v>
      </c>
      <c r="BP154" s="34" t="s">
        <v>108</v>
      </c>
      <c r="BQ154" s="34" t="s">
        <v>105</v>
      </c>
      <c r="BR154" s="34" t="s">
        <v>112</v>
      </c>
    </row>
    <row r="155" spans="49:70" x14ac:dyDescent="0.25">
      <c r="AW155" s="34" t="str">
        <f t="shared" si="17"/>
        <v>BCDEFHIL</v>
      </c>
      <c r="AX155" s="34">
        <v>153</v>
      </c>
      <c r="AZ155" s="34" t="s">
        <v>117</v>
      </c>
      <c r="BA155" s="34" t="s">
        <v>115</v>
      </c>
      <c r="BB155" s="34" t="s">
        <v>113</v>
      </c>
      <c r="BC155" s="34" t="s">
        <v>97</v>
      </c>
      <c r="BD155" s="34" t="s">
        <v>98</v>
      </c>
      <c r="BF155" s="34" t="s">
        <v>100</v>
      </c>
      <c r="BG155" s="34" t="s">
        <v>101</v>
      </c>
      <c r="BJ155" s="34" t="s">
        <v>104</v>
      </c>
      <c r="BK155" s="34" t="s">
        <v>116</v>
      </c>
      <c r="BL155" s="34" t="s">
        <v>105</v>
      </c>
      <c r="BM155" s="34" t="s">
        <v>118</v>
      </c>
      <c r="BN155" s="34" t="s">
        <v>114</v>
      </c>
      <c r="BO155" s="34" t="s">
        <v>109</v>
      </c>
      <c r="BP155" s="34" t="s">
        <v>108</v>
      </c>
      <c r="BQ155" s="34" t="s">
        <v>111</v>
      </c>
      <c r="BR155" s="34" t="s">
        <v>107</v>
      </c>
    </row>
    <row r="156" spans="49:70" x14ac:dyDescent="0.25">
      <c r="AW156" s="34" t="str">
        <f t="shared" si="17"/>
        <v>BCDEFHIK</v>
      </c>
      <c r="AX156" s="34">
        <v>154</v>
      </c>
      <c r="AZ156" s="34" t="s">
        <v>117</v>
      </c>
      <c r="BA156" s="34" t="s">
        <v>115</v>
      </c>
      <c r="BB156" s="34" t="s">
        <v>113</v>
      </c>
      <c r="BC156" s="34" t="s">
        <v>97</v>
      </c>
      <c r="BD156" s="34" t="s">
        <v>98</v>
      </c>
      <c r="BF156" s="34" t="s">
        <v>100</v>
      </c>
      <c r="BG156" s="34" t="s">
        <v>101</v>
      </c>
      <c r="BI156" s="34" t="s">
        <v>103</v>
      </c>
      <c r="BK156" s="34" t="s">
        <v>116</v>
      </c>
      <c r="BL156" s="34" t="s">
        <v>105</v>
      </c>
      <c r="BM156" s="34" t="s">
        <v>118</v>
      </c>
      <c r="BN156" s="34" t="s">
        <v>114</v>
      </c>
      <c r="BO156" s="34" t="s">
        <v>109</v>
      </c>
      <c r="BP156" s="34" t="s">
        <v>108</v>
      </c>
      <c r="BQ156" s="34" t="s">
        <v>107</v>
      </c>
      <c r="BR156" s="34" t="s">
        <v>112</v>
      </c>
    </row>
    <row r="157" spans="49:70" x14ac:dyDescent="0.25">
      <c r="AW157" s="34" t="str">
        <f t="shared" si="17"/>
        <v>BCDEFHIJ</v>
      </c>
      <c r="AX157" s="34">
        <v>155</v>
      </c>
      <c r="AZ157" s="34" t="s">
        <v>117</v>
      </c>
      <c r="BA157" s="34" t="s">
        <v>115</v>
      </c>
      <c r="BB157" s="34" t="s">
        <v>113</v>
      </c>
      <c r="BC157" s="34" t="s">
        <v>97</v>
      </c>
      <c r="BD157" s="34" t="s">
        <v>98</v>
      </c>
      <c r="BF157" s="34" t="s">
        <v>100</v>
      </c>
      <c r="BG157" s="34" t="s">
        <v>101</v>
      </c>
      <c r="BH157" s="34" t="s">
        <v>102</v>
      </c>
      <c r="BK157" s="34" t="s">
        <v>116</v>
      </c>
      <c r="BL157" s="34" t="s">
        <v>106</v>
      </c>
      <c r="BM157" s="34" t="s">
        <v>118</v>
      </c>
      <c r="BN157" s="34" t="s">
        <v>114</v>
      </c>
      <c r="BO157" s="34" t="s">
        <v>109</v>
      </c>
      <c r="BP157" s="34" t="s">
        <v>108</v>
      </c>
      <c r="BQ157" s="34" t="s">
        <v>105</v>
      </c>
      <c r="BR157" s="34" t="s">
        <v>107</v>
      </c>
    </row>
    <row r="158" spans="49:70" x14ac:dyDescent="0.25">
      <c r="AW158" s="34" t="str">
        <f t="shared" si="17"/>
        <v>BCDEFGKL</v>
      </c>
      <c r="AX158" s="34">
        <v>156</v>
      </c>
      <c r="AZ158" s="34" t="s">
        <v>117</v>
      </c>
      <c r="BA158" s="34" t="s">
        <v>115</v>
      </c>
      <c r="BB158" s="34" t="s">
        <v>113</v>
      </c>
      <c r="BC158" s="34" t="s">
        <v>97</v>
      </c>
      <c r="BD158" s="34" t="s">
        <v>98</v>
      </c>
      <c r="BE158" s="34" t="s">
        <v>99</v>
      </c>
      <c r="BI158" s="34" t="s">
        <v>103</v>
      </c>
      <c r="BJ158" s="34" t="s">
        <v>104</v>
      </c>
      <c r="BK158" s="34" t="s">
        <v>116</v>
      </c>
      <c r="BL158" s="34" t="s">
        <v>110</v>
      </c>
      <c r="BM158" s="34" t="s">
        <v>118</v>
      </c>
      <c r="BN158" s="34" t="s">
        <v>114</v>
      </c>
      <c r="BO158" s="34" t="s">
        <v>105</v>
      </c>
      <c r="BP158" s="34" t="s">
        <v>108</v>
      </c>
      <c r="BQ158" s="34" t="s">
        <v>111</v>
      </c>
      <c r="BR158" s="34" t="s">
        <v>112</v>
      </c>
    </row>
    <row r="159" spans="49:70" x14ac:dyDescent="0.25">
      <c r="AW159" s="34" t="str">
        <f t="shared" si="17"/>
        <v>BCDEFGJL</v>
      </c>
      <c r="AX159" s="34">
        <v>157</v>
      </c>
      <c r="AZ159" s="34" t="s">
        <v>117</v>
      </c>
      <c r="BA159" s="34" t="s">
        <v>115</v>
      </c>
      <c r="BB159" s="34" t="s">
        <v>113</v>
      </c>
      <c r="BC159" s="34" t="s">
        <v>97</v>
      </c>
      <c r="BD159" s="34" t="s">
        <v>98</v>
      </c>
      <c r="BE159" s="34" t="s">
        <v>99</v>
      </c>
      <c r="BH159" s="34" t="s">
        <v>102</v>
      </c>
      <c r="BJ159" s="34" t="s">
        <v>104</v>
      </c>
      <c r="BK159" s="34" t="s">
        <v>116</v>
      </c>
      <c r="BL159" s="34" t="s">
        <v>110</v>
      </c>
      <c r="BM159" s="34" t="s">
        <v>118</v>
      </c>
      <c r="BN159" s="34" t="s">
        <v>114</v>
      </c>
      <c r="BO159" s="34" t="s">
        <v>106</v>
      </c>
      <c r="BP159" s="34" t="s">
        <v>108</v>
      </c>
      <c r="BQ159" s="34" t="s">
        <v>111</v>
      </c>
      <c r="BR159" s="34" t="s">
        <v>105</v>
      </c>
    </row>
    <row r="160" spans="49:70" x14ac:dyDescent="0.25">
      <c r="AW160" s="34" t="str">
        <f t="shared" si="17"/>
        <v>BCDEFGJK</v>
      </c>
      <c r="AX160" s="34">
        <v>158</v>
      </c>
      <c r="AZ160" s="34" t="s">
        <v>117</v>
      </c>
      <c r="BA160" s="34" t="s">
        <v>115</v>
      </c>
      <c r="BB160" s="34" t="s">
        <v>113</v>
      </c>
      <c r="BC160" s="34" t="s">
        <v>97</v>
      </c>
      <c r="BD160" s="34" t="s">
        <v>98</v>
      </c>
      <c r="BE160" s="34" t="s">
        <v>99</v>
      </c>
      <c r="BH160" s="34" t="s">
        <v>102</v>
      </c>
      <c r="BI160" s="34" t="s">
        <v>103</v>
      </c>
      <c r="BK160" s="34" t="s">
        <v>116</v>
      </c>
      <c r="BL160" s="34" t="s">
        <v>110</v>
      </c>
      <c r="BM160" s="34" t="s">
        <v>118</v>
      </c>
      <c r="BN160" s="34" t="s">
        <v>114</v>
      </c>
      <c r="BO160" s="34" t="s">
        <v>106</v>
      </c>
      <c r="BP160" s="34" t="s">
        <v>108</v>
      </c>
      <c r="BQ160" s="34" t="s">
        <v>105</v>
      </c>
      <c r="BR160" s="34" t="s">
        <v>112</v>
      </c>
    </row>
    <row r="161" spans="49:70" x14ac:dyDescent="0.25">
      <c r="AW161" s="34" t="str">
        <f t="shared" si="17"/>
        <v>BCDEFGIL</v>
      </c>
      <c r="AX161" s="34">
        <v>159</v>
      </c>
      <c r="AZ161" s="34" t="s">
        <v>117</v>
      </c>
      <c r="BA161" s="34" t="s">
        <v>115</v>
      </c>
      <c r="BB161" s="34" t="s">
        <v>113</v>
      </c>
      <c r="BC161" s="34" t="s">
        <v>97</v>
      </c>
      <c r="BD161" s="34" t="s">
        <v>98</v>
      </c>
      <c r="BE161" s="34" t="s">
        <v>99</v>
      </c>
      <c r="BG161" s="34" t="s">
        <v>101</v>
      </c>
      <c r="BJ161" s="34" t="s">
        <v>104</v>
      </c>
      <c r="BK161" s="34" t="s">
        <v>116</v>
      </c>
      <c r="BL161" s="34" t="s">
        <v>110</v>
      </c>
      <c r="BM161" s="34" t="s">
        <v>118</v>
      </c>
      <c r="BN161" s="34" t="s">
        <v>114</v>
      </c>
      <c r="BO161" s="34" t="s">
        <v>105</v>
      </c>
      <c r="BP161" s="34" t="s">
        <v>108</v>
      </c>
      <c r="BQ161" s="34" t="s">
        <v>111</v>
      </c>
      <c r="BR161" s="34" t="s">
        <v>107</v>
      </c>
    </row>
    <row r="162" spans="49:70" x14ac:dyDescent="0.25">
      <c r="AW162" s="34" t="str">
        <f t="shared" si="17"/>
        <v>BCDEFGIK</v>
      </c>
      <c r="AX162" s="34">
        <v>160</v>
      </c>
      <c r="AZ162" s="34" t="s">
        <v>117</v>
      </c>
      <c r="BA162" s="34" t="s">
        <v>115</v>
      </c>
      <c r="BB162" s="34" t="s">
        <v>113</v>
      </c>
      <c r="BC162" s="34" t="s">
        <v>97</v>
      </c>
      <c r="BD162" s="34" t="s">
        <v>98</v>
      </c>
      <c r="BE162" s="34" t="s">
        <v>99</v>
      </c>
      <c r="BG162" s="34" t="s">
        <v>101</v>
      </c>
      <c r="BI162" s="34" t="s">
        <v>103</v>
      </c>
      <c r="BK162" s="34" t="s">
        <v>116</v>
      </c>
      <c r="BL162" s="34" t="s">
        <v>110</v>
      </c>
      <c r="BM162" s="34" t="s">
        <v>118</v>
      </c>
      <c r="BN162" s="34" t="s">
        <v>114</v>
      </c>
      <c r="BO162" s="34" t="s">
        <v>105</v>
      </c>
      <c r="BP162" s="34" t="s">
        <v>108</v>
      </c>
      <c r="BQ162" s="34" t="s">
        <v>107</v>
      </c>
      <c r="BR162" s="34" t="s">
        <v>112</v>
      </c>
    </row>
    <row r="163" spans="49:70" x14ac:dyDescent="0.25">
      <c r="AW163" s="34" t="str">
        <f t="shared" si="17"/>
        <v>BCDEFGIJ</v>
      </c>
      <c r="AX163" s="34">
        <v>161</v>
      </c>
      <c r="AZ163" s="34" t="s">
        <v>117</v>
      </c>
      <c r="BA163" s="34" t="s">
        <v>115</v>
      </c>
      <c r="BB163" s="34" t="s">
        <v>113</v>
      </c>
      <c r="BC163" s="34" t="s">
        <v>97</v>
      </c>
      <c r="BD163" s="34" t="s">
        <v>98</v>
      </c>
      <c r="BE163" s="34" t="s">
        <v>99</v>
      </c>
      <c r="BG163" s="34" t="s">
        <v>101</v>
      </c>
      <c r="BH163" s="34" t="s">
        <v>102</v>
      </c>
      <c r="BK163" s="34" t="s">
        <v>116</v>
      </c>
      <c r="BL163" s="34" t="s">
        <v>110</v>
      </c>
      <c r="BM163" s="34" t="s">
        <v>118</v>
      </c>
      <c r="BN163" s="34" t="s">
        <v>114</v>
      </c>
      <c r="BO163" s="34" t="s">
        <v>106</v>
      </c>
      <c r="BP163" s="34" t="s">
        <v>108</v>
      </c>
      <c r="BQ163" s="34" t="s">
        <v>105</v>
      </c>
      <c r="BR163" s="34" t="s">
        <v>107</v>
      </c>
    </row>
    <row r="164" spans="49:70" x14ac:dyDescent="0.25">
      <c r="AW164" s="34" t="str">
        <f t="shared" si="17"/>
        <v>BCDEFGHL</v>
      </c>
      <c r="AX164" s="34">
        <v>162</v>
      </c>
      <c r="AZ164" s="34" t="s">
        <v>117</v>
      </c>
      <c r="BA164" s="34" t="s">
        <v>115</v>
      </c>
      <c r="BB164" s="34" t="s">
        <v>113</v>
      </c>
      <c r="BC164" s="34" t="s">
        <v>97</v>
      </c>
      <c r="BD164" s="34" t="s">
        <v>98</v>
      </c>
      <c r="BE164" s="34" t="s">
        <v>99</v>
      </c>
      <c r="BF164" s="34" t="s">
        <v>100</v>
      </c>
      <c r="BJ164" s="34" t="s">
        <v>104</v>
      </c>
      <c r="BK164" s="34" t="s">
        <v>116</v>
      </c>
      <c r="BL164" s="34" t="s">
        <v>110</v>
      </c>
      <c r="BM164" s="34" t="s">
        <v>118</v>
      </c>
      <c r="BN164" s="34" t="s">
        <v>114</v>
      </c>
      <c r="BO164" s="34" t="s">
        <v>109</v>
      </c>
      <c r="BP164" s="34" t="s">
        <v>108</v>
      </c>
      <c r="BQ164" s="34" t="s">
        <v>111</v>
      </c>
      <c r="BR164" s="34" t="s">
        <v>105</v>
      </c>
    </row>
    <row r="165" spans="49:70" x14ac:dyDescent="0.25">
      <c r="AW165" s="34" t="str">
        <f t="shared" si="17"/>
        <v>BCDEFGHK</v>
      </c>
      <c r="AX165" s="34">
        <v>163</v>
      </c>
      <c r="AZ165" s="34" t="s">
        <v>117</v>
      </c>
      <c r="BA165" s="34" t="s">
        <v>115</v>
      </c>
      <c r="BB165" s="34" t="s">
        <v>113</v>
      </c>
      <c r="BC165" s="34" t="s">
        <v>97</v>
      </c>
      <c r="BD165" s="34" t="s">
        <v>98</v>
      </c>
      <c r="BE165" s="34" t="s">
        <v>99</v>
      </c>
      <c r="BF165" s="34" t="s">
        <v>100</v>
      </c>
      <c r="BI165" s="34" t="s">
        <v>103</v>
      </c>
      <c r="BK165" s="34" t="s">
        <v>116</v>
      </c>
      <c r="BL165" s="34" t="s">
        <v>110</v>
      </c>
      <c r="BM165" s="34" t="s">
        <v>118</v>
      </c>
      <c r="BN165" s="34" t="s">
        <v>114</v>
      </c>
      <c r="BO165" s="34" t="s">
        <v>109</v>
      </c>
      <c r="BP165" s="34" t="s">
        <v>108</v>
      </c>
      <c r="BQ165" s="34" t="s">
        <v>105</v>
      </c>
      <c r="BR165" s="34" t="s">
        <v>112</v>
      </c>
    </row>
    <row r="166" spans="49:70" x14ac:dyDescent="0.25">
      <c r="AW166" s="34" t="str">
        <f t="shared" si="17"/>
        <v>BCDEFGHJ</v>
      </c>
      <c r="AX166" s="34">
        <v>164</v>
      </c>
      <c r="AZ166" s="34" t="s">
        <v>117</v>
      </c>
      <c r="BA166" s="34" t="s">
        <v>115</v>
      </c>
      <c r="BB166" s="34" t="s">
        <v>113</v>
      </c>
      <c r="BC166" s="34" t="s">
        <v>97</v>
      </c>
      <c r="BD166" s="34" t="s">
        <v>98</v>
      </c>
      <c r="BE166" s="34" t="s">
        <v>99</v>
      </c>
      <c r="BF166" s="34" t="s">
        <v>100</v>
      </c>
      <c r="BH166" s="34" t="s">
        <v>102</v>
      </c>
      <c r="BK166" s="34" t="s">
        <v>109</v>
      </c>
      <c r="BL166" s="34" t="s">
        <v>110</v>
      </c>
      <c r="BM166" s="34" t="s">
        <v>118</v>
      </c>
      <c r="BN166" s="34" t="s">
        <v>116</v>
      </c>
      <c r="BO166" s="34" t="s">
        <v>106</v>
      </c>
      <c r="BP166" s="34" t="s">
        <v>108</v>
      </c>
      <c r="BQ166" s="34" t="s">
        <v>114</v>
      </c>
      <c r="BR166" s="34" t="s">
        <v>105</v>
      </c>
    </row>
    <row r="167" spans="49:70" x14ac:dyDescent="0.25">
      <c r="AW167" s="34" t="str">
        <f t="shared" si="17"/>
        <v>BCDEFGHI</v>
      </c>
      <c r="AX167" s="34">
        <v>165</v>
      </c>
      <c r="AZ167" s="34" t="s">
        <v>117</v>
      </c>
      <c r="BA167" s="34" t="s">
        <v>115</v>
      </c>
      <c r="BB167" s="34" t="s">
        <v>113</v>
      </c>
      <c r="BC167" s="34" t="s">
        <v>97</v>
      </c>
      <c r="BD167" s="34" t="s">
        <v>98</v>
      </c>
      <c r="BE167" s="34" t="s">
        <v>99</v>
      </c>
      <c r="BF167" s="34" t="s">
        <v>100</v>
      </c>
      <c r="BG167" s="34" t="s">
        <v>101</v>
      </c>
      <c r="BK167" s="34" t="s">
        <v>116</v>
      </c>
      <c r="BL167" s="34" t="s">
        <v>110</v>
      </c>
      <c r="BM167" s="34" t="s">
        <v>118</v>
      </c>
      <c r="BN167" s="34" t="s">
        <v>114</v>
      </c>
      <c r="BO167" s="34" t="s">
        <v>109</v>
      </c>
      <c r="BP167" s="34" t="s">
        <v>108</v>
      </c>
      <c r="BQ167" s="34" t="s">
        <v>105</v>
      </c>
      <c r="BR167" s="34" t="s">
        <v>107</v>
      </c>
    </row>
    <row r="168" spans="49:70" x14ac:dyDescent="0.25">
      <c r="AW168" s="34" t="str">
        <f t="shared" si="17"/>
        <v>AFGHIJKL</v>
      </c>
      <c r="AX168" s="34">
        <v>166</v>
      </c>
      <c r="AY168" s="34" t="s">
        <v>119</v>
      </c>
      <c r="BD168" s="34" t="s">
        <v>98</v>
      </c>
      <c r="BE168" s="34" t="s">
        <v>99</v>
      </c>
      <c r="BF168" s="34" t="s">
        <v>100</v>
      </c>
      <c r="BG168" s="34" t="s">
        <v>101</v>
      </c>
      <c r="BH168" s="34" t="s">
        <v>102</v>
      </c>
      <c r="BI168" s="34" t="s">
        <v>103</v>
      </c>
      <c r="BJ168" s="34" t="s">
        <v>104</v>
      </c>
      <c r="BK168" s="34" t="s">
        <v>109</v>
      </c>
      <c r="BL168" s="34" t="s">
        <v>106</v>
      </c>
      <c r="BM168" s="34" t="s">
        <v>107</v>
      </c>
      <c r="BN168" s="34" t="s">
        <v>108</v>
      </c>
      <c r="BO168" s="34" t="s">
        <v>120</v>
      </c>
      <c r="BP168" s="34" t="s">
        <v>110</v>
      </c>
      <c r="BQ168" s="34" t="s">
        <v>111</v>
      </c>
      <c r="BR168" s="34" t="s">
        <v>112</v>
      </c>
    </row>
    <row r="169" spans="49:70" x14ac:dyDescent="0.25">
      <c r="AW169" s="34" t="str">
        <f t="shared" si="17"/>
        <v>AEGHIJKL</v>
      </c>
      <c r="AX169" s="34">
        <v>167</v>
      </c>
      <c r="AY169" s="34" t="s">
        <v>119</v>
      </c>
      <c r="BC169" s="34" t="s">
        <v>97</v>
      </c>
      <c r="BE169" s="34" t="s">
        <v>99</v>
      </c>
      <c r="BF169" s="34" t="s">
        <v>100</v>
      </c>
      <c r="BG169" s="34" t="s">
        <v>101</v>
      </c>
      <c r="BH169" s="34" t="s">
        <v>102</v>
      </c>
      <c r="BI169" s="34" t="s">
        <v>103</v>
      </c>
      <c r="BJ169" s="34" t="s">
        <v>104</v>
      </c>
      <c r="BK169" s="34" t="s">
        <v>105</v>
      </c>
      <c r="BL169" s="34" t="s">
        <v>106</v>
      </c>
      <c r="BM169" s="34" t="s">
        <v>107</v>
      </c>
      <c r="BN169" s="34" t="s">
        <v>120</v>
      </c>
      <c r="BO169" s="34" t="s">
        <v>109</v>
      </c>
      <c r="BP169" s="34" t="s">
        <v>110</v>
      </c>
      <c r="BQ169" s="34" t="s">
        <v>111</v>
      </c>
      <c r="BR169" s="34" t="s">
        <v>112</v>
      </c>
    </row>
    <row r="170" spans="49:70" x14ac:dyDescent="0.25">
      <c r="AW170" s="34" t="str">
        <f t="shared" si="17"/>
        <v>AEFHIJKL</v>
      </c>
      <c r="AX170" s="34">
        <v>168</v>
      </c>
      <c r="AY170" s="34" t="s">
        <v>119</v>
      </c>
      <c r="BC170" s="34" t="s">
        <v>97</v>
      </c>
      <c r="BD170" s="34" t="s">
        <v>98</v>
      </c>
      <c r="BF170" s="34" t="s">
        <v>100</v>
      </c>
      <c r="BG170" s="34" t="s">
        <v>101</v>
      </c>
      <c r="BH170" s="34" t="s">
        <v>102</v>
      </c>
      <c r="BI170" s="34" t="s">
        <v>103</v>
      </c>
      <c r="BJ170" s="34" t="s">
        <v>104</v>
      </c>
      <c r="BK170" s="34" t="s">
        <v>105</v>
      </c>
      <c r="BL170" s="34" t="s">
        <v>106</v>
      </c>
      <c r="BM170" s="34" t="s">
        <v>107</v>
      </c>
      <c r="BN170" s="34" t="s">
        <v>108</v>
      </c>
      <c r="BO170" s="34" t="s">
        <v>120</v>
      </c>
      <c r="BP170" s="34" t="s">
        <v>109</v>
      </c>
      <c r="BQ170" s="34" t="s">
        <v>111</v>
      </c>
      <c r="BR170" s="34" t="s">
        <v>112</v>
      </c>
    </row>
    <row r="171" spans="49:70" x14ac:dyDescent="0.25">
      <c r="AW171" s="34" t="str">
        <f t="shared" si="17"/>
        <v>AEFGIJKL</v>
      </c>
      <c r="AX171" s="34">
        <v>169</v>
      </c>
      <c r="AY171" s="34" t="s">
        <v>119</v>
      </c>
      <c r="BC171" s="34" t="s">
        <v>97</v>
      </c>
      <c r="BD171" s="34" t="s">
        <v>98</v>
      </c>
      <c r="BE171" s="34" t="s">
        <v>99</v>
      </c>
      <c r="BG171" s="34" t="s">
        <v>101</v>
      </c>
      <c r="BH171" s="34" t="s">
        <v>102</v>
      </c>
      <c r="BI171" s="34" t="s">
        <v>103</v>
      </c>
      <c r="BJ171" s="34" t="s">
        <v>104</v>
      </c>
      <c r="BK171" s="34" t="s">
        <v>105</v>
      </c>
      <c r="BL171" s="34" t="s">
        <v>106</v>
      </c>
      <c r="BM171" s="34" t="s">
        <v>107</v>
      </c>
      <c r="BN171" s="34" t="s">
        <v>108</v>
      </c>
      <c r="BO171" s="34" t="s">
        <v>120</v>
      </c>
      <c r="BP171" s="34" t="s">
        <v>110</v>
      </c>
      <c r="BQ171" s="34" t="s">
        <v>111</v>
      </c>
      <c r="BR171" s="34" t="s">
        <v>112</v>
      </c>
    </row>
    <row r="172" spans="49:70" x14ac:dyDescent="0.25">
      <c r="AW172" s="34" t="str">
        <f t="shared" si="17"/>
        <v>AEFGHJKL</v>
      </c>
      <c r="AX172" s="34">
        <v>170</v>
      </c>
      <c r="AY172" s="34" t="s">
        <v>119</v>
      </c>
      <c r="BC172" s="34" t="s">
        <v>97</v>
      </c>
      <c r="BD172" s="34" t="s">
        <v>98</v>
      </c>
      <c r="BE172" s="34" t="s">
        <v>99</v>
      </c>
      <c r="BF172" s="34" t="s">
        <v>100</v>
      </c>
      <c r="BH172" s="34" t="s">
        <v>102</v>
      </c>
      <c r="BI172" s="34" t="s">
        <v>103</v>
      </c>
      <c r="BJ172" s="34" t="s">
        <v>104</v>
      </c>
      <c r="BK172" s="34" t="s">
        <v>105</v>
      </c>
      <c r="BL172" s="34" t="s">
        <v>110</v>
      </c>
      <c r="BM172" s="34" t="s">
        <v>106</v>
      </c>
      <c r="BN172" s="34" t="s">
        <v>108</v>
      </c>
      <c r="BO172" s="34" t="s">
        <v>120</v>
      </c>
      <c r="BP172" s="34" t="s">
        <v>109</v>
      </c>
      <c r="BQ172" s="34" t="s">
        <v>111</v>
      </c>
      <c r="BR172" s="34" t="s">
        <v>112</v>
      </c>
    </row>
    <row r="173" spans="49:70" x14ac:dyDescent="0.25">
      <c r="AW173" s="34" t="str">
        <f t="shared" si="17"/>
        <v>AEFGHIKL</v>
      </c>
      <c r="AX173" s="34">
        <v>171</v>
      </c>
      <c r="AY173" s="34" t="s">
        <v>119</v>
      </c>
      <c r="BC173" s="34" t="s">
        <v>97</v>
      </c>
      <c r="BD173" s="34" t="s">
        <v>98</v>
      </c>
      <c r="BE173" s="34" t="s">
        <v>99</v>
      </c>
      <c r="BF173" s="34" t="s">
        <v>100</v>
      </c>
      <c r="BG173" s="34" t="s">
        <v>101</v>
      </c>
      <c r="BI173" s="34" t="s">
        <v>103</v>
      </c>
      <c r="BJ173" s="34" t="s">
        <v>104</v>
      </c>
      <c r="BK173" s="34" t="s">
        <v>105</v>
      </c>
      <c r="BL173" s="34" t="s">
        <v>110</v>
      </c>
      <c r="BM173" s="34" t="s">
        <v>107</v>
      </c>
      <c r="BN173" s="34" t="s">
        <v>108</v>
      </c>
      <c r="BO173" s="34" t="s">
        <v>120</v>
      </c>
      <c r="BP173" s="34" t="s">
        <v>109</v>
      </c>
      <c r="BQ173" s="34" t="s">
        <v>111</v>
      </c>
      <c r="BR173" s="34" t="s">
        <v>112</v>
      </c>
    </row>
    <row r="174" spans="49:70" x14ac:dyDescent="0.25">
      <c r="AW174" s="34" t="str">
        <f t="shared" si="17"/>
        <v>AEFGHIJL</v>
      </c>
      <c r="AX174" s="34">
        <v>172</v>
      </c>
      <c r="AY174" s="34" t="s">
        <v>119</v>
      </c>
      <c r="BC174" s="34" t="s">
        <v>97</v>
      </c>
      <c r="BD174" s="34" t="s">
        <v>98</v>
      </c>
      <c r="BE174" s="34" t="s">
        <v>99</v>
      </c>
      <c r="BF174" s="34" t="s">
        <v>100</v>
      </c>
      <c r="BG174" s="34" t="s">
        <v>101</v>
      </c>
      <c r="BH174" s="34" t="s">
        <v>102</v>
      </c>
      <c r="BJ174" s="34" t="s">
        <v>104</v>
      </c>
      <c r="BK174" s="34" t="s">
        <v>105</v>
      </c>
      <c r="BL174" s="34" t="s">
        <v>110</v>
      </c>
      <c r="BM174" s="34" t="s">
        <v>106</v>
      </c>
      <c r="BN174" s="34" t="s">
        <v>108</v>
      </c>
      <c r="BO174" s="34" t="s">
        <v>120</v>
      </c>
      <c r="BP174" s="34" t="s">
        <v>109</v>
      </c>
      <c r="BQ174" s="34" t="s">
        <v>111</v>
      </c>
      <c r="BR174" s="34" t="s">
        <v>107</v>
      </c>
    </row>
    <row r="175" spans="49:70" x14ac:dyDescent="0.25">
      <c r="AW175" s="34" t="str">
        <f t="shared" si="17"/>
        <v>AEFGHIJK</v>
      </c>
      <c r="AX175" s="34">
        <v>173</v>
      </c>
      <c r="AY175" s="34" t="s">
        <v>119</v>
      </c>
      <c r="BC175" s="34" t="s">
        <v>97</v>
      </c>
      <c r="BD175" s="34" t="s">
        <v>98</v>
      </c>
      <c r="BE175" s="34" t="s">
        <v>99</v>
      </c>
      <c r="BF175" s="34" t="s">
        <v>100</v>
      </c>
      <c r="BG175" s="34" t="s">
        <v>101</v>
      </c>
      <c r="BH175" s="34" t="s">
        <v>102</v>
      </c>
      <c r="BI175" s="34" t="s">
        <v>103</v>
      </c>
      <c r="BK175" s="34" t="s">
        <v>105</v>
      </c>
      <c r="BL175" s="34" t="s">
        <v>110</v>
      </c>
      <c r="BM175" s="34" t="s">
        <v>106</v>
      </c>
      <c r="BN175" s="34" t="s">
        <v>108</v>
      </c>
      <c r="BO175" s="34" t="s">
        <v>120</v>
      </c>
      <c r="BP175" s="34" t="s">
        <v>109</v>
      </c>
      <c r="BQ175" s="34" t="s">
        <v>107</v>
      </c>
      <c r="BR175" s="34" t="s">
        <v>112</v>
      </c>
    </row>
    <row r="176" spans="49:70" x14ac:dyDescent="0.25">
      <c r="AW176" s="34" t="str">
        <f t="shared" si="17"/>
        <v>ADGHIJKL</v>
      </c>
      <c r="AX176" s="34">
        <v>174</v>
      </c>
      <c r="AY176" s="34" t="s">
        <v>119</v>
      </c>
      <c r="BB176" s="34" t="s">
        <v>113</v>
      </c>
      <c r="BE176" s="34" t="s">
        <v>99</v>
      </c>
      <c r="BF176" s="34" t="s">
        <v>100</v>
      </c>
      <c r="BG176" s="34" t="s">
        <v>101</v>
      </c>
      <c r="BH176" s="34" t="s">
        <v>102</v>
      </c>
      <c r="BI176" s="34" t="s">
        <v>103</v>
      </c>
      <c r="BJ176" s="34" t="s">
        <v>104</v>
      </c>
      <c r="BK176" s="34" t="s">
        <v>109</v>
      </c>
      <c r="BL176" s="34" t="s">
        <v>106</v>
      </c>
      <c r="BM176" s="34" t="s">
        <v>107</v>
      </c>
      <c r="BN176" s="34" t="s">
        <v>114</v>
      </c>
      <c r="BO176" s="34" t="s">
        <v>120</v>
      </c>
      <c r="BP176" s="34" t="s">
        <v>110</v>
      </c>
      <c r="BQ176" s="34" t="s">
        <v>111</v>
      </c>
      <c r="BR176" s="34" t="s">
        <v>112</v>
      </c>
    </row>
    <row r="177" spans="49:70" x14ac:dyDescent="0.25">
      <c r="AW177" s="34" t="str">
        <f t="shared" si="17"/>
        <v>ADFHIJKL</v>
      </c>
      <c r="AX177" s="34">
        <v>175</v>
      </c>
      <c r="AY177" s="34" t="s">
        <v>119</v>
      </c>
      <c r="BB177" s="34" t="s">
        <v>113</v>
      </c>
      <c r="BD177" s="34" t="s">
        <v>98</v>
      </c>
      <c r="BF177" s="34" t="s">
        <v>100</v>
      </c>
      <c r="BG177" s="34" t="s">
        <v>101</v>
      </c>
      <c r="BH177" s="34" t="s">
        <v>102</v>
      </c>
      <c r="BI177" s="34" t="s">
        <v>103</v>
      </c>
      <c r="BJ177" s="34" t="s">
        <v>104</v>
      </c>
      <c r="BK177" s="34" t="s">
        <v>109</v>
      </c>
      <c r="BL177" s="34" t="s">
        <v>106</v>
      </c>
      <c r="BM177" s="34" t="s">
        <v>107</v>
      </c>
      <c r="BN177" s="34" t="s">
        <v>114</v>
      </c>
      <c r="BO177" s="34" t="s">
        <v>120</v>
      </c>
      <c r="BP177" s="34" t="s">
        <v>108</v>
      </c>
      <c r="BQ177" s="34" t="s">
        <v>111</v>
      </c>
      <c r="BR177" s="34" t="s">
        <v>112</v>
      </c>
    </row>
    <row r="178" spans="49:70" x14ac:dyDescent="0.25">
      <c r="AW178" s="34" t="str">
        <f t="shared" si="17"/>
        <v>ADFGIJKL</v>
      </c>
      <c r="AX178" s="34">
        <v>176</v>
      </c>
      <c r="AY178" s="34" t="s">
        <v>119</v>
      </c>
      <c r="BB178" s="34" t="s">
        <v>113</v>
      </c>
      <c r="BD178" s="34" t="s">
        <v>98</v>
      </c>
      <c r="BE178" s="34" t="s">
        <v>99</v>
      </c>
      <c r="BG178" s="34" t="s">
        <v>101</v>
      </c>
      <c r="BH178" s="34" t="s">
        <v>102</v>
      </c>
      <c r="BI178" s="34" t="s">
        <v>103</v>
      </c>
      <c r="BJ178" s="34" t="s">
        <v>104</v>
      </c>
      <c r="BK178" s="34" t="s">
        <v>107</v>
      </c>
      <c r="BL178" s="34" t="s">
        <v>110</v>
      </c>
      <c r="BM178" s="34" t="s">
        <v>106</v>
      </c>
      <c r="BN178" s="34" t="s">
        <v>114</v>
      </c>
      <c r="BO178" s="34" t="s">
        <v>120</v>
      </c>
      <c r="BP178" s="34" t="s">
        <v>108</v>
      </c>
      <c r="BQ178" s="34" t="s">
        <v>111</v>
      </c>
      <c r="BR178" s="34" t="s">
        <v>112</v>
      </c>
    </row>
    <row r="179" spans="49:70" x14ac:dyDescent="0.25">
      <c r="AW179" s="34" t="str">
        <f t="shared" si="17"/>
        <v>ADFGHJKL</v>
      </c>
      <c r="AX179" s="34">
        <v>177</v>
      </c>
      <c r="AY179" s="34" t="s">
        <v>119</v>
      </c>
      <c r="BB179" s="34" t="s">
        <v>113</v>
      </c>
      <c r="BD179" s="34" t="s">
        <v>98</v>
      </c>
      <c r="BE179" s="34" t="s">
        <v>99</v>
      </c>
      <c r="BF179" s="34" t="s">
        <v>100</v>
      </c>
      <c r="BH179" s="34" t="s">
        <v>102</v>
      </c>
      <c r="BI179" s="34" t="s">
        <v>103</v>
      </c>
      <c r="BJ179" s="34" t="s">
        <v>104</v>
      </c>
      <c r="BK179" s="34" t="s">
        <v>109</v>
      </c>
      <c r="BL179" s="34" t="s">
        <v>110</v>
      </c>
      <c r="BM179" s="34" t="s">
        <v>106</v>
      </c>
      <c r="BN179" s="34" t="s">
        <v>114</v>
      </c>
      <c r="BO179" s="34" t="s">
        <v>120</v>
      </c>
      <c r="BP179" s="34" t="s">
        <v>108</v>
      </c>
      <c r="BQ179" s="34" t="s">
        <v>111</v>
      </c>
      <c r="BR179" s="34" t="s">
        <v>112</v>
      </c>
    </row>
    <row r="180" spans="49:70" x14ac:dyDescent="0.25">
      <c r="AW180" s="34" t="str">
        <f t="shared" si="17"/>
        <v>ADFGHIKL</v>
      </c>
      <c r="AX180" s="34">
        <v>178</v>
      </c>
      <c r="AY180" s="34" t="s">
        <v>119</v>
      </c>
      <c r="BB180" s="34" t="s">
        <v>113</v>
      </c>
      <c r="BD180" s="34" t="s">
        <v>98</v>
      </c>
      <c r="BE180" s="34" t="s">
        <v>99</v>
      </c>
      <c r="BF180" s="34" t="s">
        <v>100</v>
      </c>
      <c r="BG180" s="34" t="s">
        <v>101</v>
      </c>
      <c r="BI180" s="34" t="s">
        <v>103</v>
      </c>
      <c r="BJ180" s="34" t="s">
        <v>104</v>
      </c>
      <c r="BK180" s="34" t="s">
        <v>109</v>
      </c>
      <c r="BL180" s="34" t="s">
        <v>110</v>
      </c>
      <c r="BM180" s="34" t="s">
        <v>107</v>
      </c>
      <c r="BN180" s="34" t="s">
        <v>114</v>
      </c>
      <c r="BO180" s="34" t="s">
        <v>120</v>
      </c>
      <c r="BP180" s="34" t="s">
        <v>108</v>
      </c>
      <c r="BQ180" s="34" t="s">
        <v>111</v>
      </c>
      <c r="BR180" s="34" t="s">
        <v>112</v>
      </c>
    </row>
    <row r="181" spans="49:70" x14ac:dyDescent="0.25">
      <c r="AW181" s="34" t="str">
        <f t="shared" si="17"/>
        <v>ADFGHIJL</v>
      </c>
      <c r="AX181" s="34">
        <v>179</v>
      </c>
      <c r="AY181" s="34" t="s">
        <v>119</v>
      </c>
      <c r="BB181" s="34" t="s">
        <v>113</v>
      </c>
      <c r="BD181" s="34" t="s">
        <v>98</v>
      </c>
      <c r="BE181" s="34" t="s">
        <v>99</v>
      </c>
      <c r="BF181" s="34" t="s">
        <v>100</v>
      </c>
      <c r="BG181" s="34" t="s">
        <v>101</v>
      </c>
      <c r="BH181" s="34" t="s">
        <v>102</v>
      </c>
      <c r="BJ181" s="34" t="s">
        <v>104</v>
      </c>
      <c r="BK181" s="34" t="s">
        <v>109</v>
      </c>
      <c r="BL181" s="34" t="s">
        <v>110</v>
      </c>
      <c r="BM181" s="34" t="s">
        <v>106</v>
      </c>
      <c r="BN181" s="34" t="s">
        <v>114</v>
      </c>
      <c r="BO181" s="34" t="s">
        <v>120</v>
      </c>
      <c r="BP181" s="34" t="s">
        <v>108</v>
      </c>
      <c r="BQ181" s="34" t="s">
        <v>111</v>
      </c>
      <c r="BR181" s="34" t="s">
        <v>107</v>
      </c>
    </row>
    <row r="182" spans="49:70" x14ac:dyDescent="0.25">
      <c r="AW182" s="34" t="str">
        <f t="shared" si="17"/>
        <v>ADFGHIJK</v>
      </c>
      <c r="AX182" s="34">
        <v>180</v>
      </c>
      <c r="AY182" s="34" t="s">
        <v>119</v>
      </c>
      <c r="BB182" s="34" t="s">
        <v>113</v>
      </c>
      <c r="BD182" s="34" t="s">
        <v>98</v>
      </c>
      <c r="BE182" s="34" t="s">
        <v>99</v>
      </c>
      <c r="BF182" s="34" t="s">
        <v>100</v>
      </c>
      <c r="BG182" s="34" t="s">
        <v>101</v>
      </c>
      <c r="BH182" s="34" t="s">
        <v>102</v>
      </c>
      <c r="BI182" s="34" t="s">
        <v>103</v>
      </c>
      <c r="BK182" s="34" t="s">
        <v>109</v>
      </c>
      <c r="BL182" s="34" t="s">
        <v>110</v>
      </c>
      <c r="BM182" s="34" t="s">
        <v>106</v>
      </c>
      <c r="BN182" s="34" t="s">
        <v>114</v>
      </c>
      <c r="BO182" s="34" t="s">
        <v>120</v>
      </c>
      <c r="BP182" s="34" t="s">
        <v>108</v>
      </c>
      <c r="BQ182" s="34" t="s">
        <v>107</v>
      </c>
      <c r="BR182" s="34" t="s">
        <v>112</v>
      </c>
    </row>
    <row r="183" spans="49:70" x14ac:dyDescent="0.25">
      <c r="AW183" s="34" t="str">
        <f t="shared" si="17"/>
        <v>ADEHIJKL</v>
      </c>
      <c r="AX183" s="34">
        <v>181</v>
      </c>
      <c r="AY183" s="34" t="s">
        <v>119</v>
      </c>
      <c r="BB183" s="34" t="s">
        <v>113</v>
      </c>
      <c r="BC183" s="34" t="s">
        <v>97</v>
      </c>
      <c r="BF183" s="34" t="s">
        <v>100</v>
      </c>
      <c r="BG183" s="34" t="s">
        <v>101</v>
      </c>
      <c r="BH183" s="34" t="s">
        <v>102</v>
      </c>
      <c r="BI183" s="34" t="s">
        <v>103</v>
      </c>
      <c r="BJ183" s="34" t="s">
        <v>104</v>
      </c>
      <c r="BK183" s="34" t="s">
        <v>105</v>
      </c>
      <c r="BL183" s="34" t="s">
        <v>106</v>
      </c>
      <c r="BM183" s="34" t="s">
        <v>107</v>
      </c>
      <c r="BN183" s="34" t="s">
        <v>114</v>
      </c>
      <c r="BO183" s="34" t="s">
        <v>120</v>
      </c>
      <c r="BP183" s="34" t="s">
        <v>109</v>
      </c>
      <c r="BQ183" s="34" t="s">
        <v>111</v>
      </c>
      <c r="BR183" s="34" t="s">
        <v>112</v>
      </c>
    </row>
    <row r="184" spans="49:70" x14ac:dyDescent="0.25">
      <c r="AW184" s="34" t="str">
        <f t="shared" si="17"/>
        <v>ADEGIJKL</v>
      </c>
      <c r="AX184" s="34">
        <v>182</v>
      </c>
      <c r="AY184" s="34" t="s">
        <v>119</v>
      </c>
      <c r="BB184" s="34" t="s">
        <v>113</v>
      </c>
      <c r="BC184" s="34" t="s">
        <v>97</v>
      </c>
      <c r="BE184" s="34" t="s">
        <v>99</v>
      </c>
      <c r="BG184" s="34" t="s">
        <v>101</v>
      </c>
      <c r="BH184" s="34" t="s">
        <v>102</v>
      </c>
      <c r="BI184" s="34" t="s">
        <v>103</v>
      </c>
      <c r="BJ184" s="34" t="s">
        <v>104</v>
      </c>
      <c r="BK184" s="34" t="s">
        <v>105</v>
      </c>
      <c r="BL184" s="34" t="s">
        <v>106</v>
      </c>
      <c r="BM184" s="34" t="s">
        <v>107</v>
      </c>
      <c r="BN184" s="34" t="s">
        <v>114</v>
      </c>
      <c r="BO184" s="34" t="s">
        <v>120</v>
      </c>
      <c r="BP184" s="34" t="s">
        <v>110</v>
      </c>
      <c r="BQ184" s="34" t="s">
        <v>111</v>
      </c>
      <c r="BR184" s="34" t="s">
        <v>112</v>
      </c>
    </row>
    <row r="185" spans="49:70" x14ac:dyDescent="0.25">
      <c r="AW185" s="34" t="str">
        <f t="shared" si="17"/>
        <v>ADEGHJKL</v>
      </c>
      <c r="AX185" s="34">
        <v>183</v>
      </c>
      <c r="AY185" s="34" t="s">
        <v>119</v>
      </c>
      <c r="BB185" s="34" t="s">
        <v>113</v>
      </c>
      <c r="BC185" s="34" t="s">
        <v>97</v>
      </c>
      <c r="BE185" s="34" t="s">
        <v>99</v>
      </c>
      <c r="BF185" s="34" t="s">
        <v>100</v>
      </c>
      <c r="BH185" s="34" t="s">
        <v>102</v>
      </c>
      <c r="BI185" s="34" t="s">
        <v>103</v>
      </c>
      <c r="BJ185" s="34" t="s">
        <v>104</v>
      </c>
      <c r="BK185" s="34" t="s">
        <v>105</v>
      </c>
      <c r="BL185" s="34" t="s">
        <v>110</v>
      </c>
      <c r="BM185" s="34" t="s">
        <v>106</v>
      </c>
      <c r="BN185" s="34" t="s">
        <v>114</v>
      </c>
      <c r="BO185" s="34" t="s">
        <v>120</v>
      </c>
      <c r="BP185" s="34" t="s">
        <v>109</v>
      </c>
      <c r="BQ185" s="34" t="s">
        <v>111</v>
      </c>
      <c r="BR185" s="34" t="s">
        <v>112</v>
      </c>
    </row>
    <row r="186" spans="49:70" x14ac:dyDescent="0.25">
      <c r="AW186" s="34" t="str">
        <f t="shared" si="17"/>
        <v>ADEGHIKL</v>
      </c>
      <c r="AX186" s="34">
        <v>184</v>
      </c>
      <c r="AY186" s="34" t="s">
        <v>119</v>
      </c>
      <c r="BB186" s="34" t="s">
        <v>113</v>
      </c>
      <c r="BC186" s="34" t="s">
        <v>97</v>
      </c>
      <c r="BE186" s="34" t="s">
        <v>99</v>
      </c>
      <c r="BF186" s="34" t="s">
        <v>100</v>
      </c>
      <c r="BG186" s="34" t="s">
        <v>101</v>
      </c>
      <c r="BI186" s="34" t="s">
        <v>103</v>
      </c>
      <c r="BJ186" s="34" t="s">
        <v>104</v>
      </c>
      <c r="BK186" s="34" t="s">
        <v>105</v>
      </c>
      <c r="BL186" s="34" t="s">
        <v>110</v>
      </c>
      <c r="BM186" s="34" t="s">
        <v>107</v>
      </c>
      <c r="BN186" s="34" t="s">
        <v>114</v>
      </c>
      <c r="BO186" s="34" t="s">
        <v>120</v>
      </c>
      <c r="BP186" s="34" t="s">
        <v>109</v>
      </c>
      <c r="BQ186" s="34" t="s">
        <v>111</v>
      </c>
      <c r="BR186" s="34" t="s">
        <v>112</v>
      </c>
    </row>
    <row r="187" spans="49:70" x14ac:dyDescent="0.25">
      <c r="AW187" s="34" t="str">
        <f t="shared" si="17"/>
        <v>ADEGHIJL</v>
      </c>
      <c r="AX187" s="34">
        <v>185</v>
      </c>
      <c r="AY187" s="34" t="s">
        <v>119</v>
      </c>
      <c r="BB187" s="34" t="s">
        <v>113</v>
      </c>
      <c r="BC187" s="34" t="s">
        <v>97</v>
      </c>
      <c r="BE187" s="34" t="s">
        <v>99</v>
      </c>
      <c r="BF187" s="34" t="s">
        <v>100</v>
      </c>
      <c r="BG187" s="34" t="s">
        <v>101</v>
      </c>
      <c r="BH187" s="34" t="s">
        <v>102</v>
      </c>
      <c r="BJ187" s="34" t="s">
        <v>104</v>
      </c>
      <c r="BK187" s="34" t="s">
        <v>105</v>
      </c>
      <c r="BL187" s="34" t="s">
        <v>110</v>
      </c>
      <c r="BM187" s="34" t="s">
        <v>106</v>
      </c>
      <c r="BN187" s="34" t="s">
        <v>114</v>
      </c>
      <c r="BO187" s="34" t="s">
        <v>120</v>
      </c>
      <c r="BP187" s="34" t="s">
        <v>109</v>
      </c>
      <c r="BQ187" s="34" t="s">
        <v>111</v>
      </c>
      <c r="BR187" s="34" t="s">
        <v>107</v>
      </c>
    </row>
    <row r="188" spans="49:70" x14ac:dyDescent="0.25">
      <c r="AW188" s="34" t="str">
        <f t="shared" si="17"/>
        <v>ADEGHIJK</v>
      </c>
      <c r="AX188" s="34">
        <v>186</v>
      </c>
      <c r="AY188" s="34" t="s">
        <v>119</v>
      </c>
      <c r="BB188" s="34" t="s">
        <v>113</v>
      </c>
      <c r="BC188" s="34" t="s">
        <v>97</v>
      </c>
      <c r="BE188" s="34" t="s">
        <v>99</v>
      </c>
      <c r="BF188" s="34" t="s">
        <v>100</v>
      </c>
      <c r="BG188" s="34" t="s">
        <v>101</v>
      </c>
      <c r="BH188" s="34" t="s">
        <v>102</v>
      </c>
      <c r="BI188" s="34" t="s">
        <v>103</v>
      </c>
      <c r="BK188" s="34" t="s">
        <v>105</v>
      </c>
      <c r="BL188" s="34" t="s">
        <v>110</v>
      </c>
      <c r="BM188" s="34" t="s">
        <v>106</v>
      </c>
      <c r="BN188" s="34" t="s">
        <v>114</v>
      </c>
      <c r="BO188" s="34" t="s">
        <v>120</v>
      </c>
      <c r="BP188" s="34" t="s">
        <v>109</v>
      </c>
      <c r="BQ188" s="34" t="s">
        <v>107</v>
      </c>
      <c r="BR188" s="34" t="s">
        <v>112</v>
      </c>
    </row>
    <row r="189" spans="49:70" x14ac:dyDescent="0.25">
      <c r="AW189" s="34" t="str">
        <f t="shared" si="17"/>
        <v>ADEFIJKL</v>
      </c>
      <c r="AX189" s="34">
        <v>187</v>
      </c>
      <c r="AY189" s="34" t="s">
        <v>119</v>
      </c>
      <c r="BB189" s="34" t="s">
        <v>113</v>
      </c>
      <c r="BC189" s="34" t="s">
        <v>97</v>
      </c>
      <c r="BD189" s="34" t="s">
        <v>98</v>
      </c>
      <c r="BG189" s="34" t="s">
        <v>101</v>
      </c>
      <c r="BH189" s="34" t="s">
        <v>102</v>
      </c>
      <c r="BI189" s="34" t="s">
        <v>103</v>
      </c>
      <c r="BJ189" s="34" t="s">
        <v>104</v>
      </c>
      <c r="BK189" s="34" t="s">
        <v>105</v>
      </c>
      <c r="BL189" s="34" t="s">
        <v>106</v>
      </c>
      <c r="BM189" s="34" t="s">
        <v>107</v>
      </c>
      <c r="BN189" s="34" t="s">
        <v>114</v>
      </c>
      <c r="BO189" s="34" t="s">
        <v>120</v>
      </c>
      <c r="BP189" s="34" t="s">
        <v>108</v>
      </c>
      <c r="BQ189" s="34" t="s">
        <v>111</v>
      </c>
      <c r="BR189" s="34" t="s">
        <v>112</v>
      </c>
    </row>
    <row r="190" spans="49:70" x14ac:dyDescent="0.25">
      <c r="AW190" s="34" t="str">
        <f t="shared" si="17"/>
        <v>ADEFHJKL</v>
      </c>
      <c r="AX190" s="34">
        <v>188</v>
      </c>
      <c r="AY190" s="34" t="s">
        <v>119</v>
      </c>
      <c r="BB190" s="34" t="s">
        <v>113</v>
      </c>
      <c r="BC190" s="34" t="s">
        <v>97</v>
      </c>
      <c r="BD190" s="34" t="s">
        <v>98</v>
      </c>
      <c r="BF190" s="34" t="s">
        <v>100</v>
      </c>
      <c r="BH190" s="34" t="s">
        <v>102</v>
      </c>
      <c r="BI190" s="34" t="s">
        <v>103</v>
      </c>
      <c r="BJ190" s="34" t="s">
        <v>104</v>
      </c>
      <c r="BK190" s="34" t="s">
        <v>109</v>
      </c>
      <c r="BL190" s="34" t="s">
        <v>106</v>
      </c>
      <c r="BM190" s="34" t="s">
        <v>105</v>
      </c>
      <c r="BN190" s="34" t="s">
        <v>114</v>
      </c>
      <c r="BO190" s="34" t="s">
        <v>120</v>
      </c>
      <c r="BP190" s="34" t="s">
        <v>108</v>
      </c>
      <c r="BQ190" s="34" t="s">
        <v>111</v>
      </c>
      <c r="BR190" s="34" t="s">
        <v>112</v>
      </c>
    </row>
    <row r="191" spans="49:70" x14ac:dyDescent="0.25">
      <c r="AW191" s="34" t="str">
        <f t="shared" si="17"/>
        <v>ADEFHIKL</v>
      </c>
      <c r="AX191" s="34">
        <v>189</v>
      </c>
      <c r="AY191" s="34" t="s">
        <v>119</v>
      </c>
      <c r="BB191" s="34" t="s">
        <v>113</v>
      </c>
      <c r="BC191" s="34" t="s">
        <v>97</v>
      </c>
      <c r="BD191" s="34" t="s">
        <v>98</v>
      </c>
      <c r="BF191" s="34" t="s">
        <v>100</v>
      </c>
      <c r="BG191" s="34" t="s">
        <v>101</v>
      </c>
      <c r="BI191" s="34" t="s">
        <v>103</v>
      </c>
      <c r="BJ191" s="34" t="s">
        <v>104</v>
      </c>
      <c r="BK191" s="34" t="s">
        <v>109</v>
      </c>
      <c r="BL191" s="34" t="s">
        <v>105</v>
      </c>
      <c r="BM191" s="34" t="s">
        <v>107</v>
      </c>
      <c r="BN191" s="34" t="s">
        <v>114</v>
      </c>
      <c r="BO191" s="34" t="s">
        <v>120</v>
      </c>
      <c r="BP191" s="34" t="s">
        <v>108</v>
      </c>
      <c r="BQ191" s="34" t="s">
        <v>111</v>
      </c>
      <c r="BR191" s="34" t="s">
        <v>112</v>
      </c>
    </row>
    <row r="192" spans="49:70" x14ac:dyDescent="0.25">
      <c r="AW192" s="34" t="str">
        <f t="shared" si="17"/>
        <v>ADEFHIJL</v>
      </c>
      <c r="AX192" s="34">
        <v>190</v>
      </c>
      <c r="AY192" s="34" t="s">
        <v>119</v>
      </c>
      <c r="BB192" s="34" t="s">
        <v>113</v>
      </c>
      <c r="BC192" s="34" t="s">
        <v>97</v>
      </c>
      <c r="BD192" s="34" t="s">
        <v>98</v>
      </c>
      <c r="BF192" s="34" t="s">
        <v>100</v>
      </c>
      <c r="BG192" s="34" t="s">
        <v>101</v>
      </c>
      <c r="BH192" s="34" t="s">
        <v>102</v>
      </c>
      <c r="BJ192" s="34" t="s">
        <v>104</v>
      </c>
      <c r="BK192" s="34" t="s">
        <v>109</v>
      </c>
      <c r="BL192" s="34" t="s">
        <v>106</v>
      </c>
      <c r="BM192" s="34" t="s">
        <v>105</v>
      </c>
      <c r="BN192" s="34" t="s">
        <v>114</v>
      </c>
      <c r="BO192" s="34" t="s">
        <v>120</v>
      </c>
      <c r="BP192" s="34" t="s">
        <v>108</v>
      </c>
      <c r="BQ192" s="34" t="s">
        <v>111</v>
      </c>
      <c r="BR192" s="34" t="s">
        <v>107</v>
      </c>
    </row>
    <row r="193" spans="49:70" x14ac:dyDescent="0.25">
      <c r="AW193" s="34" t="str">
        <f t="shared" si="17"/>
        <v>ADEFHIJK</v>
      </c>
      <c r="AX193" s="34">
        <v>191</v>
      </c>
      <c r="AY193" s="34" t="s">
        <v>119</v>
      </c>
      <c r="BB193" s="34" t="s">
        <v>113</v>
      </c>
      <c r="BC193" s="34" t="s">
        <v>97</v>
      </c>
      <c r="BD193" s="34" t="s">
        <v>98</v>
      </c>
      <c r="BF193" s="34" t="s">
        <v>100</v>
      </c>
      <c r="BG193" s="34" t="s">
        <v>101</v>
      </c>
      <c r="BH193" s="34" t="s">
        <v>102</v>
      </c>
      <c r="BI193" s="34" t="s">
        <v>103</v>
      </c>
      <c r="BK193" s="34" t="s">
        <v>109</v>
      </c>
      <c r="BL193" s="34" t="s">
        <v>106</v>
      </c>
      <c r="BM193" s="34" t="s">
        <v>105</v>
      </c>
      <c r="BN193" s="34" t="s">
        <v>114</v>
      </c>
      <c r="BO193" s="34" t="s">
        <v>120</v>
      </c>
      <c r="BP193" s="34" t="s">
        <v>108</v>
      </c>
      <c r="BQ193" s="34" t="s">
        <v>107</v>
      </c>
      <c r="BR193" s="34" t="s">
        <v>112</v>
      </c>
    </row>
    <row r="194" spans="49:70" x14ac:dyDescent="0.25">
      <c r="AW194" s="34" t="str">
        <f t="shared" si="17"/>
        <v>ADEFGJKL</v>
      </c>
      <c r="AX194" s="34">
        <v>192</v>
      </c>
      <c r="AY194" s="34" t="s">
        <v>119</v>
      </c>
      <c r="BB194" s="34" t="s">
        <v>113</v>
      </c>
      <c r="BC194" s="34" t="s">
        <v>97</v>
      </c>
      <c r="BD194" s="34" t="s">
        <v>98</v>
      </c>
      <c r="BE194" s="34" t="s">
        <v>99</v>
      </c>
      <c r="BH194" s="34" t="s">
        <v>102</v>
      </c>
      <c r="BI194" s="34" t="s">
        <v>103</v>
      </c>
      <c r="BJ194" s="34" t="s">
        <v>104</v>
      </c>
      <c r="BK194" s="34" t="s">
        <v>105</v>
      </c>
      <c r="BL194" s="34" t="s">
        <v>110</v>
      </c>
      <c r="BM194" s="34" t="s">
        <v>106</v>
      </c>
      <c r="BN194" s="34" t="s">
        <v>114</v>
      </c>
      <c r="BO194" s="34" t="s">
        <v>120</v>
      </c>
      <c r="BP194" s="34" t="s">
        <v>108</v>
      </c>
      <c r="BQ194" s="34" t="s">
        <v>111</v>
      </c>
      <c r="BR194" s="34" t="s">
        <v>112</v>
      </c>
    </row>
    <row r="195" spans="49:70" x14ac:dyDescent="0.25">
      <c r="AW195" s="34" t="str">
        <f t="shared" si="17"/>
        <v>ADEFGIKL</v>
      </c>
      <c r="AX195" s="34">
        <v>193</v>
      </c>
      <c r="AY195" s="34" t="s">
        <v>119</v>
      </c>
      <c r="BB195" s="34" t="s">
        <v>113</v>
      </c>
      <c r="BC195" s="34" t="s">
        <v>97</v>
      </c>
      <c r="BD195" s="34" t="s">
        <v>98</v>
      </c>
      <c r="BE195" s="34" t="s">
        <v>99</v>
      </c>
      <c r="BG195" s="34" t="s">
        <v>101</v>
      </c>
      <c r="BI195" s="34" t="s">
        <v>103</v>
      </c>
      <c r="BJ195" s="34" t="s">
        <v>104</v>
      </c>
      <c r="BK195" s="34" t="s">
        <v>105</v>
      </c>
      <c r="BL195" s="34" t="s">
        <v>110</v>
      </c>
      <c r="BM195" s="34" t="s">
        <v>107</v>
      </c>
      <c r="BN195" s="34" t="s">
        <v>114</v>
      </c>
      <c r="BO195" s="34" t="s">
        <v>120</v>
      </c>
      <c r="BP195" s="34" t="s">
        <v>108</v>
      </c>
      <c r="BQ195" s="34" t="s">
        <v>111</v>
      </c>
      <c r="BR195" s="34" t="s">
        <v>112</v>
      </c>
    </row>
    <row r="196" spans="49:70" x14ac:dyDescent="0.25">
      <c r="AW196" s="34" t="str">
        <f t="shared" ref="AW196:AW259" si="18">AY196&amp;AZ196&amp;BA196&amp;BB196&amp;BC196&amp;BD196&amp;BE196&amp;BF196&amp;BG196&amp;BH196&amp;BI196&amp;BJ196</f>
        <v>ADEFGIJL</v>
      </c>
      <c r="AX196" s="34">
        <v>194</v>
      </c>
      <c r="AY196" s="34" t="s">
        <v>119</v>
      </c>
      <c r="BB196" s="34" t="s">
        <v>113</v>
      </c>
      <c r="BC196" s="34" t="s">
        <v>97</v>
      </c>
      <c r="BD196" s="34" t="s">
        <v>98</v>
      </c>
      <c r="BE196" s="34" t="s">
        <v>99</v>
      </c>
      <c r="BG196" s="34" t="s">
        <v>101</v>
      </c>
      <c r="BH196" s="34" t="s">
        <v>102</v>
      </c>
      <c r="BJ196" s="34" t="s">
        <v>104</v>
      </c>
      <c r="BK196" s="34" t="s">
        <v>105</v>
      </c>
      <c r="BL196" s="34" t="s">
        <v>110</v>
      </c>
      <c r="BM196" s="34" t="s">
        <v>106</v>
      </c>
      <c r="BN196" s="34" t="s">
        <v>114</v>
      </c>
      <c r="BO196" s="34" t="s">
        <v>120</v>
      </c>
      <c r="BP196" s="34" t="s">
        <v>108</v>
      </c>
      <c r="BQ196" s="34" t="s">
        <v>111</v>
      </c>
      <c r="BR196" s="34" t="s">
        <v>107</v>
      </c>
    </row>
    <row r="197" spans="49:70" x14ac:dyDescent="0.25">
      <c r="AW197" s="34" t="str">
        <f t="shared" si="18"/>
        <v>ADEFGIJK</v>
      </c>
      <c r="AX197" s="34">
        <v>195</v>
      </c>
      <c r="AY197" s="34" t="s">
        <v>119</v>
      </c>
      <c r="BB197" s="34" t="s">
        <v>113</v>
      </c>
      <c r="BC197" s="34" t="s">
        <v>97</v>
      </c>
      <c r="BD197" s="34" t="s">
        <v>98</v>
      </c>
      <c r="BE197" s="34" t="s">
        <v>99</v>
      </c>
      <c r="BG197" s="34" t="s">
        <v>101</v>
      </c>
      <c r="BH197" s="34" t="s">
        <v>102</v>
      </c>
      <c r="BI197" s="34" t="s">
        <v>103</v>
      </c>
      <c r="BK197" s="34" t="s">
        <v>105</v>
      </c>
      <c r="BL197" s="34" t="s">
        <v>110</v>
      </c>
      <c r="BM197" s="34" t="s">
        <v>106</v>
      </c>
      <c r="BN197" s="34" t="s">
        <v>114</v>
      </c>
      <c r="BO197" s="34" t="s">
        <v>120</v>
      </c>
      <c r="BP197" s="34" t="s">
        <v>108</v>
      </c>
      <c r="BQ197" s="34" t="s">
        <v>107</v>
      </c>
      <c r="BR197" s="34" t="s">
        <v>112</v>
      </c>
    </row>
    <row r="198" spans="49:70" x14ac:dyDescent="0.25">
      <c r="AW198" s="34" t="str">
        <f t="shared" si="18"/>
        <v>ADEFGHKL</v>
      </c>
      <c r="AX198" s="34">
        <v>196</v>
      </c>
      <c r="AY198" s="34" t="s">
        <v>119</v>
      </c>
      <c r="BB198" s="34" t="s">
        <v>113</v>
      </c>
      <c r="BC198" s="34" t="s">
        <v>97</v>
      </c>
      <c r="BD198" s="34" t="s">
        <v>98</v>
      </c>
      <c r="BE198" s="34" t="s">
        <v>99</v>
      </c>
      <c r="BF198" s="34" t="s">
        <v>100</v>
      </c>
      <c r="BI198" s="34" t="s">
        <v>103</v>
      </c>
      <c r="BJ198" s="34" t="s">
        <v>104</v>
      </c>
      <c r="BK198" s="34" t="s">
        <v>109</v>
      </c>
      <c r="BL198" s="34" t="s">
        <v>110</v>
      </c>
      <c r="BM198" s="34" t="s">
        <v>105</v>
      </c>
      <c r="BN198" s="34" t="s">
        <v>114</v>
      </c>
      <c r="BO198" s="34" t="s">
        <v>120</v>
      </c>
      <c r="BP198" s="34" t="s">
        <v>108</v>
      </c>
      <c r="BQ198" s="34" t="s">
        <v>111</v>
      </c>
      <c r="BR198" s="34" t="s">
        <v>112</v>
      </c>
    </row>
    <row r="199" spans="49:70" x14ac:dyDescent="0.25">
      <c r="AW199" s="34" t="str">
        <f t="shared" si="18"/>
        <v>ADEFGHJL</v>
      </c>
      <c r="AX199" s="34">
        <v>197</v>
      </c>
      <c r="AY199" s="34" t="s">
        <v>119</v>
      </c>
      <c r="BB199" s="34" t="s">
        <v>113</v>
      </c>
      <c r="BC199" s="34" t="s">
        <v>97</v>
      </c>
      <c r="BD199" s="34" t="s">
        <v>98</v>
      </c>
      <c r="BE199" s="34" t="s">
        <v>99</v>
      </c>
      <c r="BF199" s="34" t="s">
        <v>100</v>
      </c>
      <c r="BH199" s="34" t="s">
        <v>102</v>
      </c>
      <c r="BJ199" s="34" t="s">
        <v>104</v>
      </c>
      <c r="BK199" s="34" t="s">
        <v>109</v>
      </c>
      <c r="BL199" s="34" t="s">
        <v>110</v>
      </c>
      <c r="BM199" s="34" t="s">
        <v>106</v>
      </c>
      <c r="BN199" s="34" t="s">
        <v>114</v>
      </c>
      <c r="BO199" s="34" t="s">
        <v>120</v>
      </c>
      <c r="BP199" s="34" t="s">
        <v>108</v>
      </c>
      <c r="BQ199" s="34" t="s">
        <v>111</v>
      </c>
      <c r="BR199" s="34" t="s">
        <v>105</v>
      </c>
    </row>
    <row r="200" spans="49:70" x14ac:dyDescent="0.25">
      <c r="AW200" s="34" t="str">
        <f t="shared" si="18"/>
        <v>ADEFGHJK</v>
      </c>
      <c r="AX200" s="34">
        <v>198</v>
      </c>
      <c r="AY200" s="34" t="s">
        <v>119</v>
      </c>
      <c r="BB200" s="34" t="s">
        <v>113</v>
      </c>
      <c r="BC200" s="34" t="s">
        <v>97</v>
      </c>
      <c r="BD200" s="34" t="s">
        <v>98</v>
      </c>
      <c r="BE200" s="34" t="s">
        <v>99</v>
      </c>
      <c r="BF200" s="34" t="s">
        <v>100</v>
      </c>
      <c r="BH200" s="34" t="s">
        <v>102</v>
      </c>
      <c r="BI200" s="34" t="s">
        <v>103</v>
      </c>
      <c r="BK200" s="34" t="s">
        <v>109</v>
      </c>
      <c r="BL200" s="34" t="s">
        <v>110</v>
      </c>
      <c r="BM200" s="34" t="s">
        <v>106</v>
      </c>
      <c r="BN200" s="34" t="s">
        <v>114</v>
      </c>
      <c r="BO200" s="34" t="s">
        <v>120</v>
      </c>
      <c r="BP200" s="34" t="s">
        <v>108</v>
      </c>
      <c r="BQ200" s="34" t="s">
        <v>105</v>
      </c>
      <c r="BR200" s="34" t="s">
        <v>112</v>
      </c>
    </row>
    <row r="201" spans="49:70" x14ac:dyDescent="0.25">
      <c r="AW201" s="34" t="str">
        <f t="shared" si="18"/>
        <v>ADEFGHIL</v>
      </c>
      <c r="AX201" s="34">
        <v>199</v>
      </c>
      <c r="AY201" s="34" t="s">
        <v>119</v>
      </c>
      <c r="BB201" s="34" t="s">
        <v>113</v>
      </c>
      <c r="BC201" s="34" t="s">
        <v>97</v>
      </c>
      <c r="BD201" s="34" t="s">
        <v>98</v>
      </c>
      <c r="BE201" s="34" t="s">
        <v>99</v>
      </c>
      <c r="BF201" s="34" t="s">
        <v>100</v>
      </c>
      <c r="BG201" s="34" t="s">
        <v>101</v>
      </c>
      <c r="BJ201" s="34" t="s">
        <v>104</v>
      </c>
      <c r="BK201" s="34" t="s">
        <v>109</v>
      </c>
      <c r="BL201" s="34" t="s">
        <v>110</v>
      </c>
      <c r="BM201" s="34" t="s">
        <v>105</v>
      </c>
      <c r="BN201" s="34" t="s">
        <v>114</v>
      </c>
      <c r="BO201" s="34" t="s">
        <v>120</v>
      </c>
      <c r="BP201" s="34" t="s">
        <v>108</v>
      </c>
      <c r="BQ201" s="34" t="s">
        <v>111</v>
      </c>
      <c r="BR201" s="34" t="s">
        <v>107</v>
      </c>
    </row>
    <row r="202" spans="49:70" x14ac:dyDescent="0.25">
      <c r="AW202" s="34" t="str">
        <f t="shared" si="18"/>
        <v>ADEFGHIK</v>
      </c>
      <c r="AX202" s="34">
        <v>200</v>
      </c>
      <c r="AY202" s="34" t="s">
        <v>119</v>
      </c>
      <c r="BB202" s="34" t="s">
        <v>113</v>
      </c>
      <c r="BC202" s="34" t="s">
        <v>97</v>
      </c>
      <c r="BD202" s="34" t="s">
        <v>98</v>
      </c>
      <c r="BE202" s="34" t="s">
        <v>99</v>
      </c>
      <c r="BF202" s="34" t="s">
        <v>100</v>
      </c>
      <c r="BG202" s="34" t="s">
        <v>101</v>
      </c>
      <c r="BI202" s="34" t="s">
        <v>103</v>
      </c>
      <c r="BK202" s="34" t="s">
        <v>109</v>
      </c>
      <c r="BL202" s="34" t="s">
        <v>110</v>
      </c>
      <c r="BM202" s="34" t="s">
        <v>105</v>
      </c>
      <c r="BN202" s="34" t="s">
        <v>114</v>
      </c>
      <c r="BO202" s="34" t="s">
        <v>120</v>
      </c>
      <c r="BP202" s="34" t="s">
        <v>108</v>
      </c>
      <c r="BQ202" s="34" t="s">
        <v>107</v>
      </c>
      <c r="BR202" s="34" t="s">
        <v>112</v>
      </c>
    </row>
    <row r="203" spans="49:70" x14ac:dyDescent="0.25">
      <c r="AW203" s="34" t="str">
        <f t="shared" si="18"/>
        <v>ADEFGHIJ</v>
      </c>
      <c r="AX203" s="34">
        <v>201</v>
      </c>
      <c r="AY203" s="34" t="s">
        <v>119</v>
      </c>
      <c r="BB203" s="34" t="s">
        <v>113</v>
      </c>
      <c r="BC203" s="34" t="s">
        <v>97</v>
      </c>
      <c r="BD203" s="34" t="s">
        <v>98</v>
      </c>
      <c r="BE203" s="34" t="s">
        <v>99</v>
      </c>
      <c r="BF203" s="34" t="s">
        <v>100</v>
      </c>
      <c r="BG203" s="34" t="s">
        <v>101</v>
      </c>
      <c r="BH203" s="34" t="s">
        <v>102</v>
      </c>
      <c r="BK203" s="34" t="s">
        <v>109</v>
      </c>
      <c r="BL203" s="34" t="s">
        <v>110</v>
      </c>
      <c r="BM203" s="34" t="s">
        <v>106</v>
      </c>
      <c r="BN203" s="34" t="s">
        <v>114</v>
      </c>
      <c r="BO203" s="34" t="s">
        <v>120</v>
      </c>
      <c r="BP203" s="34" t="s">
        <v>108</v>
      </c>
      <c r="BQ203" s="34" t="s">
        <v>105</v>
      </c>
      <c r="BR203" s="34" t="s">
        <v>107</v>
      </c>
    </row>
    <row r="204" spans="49:70" x14ac:dyDescent="0.25">
      <c r="AW204" s="34" t="str">
        <f t="shared" si="18"/>
        <v>ACGHIJKL</v>
      </c>
      <c r="AX204" s="34">
        <v>202</v>
      </c>
      <c r="AY204" s="34" t="s">
        <v>119</v>
      </c>
      <c r="BA204" s="34" t="s">
        <v>115</v>
      </c>
      <c r="BE204" s="34" t="s">
        <v>99</v>
      </c>
      <c r="BF204" s="34" t="s">
        <v>100</v>
      </c>
      <c r="BG204" s="34" t="s">
        <v>101</v>
      </c>
      <c r="BH204" s="34" t="s">
        <v>102</v>
      </c>
      <c r="BI204" s="34" t="s">
        <v>103</v>
      </c>
      <c r="BJ204" s="34" t="s">
        <v>104</v>
      </c>
      <c r="BK204" s="34" t="s">
        <v>109</v>
      </c>
      <c r="BL204" s="34" t="s">
        <v>106</v>
      </c>
      <c r="BM204" s="34" t="s">
        <v>107</v>
      </c>
      <c r="BN204" s="34" t="s">
        <v>116</v>
      </c>
      <c r="BO204" s="34" t="s">
        <v>120</v>
      </c>
      <c r="BP204" s="34" t="s">
        <v>110</v>
      </c>
      <c r="BQ204" s="34" t="s">
        <v>111</v>
      </c>
      <c r="BR204" s="34" t="s">
        <v>112</v>
      </c>
    </row>
    <row r="205" spans="49:70" x14ac:dyDescent="0.25">
      <c r="AW205" s="34" t="str">
        <f t="shared" si="18"/>
        <v>ACFHIJKL</v>
      </c>
      <c r="AX205" s="34">
        <v>203</v>
      </c>
      <c r="AY205" s="34" t="s">
        <v>119</v>
      </c>
      <c r="BA205" s="34" t="s">
        <v>115</v>
      </c>
      <c r="BD205" s="34" t="s">
        <v>98</v>
      </c>
      <c r="BF205" s="34" t="s">
        <v>100</v>
      </c>
      <c r="BG205" s="34" t="s">
        <v>101</v>
      </c>
      <c r="BH205" s="34" t="s">
        <v>102</v>
      </c>
      <c r="BI205" s="34" t="s">
        <v>103</v>
      </c>
      <c r="BJ205" s="34" t="s">
        <v>104</v>
      </c>
      <c r="BK205" s="34" t="s">
        <v>109</v>
      </c>
      <c r="BL205" s="34" t="s">
        <v>106</v>
      </c>
      <c r="BM205" s="34" t="s">
        <v>107</v>
      </c>
      <c r="BN205" s="34" t="s">
        <v>116</v>
      </c>
      <c r="BO205" s="34" t="s">
        <v>120</v>
      </c>
      <c r="BP205" s="34" t="s">
        <v>108</v>
      </c>
      <c r="BQ205" s="34" t="s">
        <v>111</v>
      </c>
      <c r="BR205" s="34" t="s">
        <v>112</v>
      </c>
    </row>
    <row r="206" spans="49:70" x14ac:dyDescent="0.25">
      <c r="AW206" s="34" t="str">
        <f t="shared" si="18"/>
        <v>ACFGIJKL</v>
      </c>
      <c r="AX206" s="34">
        <v>204</v>
      </c>
      <c r="AY206" s="34" t="s">
        <v>119</v>
      </c>
      <c r="BA206" s="34" t="s">
        <v>115</v>
      </c>
      <c r="BD206" s="34" t="s">
        <v>98</v>
      </c>
      <c r="BE206" s="34" t="s">
        <v>99</v>
      </c>
      <c r="BG206" s="34" t="s">
        <v>101</v>
      </c>
      <c r="BH206" s="34" t="s">
        <v>102</v>
      </c>
      <c r="BI206" s="34" t="s">
        <v>103</v>
      </c>
      <c r="BJ206" s="34" t="s">
        <v>104</v>
      </c>
      <c r="BK206" s="34" t="s">
        <v>107</v>
      </c>
      <c r="BL206" s="34" t="s">
        <v>110</v>
      </c>
      <c r="BM206" s="34" t="s">
        <v>106</v>
      </c>
      <c r="BN206" s="34" t="s">
        <v>116</v>
      </c>
      <c r="BO206" s="34" t="s">
        <v>120</v>
      </c>
      <c r="BP206" s="34" t="s">
        <v>108</v>
      </c>
      <c r="BQ206" s="34" t="s">
        <v>111</v>
      </c>
      <c r="BR206" s="34" t="s">
        <v>112</v>
      </c>
    </row>
    <row r="207" spans="49:70" x14ac:dyDescent="0.25">
      <c r="AW207" s="34" t="str">
        <f t="shared" si="18"/>
        <v>ACFGHJKL</v>
      </c>
      <c r="AX207" s="34">
        <v>205</v>
      </c>
      <c r="AY207" s="34" t="s">
        <v>119</v>
      </c>
      <c r="BA207" s="34" t="s">
        <v>115</v>
      </c>
      <c r="BD207" s="34" t="s">
        <v>98</v>
      </c>
      <c r="BE207" s="34" t="s">
        <v>99</v>
      </c>
      <c r="BF207" s="34" t="s">
        <v>100</v>
      </c>
      <c r="BH207" s="34" t="s">
        <v>102</v>
      </c>
      <c r="BI207" s="34" t="s">
        <v>103</v>
      </c>
      <c r="BJ207" s="34" t="s">
        <v>104</v>
      </c>
      <c r="BK207" s="34" t="s">
        <v>109</v>
      </c>
      <c r="BL207" s="34" t="s">
        <v>110</v>
      </c>
      <c r="BM207" s="34" t="s">
        <v>106</v>
      </c>
      <c r="BN207" s="34" t="s">
        <v>116</v>
      </c>
      <c r="BO207" s="34" t="s">
        <v>120</v>
      </c>
      <c r="BP207" s="34" t="s">
        <v>108</v>
      </c>
      <c r="BQ207" s="34" t="s">
        <v>111</v>
      </c>
      <c r="BR207" s="34" t="s">
        <v>112</v>
      </c>
    </row>
    <row r="208" spans="49:70" x14ac:dyDescent="0.25">
      <c r="AW208" s="34" t="str">
        <f t="shared" si="18"/>
        <v>ACFGHIKL</v>
      </c>
      <c r="AX208" s="34">
        <v>206</v>
      </c>
      <c r="AY208" s="34" t="s">
        <v>119</v>
      </c>
      <c r="BA208" s="34" t="s">
        <v>115</v>
      </c>
      <c r="BD208" s="34" t="s">
        <v>98</v>
      </c>
      <c r="BE208" s="34" t="s">
        <v>99</v>
      </c>
      <c r="BF208" s="34" t="s">
        <v>100</v>
      </c>
      <c r="BG208" s="34" t="s">
        <v>101</v>
      </c>
      <c r="BI208" s="34" t="s">
        <v>103</v>
      </c>
      <c r="BJ208" s="34" t="s">
        <v>104</v>
      </c>
      <c r="BK208" s="34" t="s">
        <v>109</v>
      </c>
      <c r="BL208" s="34" t="s">
        <v>110</v>
      </c>
      <c r="BM208" s="34" t="s">
        <v>107</v>
      </c>
      <c r="BN208" s="34" t="s">
        <v>116</v>
      </c>
      <c r="BO208" s="34" t="s">
        <v>120</v>
      </c>
      <c r="BP208" s="34" t="s">
        <v>108</v>
      </c>
      <c r="BQ208" s="34" t="s">
        <v>111</v>
      </c>
      <c r="BR208" s="34" t="s">
        <v>112</v>
      </c>
    </row>
    <row r="209" spans="49:70" x14ac:dyDescent="0.25">
      <c r="AW209" s="34" t="str">
        <f t="shared" si="18"/>
        <v>ACFGHIJL</v>
      </c>
      <c r="AX209" s="34">
        <v>207</v>
      </c>
      <c r="AY209" s="34" t="s">
        <v>119</v>
      </c>
      <c r="BA209" s="34" t="s">
        <v>115</v>
      </c>
      <c r="BD209" s="34" t="s">
        <v>98</v>
      </c>
      <c r="BE209" s="34" t="s">
        <v>99</v>
      </c>
      <c r="BF209" s="34" t="s">
        <v>100</v>
      </c>
      <c r="BG209" s="34" t="s">
        <v>101</v>
      </c>
      <c r="BH209" s="34" t="s">
        <v>102</v>
      </c>
      <c r="BJ209" s="34" t="s">
        <v>104</v>
      </c>
      <c r="BK209" s="34" t="s">
        <v>109</v>
      </c>
      <c r="BL209" s="34" t="s">
        <v>110</v>
      </c>
      <c r="BM209" s="34" t="s">
        <v>106</v>
      </c>
      <c r="BN209" s="34" t="s">
        <v>116</v>
      </c>
      <c r="BO209" s="34" t="s">
        <v>120</v>
      </c>
      <c r="BP209" s="34" t="s">
        <v>108</v>
      </c>
      <c r="BQ209" s="34" t="s">
        <v>111</v>
      </c>
      <c r="BR209" s="34" t="s">
        <v>107</v>
      </c>
    </row>
    <row r="210" spans="49:70" x14ac:dyDescent="0.25">
      <c r="AW210" s="34" t="str">
        <f t="shared" si="18"/>
        <v>ACFGHIJK</v>
      </c>
      <c r="AX210" s="34">
        <v>208</v>
      </c>
      <c r="AY210" s="34" t="s">
        <v>119</v>
      </c>
      <c r="BA210" s="34" t="s">
        <v>115</v>
      </c>
      <c r="BD210" s="34" t="s">
        <v>98</v>
      </c>
      <c r="BE210" s="34" t="s">
        <v>99</v>
      </c>
      <c r="BF210" s="34" t="s">
        <v>100</v>
      </c>
      <c r="BG210" s="34" t="s">
        <v>101</v>
      </c>
      <c r="BH210" s="34" t="s">
        <v>102</v>
      </c>
      <c r="BI210" s="34" t="s">
        <v>103</v>
      </c>
      <c r="BK210" s="34" t="s">
        <v>109</v>
      </c>
      <c r="BL210" s="34" t="s">
        <v>110</v>
      </c>
      <c r="BM210" s="34" t="s">
        <v>106</v>
      </c>
      <c r="BN210" s="34" t="s">
        <v>116</v>
      </c>
      <c r="BO210" s="34" t="s">
        <v>120</v>
      </c>
      <c r="BP210" s="34" t="s">
        <v>108</v>
      </c>
      <c r="BQ210" s="34" t="s">
        <v>107</v>
      </c>
      <c r="BR210" s="34" t="s">
        <v>112</v>
      </c>
    </row>
    <row r="211" spans="49:70" x14ac:dyDescent="0.25">
      <c r="AW211" s="34" t="str">
        <f t="shared" si="18"/>
        <v>ACEHIJKL</v>
      </c>
      <c r="AX211" s="34">
        <v>209</v>
      </c>
      <c r="AY211" s="34" t="s">
        <v>119</v>
      </c>
      <c r="BA211" s="34" t="s">
        <v>115</v>
      </c>
      <c r="BC211" s="34" t="s">
        <v>97</v>
      </c>
      <c r="BF211" s="34" t="s">
        <v>100</v>
      </c>
      <c r="BG211" s="34" t="s">
        <v>101</v>
      </c>
      <c r="BH211" s="34" t="s">
        <v>102</v>
      </c>
      <c r="BI211" s="34" t="s">
        <v>103</v>
      </c>
      <c r="BJ211" s="34" t="s">
        <v>104</v>
      </c>
      <c r="BK211" s="34" t="s">
        <v>105</v>
      </c>
      <c r="BL211" s="34" t="s">
        <v>106</v>
      </c>
      <c r="BM211" s="34" t="s">
        <v>107</v>
      </c>
      <c r="BN211" s="34" t="s">
        <v>116</v>
      </c>
      <c r="BO211" s="34" t="s">
        <v>120</v>
      </c>
      <c r="BP211" s="34" t="s">
        <v>109</v>
      </c>
      <c r="BQ211" s="34" t="s">
        <v>111</v>
      </c>
      <c r="BR211" s="34" t="s">
        <v>112</v>
      </c>
    </row>
    <row r="212" spans="49:70" x14ac:dyDescent="0.25">
      <c r="AW212" s="34" t="str">
        <f t="shared" si="18"/>
        <v>ACEGIJKL</v>
      </c>
      <c r="AX212" s="34">
        <v>210</v>
      </c>
      <c r="AY212" s="34" t="s">
        <v>119</v>
      </c>
      <c r="BA212" s="34" t="s">
        <v>115</v>
      </c>
      <c r="BC212" s="34" t="s">
        <v>97</v>
      </c>
      <c r="BE212" s="34" t="s">
        <v>99</v>
      </c>
      <c r="BG212" s="34" t="s">
        <v>101</v>
      </c>
      <c r="BH212" s="34" t="s">
        <v>102</v>
      </c>
      <c r="BI212" s="34" t="s">
        <v>103</v>
      </c>
      <c r="BJ212" s="34" t="s">
        <v>104</v>
      </c>
      <c r="BK212" s="34" t="s">
        <v>105</v>
      </c>
      <c r="BL212" s="34" t="s">
        <v>106</v>
      </c>
      <c r="BM212" s="34" t="s">
        <v>107</v>
      </c>
      <c r="BN212" s="34" t="s">
        <v>116</v>
      </c>
      <c r="BO212" s="34" t="s">
        <v>120</v>
      </c>
      <c r="BP212" s="34" t="s">
        <v>110</v>
      </c>
      <c r="BQ212" s="34" t="s">
        <v>111</v>
      </c>
      <c r="BR212" s="34" t="s">
        <v>112</v>
      </c>
    </row>
    <row r="213" spans="49:70" x14ac:dyDescent="0.25">
      <c r="AW213" s="34" t="str">
        <f t="shared" si="18"/>
        <v>ACEGHJKL</v>
      </c>
      <c r="AX213" s="34">
        <v>211</v>
      </c>
      <c r="AY213" s="34" t="s">
        <v>119</v>
      </c>
      <c r="BA213" s="34" t="s">
        <v>115</v>
      </c>
      <c r="BC213" s="34" t="s">
        <v>97</v>
      </c>
      <c r="BE213" s="34" t="s">
        <v>99</v>
      </c>
      <c r="BF213" s="34" t="s">
        <v>100</v>
      </c>
      <c r="BH213" s="34" t="s">
        <v>102</v>
      </c>
      <c r="BI213" s="34" t="s">
        <v>103</v>
      </c>
      <c r="BJ213" s="34" t="s">
        <v>104</v>
      </c>
      <c r="BK213" s="34" t="s">
        <v>105</v>
      </c>
      <c r="BL213" s="34" t="s">
        <v>110</v>
      </c>
      <c r="BM213" s="34" t="s">
        <v>106</v>
      </c>
      <c r="BN213" s="34" t="s">
        <v>116</v>
      </c>
      <c r="BO213" s="34" t="s">
        <v>120</v>
      </c>
      <c r="BP213" s="34" t="s">
        <v>109</v>
      </c>
      <c r="BQ213" s="34" t="s">
        <v>111</v>
      </c>
      <c r="BR213" s="34" t="s">
        <v>112</v>
      </c>
    </row>
    <row r="214" spans="49:70" x14ac:dyDescent="0.25">
      <c r="AW214" s="34" t="str">
        <f t="shared" si="18"/>
        <v>ACEGHIKL</v>
      </c>
      <c r="AX214" s="34">
        <v>212</v>
      </c>
      <c r="AY214" s="34" t="s">
        <v>119</v>
      </c>
      <c r="BA214" s="34" t="s">
        <v>115</v>
      </c>
      <c r="BC214" s="34" t="s">
        <v>97</v>
      </c>
      <c r="BE214" s="34" t="s">
        <v>99</v>
      </c>
      <c r="BF214" s="34" t="s">
        <v>100</v>
      </c>
      <c r="BG214" s="34" t="s">
        <v>101</v>
      </c>
      <c r="BI214" s="34" t="s">
        <v>103</v>
      </c>
      <c r="BJ214" s="34" t="s">
        <v>104</v>
      </c>
      <c r="BK214" s="34" t="s">
        <v>105</v>
      </c>
      <c r="BL214" s="34" t="s">
        <v>110</v>
      </c>
      <c r="BM214" s="34" t="s">
        <v>107</v>
      </c>
      <c r="BN214" s="34" t="s">
        <v>116</v>
      </c>
      <c r="BO214" s="34" t="s">
        <v>120</v>
      </c>
      <c r="BP214" s="34" t="s">
        <v>109</v>
      </c>
      <c r="BQ214" s="34" t="s">
        <v>111</v>
      </c>
      <c r="BR214" s="34" t="s">
        <v>112</v>
      </c>
    </row>
    <row r="215" spans="49:70" x14ac:dyDescent="0.25">
      <c r="AW215" s="34" t="str">
        <f t="shared" si="18"/>
        <v>ACEGHIJL</v>
      </c>
      <c r="AX215" s="34">
        <v>213</v>
      </c>
      <c r="AY215" s="34" t="s">
        <v>119</v>
      </c>
      <c r="BA215" s="34" t="s">
        <v>115</v>
      </c>
      <c r="BC215" s="34" t="s">
        <v>97</v>
      </c>
      <c r="BE215" s="34" t="s">
        <v>99</v>
      </c>
      <c r="BF215" s="34" t="s">
        <v>100</v>
      </c>
      <c r="BG215" s="34" t="s">
        <v>101</v>
      </c>
      <c r="BH215" s="34" t="s">
        <v>102</v>
      </c>
      <c r="BJ215" s="34" t="s">
        <v>104</v>
      </c>
      <c r="BK215" s="34" t="s">
        <v>105</v>
      </c>
      <c r="BL215" s="34" t="s">
        <v>110</v>
      </c>
      <c r="BM215" s="34" t="s">
        <v>106</v>
      </c>
      <c r="BN215" s="34" t="s">
        <v>116</v>
      </c>
      <c r="BO215" s="34" t="s">
        <v>120</v>
      </c>
      <c r="BP215" s="34" t="s">
        <v>109</v>
      </c>
      <c r="BQ215" s="34" t="s">
        <v>111</v>
      </c>
      <c r="BR215" s="34" t="s">
        <v>107</v>
      </c>
    </row>
    <row r="216" spans="49:70" x14ac:dyDescent="0.25">
      <c r="AW216" s="34" t="str">
        <f t="shared" si="18"/>
        <v>ACEGHIJK</v>
      </c>
      <c r="AX216" s="34">
        <v>214</v>
      </c>
      <c r="AY216" s="34" t="s">
        <v>119</v>
      </c>
      <c r="BA216" s="34" t="s">
        <v>115</v>
      </c>
      <c r="BC216" s="34" t="s">
        <v>97</v>
      </c>
      <c r="BE216" s="34" t="s">
        <v>99</v>
      </c>
      <c r="BF216" s="34" t="s">
        <v>100</v>
      </c>
      <c r="BG216" s="34" t="s">
        <v>101</v>
      </c>
      <c r="BH216" s="34" t="s">
        <v>102</v>
      </c>
      <c r="BI216" s="34" t="s">
        <v>103</v>
      </c>
      <c r="BK216" s="34" t="s">
        <v>105</v>
      </c>
      <c r="BL216" s="34" t="s">
        <v>110</v>
      </c>
      <c r="BM216" s="34" t="s">
        <v>106</v>
      </c>
      <c r="BN216" s="34" t="s">
        <v>116</v>
      </c>
      <c r="BO216" s="34" t="s">
        <v>120</v>
      </c>
      <c r="BP216" s="34" t="s">
        <v>109</v>
      </c>
      <c r="BQ216" s="34" t="s">
        <v>107</v>
      </c>
      <c r="BR216" s="34" t="s">
        <v>112</v>
      </c>
    </row>
    <row r="217" spans="49:70" x14ac:dyDescent="0.25">
      <c r="AW217" s="34" t="str">
        <f t="shared" si="18"/>
        <v>ACEFIJKL</v>
      </c>
      <c r="AX217" s="34">
        <v>215</v>
      </c>
      <c r="AY217" s="34" t="s">
        <v>119</v>
      </c>
      <c r="BA217" s="34" t="s">
        <v>115</v>
      </c>
      <c r="BC217" s="34" t="s">
        <v>97</v>
      </c>
      <c r="BD217" s="34" t="s">
        <v>98</v>
      </c>
      <c r="BG217" s="34" t="s">
        <v>101</v>
      </c>
      <c r="BH217" s="34" t="s">
        <v>102</v>
      </c>
      <c r="BI217" s="34" t="s">
        <v>103</v>
      </c>
      <c r="BJ217" s="34" t="s">
        <v>104</v>
      </c>
      <c r="BK217" s="34" t="s">
        <v>105</v>
      </c>
      <c r="BL217" s="34" t="s">
        <v>106</v>
      </c>
      <c r="BM217" s="34" t="s">
        <v>107</v>
      </c>
      <c r="BN217" s="34" t="s">
        <v>116</v>
      </c>
      <c r="BO217" s="34" t="s">
        <v>120</v>
      </c>
      <c r="BP217" s="34" t="s">
        <v>108</v>
      </c>
      <c r="BQ217" s="34" t="s">
        <v>111</v>
      </c>
      <c r="BR217" s="34" t="s">
        <v>112</v>
      </c>
    </row>
    <row r="218" spans="49:70" x14ac:dyDescent="0.25">
      <c r="AW218" s="34" t="str">
        <f t="shared" si="18"/>
        <v>ACEFHJKL</v>
      </c>
      <c r="AX218" s="34">
        <v>216</v>
      </c>
      <c r="AY218" s="34" t="s">
        <v>119</v>
      </c>
      <c r="BA218" s="34" t="s">
        <v>115</v>
      </c>
      <c r="BC218" s="34" t="s">
        <v>97</v>
      </c>
      <c r="BD218" s="34" t="s">
        <v>98</v>
      </c>
      <c r="BF218" s="34" t="s">
        <v>100</v>
      </c>
      <c r="BH218" s="34" t="s">
        <v>102</v>
      </c>
      <c r="BI218" s="34" t="s">
        <v>103</v>
      </c>
      <c r="BJ218" s="34" t="s">
        <v>104</v>
      </c>
      <c r="BK218" s="34" t="s">
        <v>109</v>
      </c>
      <c r="BL218" s="34" t="s">
        <v>106</v>
      </c>
      <c r="BM218" s="34" t="s">
        <v>105</v>
      </c>
      <c r="BN218" s="34" t="s">
        <v>116</v>
      </c>
      <c r="BO218" s="34" t="s">
        <v>120</v>
      </c>
      <c r="BP218" s="34" t="s">
        <v>108</v>
      </c>
      <c r="BQ218" s="34" t="s">
        <v>111</v>
      </c>
      <c r="BR218" s="34" t="s">
        <v>112</v>
      </c>
    </row>
    <row r="219" spans="49:70" x14ac:dyDescent="0.25">
      <c r="AW219" s="34" t="str">
        <f t="shared" si="18"/>
        <v>ACEFHIKL</v>
      </c>
      <c r="AX219" s="34">
        <v>217</v>
      </c>
      <c r="AY219" s="34" t="s">
        <v>119</v>
      </c>
      <c r="BA219" s="34" t="s">
        <v>115</v>
      </c>
      <c r="BC219" s="34" t="s">
        <v>97</v>
      </c>
      <c r="BD219" s="34" t="s">
        <v>98</v>
      </c>
      <c r="BF219" s="34" t="s">
        <v>100</v>
      </c>
      <c r="BG219" s="34" t="s">
        <v>101</v>
      </c>
      <c r="BI219" s="34" t="s">
        <v>103</v>
      </c>
      <c r="BJ219" s="34" t="s">
        <v>104</v>
      </c>
      <c r="BK219" s="34" t="s">
        <v>109</v>
      </c>
      <c r="BL219" s="34" t="s">
        <v>105</v>
      </c>
      <c r="BM219" s="34" t="s">
        <v>107</v>
      </c>
      <c r="BN219" s="34" t="s">
        <v>116</v>
      </c>
      <c r="BO219" s="34" t="s">
        <v>120</v>
      </c>
      <c r="BP219" s="34" t="s">
        <v>108</v>
      </c>
      <c r="BQ219" s="34" t="s">
        <v>111</v>
      </c>
      <c r="BR219" s="34" t="s">
        <v>112</v>
      </c>
    </row>
    <row r="220" spans="49:70" x14ac:dyDescent="0.25">
      <c r="AW220" s="34" t="str">
        <f t="shared" si="18"/>
        <v>ACEFHIJL</v>
      </c>
      <c r="AX220" s="34">
        <v>218</v>
      </c>
      <c r="AY220" s="34" t="s">
        <v>119</v>
      </c>
      <c r="BA220" s="34" t="s">
        <v>115</v>
      </c>
      <c r="BC220" s="34" t="s">
        <v>97</v>
      </c>
      <c r="BD220" s="34" t="s">
        <v>98</v>
      </c>
      <c r="BF220" s="34" t="s">
        <v>100</v>
      </c>
      <c r="BG220" s="34" t="s">
        <v>101</v>
      </c>
      <c r="BH220" s="34" t="s">
        <v>102</v>
      </c>
      <c r="BJ220" s="34" t="s">
        <v>104</v>
      </c>
      <c r="BK220" s="34" t="s">
        <v>109</v>
      </c>
      <c r="BL220" s="34" t="s">
        <v>106</v>
      </c>
      <c r="BM220" s="34" t="s">
        <v>105</v>
      </c>
      <c r="BN220" s="34" t="s">
        <v>116</v>
      </c>
      <c r="BO220" s="34" t="s">
        <v>120</v>
      </c>
      <c r="BP220" s="34" t="s">
        <v>108</v>
      </c>
      <c r="BQ220" s="34" t="s">
        <v>111</v>
      </c>
      <c r="BR220" s="34" t="s">
        <v>107</v>
      </c>
    </row>
    <row r="221" spans="49:70" x14ac:dyDescent="0.25">
      <c r="AW221" s="34" t="str">
        <f t="shared" si="18"/>
        <v>ACEFHIJK</v>
      </c>
      <c r="AX221" s="34">
        <v>219</v>
      </c>
      <c r="AY221" s="34" t="s">
        <v>119</v>
      </c>
      <c r="BA221" s="34" t="s">
        <v>115</v>
      </c>
      <c r="BC221" s="34" t="s">
        <v>97</v>
      </c>
      <c r="BD221" s="34" t="s">
        <v>98</v>
      </c>
      <c r="BF221" s="34" t="s">
        <v>100</v>
      </c>
      <c r="BG221" s="34" t="s">
        <v>101</v>
      </c>
      <c r="BH221" s="34" t="s">
        <v>102</v>
      </c>
      <c r="BI221" s="34" t="s">
        <v>103</v>
      </c>
      <c r="BK221" s="34" t="s">
        <v>109</v>
      </c>
      <c r="BL221" s="34" t="s">
        <v>106</v>
      </c>
      <c r="BM221" s="34" t="s">
        <v>105</v>
      </c>
      <c r="BN221" s="34" t="s">
        <v>116</v>
      </c>
      <c r="BO221" s="34" t="s">
        <v>120</v>
      </c>
      <c r="BP221" s="34" t="s">
        <v>108</v>
      </c>
      <c r="BQ221" s="34" t="s">
        <v>107</v>
      </c>
      <c r="BR221" s="34" t="s">
        <v>112</v>
      </c>
    </row>
    <row r="222" spans="49:70" x14ac:dyDescent="0.25">
      <c r="AW222" s="34" t="str">
        <f t="shared" si="18"/>
        <v>ACEFGJKL</v>
      </c>
      <c r="AX222" s="34">
        <v>220</v>
      </c>
      <c r="AY222" s="34" t="s">
        <v>119</v>
      </c>
      <c r="BA222" s="34" t="s">
        <v>115</v>
      </c>
      <c r="BC222" s="34" t="s">
        <v>97</v>
      </c>
      <c r="BD222" s="34" t="s">
        <v>98</v>
      </c>
      <c r="BE222" s="34" t="s">
        <v>99</v>
      </c>
      <c r="BH222" s="34" t="s">
        <v>102</v>
      </c>
      <c r="BI222" s="34" t="s">
        <v>103</v>
      </c>
      <c r="BJ222" s="34" t="s">
        <v>104</v>
      </c>
      <c r="BK222" s="34" t="s">
        <v>105</v>
      </c>
      <c r="BL222" s="34" t="s">
        <v>110</v>
      </c>
      <c r="BM222" s="34" t="s">
        <v>106</v>
      </c>
      <c r="BN222" s="34" t="s">
        <v>116</v>
      </c>
      <c r="BO222" s="34" t="s">
        <v>120</v>
      </c>
      <c r="BP222" s="34" t="s">
        <v>108</v>
      </c>
      <c r="BQ222" s="34" t="s">
        <v>111</v>
      </c>
      <c r="BR222" s="34" t="s">
        <v>112</v>
      </c>
    </row>
    <row r="223" spans="49:70" x14ac:dyDescent="0.25">
      <c r="AW223" s="34" t="str">
        <f t="shared" si="18"/>
        <v>ACEFGIKL</v>
      </c>
      <c r="AX223" s="34">
        <v>221</v>
      </c>
      <c r="AY223" s="34" t="s">
        <v>119</v>
      </c>
      <c r="BA223" s="34" t="s">
        <v>115</v>
      </c>
      <c r="BC223" s="34" t="s">
        <v>97</v>
      </c>
      <c r="BD223" s="34" t="s">
        <v>98</v>
      </c>
      <c r="BE223" s="34" t="s">
        <v>99</v>
      </c>
      <c r="BG223" s="34" t="s">
        <v>101</v>
      </c>
      <c r="BI223" s="34" t="s">
        <v>103</v>
      </c>
      <c r="BJ223" s="34" t="s">
        <v>104</v>
      </c>
      <c r="BK223" s="34" t="s">
        <v>105</v>
      </c>
      <c r="BL223" s="34" t="s">
        <v>110</v>
      </c>
      <c r="BM223" s="34" t="s">
        <v>107</v>
      </c>
      <c r="BN223" s="34" t="s">
        <v>116</v>
      </c>
      <c r="BO223" s="34" t="s">
        <v>120</v>
      </c>
      <c r="BP223" s="34" t="s">
        <v>108</v>
      </c>
      <c r="BQ223" s="34" t="s">
        <v>111</v>
      </c>
      <c r="BR223" s="34" t="s">
        <v>112</v>
      </c>
    </row>
    <row r="224" spans="49:70" x14ac:dyDescent="0.25">
      <c r="AW224" s="34" t="str">
        <f t="shared" si="18"/>
        <v>ACEFGIJL</v>
      </c>
      <c r="AX224" s="34">
        <v>222</v>
      </c>
      <c r="AY224" s="34" t="s">
        <v>119</v>
      </c>
      <c r="BA224" s="34" t="s">
        <v>115</v>
      </c>
      <c r="BC224" s="34" t="s">
        <v>97</v>
      </c>
      <c r="BD224" s="34" t="s">
        <v>98</v>
      </c>
      <c r="BE224" s="34" t="s">
        <v>99</v>
      </c>
      <c r="BG224" s="34" t="s">
        <v>101</v>
      </c>
      <c r="BH224" s="34" t="s">
        <v>102</v>
      </c>
      <c r="BJ224" s="34" t="s">
        <v>104</v>
      </c>
      <c r="BK224" s="34" t="s">
        <v>105</v>
      </c>
      <c r="BL224" s="34" t="s">
        <v>110</v>
      </c>
      <c r="BM224" s="34" t="s">
        <v>106</v>
      </c>
      <c r="BN224" s="34" t="s">
        <v>116</v>
      </c>
      <c r="BO224" s="34" t="s">
        <v>120</v>
      </c>
      <c r="BP224" s="34" t="s">
        <v>108</v>
      </c>
      <c r="BQ224" s="34" t="s">
        <v>111</v>
      </c>
      <c r="BR224" s="34" t="s">
        <v>107</v>
      </c>
    </row>
    <row r="225" spans="49:70" x14ac:dyDescent="0.25">
      <c r="AW225" s="34" t="str">
        <f t="shared" si="18"/>
        <v>ACEFGIJK</v>
      </c>
      <c r="AX225" s="34">
        <v>223</v>
      </c>
      <c r="AY225" s="34" t="s">
        <v>119</v>
      </c>
      <c r="BA225" s="34" t="s">
        <v>115</v>
      </c>
      <c r="BC225" s="34" t="s">
        <v>97</v>
      </c>
      <c r="BD225" s="34" t="s">
        <v>98</v>
      </c>
      <c r="BE225" s="34" t="s">
        <v>99</v>
      </c>
      <c r="BG225" s="34" t="s">
        <v>101</v>
      </c>
      <c r="BH225" s="34" t="s">
        <v>102</v>
      </c>
      <c r="BI225" s="34" t="s">
        <v>103</v>
      </c>
      <c r="BK225" s="34" t="s">
        <v>105</v>
      </c>
      <c r="BL225" s="34" t="s">
        <v>110</v>
      </c>
      <c r="BM225" s="34" t="s">
        <v>106</v>
      </c>
      <c r="BN225" s="34" t="s">
        <v>116</v>
      </c>
      <c r="BO225" s="34" t="s">
        <v>120</v>
      </c>
      <c r="BP225" s="34" t="s">
        <v>108</v>
      </c>
      <c r="BQ225" s="34" t="s">
        <v>107</v>
      </c>
      <c r="BR225" s="34" t="s">
        <v>112</v>
      </c>
    </row>
    <row r="226" spans="49:70" x14ac:dyDescent="0.25">
      <c r="AW226" s="34" t="str">
        <f t="shared" si="18"/>
        <v>ACEFGHKL</v>
      </c>
      <c r="AX226" s="34">
        <v>224</v>
      </c>
      <c r="AY226" s="34" t="s">
        <v>119</v>
      </c>
      <c r="BA226" s="34" t="s">
        <v>115</v>
      </c>
      <c r="BC226" s="34" t="s">
        <v>97</v>
      </c>
      <c r="BD226" s="34" t="s">
        <v>98</v>
      </c>
      <c r="BE226" s="34" t="s">
        <v>99</v>
      </c>
      <c r="BF226" s="34" t="s">
        <v>100</v>
      </c>
      <c r="BI226" s="34" t="s">
        <v>103</v>
      </c>
      <c r="BJ226" s="34" t="s">
        <v>104</v>
      </c>
      <c r="BK226" s="34" t="s">
        <v>109</v>
      </c>
      <c r="BL226" s="34" t="s">
        <v>110</v>
      </c>
      <c r="BM226" s="34" t="s">
        <v>105</v>
      </c>
      <c r="BN226" s="34" t="s">
        <v>116</v>
      </c>
      <c r="BO226" s="34" t="s">
        <v>120</v>
      </c>
      <c r="BP226" s="34" t="s">
        <v>108</v>
      </c>
      <c r="BQ226" s="34" t="s">
        <v>111</v>
      </c>
      <c r="BR226" s="34" t="s">
        <v>112</v>
      </c>
    </row>
    <row r="227" spans="49:70" x14ac:dyDescent="0.25">
      <c r="AW227" s="34" t="str">
        <f t="shared" si="18"/>
        <v>ACEFGHJL</v>
      </c>
      <c r="AX227" s="34">
        <v>225</v>
      </c>
      <c r="AY227" s="34" t="s">
        <v>119</v>
      </c>
      <c r="BA227" s="34" t="s">
        <v>115</v>
      </c>
      <c r="BC227" s="34" t="s">
        <v>97</v>
      </c>
      <c r="BD227" s="34" t="s">
        <v>98</v>
      </c>
      <c r="BE227" s="34" t="s">
        <v>99</v>
      </c>
      <c r="BF227" s="34" t="s">
        <v>100</v>
      </c>
      <c r="BH227" s="34" t="s">
        <v>102</v>
      </c>
      <c r="BJ227" s="34" t="s">
        <v>104</v>
      </c>
      <c r="BK227" s="34" t="s">
        <v>109</v>
      </c>
      <c r="BL227" s="34" t="s">
        <v>110</v>
      </c>
      <c r="BM227" s="34" t="s">
        <v>106</v>
      </c>
      <c r="BN227" s="34" t="s">
        <v>116</v>
      </c>
      <c r="BO227" s="34" t="s">
        <v>120</v>
      </c>
      <c r="BP227" s="34" t="s">
        <v>108</v>
      </c>
      <c r="BQ227" s="34" t="s">
        <v>111</v>
      </c>
      <c r="BR227" s="34" t="s">
        <v>105</v>
      </c>
    </row>
    <row r="228" spans="49:70" x14ac:dyDescent="0.25">
      <c r="AW228" s="34" t="str">
        <f t="shared" si="18"/>
        <v>ACEFGHJK</v>
      </c>
      <c r="AX228" s="34">
        <v>226</v>
      </c>
      <c r="AY228" s="34" t="s">
        <v>119</v>
      </c>
      <c r="BA228" s="34" t="s">
        <v>115</v>
      </c>
      <c r="BC228" s="34" t="s">
        <v>97</v>
      </c>
      <c r="BD228" s="34" t="s">
        <v>98</v>
      </c>
      <c r="BE228" s="34" t="s">
        <v>99</v>
      </c>
      <c r="BF228" s="34" t="s">
        <v>100</v>
      </c>
      <c r="BH228" s="34" t="s">
        <v>102</v>
      </c>
      <c r="BI228" s="34" t="s">
        <v>103</v>
      </c>
      <c r="BK228" s="34" t="s">
        <v>109</v>
      </c>
      <c r="BL228" s="34" t="s">
        <v>110</v>
      </c>
      <c r="BM228" s="34" t="s">
        <v>106</v>
      </c>
      <c r="BN228" s="34" t="s">
        <v>116</v>
      </c>
      <c r="BO228" s="34" t="s">
        <v>120</v>
      </c>
      <c r="BP228" s="34" t="s">
        <v>108</v>
      </c>
      <c r="BQ228" s="34" t="s">
        <v>105</v>
      </c>
      <c r="BR228" s="34" t="s">
        <v>112</v>
      </c>
    </row>
    <row r="229" spans="49:70" x14ac:dyDescent="0.25">
      <c r="AW229" s="34" t="str">
        <f t="shared" si="18"/>
        <v>ACEFGHIL</v>
      </c>
      <c r="AX229" s="34">
        <v>227</v>
      </c>
      <c r="AY229" s="34" t="s">
        <v>119</v>
      </c>
      <c r="BA229" s="34" t="s">
        <v>115</v>
      </c>
      <c r="BC229" s="34" t="s">
        <v>97</v>
      </c>
      <c r="BD229" s="34" t="s">
        <v>98</v>
      </c>
      <c r="BE229" s="34" t="s">
        <v>99</v>
      </c>
      <c r="BF229" s="34" t="s">
        <v>100</v>
      </c>
      <c r="BG229" s="34" t="s">
        <v>101</v>
      </c>
      <c r="BJ229" s="34" t="s">
        <v>104</v>
      </c>
      <c r="BK229" s="34" t="s">
        <v>109</v>
      </c>
      <c r="BL229" s="34" t="s">
        <v>110</v>
      </c>
      <c r="BM229" s="34" t="s">
        <v>105</v>
      </c>
      <c r="BN229" s="34" t="s">
        <v>116</v>
      </c>
      <c r="BO229" s="34" t="s">
        <v>120</v>
      </c>
      <c r="BP229" s="34" t="s">
        <v>108</v>
      </c>
      <c r="BQ229" s="34" t="s">
        <v>111</v>
      </c>
      <c r="BR229" s="34" t="s">
        <v>107</v>
      </c>
    </row>
    <row r="230" spans="49:70" x14ac:dyDescent="0.25">
      <c r="AW230" s="34" t="str">
        <f t="shared" si="18"/>
        <v>ACEFGHIK</v>
      </c>
      <c r="AX230" s="34">
        <v>228</v>
      </c>
      <c r="AY230" s="34" t="s">
        <v>119</v>
      </c>
      <c r="BA230" s="34" t="s">
        <v>115</v>
      </c>
      <c r="BC230" s="34" t="s">
        <v>97</v>
      </c>
      <c r="BD230" s="34" t="s">
        <v>98</v>
      </c>
      <c r="BE230" s="34" t="s">
        <v>99</v>
      </c>
      <c r="BF230" s="34" t="s">
        <v>100</v>
      </c>
      <c r="BG230" s="34" t="s">
        <v>101</v>
      </c>
      <c r="BI230" s="34" t="s">
        <v>103</v>
      </c>
      <c r="BK230" s="34" t="s">
        <v>109</v>
      </c>
      <c r="BL230" s="34" t="s">
        <v>110</v>
      </c>
      <c r="BM230" s="34" t="s">
        <v>105</v>
      </c>
      <c r="BN230" s="34" t="s">
        <v>116</v>
      </c>
      <c r="BO230" s="34" t="s">
        <v>120</v>
      </c>
      <c r="BP230" s="34" t="s">
        <v>108</v>
      </c>
      <c r="BQ230" s="34" t="s">
        <v>107</v>
      </c>
      <c r="BR230" s="34" t="s">
        <v>112</v>
      </c>
    </row>
    <row r="231" spans="49:70" x14ac:dyDescent="0.25">
      <c r="AW231" s="34" t="str">
        <f t="shared" si="18"/>
        <v>ACEFGHIJ</v>
      </c>
      <c r="AX231" s="34">
        <v>229</v>
      </c>
      <c r="AY231" s="34" t="s">
        <v>119</v>
      </c>
      <c r="BA231" s="34" t="s">
        <v>115</v>
      </c>
      <c r="BC231" s="34" t="s">
        <v>97</v>
      </c>
      <c r="BD231" s="34" t="s">
        <v>98</v>
      </c>
      <c r="BE231" s="34" t="s">
        <v>99</v>
      </c>
      <c r="BF231" s="34" t="s">
        <v>100</v>
      </c>
      <c r="BG231" s="34" t="s">
        <v>101</v>
      </c>
      <c r="BH231" s="34" t="s">
        <v>102</v>
      </c>
      <c r="BK231" s="34" t="s">
        <v>109</v>
      </c>
      <c r="BL231" s="34" t="s">
        <v>110</v>
      </c>
      <c r="BM231" s="34" t="s">
        <v>106</v>
      </c>
      <c r="BN231" s="34" t="s">
        <v>116</v>
      </c>
      <c r="BO231" s="34" t="s">
        <v>120</v>
      </c>
      <c r="BP231" s="34" t="s">
        <v>108</v>
      </c>
      <c r="BQ231" s="34" t="s">
        <v>105</v>
      </c>
      <c r="BR231" s="34" t="s">
        <v>107</v>
      </c>
    </row>
    <row r="232" spans="49:70" x14ac:dyDescent="0.25">
      <c r="AW232" s="34" t="str">
        <f t="shared" si="18"/>
        <v>ACDHIJKL</v>
      </c>
      <c r="AX232" s="34">
        <v>230</v>
      </c>
      <c r="AY232" s="34" t="s">
        <v>119</v>
      </c>
      <c r="BA232" s="34" t="s">
        <v>115</v>
      </c>
      <c r="BB232" s="34" t="s">
        <v>113</v>
      </c>
      <c r="BF232" s="34" t="s">
        <v>100</v>
      </c>
      <c r="BG232" s="34" t="s">
        <v>101</v>
      </c>
      <c r="BH232" s="34" t="s">
        <v>102</v>
      </c>
      <c r="BI232" s="34" t="s">
        <v>103</v>
      </c>
      <c r="BJ232" s="34" t="s">
        <v>104</v>
      </c>
      <c r="BK232" s="34" t="s">
        <v>109</v>
      </c>
      <c r="BL232" s="34" t="s">
        <v>106</v>
      </c>
      <c r="BM232" s="34" t="s">
        <v>107</v>
      </c>
      <c r="BN232" s="34" t="s">
        <v>116</v>
      </c>
      <c r="BO232" s="34" t="s">
        <v>120</v>
      </c>
      <c r="BP232" s="34" t="s">
        <v>114</v>
      </c>
      <c r="BQ232" s="34" t="s">
        <v>111</v>
      </c>
      <c r="BR232" s="34" t="s">
        <v>112</v>
      </c>
    </row>
    <row r="233" spans="49:70" x14ac:dyDescent="0.25">
      <c r="AW233" s="34" t="str">
        <f t="shared" si="18"/>
        <v>ACDGIJKL</v>
      </c>
      <c r="AX233" s="34">
        <v>231</v>
      </c>
      <c r="AY233" s="34" t="s">
        <v>119</v>
      </c>
      <c r="BA233" s="34" t="s">
        <v>115</v>
      </c>
      <c r="BB233" s="34" t="s">
        <v>113</v>
      </c>
      <c r="BE233" s="34" t="s">
        <v>99</v>
      </c>
      <c r="BG233" s="34" t="s">
        <v>101</v>
      </c>
      <c r="BH233" s="34" t="s">
        <v>102</v>
      </c>
      <c r="BI233" s="34" t="s">
        <v>103</v>
      </c>
      <c r="BJ233" s="34" t="s">
        <v>104</v>
      </c>
      <c r="BK233" s="34" t="s">
        <v>107</v>
      </c>
      <c r="BL233" s="34" t="s">
        <v>110</v>
      </c>
      <c r="BM233" s="34" t="s">
        <v>106</v>
      </c>
      <c r="BN233" s="34" t="s">
        <v>116</v>
      </c>
      <c r="BO233" s="34" t="s">
        <v>120</v>
      </c>
      <c r="BP233" s="34" t="s">
        <v>114</v>
      </c>
      <c r="BQ233" s="34" t="s">
        <v>111</v>
      </c>
      <c r="BR233" s="34" t="s">
        <v>112</v>
      </c>
    </row>
    <row r="234" spans="49:70" x14ac:dyDescent="0.25">
      <c r="AW234" s="34" t="str">
        <f t="shared" si="18"/>
        <v>ACDGHJKL</v>
      </c>
      <c r="AX234" s="34">
        <v>232</v>
      </c>
      <c r="AY234" s="34" t="s">
        <v>119</v>
      </c>
      <c r="BA234" s="34" t="s">
        <v>115</v>
      </c>
      <c r="BB234" s="34" t="s">
        <v>113</v>
      </c>
      <c r="BE234" s="34" t="s">
        <v>99</v>
      </c>
      <c r="BF234" s="34" t="s">
        <v>100</v>
      </c>
      <c r="BH234" s="34" t="s">
        <v>102</v>
      </c>
      <c r="BI234" s="34" t="s">
        <v>103</v>
      </c>
      <c r="BJ234" s="34" t="s">
        <v>104</v>
      </c>
      <c r="BK234" s="34" t="s">
        <v>109</v>
      </c>
      <c r="BL234" s="34" t="s">
        <v>110</v>
      </c>
      <c r="BM234" s="34" t="s">
        <v>106</v>
      </c>
      <c r="BN234" s="34" t="s">
        <v>116</v>
      </c>
      <c r="BO234" s="34" t="s">
        <v>120</v>
      </c>
      <c r="BP234" s="34" t="s">
        <v>114</v>
      </c>
      <c r="BQ234" s="34" t="s">
        <v>111</v>
      </c>
      <c r="BR234" s="34" t="s">
        <v>112</v>
      </c>
    </row>
    <row r="235" spans="49:70" x14ac:dyDescent="0.25">
      <c r="AW235" s="34" t="str">
        <f t="shared" si="18"/>
        <v>ACDGHIKL</v>
      </c>
      <c r="AX235" s="34">
        <v>233</v>
      </c>
      <c r="AY235" s="34" t="s">
        <v>119</v>
      </c>
      <c r="BA235" s="34" t="s">
        <v>115</v>
      </c>
      <c r="BB235" s="34" t="s">
        <v>113</v>
      </c>
      <c r="BE235" s="34" t="s">
        <v>99</v>
      </c>
      <c r="BF235" s="34" t="s">
        <v>100</v>
      </c>
      <c r="BG235" s="34" t="s">
        <v>101</v>
      </c>
      <c r="BI235" s="34" t="s">
        <v>103</v>
      </c>
      <c r="BJ235" s="34" t="s">
        <v>104</v>
      </c>
      <c r="BK235" s="34" t="s">
        <v>109</v>
      </c>
      <c r="BL235" s="34" t="s">
        <v>110</v>
      </c>
      <c r="BM235" s="34" t="s">
        <v>107</v>
      </c>
      <c r="BN235" s="34" t="s">
        <v>116</v>
      </c>
      <c r="BO235" s="34" t="s">
        <v>120</v>
      </c>
      <c r="BP235" s="34" t="s">
        <v>114</v>
      </c>
      <c r="BQ235" s="34" t="s">
        <v>111</v>
      </c>
      <c r="BR235" s="34" t="s">
        <v>112</v>
      </c>
    </row>
    <row r="236" spans="49:70" x14ac:dyDescent="0.25">
      <c r="AW236" s="34" t="str">
        <f t="shared" si="18"/>
        <v>ACDGHIJL</v>
      </c>
      <c r="AX236" s="34">
        <v>234</v>
      </c>
      <c r="AY236" s="34" t="s">
        <v>119</v>
      </c>
      <c r="BA236" s="34" t="s">
        <v>115</v>
      </c>
      <c r="BB236" s="34" t="s">
        <v>113</v>
      </c>
      <c r="BE236" s="34" t="s">
        <v>99</v>
      </c>
      <c r="BF236" s="34" t="s">
        <v>100</v>
      </c>
      <c r="BG236" s="34" t="s">
        <v>101</v>
      </c>
      <c r="BH236" s="34" t="s">
        <v>102</v>
      </c>
      <c r="BJ236" s="34" t="s">
        <v>104</v>
      </c>
      <c r="BK236" s="34" t="s">
        <v>109</v>
      </c>
      <c r="BL236" s="34" t="s">
        <v>110</v>
      </c>
      <c r="BM236" s="34" t="s">
        <v>106</v>
      </c>
      <c r="BN236" s="34" t="s">
        <v>116</v>
      </c>
      <c r="BO236" s="34" t="s">
        <v>120</v>
      </c>
      <c r="BP236" s="34" t="s">
        <v>114</v>
      </c>
      <c r="BQ236" s="34" t="s">
        <v>111</v>
      </c>
      <c r="BR236" s="34" t="s">
        <v>107</v>
      </c>
    </row>
    <row r="237" spans="49:70" x14ac:dyDescent="0.25">
      <c r="AW237" s="34" t="str">
        <f t="shared" si="18"/>
        <v>ACDGHIJK</v>
      </c>
      <c r="AX237" s="34">
        <v>235</v>
      </c>
      <c r="AY237" s="34" t="s">
        <v>119</v>
      </c>
      <c r="BA237" s="34" t="s">
        <v>115</v>
      </c>
      <c r="BB237" s="34" t="s">
        <v>113</v>
      </c>
      <c r="BE237" s="34" t="s">
        <v>99</v>
      </c>
      <c r="BF237" s="34" t="s">
        <v>100</v>
      </c>
      <c r="BG237" s="34" t="s">
        <v>101</v>
      </c>
      <c r="BH237" s="34" t="s">
        <v>102</v>
      </c>
      <c r="BI237" s="34" t="s">
        <v>103</v>
      </c>
      <c r="BK237" s="34" t="s">
        <v>109</v>
      </c>
      <c r="BL237" s="34" t="s">
        <v>110</v>
      </c>
      <c r="BM237" s="34" t="s">
        <v>106</v>
      </c>
      <c r="BN237" s="34" t="s">
        <v>116</v>
      </c>
      <c r="BO237" s="34" t="s">
        <v>120</v>
      </c>
      <c r="BP237" s="34" t="s">
        <v>114</v>
      </c>
      <c r="BQ237" s="34" t="s">
        <v>107</v>
      </c>
      <c r="BR237" s="34" t="s">
        <v>112</v>
      </c>
    </row>
    <row r="238" spans="49:70" x14ac:dyDescent="0.25">
      <c r="AW238" s="34" t="str">
        <f t="shared" si="18"/>
        <v>ACDFIJKL</v>
      </c>
      <c r="AX238" s="34">
        <v>236</v>
      </c>
      <c r="AY238" s="34" t="s">
        <v>119</v>
      </c>
      <c r="BA238" s="34" t="s">
        <v>115</v>
      </c>
      <c r="BB238" s="34" t="s">
        <v>113</v>
      </c>
      <c r="BD238" s="34" t="s">
        <v>98</v>
      </c>
      <c r="BG238" s="34" t="s">
        <v>101</v>
      </c>
      <c r="BH238" s="34" t="s">
        <v>102</v>
      </c>
      <c r="BI238" s="34" t="s">
        <v>103</v>
      </c>
      <c r="BJ238" s="34" t="s">
        <v>104</v>
      </c>
      <c r="BK238" s="34" t="s">
        <v>116</v>
      </c>
      <c r="BL238" s="34" t="s">
        <v>106</v>
      </c>
      <c r="BM238" s="34" t="s">
        <v>107</v>
      </c>
      <c r="BN238" s="34" t="s">
        <v>114</v>
      </c>
      <c r="BO238" s="34" t="s">
        <v>120</v>
      </c>
      <c r="BP238" s="34" t="s">
        <v>108</v>
      </c>
      <c r="BQ238" s="34" t="s">
        <v>111</v>
      </c>
      <c r="BR238" s="34" t="s">
        <v>112</v>
      </c>
    </row>
    <row r="239" spans="49:70" x14ac:dyDescent="0.25">
      <c r="AW239" s="34" t="str">
        <f t="shared" si="18"/>
        <v>ACDFHJKL</v>
      </c>
      <c r="AX239" s="34">
        <v>237</v>
      </c>
      <c r="AY239" s="34" t="s">
        <v>119</v>
      </c>
      <c r="BA239" s="34" t="s">
        <v>115</v>
      </c>
      <c r="BB239" s="34" t="s">
        <v>113</v>
      </c>
      <c r="BD239" s="34" t="s">
        <v>98</v>
      </c>
      <c r="BF239" s="34" t="s">
        <v>100</v>
      </c>
      <c r="BH239" s="34" t="s">
        <v>102</v>
      </c>
      <c r="BI239" s="34" t="s">
        <v>103</v>
      </c>
      <c r="BJ239" s="34" t="s">
        <v>104</v>
      </c>
      <c r="BK239" s="34" t="s">
        <v>109</v>
      </c>
      <c r="BL239" s="34" t="s">
        <v>106</v>
      </c>
      <c r="BM239" s="34" t="s">
        <v>108</v>
      </c>
      <c r="BN239" s="34" t="s">
        <v>116</v>
      </c>
      <c r="BO239" s="34" t="s">
        <v>120</v>
      </c>
      <c r="BP239" s="34" t="s">
        <v>114</v>
      </c>
      <c r="BQ239" s="34" t="s">
        <v>111</v>
      </c>
      <c r="BR239" s="34" t="s">
        <v>112</v>
      </c>
    </row>
    <row r="240" spans="49:70" x14ac:dyDescent="0.25">
      <c r="AW240" s="34" t="str">
        <f t="shared" si="18"/>
        <v>ACDFHIKL</v>
      </c>
      <c r="AX240" s="34">
        <v>238</v>
      </c>
      <c r="AY240" s="34" t="s">
        <v>119</v>
      </c>
      <c r="BA240" s="34" t="s">
        <v>115</v>
      </c>
      <c r="BB240" s="34" t="s">
        <v>113</v>
      </c>
      <c r="BD240" s="34" t="s">
        <v>98</v>
      </c>
      <c r="BF240" s="34" t="s">
        <v>100</v>
      </c>
      <c r="BG240" s="34" t="s">
        <v>101</v>
      </c>
      <c r="BI240" s="34" t="s">
        <v>103</v>
      </c>
      <c r="BJ240" s="34" t="s">
        <v>104</v>
      </c>
      <c r="BK240" s="34" t="s">
        <v>109</v>
      </c>
      <c r="BL240" s="34" t="s">
        <v>108</v>
      </c>
      <c r="BM240" s="34" t="s">
        <v>107</v>
      </c>
      <c r="BN240" s="34" t="s">
        <v>116</v>
      </c>
      <c r="BO240" s="34" t="s">
        <v>120</v>
      </c>
      <c r="BP240" s="34" t="s">
        <v>114</v>
      </c>
      <c r="BQ240" s="34" t="s">
        <v>111</v>
      </c>
      <c r="BR240" s="34" t="s">
        <v>112</v>
      </c>
    </row>
    <row r="241" spans="49:70" x14ac:dyDescent="0.25">
      <c r="AW241" s="34" t="str">
        <f t="shared" si="18"/>
        <v>ACDFHIJL</v>
      </c>
      <c r="AX241" s="34">
        <v>239</v>
      </c>
      <c r="AY241" s="34" t="s">
        <v>119</v>
      </c>
      <c r="BA241" s="34" t="s">
        <v>115</v>
      </c>
      <c r="BB241" s="34" t="s">
        <v>113</v>
      </c>
      <c r="BD241" s="34" t="s">
        <v>98</v>
      </c>
      <c r="BF241" s="34" t="s">
        <v>100</v>
      </c>
      <c r="BG241" s="34" t="s">
        <v>101</v>
      </c>
      <c r="BH241" s="34" t="s">
        <v>102</v>
      </c>
      <c r="BJ241" s="34" t="s">
        <v>104</v>
      </c>
      <c r="BK241" s="34" t="s">
        <v>109</v>
      </c>
      <c r="BL241" s="34" t="s">
        <v>106</v>
      </c>
      <c r="BM241" s="34" t="s">
        <v>108</v>
      </c>
      <c r="BN241" s="34" t="s">
        <v>116</v>
      </c>
      <c r="BO241" s="34" t="s">
        <v>120</v>
      </c>
      <c r="BP241" s="34" t="s">
        <v>114</v>
      </c>
      <c r="BQ241" s="34" t="s">
        <v>111</v>
      </c>
      <c r="BR241" s="34" t="s">
        <v>107</v>
      </c>
    </row>
    <row r="242" spans="49:70" x14ac:dyDescent="0.25">
      <c r="AW242" s="34" t="str">
        <f t="shared" si="18"/>
        <v>ACDFHIJK</v>
      </c>
      <c r="AX242" s="34">
        <v>240</v>
      </c>
      <c r="AY242" s="34" t="s">
        <v>119</v>
      </c>
      <c r="BA242" s="34" t="s">
        <v>115</v>
      </c>
      <c r="BB242" s="34" t="s">
        <v>113</v>
      </c>
      <c r="BD242" s="34" t="s">
        <v>98</v>
      </c>
      <c r="BF242" s="34" t="s">
        <v>100</v>
      </c>
      <c r="BG242" s="34" t="s">
        <v>101</v>
      </c>
      <c r="BH242" s="34" t="s">
        <v>102</v>
      </c>
      <c r="BI242" s="34" t="s">
        <v>103</v>
      </c>
      <c r="BK242" s="34" t="s">
        <v>109</v>
      </c>
      <c r="BL242" s="34" t="s">
        <v>106</v>
      </c>
      <c r="BM242" s="34" t="s">
        <v>108</v>
      </c>
      <c r="BN242" s="34" t="s">
        <v>116</v>
      </c>
      <c r="BO242" s="34" t="s">
        <v>120</v>
      </c>
      <c r="BP242" s="34" t="s">
        <v>114</v>
      </c>
      <c r="BQ242" s="34" t="s">
        <v>107</v>
      </c>
      <c r="BR242" s="34" t="s">
        <v>112</v>
      </c>
    </row>
    <row r="243" spans="49:70" x14ac:dyDescent="0.25">
      <c r="AW243" s="34" t="str">
        <f t="shared" si="18"/>
        <v>ACDFGJKL</v>
      </c>
      <c r="AX243" s="34">
        <v>241</v>
      </c>
      <c r="AY243" s="34" t="s">
        <v>119</v>
      </c>
      <c r="BA243" s="34" t="s">
        <v>115</v>
      </c>
      <c r="BB243" s="34" t="s">
        <v>113</v>
      </c>
      <c r="BD243" s="34" t="s">
        <v>98</v>
      </c>
      <c r="BE243" s="34" t="s">
        <v>99</v>
      </c>
      <c r="BH243" s="34" t="s">
        <v>102</v>
      </c>
      <c r="BI243" s="34" t="s">
        <v>103</v>
      </c>
      <c r="BJ243" s="34" t="s">
        <v>104</v>
      </c>
      <c r="BK243" s="34" t="s">
        <v>116</v>
      </c>
      <c r="BL243" s="34" t="s">
        <v>110</v>
      </c>
      <c r="BM243" s="34" t="s">
        <v>106</v>
      </c>
      <c r="BN243" s="34" t="s">
        <v>114</v>
      </c>
      <c r="BO243" s="34" t="s">
        <v>120</v>
      </c>
      <c r="BP243" s="34" t="s">
        <v>108</v>
      </c>
      <c r="BQ243" s="34" t="s">
        <v>111</v>
      </c>
      <c r="BR243" s="34" t="s">
        <v>112</v>
      </c>
    </row>
    <row r="244" spans="49:70" x14ac:dyDescent="0.25">
      <c r="AW244" s="34" t="str">
        <f t="shared" si="18"/>
        <v>ACDFGIKL</v>
      </c>
      <c r="AX244" s="34">
        <v>242</v>
      </c>
      <c r="AY244" s="34" t="s">
        <v>119</v>
      </c>
      <c r="BA244" s="34" t="s">
        <v>115</v>
      </c>
      <c r="BB244" s="34" t="s">
        <v>113</v>
      </c>
      <c r="BD244" s="34" t="s">
        <v>98</v>
      </c>
      <c r="BE244" s="34" t="s">
        <v>99</v>
      </c>
      <c r="BG244" s="34" t="s">
        <v>101</v>
      </c>
      <c r="BI244" s="34" t="s">
        <v>103</v>
      </c>
      <c r="BJ244" s="34" t="s">
        <v>104</v>
      </c>
      <c r="BK244" s="34" t="s">
        <v>116</v>
      </c>
      <c r="BL244" s="34" t="s">
        <v>110</v>
      </c>
      <c r="BM244" s="34" t="s">
        <v>107</v>
      </c>
      <c r="BN244" s="34" t="s">
        <v>114</v>
      </c>
      <c r="BO244" s="34" t="s">
        <v>120</v>
      </c>
      <c r="BP244" s="34" t="s">
        <v>108</v>
      </c>
      <c r="BQ244" s="34" t="s">
        <v>111</v>
      </c>
      <c r="BR244" s="34" t="s">
        <v>112</v>
      </c>
    </row>
    <row r="245" spans="49:70" x14ac:dyDescent="0.25">
      <c r="AW245" s="34" t="str">
        <f t="shared" si="18"/>
        <v>ACDFGIJL</v>
      </c>
      <c r="AX245" s="34">
        <v>243</v>
      </c>
      <c r="AY245" s="34" t="s">
        <v>119</v>
      </c>
      <c r="BA245" s="34" t="s">
        <v>115</v>
      </c>
      <c r="BB245" s="34" t="s">
        <v>113</v>
      </c>
      <c r="BD245" s="34" t="s">
        <v>98</v>
      </c>
      <c r="BE245" s="34" t="s">
        <v>99</v>
      </c>
      <c r="BG245" s="34" t="s">
        <v>101</v>
      </c>
      <c r="BH245" s="34" t="s">
        <v>102</v>
      </c>
      <c r="BJ245" s="34" t="s">
        <v>104</v>
      </c>
      <c r="BK245" s="34" t="s">
        <v>116</v>
      </c>
      <c r="BL245" s="34" t="s">
        <v>110</v>
      </c>
      <c r="BM245" s="34" t="s">
        <v>106</v>
      </c>
      <c r="BN245" s="34" t="s">
        <v>114</v>
      </c>
      <c r="BO245" s="34" t="s">
        <v>120</v>
      </c>
      <c r="BP245" s="34" t="s">
        <v>108</v>
      </c>
      <c r="BQ245" s="34" t="s">
        <v>111</v>
      </c>
      <c r="BR245" s="34" t="s">
        <v>107</v>
      </c>
    </row>
    <row r="246" spans="49:70" x14ac:dyDescent="0.25">
      <c r="AW246" s="34" t="str">
        <f t="shared" si="18"/>
        <v>ACDFGIJK</v>
      </c>
      <c r="AX246" s="34">
        <v>244</v>
      </c>
      <c r="AY246" s="34" t="s">
        <v>119</v>
      </c>
      <c r="BA246" s="34" t="s">
        <v>115</v>
      </c>
      <c r="BB246" s="34" t="s">
        <v>113</v>
      </c>
      <c r="BD246" s="34" t="s">
        <v>98</v>
      </c>
      <c r="BE246" s="34" t="s">
        <v>99</v>
      </c>
      <c r="BG246" s="34" t="s">
        <v>101</v>
      </c>
      <c r="BH246" s="34" t="s">
        <v>102</v>
      </c>
      <c r="BI246" s="34" t="s">
        <v>103</v>
      </c>
      <c r="BK246" s="34" t="s">
        <v>116</v>
      </c>
      <c r="BL246" s="34" t="s">
        <v>110</v>
      </c>
      <c r="BM246" s="34" t="s">
        <v>106</v>
      </c>
      <c r="BN246" s="34" t="s">
        <v>114</v>
      </c>
      <c r="BO246" s="34" t="s">
        <v>120</v>
      </c>
      <c r="BP246" s="34" t="s">
        <v>108</v>
      </c>
      <c r="BQ246" s="34" t="s">
        <v>107</v>
      </c>
      <c r="BR246" s="34" t="s">
        <v>112</v>
      </c>
    </row>
    <row r="247" spans="49:70" x14ac:dyDescent="0.25">
      <c r="AW247" s="34" t="str">
        <f t="shared" si="18"/>
        <v>ACDFGHKL</v>
      </c>
      <c r="AX247" s="34">
        <v>245</v>
      </c>
      <c r="AY247" s="34" t="s">
        <v>119</v>
      </c>
      <c r="BA247" s="34" t="s">
        <v>115</v>
      </c>
      <c r="BB247" s="34" t="s">
        <v>113</v>
      </c>
      <c r="BD247" s="34" t="s">
        <v>98</v>
      </c>
      <c r="BE247" s="34" t="s">
        <v>99</v>
      </c>
      <c r="BF247" s="34" t="s">
        <v>100</v>
      </c>
      <c r="BI247" s="34" t="s">
        <v>103</v>
      </c>
      <c r="BJ247" s="34" t="s">
        <v>104</v>
      </c>
      <c r="BK247" s="34" t="s">
        <v>109</v>
      </c>
      <c r="BL247" s="34" t="s">
        <v>110</v>
      </c>
      <c r="BM247" s="34" t="s">
        <v>108</v>
      </c>
      <c r="BN247" s="34" t="s">
        <v>116</v>
      </c>
      <c r="BO247" s="34" t="s">
        <v>120</v>
      </c>
      <c r="BP247" s="34" t="s">
        <v>114</v>
      </c>
      <c r="BQ247" s="34" t="s">
        <v>111</v>
      </c>
      <c r="BR247" s="34" t="s">
        <v>112</v>
      </c>
    </row>
    <row r="248" spans="49:70" x14ac:dyDescent="0.25">
      <c r="AW248" s="34" t="str">
        <f t="shared" si="18"/>
        <v>ACDFGHJL</v>
      </c>
      <c r="AX248" s="34">
        <v>246</v>
      </c>
      <c r="AY248" s="34" t="s">
        <v>119</v>
      </c>
      <c r="BA248" s="34" t="s">
        <v>115</v>
      </c>
      <c r="BB248" s="34" t="s">
        <v>113</v>
      </c>
      <c r="BD248" s="34" t="s">
        <v>98</v>
      </c>
      <c r="BE248" s="34" t="s">
        <v>99</v>
      </c>
      <c r="BF248" s="34" t="s">
        <v>100</v>
      </c>
      <c r="BH248" s="34" t="s">
        <v>102</v>
      </c>
      <c r="BJ248" s="34" t="s">
        <v>104</v>
      </c>
      <c r="BK248" s="34" t="s">
        <v>116</v>
      </c>
      <c r="BL248" s="34" t="s">
        <v>110</v>
      </c>
      <c r="BM248" s="34" t="s">
        <v>106</v>
      </c>
      <c r="BN248" s="34" t="s">
        <v>114</v>
      </c>
      <c r="BO248" s="34" t="s">
        <v>120</v>
      </c>
      <c r="BP248" s="34" t="s">
        <v>108</v>
      </c>
      <c r="BQ248" s="34" t="s">
        <v>111</v>
      </c>
      <c r="BR248" s="34" t="s">
        <v>109</v>
      </c>
    </row>
    <row r="249" spans="49:70" x14ac:dyDescent="0.25">
      <c r="AW249" s="34" t="str">
        <f t="shared" si="18"/>
        <v>ACDFGHJK</v>
      </c>
      <c r="AX249" s="34">
        <v>247</v>
      </c>
      <c r="AY249" s="34" t="s">
        <v>119</v>
      </c>
      <c r="BA249" s="34" t="s">
        <v>115</v>
      </c>
      <c r="BB249" s="34" t="s">
        <v>113</v>
      </c>
      <c r="BD249" s="34" t="s">
        <v>98</v>
      </c>
      <c r="BE249" s="34" t="s">
        <v>99</v>
      </c>
      <c r="BF249" s="34" t="s">
        <v>100</v>
      </c>
      <c r="BH249" s="34" t="s">
        <v>102</v>
      </c>
      <c r="BI249" s="34" t="s">
        <v>103</v>
      </c>
      <c r="BK249" s="34" t="s">
        <v>109</v>
      </c>
      <c r="BL249" s="34" t="s">
        <v>110</v>
      </c>
      <c r="BM249" s="34" t="s">
        <v>106</v>
      </c>
      <c r="BN249" s="34" t="s">
        <v>116</v>
      </c>
      <c r="BO249" s="34" t="s">
        <v>120</v>
      </c>
      <c r="BP249" s="34" t="s">
        <v>108</v>
      </c>
      <c r="BQ249" s="34" t="s">
        <v>114</v>
      </c>
      <c r="BR249" s="34" t="s">
        <v>112</v>
      </c>
    </row>
    <row r="250" spans="49:70" x14ac:dyDescent="0.25">
      <c r="AW250" s="34" t="str">
        <f t="shared" si="18"/>
        <v>ACDFGHIL</v>
      </c>
      <c r="AX250" s="34">
        <v>248</v>
      </c>
      <c r="AY250" s="34" t="s">
        <v>119</v>
      </c>
      <c r="BA250" s="34" t="s">
        <v>115</v>
      </c>
      <c r="BB250" s="34" t="s">
        <v>113</v>
      </c>
      <c r="BD250" s="34" t="s">
        <v>98</v>
      </c>
      <c r="BE250" s="34" t="s">
        <v>99</v>
      </c>
      <c r="BF250" s="34" t="s">
        <v>100</v>
      </c>
      <c r="BG250" s="34" t="s">
        <v>101</v>
      </c>
      <c r="BJ250" s="34" t="s">
        <v>104</v>
      </c>
      <c r="BK250" s="34" t="s">
        <v>109</v>
      </c>
      <c r="BL250" s="34" t="s">
        <v>110</v>
      </c>
      <c r="BM250" s="34" t="s">
        <v>108</v>
      </c>
      <c r="BN250" s="34" t="s">
        <v>116</v>
      </c>
      <c r="BO250" s="34" t="s">
        <v>120</v>
      </c>
      <c r="BP250" s="34" t="s">
        <v>114</v>
      </c>
      <c r="BQ250" s="34" t="s">
        <v>111</v>
      </c>
      <c r="BR250" s="34" t="s">
        <v>107</v>
      </c>
    </row>
    <row r="251" spans="49:70" x14ac:dyDescent="0.25">
      <c r="AW251" s="34" t="str">
        <f t="shared" si="18"/>
        <v>ACDFGHIK</v>
      </c>
      <c r="AX251" s="34">
        <v>249</v>
      </c>
      <c r="AY251" s="34" t="s">
        <v>119</v>
      </c>
      <c r="BA251" s="34" t="s">
        <v>115</v>
      </c>
      <c r="BB251" s="34" t="s">
        <v>113</v>
      </c>
      <c r="BD251" s="34" t="s">
        <v>98</v>
      </c>
      <c r="BE251" s="34" t="s">
        <v>99</v>
      </c>
      <c r="BF251" s="34" t="s">
        <v>100</v>
      </c>
      <c r="BG251" s="34" t="s">
        <v>101</v>
      </c>
      <c r="BI251" s="34" t="s">
        <v>103</v>
      </c>
      <c r="BK251" s="34" t="s">
        <v>109</v>
      </c>
      <c r="BL251" s="34" t="s">
        <v>110</v>
      </c>
      <c r="BM251" s="34" t="s">
        <v>108</v>
      </c>
      <c r="BN251" s="34" t="s">
        <v>116</v>
      </c>
      <c r="BO251" s="34" t="s">
        <v>120</v>
      </c>
      <c r="BP251" s="34" t="s">
        <v>114</v>
      </c>
      <c r="BQ251" s="34" t="s">
        <v>107</v>
      </c>
      <c r="BR251" s="34" t="s">
        <v>112</v>
      </c>
    </row>
    <row r="252" spans="49:70" x14ac:dyDescent="0.25">
      <c r="AW252" s="34" t="str">
        <f t="shared" si="18"/>
        <v>ACDFGHIJ</v>
      </c>
      <c r="AX252" s="34">
        <v>250</v>
      </c>
      <c r="AY252" s="34" t="s">
        <v>119</v>
      </c>
      <c r="BA252" s="34" t="s">
        <v>115</v>
      </c>
      <c r="BB252" s="34" t="s">
        <v>113</v>
      </c>
      <c r="BD252" s="34" t="s">
        <v>98</v>
      </c>
      <c r="BE252" s="34" t="s">
        <v>99</v>
      </c>
      <c r="BF252" s="34" t="s">
        <v>100</v>
      </c>
      <c r="BG252" s="34" t="s">
        <v>101</v>
      </c>
      <c r="BH252" s="34" t="s">
        <v>102</v>
      </c>
      <c r="BK252" s="34" t="s">
        <v>109</v>
      </c>
      <c r="BL252" s="34" t="s">
        <v>110</v>
      </c>
      <c r="BM252" s="34" t="s">
        <v>106</v>
      </c>
      <c r="BN252" s="34" t="s">
        <v>116</v>
      </c>
      <c r="BO252" s="34" t="s">
        <v>120</v>
      </c>
      <c r="BP252" s="34" t="s">
        <v>108</v>
      </c>
      <c r="BQ252" s="34" t="s">
        <v>114</v>
      </c>
      <c r="BR252" s="34" t="s">
        <v>107</v>
      </c>
    </row>
    <row r="253" spans="49:70" x14ac:dyDescent="0.25">
      <c r="AW253" s="34" t="str">
        <f t="shared" si="18"/>
        <v>ACDEIJKL</v>
      </c>
      <c r="AX253" s="34">
        <v>251</v>
      </c>
      <c r="AY253" s="34" t="s">
        <v>119</v>
      </c>
      <c r="BA253" s="34" t="s">
        <v>115</v>
      </c>
      <c r="BB253" s="34" t="s">
        <v>113</v>
      </c>
      <c r="BC253" s="34" t="s">
        <v>97</v>
      </c>
      <c r="BG253" s="34" t="s">
        <v>101</v>
      </c>
      <c r="BH253" s="34" t="s">
        <v>102</v>
      </c>
      <c r="BI253" s="34" t="s">
        <v>103</v>
      </c>
      <c r="BJ253" s="34" t="s">
        <v>104</v>
      </c>
      <c r="BK253" s="34" t="s">
        <v>105</v>
      </c>
      <c r="BL253" s="34" t="s">
        <v>106</v>
      </c>
      <c r="BM253" s="34" t="s">
        <v>107</v>
      </c>
      <c r="BN253" s="34" t="s">
        <v>116</v>
      </c>
      <c r="BO253" s="34" t="s">
        <v>120</v>
      </c>
      <c r="BP253" s="34" t="s">
        <v>114</v>
      </c>
      <c r="BQ253" s="34" t="s">
        <v>111</v>
      </c>
      <c r="BR253" s="34" t="s">
        <v>112</v>
      </c>
    </row>
    <row r="254" spans="49:70" x14ac:dyDescent="0.25">
      <c r="AW254" s="34" t="str">
        <f t="shared" si="18"/>
        <v>ACDEHJKL</v>
      </c>
      <c r="AX254" s="34">
        <v>252</v>
      </c>
      <c r="AY254" s="34" t="s">
        <v>119</v>
      </c>
      <c r="BA254" s="34" t="s">
        <v>115</v>
      </c>
      <c r="BB254" s="34" t="s">
        <v>113</v>
      </c>
      <c r="BC254" s="34" t="s">
        <v>97</v>
      </c>
      <c r="BF254" s="34" t="s">
        <v>100</v>
      </c>
      <c r="BH254" s="34" t="s">
        <v>102</v>
      </c>
      <c r="BI254" s="34" t="s">
        <v>103</v>
      </c>
      <c r="BJ254" s="34" t="s">
        <v>104</v>
      </c>
      <c r="BK254" s="34" t="s">
        <v>109</v>
      </c>
      <c r="BL254" s="34" t="s">
        <v>106</v>
      </c>
      <c r="BM254" s="34" t="s">
        <v>105</v>
      </c>
      <c r="BN254" s="34" t="s">
        <v>116</v>
      </c>
      <c r="BO254" s="34" t="s">
        <v>120</v>
      </c>
      <c r="BP254" s="34" t="s">
        <v>114</v>
      </c>
      <c r="BQ254" s="34" t="s">
        <v>111</v>
      </c>
      <c r="BR254" s="34" t="s">
        <v>112</v>
      </c>
    </row>
    <row r="255" spans="49:70" x14ac:dyDescent="0.25">
      <c r="AW255" s="34" t="str">
        <f t="shared" si="18"/>
        <v>ACDEHIKL</v>
      </c>
      <c r="AX255" s="34">
        <v>253</v>
      </c>
      <c r="AY255" s="34" t="s">
        <v>119</v>
      </c>
      <c r="BA255" s="34" t="s">
        <v>115</v>
      </c>
      <c r="BB255" s="34" t="s">
        <v>113</v>
      </c>
      <c r="BC255" s="34" t="s">
        <v>97</v>
      </c>
      <c r="BF255" s="34" t="s">
        <v>100</v>
      </c>
      <c r="BG255" s="34" t="s">
        <v>101</v>
      </c>
      <c r="BI255" s="34" t="s">
        <v>103</v>
      </c>
      <c r="BJ255" s="34" t="s">
        <v>104</v>
      </c>
      <c r="BK255" s="34" t="s">
        <v>109</v>
      </c>
      <c r="BL255" s="34" t="s">
        <v>105</v>
      </c>
      <c r="BM255" s="34" t="s">
        <v>107</v>
      </c>
      <c r="BN255" s="34" t="s">
        <v>116</v>
      </c>
      <c r="BO255" s="34" t="s">
        <v>120</v>
      </c>
      <c r="BP255" s="34" t="s">
        <v>114</v>
      </c>
      <c r="BQ255" s="34" t="s">
        <v>111</v>
      </c>
      <c r="BR255" s="34" t="s">
        <v>112</v>
      </c>
    </row>
    <row r="256" spans="49:70" x14ac:dyDescent="0.25">
      <c r="AW256" s="34" t="str">
        <f t="shared" si="18"/>
        <v>ACDEHIJL</v>
      </c>
      <c r="AX256" s="34">
        <v>254</v>
      </c>
      <c r="AY256" s="34" t="s">
        <v>119</v>
      </c>
      <c r="BA256" s="34" t="s">
        <v>115</v>
      </c>
      <c r="BB256" s="34" t="s">
        <v>113</v>
      </c>
      <c r="BC256" s="34" t="s">
        <v>97</v>
      </c>
      <c r="BF256" s="34" t="s">
        <v>100</v>
      </c>
      <c r="BG256" s="34" t="s">
        <v>101</v>
      </c>
      <c r="BH256" s="34" t="s">
        <v>102</v>
      </c>
      <c r="BJ256" s="34" t="s">
        <v>104</v>
      </c>
      <c r="BK256" s="34" t="s">
        <v>109</v>
      </c>
      <c r="BL256" s="34" t="s">
        <v>106</v>
      </c>
      <c r="BM256" s="34" t="s">
        <v>105</v>
      </c>
      <c r="BN256" s="34" t="s">
        <v>116</v>
      </c>
      <c r="BO256" s="34" t="s">
        <v>120</v>
      </c>
      <c r="BP256" s="34" t="s">
        <v>114</v>
      </c>
      <c r="BQ256" s="34" t="s">
        <v>111</v>
      </c>
      <c r="BR256" s="34" t="s">
        <v>107</v>
      </c>
    </row>
    <row r="257" spans="49:70" x14ac:dyDescent="0.25">
      <c r="AW257" s="34" t="str">
        <f t="shared" si="18"/>
        <v>ACDEHIJK</v>
      </c>
      <c r="AX257" s="34">
        <v>255</v>
      </c>
      <c r="AY257" s="34" t="s">
        <v>119</v>
      </c>
      <c r="BA257" s="34" t="s">
        <v>115</v>
      </c>
      <c r="BB257" s="34" t="s">
        <v>113</v>
      </c>
      <c r="BC257" s="34" t="s">
        <v>97</v>
      </c>
      <c r="BF257" s="34" t="s">
        <v>100</v>
      </c>
      <c r="BG257" s="34" t="s">
        <v>101</v>
      </c>
      <c r="BH257" s="34" t="s">
        <v>102</v>
      </c>
      <c r="BI257" s="34" t="s">
        <v>103</v>
      </c>
      <c r="BK257" s="34" t="s">
        <v>109</v>
      </c>
      <c r="BL257" s="34" t="s">
        <v>106</v>
      </c>
      <c r="BM257" s="34" t="s">
        <v>105</v>
      </c>
      <c r="BN257" s="34" t="s">
        <v>116</v>
      </c>
      <c r="BO257" s="34" t="s">
        <v>120</v>
      </c>
      <c r="BP257" s="34" t="s">
        <v>114</v>
      </c>
      <c r="BQ257" s="34" t="s">
        <v>107</v>
      </c>
      <c r="BR257" s="34" t="s">
        <v>112</v>
      </c>
    </row>
    <row r="258" spans="49:70" x14ac:dyDescent="0.25">
      <c r="AW258" s="34" t="str">
        <f t="shared" si="18"/>
        <v>ACDEGJKL</v>
      </c>
      <c r="AX258" s="34">
        <v>256</v>
      </c>
      <c r="AY258" s="34" t="s">
        <v>119</v>
      </c>
      <c r="BA258" s="34" t="s">
        <v>115</v>
      </c>
      <c r="BB258" s="34" t="s">
        <v>113</v>
      </c>
      <c r="BC258" s="34" t="s">
        <v>97</v>
      </c>
      <c r="BE258" s="34" t="s">
        <v>99</v>
      </c>
      <c r="BH258" s="34" t="s">
        <v>102</v>
      </c>
      <c r="BI258" s="34" t="s">
        <v>103</v>
      </c>
      <c r="BJ258" s="34" t="s">
        <v>104</v>
      </c>
      <c r="BK258" s="34" t="s">
        <v>105</v>
      </c>
      <c r="BL258" s="34" t="s">
        <v>110</v>
      </c>
      <c r="BM258" s="34" t="s">
        <v>106</v>
      </c>
      <c r="BN258" s="34" t="s">
        <v>116</v>
      </c>
      <c r="BO258" s="34" t="s">
        <v>120</v>
      </c>
      <c r="BP258" s="34" t="s">
        <v>114</v>
      </c>
      <c r="BQ258" s="34" t="s">
        <v>111</v>
      </c>
      <c r="BR258" s="34" t="s">
        <v>112</v>
      </c>
    </row>
    <row r="259" spans="49:70" x14ac:dyDescent="0.25">
      <c r="AW259" s="34" t="str">
        <f t="shared" si="18"/>
        <v>ACDEGIKL</v>
      </c>
      <c r="AX259" s="34">
        <v>257</v>
      </c>
      <c r="AY259" s="34" t="s">
        <v>119</v>
      </c>
      <c r="BA259" s="34" t="s">
        <v>115</v>
      </c>
      <c r="BB259" s="34" t="s">
        <v>113</v>
      </c>
      <c r="BC259" s="34" t="s">
        <v>97</v>
      </c>
      <c r="BE259" s="34" t="s">
        <v>99</v>
      </c>
      <c r="BG259" s="34" t="s">
        <v>101</v>
      </c>
      <c r="BI259" s="34" t="s">
        <v>103</v>
      </c>
      <c r="BJ259" s="34" t="s">
        <v>104</v>
      </c>
      <c r="BK259" s="34" t="s">
        <v>105</v>
      </c>
      <c r="BL259" s="34" t="s">
        <v>110</v>
      </c>
      <c r="BM259" s="34" t="s">
        <v>107</v>
      </c>
      <c r="BN259" s="34" t="s">
        <v>116</v>
      </c>
      <c r="BO259" s="34" t="s">
        <v>120</v>
      </c>
      <c r="BP259" s="34" t="s">
        <v>114</v>
      </c>
      <c r="BQ259" s="34" t="s">
        <v>111</v>
      </c>
      <c r="BR259" s="34" t="s">
        <v>112</v>
      </c>
    </row>
    <row r="260" spans="49:70" x14ac:dyDescent="0.25">
      <c r="AW260" s="34" t="str">
        <f t="shared" ref="AW260:AW323" si="19">AY260&amp;AZ260&amp;BA260&amp;BB260&amp;BC260&amp;BD260&amp;BE260&amp;BF260&amp;BG260&amp;BH260&amp;BI260&amp;BJ260</f>
        <v>ACDEGIJL</v>
      </c>
      <c r="AX260" s="34">
        <v>258</v>
      </c>
      <c r="AY260" s="34" t="s">
        <v>119</v>
      </c>
      <c r="BA260" s="34" t="s">
        <v>115</v>
      </c>
      <c r="BB260" s="34" t="s">
        <v>113</v>
      </c>
      <c r="BC260" s="34" t="s">
        <v>97</v>
      </c>
      <c r="BE260" s="34" t="s">
        <v>99</v>
      </c>
      <c r="BG260" s="34" t="s">
        <v>101</v>
      </c>
      <c r="BH260" s="34" t="s">
        <v>102</v>
      </c>
      <c r="BJ260" s="34" t="s">
        <v>104</v>
      </c>
      <c r="BK260" s="34" t="s">
        <v>105</v>
      </c>
      <c r="BL260" s="34" t="s">
        <v>110</v>
      </c>
      <c r="BM260" s="34" t="s">
        <v>106</v>
      </c>
      <c r="BN260" s="34" t="s">
        <v>116</v>
      </c>
      <c r="BO260" s="34" t="s">
        <v>120</v>
      </c>
      <c r="BP260" s="34" t="s">
        <v>114</v>
      </c>
      <c r="BQ260" s="34" t="s">
        <v>111</v>
      </c>
      <c r="BR260" s="34" t="s">
        <v>107</v>
      </c>
    </row>
    <row r="261" spans="49:70" x14ac:dyDescent="0.25">
      <c r="AW261" s="34" t="str">
        <f t="shared" si="19"/>
        <v>ACDEGIJK</v>
      </c>
      <c r="AX261" s="34">
        <v>259</v>
      </c>
      <c r="AY261" s="34" t="s">
        <v>119</v>
      </c>
      <c r="BA261" s="34" t="s">
        <v>115</v>
      </c>
      <c r="BB261" s="34" t="s">
        <v>113</v>
      </c>
      <c r="BC261" s="34" t="s">
        <v>97</v>
      </c>
      <c r="BE261" s="34" t="s">
        <v>99</v>
      </c>
      <c r="BG261" s="34" t="s">
        <v>101</v>
      </c>
      <c r="BH261" s="34" t="s">
        <v>102</v>
      </c>
      <c r="BI261" s="34" t="s">
        <v>103</v>
      </c>
      <c r="BK261" s="34" t="s">
        <v>105</v>
      </c>
      <c r="BL261" s="34" t="s">
        <v>110</v>
      </c>
      <c r="BM261" s="34" t="s">
        <v>106</v>
      </c>
      <c r="BN261" s="34" t="s">
        <v>116</v>
      </c>
      <c r="BO261" s="34" t="s">
        <v>120</v>
      </c>
      <c r="BP261" s="34" t="s">
        <v>114</v>
      </c>
      <c r="BQ261" s="34" t="s">
        <v>107</v>
      </c>
      <c r="BR261" s="34" t="s">
        <v>112</v>
      </c>
    </row>
    <row r="262" spans="49:70" x14ac:dyDescent="0.25">
      <c r="AW262" s="34" t="str">
        <f t="shared" si="19"/>
        <v>ACDEGHKL</v>
      </c>
      <c r="AX262" s="34">
        <v>260</v>
      </c>
      <c r="AY262" s="34" t="s">
        <v>119</v>
      </c>
      <c r="BA262" s="34" t="s">
        <v>115</v>
      </c>
      <c r="BB262" s="34" t="s">
        <v>113</v>
      </c>
      <c r="BC262" s="34" t="s">
        <v>97</v>
      </c>
      <c r="BE262" s="34" t="s">
        <v>99</v>
      </c>
      <c r="BF262" s="34" t="s">
        <v>100</v>
      </c>
      <c r="BI262" s="34" t="s">
        <v>103</v>
      </c>
      <c r="BJ262" s="34" t="s">
        <v>104</v>
      </c>
      <c r="BK262" s="34" t="s">
        <v>109</v>
      </c>
      <c r="BL262" s="34" t="s">
        <v>110</v>
      </c>
      <c r="BM262" s="34" t="s">
        <v>105</v>
      </c>
      <c r="BN262" s="34" t="s">
        <v>116</v>
      </c>
      <c r="BO262" s="34" t="s">
        <v>120</v>
      </c>
      <c r="BP262" s="34" t="s">
        <v>114</v>
      </c>
      <c r="BQ262" s="34" t="s">
        <v>111</v>
      </c>
      <c r="BR262" s="34" t="s">
        <v>112</v>
      </c>
    </row>
    <row r="263" spans="49:70" x14ac:dyDescent="0.25">
      <c r="AW263" s="34" t="str">
        <f t="shared" si="19"/>
        <v>ACDEGHJL</v>
      </c>
      <c r="AX263" s="34">
        <v>261</v>
      </c>
      <c r="AY263" s="34" t="s">
        <v>119</v>
      </c>
      <c r="BA263" s="34" t="s">
        <v>115</v>
      </c>
      <c r="BB263" s="34" t="s">
        <v>113</v>
      </c>
      <c r="BC263" s="34" t="s">
        <v>97</v>
      </c>
      <c r="BE263" s="34" t="s">
        <v>99</v>
      </c>
      <c r="BF263" s="34" t="s">
        <v>100</v>
      </c>
      <c r="BH263" s="34" t="s">
        <v>102</v>
      </c>
      <c r="BJ263" s="34" t="s">
        <v>104</v>
      </c>
      <c r="BK263" s="34" t="s">
        <v>109</v>
      </c>
      <c r="BL263" s="34" t="s">
        <v>110</v>
      </c>
      <c r="BM263" s="34" t="s">
        <v>106</v>
      </c>
      <c r="BN263" s="34" t="s">
        <v>116</v>
      </c>
      <c r="BO263" s="34" t="s">
        <v>120</v>
      </c>
      <c r="BP263" s="34" t="s">
        <v>114</v>
      </c>
      <c r="BQ263" s="34" t="s">
        <v>111</v>
      </c>
      <c r="BR263" s="34" t="s">
        <v>105</v>
      </c>
    </row>
    <row r="264" spans="49:70" x14ac:dyDescent="0.25">
      <c r="AW264" s="34" t="str">
        <f t="shared" si="19"/>
        <v>ACDEGHJK</v>
      </c>
      <c r="AX264" s="34">
        <v>262</v>
      </c>
      <c r="AY264" s="34" t="s">
        <v>119</v>
      </c>
      <c r="BA264" s="34" t="s">
        <v>115</v>
      </c>
      <c r="BB264" s="34" t="s">
        <v>113</v>
      </c>
      <c r="BC264" s="34" t="s">
        <v>97</v>
      </c>
      <c r="BE264" s="34" t="s">
        <v>99</v>
      </c>
      <c r="BF264" s="34" t="s">
        <v>100</v>
      </c>
      <c r="BH264" s="34" t="s">
        <v>102</v>
      </c>
      <c r="BI264" s="34" t="s">
        <v>103</v>
      </c>
      <c r="BK264" s="34" t="s">
        <v>109</v>
      </c>
      <c r="BL264" s="34" t="s">
        <v>110</v>
      </c>
      <c r="BM264" s="34" t="s">
        <v>106</v>
      </c>
      <c r="BN264" s="34" t="s">
        <v>116</v>
      </c>
      <c r="BO264" s="34" t="s">
        <v>120</v>
      </c>
      <c r="BP264" s="34" t="s">
        <v>114</v>
      </c>
      <c r="BQ264" s="34" t="s">
        <v>105</v>
      </c>
      <c r="BR264" s="34" t="s">
        <v>112</v>
      </c>
    </row>
    <row r="265" spans="49:70" x14ac:dyDescent="0.25">
      <c r="AW265" s="34" t="str">
        <f t="shared" si="19"/>
        <v>ACDEGHIL</v>
      </c>
      <c r="AX265" s="34">
        <v>263</v>
      </c>
      <c r="AY265" s="34" t="s">
        <v>119</v>
      </c>
      <c r="BA265" s="34" t="s">
        <v>115</v>
      </c>
      <c r="BB265" s="34" t="s">
        <v>113</v>
      </c>
      <c r="BC265" s="34" t="s">
        <v>97</v>
      </c>
      <c r="BE265" s="34" t="s">
        <v>99</v>
      </c>
      <c r="BF265" s="34" t="s">
        <v>100</v>
      </c>
      <c r="BG265" s="34" t="s">
        <v>101</v>
      </c>
      <c r="BJ265" s="34" t="s">
        <v>104</v>
      </c>
      <c r="BK265" s="34" t="s">
        <v>109</v>
      </c>
      <c r="BL265" s="34" t="s">
        <v>110</v>
      </c>
      <c r="BM265" s="34" t="s">
        <v>105</v>
      </c>
      <c r="BN265" s="34" t="s">
        <v>116</v>
      </c>
      <c r="BO265" s="34" t="s">
        <v>120</v>
      </c>
      <c r="BP265" s="34" t="s">
        <v>114</v>
      </c>
      <c r="BQ265" s="34" t="s">
        <v>111</v>
      </c>
      <c r="BR265" s="34" t="s">
        <v>107</v>
      </c>
    </row>
    <row r="266" spans="49:70" x14ac:dyDescent="0.25">
      <c r="AW266" s="34" t="str">
        <f t="shared" si="19"/>
        <v>ACDEGHIK</v>
      </c>
      <c r="AX266" s="34">
        <v>264</v>
      </c>
      <c r="AY266" s="34" t="s">
        <v>119</v>
      </c>
      <c r="BA266" s="34" t="s">
        <v>115</v>
      </c>
      <c r="BB266" s="34" t="s">
        <v>113</v>
      </c>
      <c r="BC266" s="34" t="s">
        <v>97</v>
      </c>
      <c r="BE266" s="34" t="s">
        <v>99</v>
      </c>
      <c r="BF266" s="34" t="s">
        <v>100</v>
      </c>
      <c r="BG266" s="34" t="s">
        <v>101</v>
      </c>
      <c r="BI266" s="34" t="s">
        <v>103</v>
      </c>
      <c r="BK266" s="34" t="s">
        <v>109</v>
      </c>
      <c r="BL266" s="34" t="s">
        <v>110</v>
      </c>
      <c r="BM266" s="34" t="s">
        <v>105</v>
      </c>
      <c r="BN266" s="34" t="s">
        <v>116</v>
      </c>
      <c r="BO266" s="34" t="s">
        <v>120</v>
      </c>
      <c r="BP266" s="34" t="s">
        <v>114</v>
      </c>
      <c r="BQ266" s="34" t="s">
        <v>107</v>
      </c>
      <c r="BR266" s="34" t="s">
        <v>112</v>
      </c>
    </row>
    <row r="267" spans="49:70" x14ac:dyDescent="0.25">
      <c r="AW267" s="34" t="str">
        <f t="shared" si="19"/>
        <v>ACDEGHIJ</v>
      </c>
      <c r="AX267" s="34">
        <v>265</v>
      </c>
      <c r="AY267" s="34" t="s">
        <v>119</v>
      </c>
      <c r="BA267" s="34" t="s">
        <v>115</v>
      </c>
      <c r="BB267" s="34" t="s">
        <v>113</v>
      </c>
      <c r="BC267" s="34" t="s">
        <v>97</v>
      </c>
      <c r="BE267" s="34" t="s">
        <v>99</v>
      </c>
      <c r="BF267" s="34" t="s">
        <v>100</v>
      </c>
      <c r="BG267" s="34" t="s">
        <v>101</v>
      </c>
      <c r="BH267" s="34" t="s">
        <v>102</v>
      </c>
      <c r="BK267" s="34" t="s">
        <v>109</v>
      </c>
      <c r="BL267" s="34" t="s">
        <v>110</v>
      </c>
      <c r="BM267" s="34" t="s">
        <v>106</v>
      </c>
      <c r="BN267" s="34" t="s">
        <v>116</v>
      </c>
      <c r="BO267" s="34" t="s">
        <v>120</v>
      </c>
      <c r="BP267" s="34" t="s">
        <v>114</v>
      </c>
      <c r="BQ267" s="34" t="s">
        <v>105</v>
      </c>
      <c r="BR267" s="34" t="s">
        <v>107</v>
      </c>
    </row>
    <row r="268" spans="49:70" x14ac:dyDescent="0.25">
      <c r="AW268" s="34" t="str">
        <f t="shared" si="19"/>
        <v>ACDEFJKL</v>
      </c>
      <c r="AX268" s="34">
        <v>266</v>
      </c>
      <c r="AY268" s="34" t="s">
        <v>119</v>
      </c>
      <c r="BA268" s="34" t="s">
        <v>115</v>
      </c>
      <c r="BB268" s="34" t="s">
        <v>113</v>
      </c>
      <c r="BC268" s="34" t="s">
        <v>97</v>
      </c>
      <c r="BD268" s="34" t="s">
        <v>98</v>
      </c>
      <c r="BH268" s="34" t="s">
        <v>102</v>
      </c>
      <c r="BI268" s="34" t="s">
        <v>103</v>
      </c>
      <c r="BJ268" s="34" t="s">
        <v>104</v>
      </c>
      <c r="BK268" s="34" t="s">
        <v>116</v>
      </c>
      <c r="BL268" s="34" t="s">
        <v>106</v>
      </c>
      <c r="BM268" s="34" t="s">
        <v>105</v>
      </c>
      <c r="BN268" s="34" t="s">
        <v>114</v>
      </c>
      <c r="BO268" s="34" t="s">
        <v>120</v>
      </c>
      <c r="BP268" s="34" t="s">
        <v>108</v>
      </c>
      <c r="BQ268" s="34" t="s">
        <v>111</v>
      </c>
      <c r="BR268" s="34" t="s">
        <v>112</v>
      </c>
    </row>
    <row r="269" spans="49:70" x14ac:dyDescent="0.25">
      <c r="AW269" s="34" t="str">
        <f t="shared" si="19"/>
        <v>ACDEFIKL</v>
      </c>
      <c r="AX269" s="34">
        <v>267</v>
      </c>
      <c r="AY269" s="34" t="s">
        <v>119</v>
      </c>
      <c r="BA269" s="34" t="s">
        <v>115</v>
      </c>
      <c r="BB269" s="34" t="s">
        <v>113</v>
      </c>
      <c r="BC269" s="34" t="s">
        <v>97</v>
      </c>
      <c r="BD269" s="34" t="s">
        <v>98</v>
      </c>
      <c r="BG269" s="34" t="s">
        <v>101</v>
      </c>
      <c r="BI269" s="34" t="s">
        <v>103</v>
      </c>
      <c r="BJ269" s="34" t="s">
        <v>104</v>
      </c>
      <c r="BK269" s="34" t="s">
        <v>116</v>
      </c>
      <c r="BL269" s="34" t="s">
        <v>105</v>
      </c>
      <c r="BM269" s="34" t="s">
        <v>107</v>
      </c>
      <c r="BN269" s="34" t="s">
        <v>114</v>
      </c>
      <c r="BO269" s="34" t="s">
        <v>120</v>
      </c>
      <c r="BP269" s="34" t="s">
        <v>108</v>
      </c>
      <c r="BQ269" s="34" t="s">
        <v>111</v>
      </c>
      <c r="BR269" s="34" t="s">
        <v>112</v>
      </c>
    </row>
    <row r="270" spans="49:70" x14ac:dyDescent="0.25">
      <c r="AW270" s="34" t="str">
        <f t="shared" si="19"/>
        <v>ACDEFIJL</v>
      </c>
      <c r="AX270" s="34">
        <v>268</v>
      </c>
      <c r="AY270" s="34" t="s">
        <v>119</v>
      </c>
      <c r="BA270" s="34" t="s">
        <v>115</v>
      </c>
      <c r="BB270" s="34" t="s">
        <v>113</v>
      </c>
      <c r="BC270" s="34" t="s">
        <v>97</v>
      </c>
      <c r="BD270" s="34" t="s">
        <v>98</v>
      </c>
      <c r="BG270" s="34" t="s">
        <v>101</v>
      </c>
      <c r="BH270" s="34" t="s">
        <v>102</v>
      </c>
      <c r="BJ270" s="34" t="s">
        <v>104</v>
      </c>
      <c r="BK270" s="34" t="s">
        <v>116</v>
      </c>
      <c r="BL270" s="34" t="s">
        <v>106</v>
      </c>
      <c r="BM270" s="34" t="s">
        <v>105</v>
      </c>
      <c r="BN270" s="34" t="s">
        <v>114</v>
      </c>
      <c r="BO270" s="34" t="s">
        <v>120</v>
      </c>
      <c r="BP270" s="34" t="s">
        <v>108</v>
      </c>
      <c r="BQ270" s="34" t="s">
        <v>111</v>
      </c>
      <c r="BR270" s="34" t="s">
        <v>107</v>
      </c>
    </row>
    <row r="271" spans="49:70" x14ac:dyDescent="0.25">
      <c r="AW271" s="34" t="str">
        <f t="shared" si="19"/>
        <v>ACDEFIJK</v>
      </c>
      <c r="AX271" s="34">
        <v>269</v>
      </c>
      <c r="AY271" s="34" t="s">
        <v>119</v>
      </c>
      <c r="BA271" s="34" t="s">
        <v>115</v>
      </c>
      <c r="BB271" s="34" t="s">
        <v>113</v>
      </c>
      <c r="BC271" s="34" t="s">
        <v>97</v>
      </c>
      <c r="BD271" s="34" t="s">
        <v>98</v>
      </c>
      <c r="BG271" s="34" t="s">
        <v>101</v>
      </c>
      <c r="BH271" s="34" t="s">
        <v>102</v>
      </c>
      <c r="BI271" s="34" t="s">
        <v>103</v>
      </c>
      <c r="BK271" s="34" t="s">
        <v>116</v>
      </c>
      <c r="BL271" s="34" t="s">
        <v>106</v>
      </c>
      <c r="BM271" s="34" t="s">
        <v>105</v>
      </c>
      <c r="BN271" s="34" t="s">
        <v>114</v>
      </c>
      <c r="BO271" s="34" t="s">
        <v>120</v>
      </c>
      <c r="BP271" s="34" t="s">
        <v>108</v>
      </c>
      <c r="BQ271" s="34" t="s">
        <v>107</v>
      </c>
      <c r="BR271" s="34" t="s">
        <v>112</v>
      </c>
    </row>
    <row r="272" spans="49:70" x14ac:dyDescent="0.25">
      <c r="AW272" s="34" t="str">
        <f t="shared" si="19"/>
        <v>ACDEFHKL</v>
      </c>
      <c r="AX272" s="34">
        <v>270</v>
      </c>
      <c r="AY272" s="34" t="s">
        <v>119</v>
      </c>
      <c r="BA272" s="34" t="s">
        <v>115</v>
      </c>
      <c r="BB272" s="34" t="s">
        <v>113</v>
      </c>
      <c r="BC272" s="34" t="s">
        <v>97</v>
      </c>
      <c r="BD272" s="34" t="s">
        <v>98</v>
      </c>
      <c r="BF272" s="34" t="s">
        <v>100</v>
      </c>
      <c r="BI272" s="34" t="s">
        <v>103</v>
      </c>
      <c r="BJ272" s="34" t="s">
        <v>104</v>
      </c>
      <c r="BK272" s="34" t="s">
        <v>109</v>
      </c>
      <c r="BL272" s="34" t="s">
        <v>105</v>
      </c>
      <c r="BM272" s="34" t="s">
        <v>108</v>
      </c>
      <c r="BN272" s="34" t="s">
        <v>116</v>
      </c>
      <c r="BO272" s="34" t="s">
        <v>120</v>
      </c>
      <c r="BP272" s="34" t="s">
        <v>114</v>
      </c>
      <c r="BQ272" s="34" t="s">
        <v>111</v>
      </c>
      <c r="BR272" s="34" t="s">
        <v>112</v>
      </c>
    </row>
    <row r="273" spans="49:70" x14ac:dyDescent="0.25">
      <c r="AW273" s="34" t="str">
        <f t="shared" si="19"/>
        <v>ACDEFHJL</v>
      </c>
      <c r="AX273" s="34">
        <v>271</v>
      </c>
      <c r="AY273" s="34" t="s">
        <v>119</v>
      </c>
      <c r="BA273" s="34" t="s">
        <v>115</v>
      </c>
      <c r="BB273" s="34" t="s">
        <v>113</v>
      </c>
      <c r="BC273" s="34" t="s">
        <v>97</v>
      </c>
      <c r="BD273" s="34" t="s">
        <v>98</v>
      </c>
      <c r="BF273" s="34" t="s">
        <v>100</v>
      </c>
      <c r="BH273" s="34" t="s">
        <v>102</v>
      </c>
      <c r="BJ273" s="34" t="s">
        <v>104</v>
      </c>
      <c r="BK273" s="34" t="s">
        <v>109</v>
      </c>
      <c r="BL273" s="34" t="s">
        <v>106</v>
      </c>
      <c r="BM273" s="34" t="s">
        <v>108</v>
      </c>
      <c r="BN273" s="34" t="s">
        <v>116</v>
      </c>
      <c r="BO273" s="34" t="s">
        <v>120</v>
      </c>
      <c r="BP273" s="34" t="s">
        <v>114</v>
      </c>
      <c r="BQ273" s="34" t="s">
        <v>111</v>
      </c>
      <c r="BR273" s="34" t="s">
        <v>105</v>
      </c>
    </row>
    <row r="274" spans="49:70" x14ac:dyDescent="0.25">
      <c r="AW274" s="34" t="str">
        <f t="shared" si="19"/>
        <v>ACDEFHJK</v>
      </c>
      <c r="AX274" s="34">
        <v>272</v>
      </c>
      <c r="AY274" s="34" t="s">
        <v>119</v>
      </c>
      <c r="BA274" s="34" t="s">
        <v>115</v>
      </c>
      <c r="BB274" s="34" t="s">
        <v>113</v>
      </c>
      <c r="BC274" s="34" t="s">
        <v>97</v>
      </c>
      <c r="BD274" s="34" t="s">
        <v>98</v>
      </c>
      <c r="BF274" s="34" t="s">
        <v>100</v>
      </c>
      <c r="BH274" s="34" t="s">
        <v>102</v>
      </c>
      <c r="BI274" s="34" t="s">
        <v>103</v>
      </c>
      <c r="BK274" s="34" t="s">
        <v>109</v>
      </c>
      <c r="BL274" s="34" t="s">
        <v>106</v>
      </c>
      <c r="BM274" s="34" t="s">
        <v>105</v>
      </c>
      <c r="BN274" s="34" t="s">
        <v>116</v>
      </c>
      <c r="BO274" s="34" t="s">
        <v>120</v>
      </c>
      <c r="BP274" s="34" t="s">
        <v>108</v>
      </c>
      <c r="BQ274" s="34" t="s">
        <v>114</v>
      </c>
      <c r="BR274" s="34" t="s">
        <v>112</v>
      </c>
    </row>
    <row r="275" spans="49:70" x14ac:dyDescent="0.25">
      <c r="AW275" s="34" t="str">
        <f t="shared" si="19"/>
        <v>ACDEFHIL</v>
      </c>
      <c r="AX275" s="34">
        <v>273</v>
      </c>
      <c r="AY275" s="34" t="s">
        <v>119</v>
      </c>
      <c r="BA275" s="34" t="s">
        <v>115</v>
      </c>
      <c r="BB275" s="34" t="s">
        <v>113</v>
      </c>
      <c r="BC275" s="34" t="s">
        <v>97</v>
      </c>
      <c r="BD275" s="34" t="s">
        <v>98</v>
      </c>
      <c r="BF275" s="34" t="s">
        <v>100</v>
      </c>
      <c r="BG275" s="34" t="s">
        <v>101</v>
      </c>
      <c r="BJ275" s="34" t="s">
        <v>104</v>
      </c>
      <c r="BK275" s="34" t="s">
        <v>109</v>
      </c>
      <c r="BL275" s="34" t="s">
        <v>105</v>
      </c>
      <c r="BM275" s="34" t="s">
        <v>108</v>
      </c>
      <c r="BN275" s="34" t="s">
        <v>116</v>
      </c>
      <c r="BO275" s="34" t="s">
        <v>120</v>
      </c>
      <c r="BP275" s="34" t="s">
        <v>114</v>
      </c>
      <c r="BQ275" s="34" t="s">
        <v>111</v>
      </c>
      <c r="BR275" s="34" t="s">
        <v>107</v>
      </c>
    </row>
    <row r="276" spans="49:70" x14ac:dyDescent="0.25">
      <c r="AW276" s="34" t="str">
        <f t="shared" si="19"/>
        <v>ACDEFHIK</v>
      </c>
      <c r="AX276" s="34">
        <v>274</v>
      </c>
      <c r="AY276" s="34" t="s">
        <v>119</v>
      </c>
      <c r="BA276" s="34" t="s">
        <v>115</v>
      </c>
      <c r="BB276" s="34" t="s">
        <v>113</v>
      </c>
      <c r="BC276" s="34" t="s">
        <v>97</v>
      </c>
      <c r="BD276" s="34" t="s">
        <v>98</v>
      </c>
      <c r="BF276" s="34" t="s">
        <v>100</v>
      </c>
      <c r="BG276" s="34" t="s">
        <v>101</v>
      </c>
      <c r="BI276" s="34" t="s">
        <v>103</v>
      </c>
      <c r="BK276" s="34" t="s">
        <v>109</v>
      </c>
      <c r="BL276" s="34" t="s">
        <v>105</v>
      </c>
      <c r="BM276" s="34" t="s">
        <v>108</v>
      </c>
      <c r="BN276" s="34" t="s">
        <v>116</v>
      </c>
      <c r="BO276" s="34" t="s">
        <v>120</v>
      </c>
      <c r="BP276" s="34" t="s">
        <v>114</v>
      </c>
      <c r="BQ276" s="34" t="s">
        <v>107</v>
      </c>
      <c r="BR276" s="34" t="s">
        <v>112</v>
      </c>
    </row>
    <row r="277" spans="49:70" x14ac:dyDescent="0.25">
      <c r="AW277" s="34" t="str">
        <f t="shared" si="19"/>
        <v>ACDEFHIJ</v>
      </c>
      <c r="AX277" s="34">
        <v>275</v>
      </c>
      <c r="AY277" s="34" t="s">
        <v>119</v>
      </c>
      <c r="BA277" s="34" t="s">
        <v>115</v>
      </c>
      <c r="BB277" s="34" t="s">
        <v>113</v>
      </c>
      <c r="BC277" s="34" t="s">
        <v>97</v>
      </c>
      <c r="BD277" s="34" t="s">
        <v>98</v>
      </c>
      <c r="BF277" s="34" t="s">
        <v>100</v>
      </c>
      <c r="BG277" s="34" t="s">
        <v>101</v>
      </c>
      <c r="BH277" s="34" t="s">
        <v>102</v>
      </c>
      <c r="BK277" s="34" t="s">
        <v>109</v>
      </c>
      <c r="BL277" s="34" t="s">
        <v>106</v>
      </c>
      <c r="BM277" s="34" t="s">
        <v>105</v>
      </c>
      <c r="BN277" s="34" t="s">
        <v>116</v>
      </c>
      <c r="BO277" s="34" t="s">
        <v>120</v>
      </c>
      <c r="BP277" s="34" t="s">
        <v>108</v>
      </c>
      <c r="BQ277" s="34" t="s">
        <v>114</v>
      </c>
      <c r="BR277" s="34" t="s">
        <v>107</v>
      </c>
    </row>
    <row r="278" spans="49:70" x14ac:dyDescent="0.25">
      <c r="AW278" s="34" t="str">
        <f t="shared" si="19"/>
        <v>ACDEFGKL</v>
      </c>
      <c r="AX278" s="34">
        <v>276</v>
      </c>
      <c r="AY278" s="34" t="s">
        <v>119</v>
      </c>
      <c r="BA278" s="34" t="s">
        <v>115</v>
      </c>
      <c r="BB278" s="34" t="s">
        <v>113</v>
      </c>
      <c r="BC278" s="34" t="s">
        <v>97</v>
      </c>
      <c r="BD278" s="34" t="s">
        <v>98</v>
      </c>
      <c r="BE278" s="34" t="s">
        <v>99</v>
      </c>
      <c r="BI278" s="34" t="s">
        <v>103</v>
      </c>
      <c r="BJ278" s="34" t="s">
        <v>104</v>
      </c>
      <c r="BK278" s="34" t="s">
        <v>116</v>
      </c>
      <c r="BL278" s="34" t="s">
        <v>110</v>
      </c>
      <c r="BM278" s="34" t="s">
        <v>105</v>
      </c>
      <c r="BN278" s="34" t="s">
        <v>114</v>
      </c>
      <c r="BO278" s="34" t="s">
        <v>120</v>
      </c>
      <c r="BP278" s="34" t="s">
        <v>108</v>
      </c>
      <c r="BQ278" s="34" t="s">
        <v>111</v>
      </c>
      <c r="BR278" s="34" t="s">
        <v>112</v>
      </c>
    </row>
    <row r="279" spans="49:70" x14ac:dyDescent="0.25">
      <c r="AW279" s="34" t="str">
        <f t="shared" si="19"/>
        <v>ACDEFGJL</v>
      </c>
      <c r="AX279" s="34">
        <v>277</v>
      </c>
      <c r="AY279" s="34" t="s">
        <v>119</v>
      </c>
      <c r="BA279" s="34" t="s">
        <v>115</v>
      </c>
      <c r="BB279" s="34" t="s">
        <v>113</v>
      </c>
      <c r="BC279" s="34" t="s">
        <v>97</v>
      </c>
      <c r="BD279" s="34" t="s">
        <v>98</v>
      </c>
      <c r="BE279" s="34" t="s">
        <v>99</v>
      </c>
      <c r="BH279" s="34" t="s">
        <v>102</v>
      </c>
      <c r="BJ279" s="34" t="s">
        <v>104</v>
      </c>
      <c r="BK279" s="34" t="s">
        <v>116</v>
      </c>
      <c r="BL279" s="34" t="s">
        <v>110</v>
      </c>
      <c r="BM279" s="34" t="s">
        <v>106</v>
      </c>
      <c r="BN279" s="34" t="s">
        <v>114</v>
      </c>
      <c r="BO279" s="34" t="s">
        <v>120</v>
      </c>
      <c r="BP279" s="34" t="s">
        <v>108</v>
      </c>
      <c r="BQ279" s="34" t="s">
        <v>111</v>
      </c>
      <c r="BR279" s="34" t="s">
        <v>105</v>
      </c>
    </row>
    <row r="280" spans="49:70" x14ac:dyDescent="0.25">
      <c r="AW280" s="34" t="str">
        <f t="shared" si="19"/>
        <v>ACDEFGJK</v>
      </c>
      <c r="AX280" s="34">
        <v>278</v>
      </c>
      <c r="AY280" s="34" t="s">
        <v>119</v>
      </c>
      <c r="BA280" s="34" t="s">
        <v>115</v>
      </c>
      <c r="BB280" s="34" t="s">
        <v>113</v>
      </c>
      <c r="BC280" s="34" t="s">
        <v>97</v>
      </c>
      <c r="BD280" s="34" t="s">
        <v>98</v>
      </c>
      <c r="BE280" s="34" t="s">
        <v>99</v>
      </c>
      <c r="BH280" s="34" t="s">
        <v>102</v>
      </c>
      <c r="BI280" s="34" t="s">
        <v>103</v>
      </c>
      <c r="BK280" s="34" t="s">
        <v>116</v>
      </c>
      <c r="BL280" s="34" t="s">
        <v>110</v>
      </c>
      <c r="BM280" s="34" t="s">
        <v>106</v>
      </c>
      <c r="BN280" s="34" t="s">
        <v>114</v>
      </c>
      <c r="BO280" s="34" t="s">
        <v>120</v>
      </c>
      <c r="BP280" s="34" t="s">
        <v>108</v>
      </c>
      <c r="BQ280" s="34" t="s">
        <v>105</v>
      </c>
      <c r="BR280" s="34" t="s">
        <v>112</v>
      </c>
    </row>
    <row r="281" spans="49:70" x14ac:dyDescent="0.25">
      <c r="AW281" s="34" t="str">
        <f t="shared" si="19"/>
        <v>ACDEFGIL</v>
      </c>
      <c r="AX281" s="34">
        <v>279</v>
      </c>
      <c r="AY281" s="34" t="s">
        <v>119</v>
      </c>
      <c r="BA281" s="34" t="s">
        <v>115</v>
      </c>
      <c r="BB281" s="34" t="s">
        <v>113</v>
      </c>
      <c r="BC281" s="34" t="s">
        <v>97</v>
      </c>
      <c r="BD281" s="34" t="s">
        <v>98</v>
      </c>
      <c r="BE281" s="34" t="s">
        <v>99</v>
      </c>
      <c r="BG281" s="34" t="s">
        <v>101</v>
      </c>
      <c r="BJ281" s="34" t="s">
        <v>104</v>
      </c>
      <c r="BK281" s="34" t="s">
        <v>116</v>
      </c>
      <c r="BL281" s="34" t="s">
        <v>110</v>
      </c>
      <c r="BM281" s="34" t="s">
        <v>105</v>
      </c>
      <c r="BN281" s="34" t="s">
        <v>114</v>
      </c>
      <c r="BO281" s="34" t="s">
        <v>120</v>
      </c>
      <c r="BP281" s="34" t="s">
        <v>108</v>
      </c>
      <c r="BQ281" s="34" t="s">
        <v>111</v>
      </c>
      <c r="BR281" s="34" t="s">
        <v>107</v>
      </c>
    </row>
    <row r="282" spans="49:70" x14ac:dyDescent="0.25">
      <c r="AW282" s="34" t="str">
        <f t="shared" si="19"/>
        <v>ACDEFGIK</v>
      </c>
      <c r="AX282" s="34">
        <v>280</v>
      </c>
      <c r="AY282" s="34" t="s">
        <v>119</v>
      </c>
      <c r="BA282" s="34" t="s">
        <v>115</v>
      </c>
      <c r="BB282" s="34" t="s">
        <v>113</v>
      </c>
      <c r="BC282" s="34" t="s">
        <v>97</v>
      </c>
      <c r="BD282" s="34" t="s">
        <v>98</v>
      </c>
      <c r="BE282" s="34" t="s">
        <v>99</v>
      </c>
      <c r="BG282" s="34" t="s">
        <v>101</v>
      </c>
      <c r="BI282" s="34" t="s">
        <v>103</v>
      </c>
      <c r="BK282" s="34" t="s">
        <v>116</v>
      </c>
      <c r="BL282" s="34" t="s">
        <v>110</v>
      </c>
      <c r="BM282" s="34" t="s">
        <v>105</v>
      </c>
      <c r="BN282" s="34" t="s">
        <v>114</v>
      </c>
      <c r="BO282" s="34" t="s">
        <v>120</v>
      </c>
      <c r="BP282" s="34" t="s">
        <v>108</v>
      </c>
      <c r="BQ282" s="34" t="s">
        <v>107</v>
      </c>
      <c r="BR282" s="34" t="s">
        <v>112</v>
      </c>
    </row>
    <row r="283" spans="49:70" x14ac:dyDescent="0.25">
      <c r="AW283" s="34" t="str">
        <f t="shared" si="19"/>
        <v>ACDEFGIJ</v>
      </c>
      <c r="AX283" s="34">
        <v>281</v>
      </c>
      <c r="AY283" s="34" t="s">
        <v>119</v>
      </c>
      <c r="BA283" s="34" t="s">
        <v>115</v>
      </c>
      <c r="BB283" s="34" t="s">
        <v>113</v>
      </c>
      <c r="BC283" s="34" t="s">
        <v>97</v>
      </c>
      <c r="BD283" s="34" t="s">
        <v>98</v>
      </c>
      <c r="BE283" s="34" t="s">
        <v>99</v>
      </c>
      <c r="BG283" s="34" t="s">
        <v>101</v>
      </c>
      <c r="BH283" s="34" t="s">
        <v>102</v>
      </c>
      <c r="BK283" s="34" t="s">
        <v>116</v>
      </c>
      <c r="BL283" s="34" t="s">
        <v>110</v>
      </c>
      <c r="BM283" s="34" t="s">
        <v>106</v>
      </c>
      <c r="BN283" s="34" t="s">
        <v>114</v>
      </c>
      <c r="BO283" s="34" t="s">
        <v>120</v>
      </c>
      <c r="BP283" s="34" t="s">
        <v>108</v>
      </c>
      <c r="BQ283" s="34" t="s">
        <v>105</v>
      </c>
      <c r="BR283" s="34" t="s">
        <v>107</v>
      </c>
    </row>
    <row r="284" spans="49:70" x14ac:dyDescent="0.25">
      <c r="AW284" s="34" t="str">
        <f t="shared" si="19"/>
        <v>ACDEFGHL</v>
      </c>
      <c r="AX284" s="34">
        <v>282</v>
      </c>
      <c r="AY284" s="34" t="s">
        <v>119</v>
      </c>
      <c r="BA284" s="34" t="s">
        <v>115</v>
      </c>
      <c r="BB284" s="34" t="s">
        <v>113</v>
      </c>
      <c r="BC284" s="34" t="s">
        <v>97</v>
      </c>
      <c r="BD284" s="34" t="s">
        <v>98</v>
      </c>
      <c r="BE284" s="34" t="s">
        <v>99</v>
      </c>
      <c r="BF284" s="34" t="s">
        <v>100</v>
      </c>
      <c r="BJ284" s="34" t="s">
        <v>104</v>
      </c>
      <c r="BK284" s="34" t="s">
        <v>109</v>
      </c>
      <c r="BL284" s="34" t="s">
        <v>110</v>
      </c>
      <c r="BM284" s="34" t="s">
        <v>108</v>
      </c>
      <c r="BN284" s="34" t="s">
        <v>116</v>
      </c>
      <c r="BO284" s="34" t="s">
        <v>120</v>
      </c>
      <c r="BP284" s="34" t="s">
        <v>114</v>
      </c>
      <c r="BQ284" s="34" t="s">
        <v>111</v>
      </c>
      <c r="BR284" s="34" t="s">
        <v>105</v>
      </c>
    </row>
    <row r="285" spans="49:70" x14ac:dyDescent="0.25">
      <c r="AW285" s="34" t="str">
        <f t="shared" si="19"/>
        <v>ACDEFGHK</v>
      </c>
      <c r="AX285" s="34">
        <v>283</v>
      </c>
      <c r="AY285" s="34" t="s">
        <v>119</v>
      </c>
      <c r="BA285" s="34" t="s">
        <v>115</v>
      </c>
      <c r="BB285" s="34" t="s">
        <v>113</v>
      </c>
      <c r="BC285" s="34" t="s">
        <v>97</v>
      </c>
      <c r="BD285" s="34" t="s">
        <v>98</v>
      </c>
      <c r="BE285" s="34" t="s">
        <v>99</v>
      </c>
      <c r="BF285" s="34" t="s">
        <v>100</v>
      </c>
      <c r="BI285" s="34" t="s">
        <v>103</v>
      </c>
      <c r="BK285" s="34" t="s">
        <v>109</v>
      </c>
      <c r="BL285" s="34" t="s">
        <v>110</v>
      </c>
      <c r="BM285" s="34" t="s">
        <v>105</v>
      </c>
      <c r="BN285" s="34" t="s">
        <v>116</v>
      </c>
      <c r="BO285" s="34" t="s">
        <v>120</v>
      </c>
      <c r="BP285" s="34" t="s">
        <v>108</v>
      </c>
      <c r="BQ285" s="34" t="s">
        <v>114</v>
      </c>
      <c r="BR285" s="34" t="s">
        <v>112</v>
      </c>
    </row>
    <row r="286" spans="49:70" x14ac:dyDescent="0.25">
      <c r="AW286" s="34" t="str">
        <f t="shared" si="19"/>
        <v>ACDEFGHJ</v>
      </c>
      <c r="AX286" s="34">
        <v>284</v>
      </c>
      <c r="AY286" s="34" t="s">
        <v>119</v>
      </c>
      <c r="BA286" s="34" t="s">
        <v>115</v>
      </c>
      <c r="BB286" s="34" t="s">
        <v>113</v>
      </c>
      <c r="BC286" s="34" t="s">
        <v>97</v>
      </c>
      <c r="BD286" s="34" t="s">
        <v>98</v>
      </c>
      <c r="BE286" s="34" t="s">
        <v>99</v>
      </c>
      <c r="BF286" s="34" t="s">
        <v>100</v>
      </c>
      <c r="BH286" s="34" t="s">
        <v>102</v>
      </c>
      <c r="BK286" s="34" t="s">
        <v>109</v>
      </c>
      <c r="BL286" s="34" t="s">
        <v>110</v>
      </c>
      <c r="BM286" s="34" t="s">
        <v>106</v>
      </c>
      <c r="BN286" s="34" t="s">
        <v>116</v>
      </c>
      <c r="BO286" s="34" t="s">
        <v>120</v>
      </c>
      <c r="BP286" s="34" t="s">
        <v>108</v>
      </c>
      <c r="BQ286" s="34" t="s">
        <v>114</v>
      </c>
      <c r="BR286" s="34" t="s">
        <v>105</v>
      </c>
    </row>
    <row r="287" spans="49:70" x14ac:dyDescent="0.25">
      <c r="AW287" s="34" t="str">
        <f t="shared" si="19"/>
        <v>ACDEFGHI</v>
      </c>
      <c r="AX287" s="34">
        <v>285</v>
      </c>
      <c r="AY287" s="34" t="s">
        <v>119</v>
      </c>
      <c r="BA287" s="34" t="s">
        <v>115</v>
      </c>
      <c r="BB287" s="34" t="s">
        <v>113</v>
      </c>
      <c r="BC287" s="34" t="s">
        <v>97</v>
      </c>
      <c r="BD287" s="34" t="s">
        <v>98</v>
      </c>
      <c r="BE287" s="34" t="s">
        <v>99</v>
      </c>
      <c r="BF287" s="34" t="s">
        <v>100</v>
      </c>
      <c r="BG287" s="34" t="s">
        <v>101</v>
      </c>
      <c r="BK287" s="34" t="s">
        <v>109</v>
      </c>
      <c r="BL287" s="34" t="s">
        <v>110</v>
      </c>
      <c r="BM287" s="34" t="s">
        <v>105</v>
      </c>
      <c r="BN287" s="34" t="s">
        <v>116</v>
      </c>
      <c r="BO287" s="34" t="s">
        <v>120</v>
      </c>
      <c r="BP287" s="34" t="s">
        <v>108</v>
      </c>
      <c r="BQ287" s="34" t="s">
        <v>114</v>
      </c>
      <c r="BR287" s="34" t="s">
        <v>107</v>
      </c>
    </row>
    <row r="288" spans="49:70" x14ac:dyDescent="0.25">
      <c r="AW288" s="34" t="str">
        <f t="shared" si="19"/>
        <v>ABGHIJKL</v>
      </c>
      <c r="AX288" s="34">
        <v>286</v>
      </c>
      <c r="AY288" s="34" t="s">
        <v>119</v>
      </c>
      <c r="AZ288" s="34" t="s">
        <v>117</v>
      </c>
      <c r="BE288" s="34" t="s">
        <v>99</v>
      </c>
      <c r="BF288" s="34" t="s">
        <v>100</v>
      </c>
      <c r="BG288" s="34" t="s">
        <v>101</v>
      </c>
      <c r="BH288" s="34" t="s">
        <v>102</v>
      </c>
      <c r="BI288" s="34" t="s">
        <v>103</v>
      </c>
      <c r="BJ288" s="34" t="s">
        <v>104</v>
      </c>
      <c r="BK288" s="34" t="s">
        <v>109</v>
      </c>
      <c r="BL288" s="34" t="s">
        <v>106</v>
      </c>
      <c r="BM288" s="34" t="s">
        <v>118</v>
      </c>
      <c r="BN288" s="34" t="s">
        <v>120</v>
      </c>
      <c r="BO288" s="34" t="s">
        <v>107</v>
      </c>
      <c r="BP288" s="34" t="s">
        <v>110</v>
      </c>
      <c r="BQ288" s="34" t="s">
        <v>111</v>
      </c>
      <c r="BR288" s="34" t="s">
        <v>112</v>
      </c>
    </row>
    <row r="289" spans="49:70" x14ac:dyDescent="0.25">
      <c r="AW289" s="34" t="str">
        <f t="shared" si="19"/>
        <v>ABFHIJKL</v>
      </c>
      <c r="AX289" s="34">
        <v>287</v>
      </c>
      <c r="AY289" s="34" t="s">
        <v>119</v>
      </c>
      <c r="AZ289" s="34" t="s">
        <v>117</v>
      </c>
      <c r="BD289" s="34" t="s">
        <v>98</v>
      </c>
      <c r="BF289" s="34" t="s">
        <v>100</v>
      </c>
      <c r="BG289" s="34" t="s">
        <v>101</v>
      </c>
      <c r="BH289" s="34" t="s">
        <v>102</v>
      </c>
      <c r="BI289" s="34" t="s">
        <v>103</v>
      </c>
      <c r="BJ289" s="34" t="s">
        <v>104</v>
      </c>
      <c r="BK289" s="34" t="s">
        <v>109</v>
      </c>
      <c r="BL289" s="34" t="s">
        <v>106</v>
      </c>
      <c r="BM289" s="34" t="s">
        <v>118</v>
      </c>
      <c r="BN289" s="34" t="s">
        <v>120</v>
      </c>
      <c r="BO289" s="34" t="s">
        <v>107</v>
      </c>
      <c r="BP289" s="34" t="s">
        <v>108</v>
      </c>
      <c r="BQ289" s="34" t="s">
        <v>111</v>
      </c>
      <c r="BR289" s="34" t="s">
        <v>112</v>
      </c>
    </row>
    <row r="290" spans="49:70" x14ac:dyDescent="0.25">
      <c r="AW290" s="34" t="str">
        <f t="shared" si="19"/>
        <v>ABFGIJKL</v>
      </c>
      <c r="AX290" s="34">
        <v>288</v>
      </c>
      <c r="AY290" s="34" t="s">
        <v>119</v>
      </c>
      <c r="AZ290" s="34" t="s">
        <v>117</v>
      </c>
      <c r="BD290" s="34" t="s">
        <v>98</v>
      </c>
      <c r="BE290" s="34" t="s">
        <v>99</v>
      </c>
      <c r="BG290" s="34" t="s">
        <v>101</v>
      </c>
      <c r="BH290" s="34" t="s">
        <v>102</v>
      </c>
      <c r="BI290" s="34" t="s">
        <v>103</v>
      </c>
      <c r="BJ290" s="34" t="s">
        <v>104</v>
      </c>
      <c r="BK290" s="34" t="s">
        <v>107</v>
      </c>
      <c r="BL290" s="34" t="s">
        <v>106</v>
      </c>
      <c r="BM290" s="34" t="s">
        <v>118</v>
      </c>
      <c r="BN290" s="34" t="s">
        <v>108</v>
      </c>
      <c r="BO290" s="34" t="s">
        <v>120</v>
      </c>
      <c r="BP290" s="34" t="s">
        <v>110</v>
      </c>
      <c r="BQ290" s="34" t="s">
        <v>111</v>
      </c>
      <c r="BR290" s="34" t="s">
        <v>112</v>
      </c>
    </row>
    <row r="291" spans="49:70" x14ac:dyDescent="0.25">
      <c r="AW291" s="34" t="str">
        <f t="shared" si="19"/>
        <v>ABFGHJKL</v>
      </c>
      <c r="AX291" s="34">
        <v>289</v>
      </c>
      <c r="AY291" s="34" t="s">
        <v>119</v>
      </c>
      <c r="AZ291" s="34" t="s">
        <v>117</v>
      </c>
      <c r="BD291" s="34" t="s">
        <v>98</v>
      </c>
      <c r="BE291" s="34" t="s">
        <v>99</v>
      </c>
      <c r="BF291" s="34" t="s">
        <v>100</v>
      </c>
      <c r="BH291" s="34" t="s">
        <v>102</v>
      </c>
      <c r="BI291" s="34" t="s">
        <v>103</v>
      </c>
      <c r="BJ291" s="34" t="s">
        <v>104</v>
      </c>
      <c r="BK291" s="34" t="s">
        <v>109</v>
      </c>
      <c r="BL291" s="34" t="s">
        <v>106</v>
      </c>
      <c r="BM291" s="34" t="s">
        <v>118</v>
      </c>
      <c r="BN291" s="34" t="s">
        <v>108</v>
      </c>
      <c r="BO291" s="34" t="s">
        <v>120</v>
      </c>
      <c r="BP291" s="34" t="s">
        <v>110</v>
      </c>
      <c r="BQ291" s="34" t="s">
        <v>111</v>
      </c>
      <c r="BR291" s="34" t="s">
        <v>112</v>
      </c>
    </row>
    <row r="292" spans="49:70" x14ac:dyDescent="0.25">
      <c r="AW292" s="34" t="str">
        <f t="shared" si="19"/>
        <v>ABFGHIKL</v>
      </c>
      <c r="AX292" s="34">
        <v>290</v>
      </c>
      <c r="AY292" s="34" t="s">
        <v>119</v>
      </c>
      <c r="AZ292" s="34" t="s">
        <v>117</v>
      </c>
      <c r="BD292" s="34" t="s">
        <v>98</v>
      </c>
      <c r="BE292" s="34" t="s">
        <v>99</v>
      </c>
      <c r="BF292" s="34" t="s">
        <v>100</v>
      </c>
      <c r="BG292" s="34" t="s">
        <v>101</v>
      </c>
      <c r="BI292" s="34" t="s">
        <v>103</v>
      </c>
      <c r="BJ292" s="34" t="s">
        <v>104</v>
      </c>
      <c r="BK292" s="34" t="s">
        <v>109</v>
      </c>
      <c r="BL292" s="34" t="s">
        <v>110</v>
      </c>
      <c r="BM292" s="34" t="s">
        <v>118</v>
      </c>
      <c r="BN292" s="34" t="s">
        <v>120</v>
      </c>
      <c r="BO292" s="34" t="s">
        <v>107</v>
      </c>
      <c r="BP292" s="34" t="s">
        <v>108</v>
      </c>
      <c r="BQ292" s="34" t="s">
        <v>111</v>
      </c>
      <c r="BR292" s="34" t="s">
        <v>112</v>
      </c>
    </row>
    <row r="293" spans="49:70" x14ac:dyDescent="0.25">
      <c r="AW293" s="34" t="str">
        <f t="shared" si="19"/>
        <v>ABFGHIJL</v>
      </c>
      <c r="AX293" s="34">
        <v>291</v>
      </c>
      <c r="AY293" s="34" t="s">
        <v>119</v>
      </c>
      <c r="AZ293" s="34" t="s">
        <v>117</v>
      </c>
      <c r="BD293" s="34" t="s">
        <v>98</v>
      </c>
      <c r="BE293" s="34" t="s">
        <v>99</v>
      </c>
      <c r="BF293" s="34" t="s">
        <v>100</v>
      </c>
      <c r="BG293" s="34" t="s">
        <v>101</v>
      </c>
      <c r="BH293" s="34" t="s">
        <v>102</v>
      </c>
      <c r="BJ293" s="34" t="s">
        <v>104</v>
      </c>
      <c r="BK293" s="34" t="s">
        <v>109</v>
      </c>
      <c r="BL293" s="34" t="s">
        <v>106</v>
      </c>
      <c r="BM293" s="34" t="s">
        <v>118</v>
      </c>
      <c r="BN293" s="34" t="s">
        <v>108</v>
      </c>
      <c r="BO293" s="34" t="s">
        <v>120</v>
      </c>
      <c r="BP293" s="34" t="s">
        <v>110</v>
      </c>
      <c r="BQ293" s="34" t="s">
        <v>111</v>
      </c>
      <c r="BR293" s="34" t="s">
        <v>107</v>
      </c>
    </row>
    <row r="294" spans="49:70" x14ac:dyDescent="0.25">
      <c r="AW294" s="34" t="str">
        <f t="shared" si="19"/>
        <v>ABFGHIJK</v>
      </c>
      <c r="AX294" s="34">
        <v>292</v>
      </c>
      <c r="AY294" s="34" t="s">
        <v>119</v>
      </c>
      <c r="AZ294" s="34" t="s">
        <v>117</v>
      </c>
      <c r="BD294" s="34" t="s">
        <v>98</v>
      </c>
      <c r="BE294" s="34" t="s">
        <v>99</v>
      </c>
      <c r="BF294" s="34" t="s">
        <v>100</v>
      </c>
      <c r="BG294" s="34" t="s">
        <v>101</v>
      </c>
      <c r="BH294" s="34" t="s">
        <v>102</v>
      </c>
      <c r="BI294" s="34" t="s">
        <v>103</v>
      </c>
      <c r="BK294" s="34" t="s">
        <v>109</v>
      </c>
      <c r="BL294" s="34" t="s">
        <v>106</v>
      </c>
      <c r="BM294" s="34" t="s">
        <v>118</v>
      </c>
      <c r="BN294" s="34" t="s">
        <v>108</v>
      </c>
      <c r="BO294" s="34" t="s">
        <v>120</v>
      </c>
      <c r="BP294" s="34" t="s">
        <v>110</v>
      </c>
      <c r="BQ294" s="34" t="s">
        <v>107</v>
      </c>
      <c r="BR294" s="34" t="s">
        <v>112</v>
      </c>
    </row>
    <row r="295" spans="49:70" x14ac:dyDescent="0.25">
      <c r="AW295" s="34" t="str">
        <f t="shared" si="19"/>
        <v>ABEHIJKL</v>
      </c>
      <c r="AX295" s="34">
        <v>293</v>
      </c>
      <c r="AY295" s="34" t="s">
        <v>119</v>
      </c>
      <c r="AZ295" s="34" t="s">
        <v>117</v>
      </c>
      <c r="BC295" s="34" t="s">
        <v>97</v>
      </c>
      <c r="BF295" s="34" t="s">
        <v>100</v>
      </c>
      <c r="BG295" s="34" t="s">
        <v>101</v>
      </c>
      <c r="BH295" s="34" t="s">
        <v>102</v>
      </c>
      <c r="BI295" s="34" t="s">
        <v>103</v>
      </c>
      <c r="BJ295" s="34" t="s">
        <v>104</v>
      </c>
      <c r="BK295" s="34" t="s">
        <v>105</v>
      </c>
      <c r="BL295" s="34" t="s">
        <v>106</v>
      </c>
      <c r="BM295" s="34" t="s">
        <v>118</v>
      </c>
      <c r="BN295" s="34" t="s">
        <v>120</v>
      </c>
      <c r="BO295" s="34" t="s">
        <v>107</v>
      </c>
      <c r="BP295" s="34" t="s">
        <v>109</v>
      </c>
      <c r="BQ295" s="34" t="s">
        <v>111</v>
      </c>
      <c r="BR295" s="34" t="s">
        <v>112</v>
      </c>
    </row>
    <row r="296" spans="49:70" x14ac:dyDescent="0.25">
      <c r="AW296" s="34" t="str">
        <f t="shared" si="19"/>
        <v>ABEGIJKL</v>
      </c>
      <c r="AX296" s="34">
        <v>294</v>
      </c>
      <c r="AY296" s="34" t="s">
        <v>119</v>
      </c>
      <c r="AZ296" s="34" t="s">
        <v>117</v>
      </c>
      <c r="BC296" s="34" t="s">
        <v>97</v>
      </c>
      <c r="BE296" s="34" t="s">
        <v>99</v>
      </c>
      <c r="BG296" s="34" t="s">
        <v>101</v>
      </c>
      <c r="BH296" s="34" t="s">
        <v>102</v>
      </c>
      <c r="BI296" s="34" t="s">
        <v>103</v>
      </c>
      <c r="BJ296" s="34" t="s">
        <v>104</v>
      </c>
      <c r="BK296" s="34" t="s">
        <v>105</v>
      </c>
      <c r="BL296" s="34" t="s">
        <v>106</v>
      </c>
      <c r="BM296" s="34" t="s">
        <v>118</v>
      </c>
      <c r="BN296" s="34" t="s">
        <v>120</v>
      </c>
      <c r="BO296" s="34" t="s">
        <v>107</v>
      </c>
      <c r="BP296" s="34" t="s">
        <v>110</v>
      </c>
      <c r="BQ296" s="34" t="s">
        <v>111</v>
      </c>
      <c r="BR296" s="34" t="s">
        <v>112</v>
      </c>
    </row>
    <row r="297" spans="49:70" x14ac:dyDescent="0.25">
      <c r="AW297" s="34" t="str">
        <f t="shared" si="19"/>
        <v>ABEGHJKL</v>
      </c>
      <c r="AX297" s="34">
        <v>295</v>
      </c>
      <c r="AY297" s="34" t="s">
        <v>119</v>
      </c>
      <c r="AZ297" s="34" t="s">
        <v>117</v>
      </c>
      <c r="BC297" s="34" t="s">
        <v>97</v>
      </c>
      <c r="BE297" s="34" t="s">
        <v>99</v>
      </c>
      <c r="BF297" s="34" t="s">
        <v>100</v>
      </c>
      <c r="BH297" s="34" t="s">
        <v>102</v>
      </c>
      <c r="BI297" s="34" t="s">
        <v>103</v>
      </c>
      <c r="BJ297" s="34" t="s">
        <v>104</v>
      </c>
      <c r="BK297" s="34" t="s">
        <v>105</v>
      </c>
      <c r="BL297" s="34" t="s">
        <v>106</v>
      </c>
      <c r="BM297" s="34" t="s">
        <v>118</v>
      </c>
      <c r="BN297" s="34" t="s">
        <v>120</v>
      </c>
      <c r="BO297" s="34" t="s">
        <v>109</v>
      </c>
      <c r="BP297" s="34" t="s">
        <v>110</v>
      </c>
      <c r="BQ297" s="34" t="s">
        <v>111</v>
      </c>
      <c r="BR297" s="34" t="s">
        <v>112</v>
      </c>
    </row>
    <row r="298" spans="49:70" x14ac:dyDescent="0.25">
      <c r="AW298" s="34" t="str">
        <f t="shared" si="19"/>
        <v>ABEGHIKL</v>
      </c>
      <c r="AX298" s="34">
        <v>296</v>
      </c>
      <c r="AY298" s="34" t="s">
        <v>119</v>
      </c>
      <c r="AZ298" s="34" t="s">
        <v>117</v>
      </c>
      <c r="BC298" s="34" t="s">
        <v>97</v>
      </c>
      <c r="BE298" s="34" t="s">
        <v>99</v>
      </c>
      <c r="BF298" s="34" t="s">
        <v>100</v>
      </c>
      <c r="BG298" s="34" t="s">
        <v>101</v>
      </c>
      <c r="BI298" s="34" t="s">
        <v>103</v>
      </c>
      <c r="BJ298" s="34" t="s">
        <v>104</v>
      </c>
      <c r="BK298" s="34" t="s">
        <v>105</v>
      </c>
      <c r="BL298" s="34" t="s">
        <v>110</v>
      </c>
      <c r="BM298" s="34" t="s">
        <v>118</v>
      </c>
      <c r="BN298" s="34" t="s">
        <v>120</v>
      </c>
      <c r="BO298" s="34" t="s">
        <v>107</v>
      </c>
      <c r="BP298" s="34" t="s">
        <v>109</v>
      </c>
      <c r="BQ298" s="34" t="s">
        <v>111</v>
      </c>
      <c r="BR298" s="34" t="s">
        <v>112</v>
      </c>
    </row>
    <row r="299" spans="49:70" x14ac:dyDescent="0.25">
      <c r="AW299" s="34" t="str">
        <f t="shared" si="19"/>
        <v>ABEGHIJL</v>
      </c>
      <c r="AX299" s="34">
        <v>297</v>
      </c>
      <c r="AY299" s="34" t="s">
        <v>119</v>
      </c>
      <c r="AZ299" s="34" t="s">
        <v>117</v>
      </c>
      <c r="BC299" s="34" t="s">
        <v>97</v>
      </c>
      <c r="BE299" s="34" t="s">
        <v>99</v>
      </c>
      <c r="BF299" s="34" t="s">
        <v>100</v>
      </c>
      <c r="BG299" s="34" t="s">
        <v>101</v>
      </c>
      <c r="BH299" s="34" t="s">
        <v>102</v>
      </c>
      <c r="BJ299" s="34" t="s">
        <v>104</v>
      </c>
      <c r="BK299" s="34" t="s">
        <v>105</v>
      </c>
      <c r="BL299" s="34" t="s">
        <v>106</v>
      </c>
      <c r="BM299" s="34" t="s">
        <v>118</v>
      </c>
      <c r="BN299" s="34" t="s">
        <v>120</v>
      </c>
      <c r="BO299" s="34" t="s">
        <v>109</v>
      </c>
      <c r="BP299" s="34" t="s">
        <v>110</v>
      </c>
      <c r="BQ299" s="34" t="s">
        <v>111</v>
      </c>
      <c r="BR299" s="34" t="s">
        <v>107</v>
      </c>
    </row>
    <row r="300" spans="49:70" x14ac:dyDescent="0.25">
      <c r="AW300" s="34" t="str">
        <f t="shared" si="19"/>
        <v>ABEGHIJK</v>
      </c>
      <c r="AX300" s="34">
        <v>298</v>
      </c>
      <c r="AY300" s="34" t="s">
        <v>119</v>
      </c>
      <c r="AZ300" s="34" t="s">
        <v>117</v>
      </c>
      <c r="BC300" s="34" t="s">
        <v>97</v>
      </c>
      <c r="BE300" s="34" t="s">
        <v>99</v>
      </c>
      <c r="BF300" s="34" t="s">
        <v>100</v>
      </c>
      <c r="BG300" s="34" t="s">
        <v>101</v>
      </c>
      <c r="BH300" s="34" t="s">
        <v>102</v>
      </c>
      <c r="BI300" s="34" t="s">
        <v>103</v>
      </c>
      <c r="BK300" s="34" t="s">
        <v>105</v>
      </c>
      <c r="BL300" s="34" t="s">
        <v>106</v>
      </c>
      <c r="BM300" s="34" t="s">
        <v>118</v>
      </c>
      <c r="BN300" s="34" t="s">
        <v>120</v>
      </c>
      <c r="BO300" s="34" t="s">
        <v>109</v>
      </c>
      <c r="BP300" s="34" t="s">
        <v>110</v>
      </c>
      <c r="BQ300" s="34" t="s">
        <v>107</v>
      </c>
      <c r="BR300" s="34" t="s">
        <v>112</v>
      </c>
    </row>
    <row r="301" spans="49:70" x14ac:dyDescent="0.25">
      <c r="AW301" s="34" t="str">
        <f t="shared" si="19"/>
        <v>ABEFIJKL</v>
      </c>
      <c r="AX301" s="34">
        <v>299</v>
      </c>
      <c r="AY301" s="34" t="s">
        <v>119</v>
      </c>
      <c r="AZ301" s="34" t="s">
        <v>117</v>
      </c>
      <c r="BC301" s="34" t="s">
        <v>97</v>
      </c>
      <c r="BD301" s="34" t="s">
        <v>98</v>
      </c>
      <c r="BG301" s="34" t="s">
        <v>101</v>
      </c>
      <c r="BH301" s="34" t="s">
        <v>102</v>
      </c>
      <c r="BI301" s="34" t="s">
        <v>103</v>
      </c>
      <c r="BJ301" s="34" t="s">
        <v>104</v>
      </c>
      <c r="BK301" s="34" t="s">
        <v>105</v>
      </c>
      <c r="BL301" s="34" t="s">
        <v>106</v>
      </c>
      <c r="BM301" s="34" t="s">
        <v>118</v>
      </c>
      <c r="BN301" s="34" t="s">
        <v>120</v>
      </c>
      <c r="BO301" s="34" t="s">
        <v>107</v>
      </c>
      <c r="BP301" s="34" t="s">
        <v>108</v>
      </c>
      <c r="BQ301" s="34" t="s">
        <v>111</v>
      </c>
      <c r="BR301" s="34" t="s">
        <v>112</v>
      </c>
    </row>
    <row r="302" spans="49:70" x14ac:dyDescent="0.25">
      <c r="AW302" s="34" t="str">
        <f t="shared" si="19"/>
        <v>ABEFHJKL</v>
      </c>
      <c r="AX302" s="34">
        <v>300</v>
      </c>
      <c r="AY302" s="34" t="s">
        <v>119</v>
      </c>
      <c r="AZ302" s="34" t="s">
        <v>117</v>
      </c>
      <c r="BC302" s="34" t="s">
        <v>97</v>
      </c>
      <c r="BD302" s="34" t="s">
        <v>98</v>
      </c>
      <c r="BF302" s="34" t="s">
        <v>100</v>
      </c>
      <c r="BH302" s="34" t="s">
        <v>102</v>
      </c>
      <c r="BI302" s="34" t="s">
        <v>103</v>
      </c>
      <c r="BJ302" s="34" t="s">
        <v>104</v>
      </c>
      <c r="BK302" s="34" t="s">
        <v>105</v>
      </c>
      <c r="BL302" s="34" t="s">
        <v>106</v>
      </c>
      <c r="BM302" s="34" t="s">
        <v>118</v>
      </c>
      <c r="BN302" s="34" t="s">
        <v>108</v>
      </c>
      <c r="BO302" s="34" t="s">
        <v>120</v>
      </c>
      <c r="BP302" s="34" t="s">
        <v>109</v>
      </c>
      <c r="BQ302" s="34" t="s">
        <v>111</v>
      </c>
      <c r="BR302" s="34" t="s">
        <v>112</v>
      </c>
    </row>
    <row r="303" spans="49:70" x14ac:dyDescent="0.25">
      <c r="AW303" s="34" t="str">
        <f t="shared" si="19"/>
        <v>ABEFHIKL</v>
      </c>
      <c r="AX303" s="34">
        <v>301</v>
      </c>
      <c r="AY303" s="34" t="s">
        <v>119</v>
      </c>
      <c r="AZ303" s="34" t="s">
        <v>117</v>
      </c>
      <c r="BC303" s="34" t="s">
        <v>97</v>
      </c>
      <c r="BD303" s="34" t="s">
        <v>98</v>
      </c>
      <c r="BF303" s="34" t="s">
        <v>100</v>
      </c>
      <c r="BG303" s="34" t="s">
        <v>101</v>
      </c>
      <c r="BI303" s="34" t="s">
        <v>103</v>
      </c>
      <c r="BJ303" s="34" t="s">
        <v>104</v>
      </c>
      <c r="BK303" s="34" t="s">
        <v>105</v>
      </c>
      <c r="BL303" s="34" t="s">
        <v>107</v>
      </c>
      <c r="BM303" s="34" t="s">
        <v>118</v>
      </c>
      <c r="BN303" s="34" t="s">
        <v>108</v>
      </c>
      <c r="BO303" s="34" t="s">
        <v>120</v>
      </c>
      <c r="BP303" s="34" t="s">
        <v>109</v>
      </c>
      <c r="BQ303" s="34" t="s">
        <v>111</v>
      </c>
      <c r="BR303" s="34" t="s">
        <v>112</v>
      </c>
    </row>
    <row r="304" spans="49:70" x14ac:dyDescent="0.25">
      <c r="AW304" s="34" t="str">
        <f t="shared" si="19"/>
        <v>ABEFHIJL</v>
      </c>
      <c r="AX304" s="34">
        <v>302</v>
      </c>
      <c r="AY304" s="34" t="s">
        <v>119</v>
      </c>
      <c r="AZ304" s="34" t="s">
        <v>117</v>
      </c>
      <c r="BC304" s="34" t="s">
        <v>97</v>
      </c>
      <c r="BD304" s="34" t="s">
        <v>98</v>
      </c>
      <c r="BF304" s="34" t="s">
        <v>100</v>
      </c>
      <c r="BG304" s="34" t="s">
        <v>101</v>
      </c>
      <c r="BH304" s="34" t="s">
        <v>102</v>
      </c>
      <c r="BJ304" s="34" t="s">
        <v>104</v>
      </c>
      <c r="BK304" s="34" t="s">
        <v>105</v>
      </c>
      <c r="BL304" s="34" t="s">
        <v>106</v>
      </c>
      <c r="BM304" s="34" t="s">
        <v>118</v>
      </c>
      <c r="BN304" s="34" t="s">
        <v>108</v>
      </c>
      <c r="BO304" s="34" t="s">
        <v>120</v>
      </c>
      <c r="BP304" s="34" t="s">
        <v>109</v>
      </c>
      <c r="BQ304" s="34" t="s">
        <v>111</v>
      </c>
      <c r="BR304" s="34" t="s">
        <v>107</v>
      </c>
    </row>
    <row r="305" spans="49:70" x14ac:dyDescent="0.25">
      <c r="AW305" s="34" t="str">
        <f t="shared" si="19"/>
        <v>ABEFHIJK</v>
      </c>
      <c r="AX305" s="34">
        <v>303</v>
      </c>
      <c r="AY305" s="34" t="s">
        <v>119</v>
      </c>
      <c r="AZ305" s="34" t="s">
        <v>117</v>
      </c>
      <c r="BC305" s="34" t="s">
        <v>97</v>
      </c>
      <c r="BD305" s="34" t="s">
        <v>98</v>
      </c>
      <c r="BF305" s="34" t="s">
        <v>100</v>
      </c>
      <c r="BG305" s="34" t="s">
        <v>101</v>
      </c>
      <c r="BH305" s="34" t="s">
        <v>102</v>
      </c>
      <c r="BI305" s="34" t="s">
        <v>103</v>
      </c>
      <c r="BK305" s="34" t="s">
        <v>105</v>
      </c>
      <c r="BL305" s="34" t="s">
        <v>106</v>
      </c>
      <c r="BM305" s="34" t="s">
        <v>118</v>
      </c>
      <c r="BN305" s="34" t="s">
        <v>108</v>
      </c>
      <c r="BO305" s="34" t="s">
        <v>120</v>
      </c>
      <c r="BP305" s="34" t="s">
        <v>109</v>
      </c>
      <c r="BQ305" s="34" t="s">
        <v>107</v>
      </c>
      <c r="BR305" s="34" t="s">
        <v>112</v>
      </c>
    </row>
    <row r="306" spans="49:70" x14ac:dyDescent="0.25">
      <c r="AW306" s="34" t="str">
        <f t="shared" si="19"/>
        <v>ABEFGJKL</v>
      </c>
      <c r="AX306" s="34">
        <v>304</v>
      </c>
      <c r="AY306" s="34" t="s">
        <v>119</v>
      </c>
      <c r="AZ306" s="34" t="s">
        <v>117</v>
      </c>
      <c r="BC306" s="34" t="s">
        <v>97</v>
      </c>
      <c r="BD306" s="34" t="s">
        <v>98</v>
      </c>
      <c r="BE306" s="34" t="s">
        <v>99</v>
      </c>
      <c r="BH306" s="34" t="s">
        <v>102</v>
      </c>
      <c r="BI306" s="34" t="s">
        <v>103</v>
      </c>
      <c r="BJ306" s="34" t="s">
        <v>104</v>
      </c>
      <c r="BK306" s="34" t="s">
        <v>105</v>
      </c>
      <c r="BL306" s="34" t="s">
        <v>106</v>
      </c>
      <c r="BM306" s="34" t="s">
        <v>118</v>
      </c>
      <c r="BN306" s="34" t="s">
        <v>108</v>
      </c>
      <c r="BO306" s="34" t="s">
        <v>120</v>
      </c>
      <c r="BP306" s="34" t="s">
        <v>110</v>
      </c>
      <c r="BQ306" s="34" t="s">
        <v>111</v>
      </c>
      <c r="BR306" s="34" t="s">
        <v>112</v>
      </c>
    </row>
    <row r="307" spans="49:70" x14ac:dyDescent="0.25">
      <c r="AW307" s="34" t="str">
        <f t="shared" si="19"/>
        <v>ABEFGIKL</v>
      </c>
      <c r="AX307" s="34">
        <v>305</v>
      </c>
      <c r="AY307" s="34" t="s">
        <v>119</v>
      </c>
      <c r="AZ307" s="34" t="s">
        <v>117</v>
      </c>
      <c r="BC307" s="34" t="s">
        <v>97</v>
      </c>
      <c r="BD307" s="34" t="s">
        <v>98</v>
      </c>
      <c r="BE307" s="34" t="s">
        <v>99</v>
      </c>
      <c r="BG307" s="34" t="s">
        <v>101</v>
      </c>
      <c r="BI307" s="34" t="s">
        <v>103</v>
      </c>
      <c r="BJ307" s="34" t="s">
        <v>104</v>
      </c>
      <c r="BK307" s="34" t="s">
        <v>105</v>
      </c>
      <c r="BL307" s="34" t="s">
        <v>110</v>
      </c>
      <c r="BM307" s="34" t="s">
        <v>118</v>
      </c>
      <c r="BN307" s="34" t="s">
        <v>120</v>
      </c>
      <c r="BO307" s="34" t="s">
        <v>107</v>
      </c>
      <c r="BP307" s="34" t="s">
        <v>108</v>
      </c>
      <c r="BQ307" s="34" t="s">
        <v>111</v>
      </c>
      <c r="BR307" s="34" t="s">
        <v>112</v>
      </c>
    </row>
    <row r="308" spans="49:70" x14ac:dyDescent="0.25">
      <c r="AW308" s="34" t="str">
        <f t="shared" si="19"/>
        <v>ABEFGIJL</v>
      </c>
      <c r="AX308" s="34">
        <v>306</v>
      </c>
      <c r="AY308" s="34" t="s">
        <v>119</v>
      </c>
      <c r="AZ308" s="34" t="s">
        <v>117</v>
      </c>
      <c r="BC308" s="34" t="s">
        <v>97</v>
      </c>
      <c r="BD308" s="34" t="s">
        <v>98</v>
      </c>
      <c r="BE308" s="34" t="s">
        <v>99</v>
      </c>
      <c r="BG308" s="34" t="s">
        <v>101</v>
      </c>
      <c r="BH308" s="34" t="s">
        <v>102</v>
      </c>
      <c r="BJ308" s="34" t="s">
        <v>104</v>
      </c>
      <c r="BK308" s="34" t="s">
        <v>105</v>
      </c>
      <c r="BL308" s="34" t="s">
        <v>106</v>
      </c>
      <c r="BM308" s="34" t="s">
        <v>118</v>
      </c>
      <c r="BN308" s="34" t="s">
        <v>108</v>
      </c>
      <c r="BO308" s="34" t="s">
        <v>120</v>
      </c>
      <c r="BP308" s="34" t="s">
        <v>110</v>
      </c>
      <c r="BQ308" s="34" t="s">
        <v>111</v>
      </c>
      <c r="BR308" s="34" t="s">
        <v>107</v>
      </c>
    </row>
    <row r="309" spans="49:70" x14ac:dyDescent="0.25">
      <c r="AW309" s="34" t="str">
        <f t="shared" si="19"/>
        <v>ABEFGIJK</v>
      </c>
      <c r="AX309" s="34">
        <v>307</v>
      </c>
      <c r="AY309" s="34" t="s">
        <v>119</v>
      </c>
      <c r="AZ309" s="34" t="s">
        <v>117</v>
      </c>
      <c r="BC309" s="34" t="s">
        <v>97</v>
      </c>
      <c r="BD309" s="34" t="s">
        <v>98</v>
      </c>
      <c r="BE309" s="34" t="s">
        <v>99</v>
      </c>
      <c r="BG309" s="34" t="s">
        <v>101</v>
      </c>
      <c r="BH309" s="34" t="s">
        <v>102</v>
      </c>
      <c r="BI309" s="34" t="s">
        <v>103</v>
      </c>
      <c r="BK309" s="34" t="s">
        <v>105</v>
      </c>
      <c r="BL309" s="34" t="s">
        <v>106</v>
      </c>
      <c r="BM309" s="34" t="s">
        <v>118</v>
      </c>
      <c r="BN309" s="34" t="s">
        <v>108</v>
      </c>
      <c r="BO309" s="34" t="s">
        <v>120</v>
      </c>
      <c r="BP309" s="34" t="s">
        <v>110</v>
      </c>
      <c r="BQ309" s="34" t="s">
        <v>107</v>
      </c>
      <c r="BR309" s="34" t="s">
        <v>112</v>
      </c>
    </row>
    <row r="310" spans="49:70" x14ac:dyDescent="0.25">
      <c r="AW310" s="34" t="str">
        <f t="shared" si="19"/>
        <v>ABEFGHKL</v>
      </c>
      <c r="AX310" s="34">
        <v>308</v>
      </c>
      <c r="AY310" s="34" t="s">
        <v>119</v>
      </c>
      <c r="AZ310" s="34" t="s">
        <v>117</v>
      </c>
      <c r="BC310" s="34" t="s">
        <v>97</v>
      </c>
      <c r="BD310" s="34" t="s">
        <v>98</v>
      </c>
      <c r="BE310" s="34" t="s">
        <v>99</v>
      </c>
      <c r="BF310" s="34" t="s">
        <v>100</v>
      </c>
      <c r="BI310" s="34" t="s">
        <v>103</v>
      </c>
      <c r="BJ310" s="34" t="s">
        <v>104</v>
      </c>
      <c r="BK310" s="34" t="s">
        <v>105</v>
      </c>
      <c r="BL310" s="34" t="s">
        <v>110</v>
      </c>
      <c r="BM310" s="34" t="s">
        <v>118</v>
      </c>
      <c r="BN310" s="34" t="s">
        <v>108</v>
      </c>
      <c r="BO310" s="34" t="s">
        <v>120</v>
      </c>
      <c r="BP310" s="34" t="s">
        <v>109</v>
      </c>
      <c r="BQ310" s="34" t="s">
        <v>111</v>
      </c>
      <c r="BR310" s="34" t="s">
        <v>112</v>
      </c>
    </row>
    <row r="311" spans="49:70" x14ac:dyDescent="0.25">
      <c r="AW311" s="34" t="str">
        <f t="shared" si="19"/>
        <v>ABEFGHJL</v>
      </c>
      <c r="AX311" s="34">
        <v>309</v>
      </c>
      <c r="AY311" s="34" t="s">
        <v>119</v>
      </c>
      <c r="AZ311" s="34" t="s">
        <v>117</v>
      </c>
      <c r="BC311" s="34" t="s">
        <v>97</v>
      </c>
      <c r="BD311" s="34" t="s">
        <v>98</v>
      </c>
      <c r="BE311" s="34" t="s">
        <v>99</v>
      </c>
      <c r="BF311" s="34" t="s">
        <v>100</v>
      </c>
      <c r="BH311" s="34" t="s">
        <v>102</v>
      </c>
      <c r="BJ311" s="34" t="s">
        <v>104</v>
      </c>
      <c r="BK311" s="34" t="s">
        <v>109</v>
      </c>
      <c r="BL311" s="34" t="s">
        <v>106</v>
      </c>
      <c r="BM311" s="34" t="s">
        <v>118</v>
      </c>
      <c r="BN311" s="34" t="s">
        <v>108</v>
      </c>
      <c r="BO311" s="34" t="s">
        <v>120</v>
      </c>
      <c r="BP311" s="34" t="s">
        <v>110</v>
      </c>
      <c r="BQ311" s="34" t="s">
        <v>111</v>
      </c>
      <c r="BR311" s="34" t="s">
        <v>105</v>
      </c>
    </row>
    <row r="312" spans="49:70" x14ac:dyDescent="0.25">
      <c r="AW312" s="34" t="str">
        <f t="shared" si="19"/>
        <v>ABEFGHJK</v>
      </c>
      <c r="AX312" s="34">
        <v>310</v>
      </c>
      <c r="AY312" s="34" t="s">
        <v>119</v>
      </c>
      <c r="AZ312" s="34" t="s">
        <v>117</v>
      </c>
      <c r="BC312" s="34" t="s">
        <v>97</v>
      </c>
      <c r="BD312" s="34" t="s">
        <v>98</v>
      </c>
      <c r="BE312" s="34" t="s">
        <v>99</v>
      </c>
      <c r="BF312" s="34" t="s">
        <v>100</v>
      </c>
      <c r="BH312" s="34" t="s">
        <v>102</v>
      </c>
      <c r="BI312" s="34" t="s">
        <v>103</v>
      </c>
      <c r="BK312" s="34" t="s">
        <v>109</v>
      </c>
      <c r="BL312" s="34" t="s">
        <v>106</v>
      </c>
      <c r="BM312" s="34" t="s">
        <v>118</v>
      </c>
      <c r="BN312" s="34" t="s">
        <v>108</v>
      </c>
      <c r="BO312" s="34" t="s">
        <v>120</v>
      </c>
      <c r="BP312" s="34" t="s">
        <v>110</v>
      </c>
      <c r="BQ312" s="34" t="s">
        <v>105</v>
      </c>
      <c r="BR312" s="34" t="s">
        <v>112</v>
      </c>
    </row>
    <row r="313" spans="49:70" x14ac:dyDescent="0.25">
      <c r="AW313" s="34" t="str">
        <f t="shared" si="19"/>
        <v>ABEFGHIL</v>
      </c>
      <c r="AX313" s="34">
        <v>311</v>
      </c>
      <c r="AY313" s="34" t="s">
        <v>119</v>
      </c>
      <c r="AZ313" s="34" t="s">
        <v>117</v>
      </c>
      <c r="BC313" s="34" t="s">
        <v>97</v>
      </c>
      <c r="BD313" s="34" t="s">
        <v>98</v>
      </c>
      <c r="BE313" s="34" t="s">
        <v>99</v>
      </c>
      <c r="BF313" s="34" t="s">
        <v>100</v>
      </c>
      <c r="BG313" s="34" t="s">
        <v>101</v>
      </c>
      <c r="BJ313" s="34" t="s">
        <v>104</v>
      </c>
      <c r="BK313" s="34" t="s">
        <v>105</v>
      </c>
      <c r="BL313" s="34" t="s">
        <v>110</v>
      </c>
      <c r="BM313" s="34" t="s">
        <v>118</v>
      </c>
      <c r="BN313" s="34" t="s">
        <v>108</v>
      </c>
      <c r="BO313" s="34" t="s">
        <v>120</v>
      </c>
      <c r="BP313" s="34" t="s">
        <v>109</v>
      </c>
      <c r="BQ313" s="34" t="s">
        <v>111</v>
      </c>
      <c r="BR313" s="34" t="s">
        <v>107</v>
      </c>
    </row>
    <row r="314" spans="49:70" x14ac:dyDescent="0.25">
      <c r="AW314" s="34" t="str">
        <f t="shared" si="19"/>
        <v>ABEFGHIK</v>
      </c>
      <c r="AX314" s="34">
        <v>312</v>
      </c>
      <c r="AY314" s="34" t="s">
        <v>119</v>
      </c>
      <c r="AZ314" s="34" t="s">
        <v>117</v>
      </c>
      <c r="BC314" s="34" t="s">
        <v>97</v>
      </c>
      <c r="BD314" s="34" t="s">
        <v>98</v>
      </c>
      <c r="BE314" s="34" t="s">
        <v>99</v>
      </c>
      <c r="BF314" s="34" t="s">
        <v>100</v>
      </c>
      <c r="BG314" s="34" t="s">
        <v>101</v>
      </c>
      <c r="BI314" s="34" t="s">
        <v>103</v>
      </c>
      <c r="BK314" s="34" t="s">
        <v>105</v>
      </c>
      <c r="BL314" s="34" t="s">
        <v>110</v>
      </c>
      <c r="BM314" s="34" t="s">
        <v>118</v>
      </c>
      <c r="BN314" s="34" t="s">
        <v>108</v>
      </c>
      <c r="BO314" s="34" t="s">
        <v>120</v>
      </c>
      <c r="BP314" s="34" t="s">
        <v>109</v>
      </c>
      <c r="BQ314" s="34" t="s">
        <v>107</v>
      </c>
      <c r="BR314" s="34" t="s">
        <v>112</v>
      </c>
    </row>
    <row r="315" spans="49:70" x14ac:dyDescent="0.25">
      <c r="AW315" s="34" t="str">
        <f t="shared" si="19"/>
        <v>ABEFGHIJ</v>
      </c>
      <c r="AX315" s="34">
        <v>313</v>
      </c>
      <c r="AY315" s="34" t="s">
        <v>119</v>
      </c>
      <c r="AZ315" s="34" t="s">
        <v>117</v>
      </c>
      <c r="BC315" s="34" t="s">
        <v>97</v>
      </c>
      <c r="BD315" s="34" t="s">
        <v>98</v>
      </c>
      <c r="BE315" s="34" t="s">
        <v>99</v>
      </c>
      <c r="BF315" s="34" t="s">
        <v>100</v>
      </c>
      <c r="BG315" s="34" t="s">
        <v>101</v>
      </c>
      <c r="BH315" s="34" t="s">
        <v>102</v>
      </c>
      <c r="BK315" s="34" t="s">
        <v>109</v>
      </c>
      <c r="BL315" s="34" t="s">
        <v>106</v>
      </c>
      <c r="BM315" s="34" t="s">
        <v>118</v>
      </c>
      <c r="BN315" s="34" t="s">
        <v>108</v>
      </c>
      <c r="BO315" s="34" t="s">
        <v>120</v>
      </c>
      <c r="BP315" s="34" t="s">
        <v>110</v>
      </c>
      <c r="BQ315" s="34" t="s">
        <v>105</v>
      </c>
      <c r="BR315" s="34" t="s">
        <v>107</v>
      </c>
    </row>
    <row r="316" spans="49:70" x14ac:dyDescent="0.25">
      <c r="AW316" s="34" t="str">
        <f t="shared" si="19"/>
        <v>ABDHIJKL</v>
      </c>
      <c r="AX316" s="34">
        <v>314</v>
      </c>
      <c r="AY316" s="34" t="s">
        <v>119</v>
      </c>
      <c r="AZ316" s="34" t="s">
        <v>117</v>
      </c>
      <c r="BB316" s="34" t="s">
        <v>113</v>
      </c>
      <c r="BF316" s="34" t="s">
        <v>100</v>
      </c>
      <c r="BG316" s="34" t="s">
        <v>101</v>
      </c>
      <c r="BH316" s="34" t="s">
        <v>102</v>
      </c>
      <c r="BI316" s="34" t="s">
        <v>103</v>
      </c>
      <c r="BJ316" s="34" t="s">
        <v>104</v>
      </c>
      <c r="BK316" s="34" t="s">
        <v>107</v>
      </c>
      <c r="BL316" s="34" t="s">
        <v>106</v>
      </c>
      <c r="BM316" s="34" t="s">
        <v>118</v>
      </c>
      <c r="BN316" s="34" t="s">
        <v>114</v>
      </c>
      <c r="BO316" s="34" t="s">
        <v>120</v>
      </c>
      <c r="BP316" s="34" t="s">
        <v>109</v>
      </c>
      <c r="BQ316" s="34" t="s">
        <v>111</v>
      </c>
      <c r="BR316" s="34" t="s">
        <v>112</v>
      </c>
    </row>
    <row r="317" spans="49:70" x14ac:dyDescent="0.25">
      <c r="AW317" s="34" t="str">
        <f t="shared" si="19"/>
        <v>ABDGIJKL</v>
      </c>
      <c r="AX317" s="34">
        <v>315</v>
      </c>
      <c r="AY317" s="34" t="s">
        <v>119</v>
      </c>
      <c r="AZ317" s="34" t="s">
        <v>117</v>
      </c>
      <c r="BB317" s="34" t="s">
        <v>113</v>
      </c>
      <c r="BE317" s="34" t="s">
        <v>99</v>
      </c>
      <c r="BG317" s="34" t="s">
        <v>101</v>
      </c>
      <c r="BH317" s="34" t="s">
        <v>102</v>
      </c>
      <c r="BI317" s="34" t="s">
        <v>103</v>
      </c>
      <c r="BJ317" s="34" t="s">
        <v>104</v>
      </c>
      <c r="BK317" s="34" t="s">
        <v>107</v>
      </c>
      <c r="BL317" s="34" t="s">
        <v>106</v>
      </c>
      <c r="BM317" s="34" t="s">
        <v>118</v>
      </c>
      <c r="BN317" s="34" t="s">
        <v>114</v>
      </c>
      <c r="BO317" s="34" t="s">
        <v>120</v>
      </c>
      <c r="BP317" s="34" t="s">
        <v>110</v>
      </c>
      <c r="BQ317" s="34" t="s">
        <v>111</v>
      </c>
      <c r="BR317" s="34" t="s">
        <v>112</v>
      </c>
    </row>
    <row r="318" spans="49:70" x14ac:dyDescent="0.25">
      <c r="AW318" s="34" t="str">
        <f t="shared" si="19"/>
        <v>ABDGHJKL</v>
      </c>
      <c r="AX318" s="34">
        <v>316</v>
      </c>
      <c r="AY318" s="34" t="s">
        <v>119</v>
      </c>
      <c r="AZ318" s="34" t="s">
        <v>117</v>
      </c>
      <c r="BB318" s="34" t="s">
        <v>113</v>
      </c>
      <c r="BE318" s="34" t="s">
        <v>99</v>
      </c>
      <c r="BF318" s="34" t="s">
        <v>100</v>
      </c>
      <c r="BH318" s="34" t="s">
        <v>102</v>
      </c>
      <c r="BI318" s="34" t="s">
        <v>103</v>
      </c>
      <c r="BJ318" s="34" t="s">
        <v>104</v>
      </c>
      <c r="BK318" s="34" t="s">
        <v>109</v>
      </c>
      <c r="BL318" s="34" t="s">
        <v>106</v>
      </c>
      <c r="BM318" s="34" t="s">
        <v>118</v>
      </c>
      <c r="BN318" s="34" t="s">
        <v>114</v>
      </c>
      <c r="BO318" s="34" t="s">
        <v>120</v>
      </c>
      <c r="BP318" s="34" t="s">
        <v>110</v>
      </c>
      <c r="BQ318" s="34" t="s">
        <v>111</v>
      </c>
      <c r="BR318" s="34" t="s">
        <v>112</v>
      </c>
    </row>
    <row r="319" spans="49:70" x14ac:dyDescent="0.25">
      <c r="AW319" s="34" t="str">
        <f t="shared" si="19"/>
        <v>ABDGHIKL</v>
      </c>
      <c r="AX319" s="34">
        <v>317</v>
      </c>
      <c r="AY319" s="34" t="s">
        <v>119</v>
      </c>
      <c r="AZ319" s="34" t="s">
        <v>117</v>
      </c>
      <c r="BB319" s="34" t="s">
        <v>113</v>
      </c>
      <c r="BE319" s="34" t="s">
        <v>99</v>
      </c>
      <c r="BF319" s="34" t="s">
        <v>100</v>
      </c>
      <c r="BG319" s="34" t="s">
        <v>101</v>
      </c>
      <c r="BI319" s="34" t="s">
        <v>103</v>
      </c>
      <c r="BJ319" s="34" t="s">
        <v>104</v>
      </c>
      <c r="BK319" s="34" t="s">
        <v>107</v>
      </c>
      <c r="BL319" s="34" t="s">
        <v>110</v>
      </c>
      <c r="BM319" s="34" t="s">
        <v>118</v>
      </c>
      <c r="BN319" s="34" t="s">
        <v>114</v>
      </c>
      <c r="BO319" s="34" t="s">
        <v>120</v>
      </c>
      <c r="BP319" s="34" t="s">
        <v>109</v>
      </c>
      <c r="BQ319" s="34" t="s">
        <v>111</v>
      </c>
      <c r="BR319" s="34" t="s">
        <v>112</v>
      </c>
    </row>
    <row r="320" spans="49:70" x14ac:dyDescent="0.25">
      <c r="AW320" s="34" t="str">
        <f t="shared" si="19"/>
        <v>ABDGHIJL</v>
      </c>
      <c r="AX320" s="34">
        <v>318</v>
      </c>
      <c r="AY320" s="34" t="s">
        <v>119</v>
      </c>
      <c r="AZ320" s="34" t="s">
        <v>117</v>
      </c>
      <c r="BB320" s="34" t="s">
        <v>113</v>
      </c>
      <c r="BE320" s="34" t="s">
        <v>99</v>
      </c>
      <c r="BF320" s="34" t="s">
        <v>100</v>
      </c>
      <c r="BG320" s="34" t="s">
        <v>101</v>
      </c>
      <c r="BH320" s="34" t="s">
        <v>102</v>
      </c>
      <c r="BJ320" s="34" t="s">
        <v>104</v>
      </c>
      <c r="BK320" s="34" t="s">
        <v>109</v>
      </c>
      <c r="BL320" s="34" t="s">
        <v>106</v>
      </c>
      <c r="BM320" s="34" t="s">
        <v>118</v>
      </c>
      <c r="BN320" s="34" t="s">
        <v>114</v>
      </c>
      <c r="BO320" s="34" t="s">
        <v>120</v>
      </c>
      <c r="BP320" s="34" t="s">
        <v>110</v>
      </c>
      <c r="BQ320" s="34" t="s">
        <v>111</v>
      </c>
      <c r="BR320" s="34" t="s">
        <v>107</v>
      </c>
    </row>
    <row r="321" spans="49:70" x14ac:dyDescent="0.25">
      <c r="AW321" s="34" t="str">
        <f t="shared" si="19"/>
        <v>ABDGHIJK</v>
      </c>
      <c r="AX321" s="34">
        <v>319</v>
      </c>
      <c r="AY321" s="34" t="s">
        <v>119</v>
      </c>
      <c r="AZ321" s="34" t="s">
        <v>117</v>
      </c>
      <c r="BB321" s="34" t="s">
        <v>113</v>
      </c>
      <c r="BE321" s="34" t="s">
        <v>99</v>
      </c>
      <c r="BF321" s="34" t="s">
        <v>100</v>
      </c>
      <c r="BG321" s="34" t="s">
        <v>101</v>
      </c>
      <c r="BH321" s="34" t="s">
        <v>102</v>
      </c>
      <c r="BI321" s="34" t="s">
        <v>103</v>
      </c>
      <c r="BK321" s="34" t="s">
        <v>109</v>
      </c>
      <c r="BL321" s="34" t="s">
        <v>106</v>
      </c>
      <c r="BM321" s="34" t="s">
        <v>118</v>
      </c>
      <c r="BN321" s="34" t="s">
        <v>114</v>
      </c>
      <c r="BO321" s="34" t="s">
        <v>120</v>
      </c>
      <c r="BP321" s="34" t="s">
        <v>110</v>
      </c>
      <c r="BQ321" s="34" t="s">
        <v>107</v>
      </c>
      <c r="BR321" s="34" t="s">
        <v>112</v>
      </c>
    </row>
    <row r="322" spans="49:70" x14ac:dyDescent="0.25">
      <c r="AW322" s="34" t="str">
        <f t="shared" si="19"/>
        <v>ABDFIJKL</v>
      </c>
      <c r="AX322" s="34">
        <v>320</v>
      </c>
      <c r="AY322" s="34" t="s">
        <v>119</v>
      </c>
      <c r="AZ322" s="34" t="s">
        <v>117</v>
      </c>
      <c r="BB322" s="34" t="s">
        <v>113</v>
      </c>
      <c r="BD322" s="34" t="s">
        <v>98</v>
      </c>
      <c r="BG322" s="34" t="s">
        <v>101</v>
      </c>
      <c r="BH322" s="34" t="s">
        <v>102</v>
      </c>
      <c r="BI322" s="34" t="s">
        <v>103</v>
      </c>
      <c r="BJ322" s="34" t="s">
        <v>104</v>
      </c>
      <c r="BK322" s="34" t="s">
        <v>107</v>
      </c>
      <c r="BL322" s="34" t="s">
        <v>106</v>
      </c>
      <c r="BM322" s="34" t="s">
        <v>118</v>
      </c>
      <c r="BN322" s="34" t="s">
        <v>114</v>
      </c>
      <c r="BO322" s="34" t="s">
        <v>120</v>
      </c>
      <c r="BP322" s="34" t="s">
        <v>108</v>
      </c>
      <c r="BQ322" s="34" t="s">
        <v>111</v>
      </c>
      <c r="BR322" s="34" t="s">
        <v>112</v>
      </c>
    </row>
    <row r="323" spans="49:70" x14ac:dyDescent="0.25">
      <c r="AW323" s="34" t="str">
        <f t="shared" si="19"/>
        <v>ABDFHJKL</v>
      </c>
      <c r="AX323" s="34">
        <v>321</v>
      </c>
      <c r="AY323" s="34" t="s">
        <v>119</v>
      </c>
      <c r="AZ323" s="34" t="s">
        <v>117</v>
      </c>
      <c r="BB323" s="34" t="s">
        <v>113</v>
      </c>
      <c r="BD323" s="34" t="s">
        <v>98</v>
      </c>
      <c r="BF323" s="34" t="s">
        <v>100</v>
      </c>
      <c r="BH323" s="34" t="s">
        <v>102</v>
      </c>
      <c r="BI323" s="34" t="s">
        <v>103</v>
      </c>
      <c r="BJ323" s="34" t="s">
        <v>104</v>
      </c>
      <c r="BK323" s="34" t="s">
        <v>109</v>
      </c>
      <c r="BL323" s="34" t="s">
        <v>106</v>
      </c>
      <c r="BM323" s="34" t="s">
        <v>118</v>
      </c>
      <c r="BN323" s="34" t="s">
        <v>114</v>
      </c>
      <c r="BO323" s="34" t="s">
        <v>120</v>
      </c>
      <c r="BP323" s="34" t="s">
        <v>108</v>
      </c>
      <c r="BQ323" s="34" t="s">
        <v>111</v>
      </c>
      <c r="BR323" s="34" t="s">
        <v>112</v>
      </c>
    </row>
    <row r="324" spans="49:70" x14ac:dyDescent="0.25">
      <c r="AW324" s="34" t="str">
        <f t="shared" ref="AW324:AW387" si="20">AY324&amp;AZ324&amp;BA324&amp;BB324&amp;BC324&amp;BD324&amp;BE324&amp;BF324&amp;BG324&amp;BH324&amp;BI324&amp;BJ324</f>
        <v>ABDFHIKL</v>
      </c>
      <c r="AX324" s="34">
        <v>322</v>
      </c>
      <c r="AY324" s="34" t="s">
        <v>119</v>
      </c>
      <c r="AZ324" s="34" t="s">
        <v>117</v>
      </c>
      <c r="BB324" s="34" t="s">
        <v>113</v>
      </c>
      <c r="BD324" s="34" t="s">
        <v>98</v>
      </c>
      <c r="BF324" s="34" t="s">
        <v>100</v>
      </c>
      <c r="BG324" s="34" t="s">
        <v>101</v>
      </c>
      <c r="BI324" s="34" t="s">
        <v>103</v>
      </c>
      <c r="BJ324" s="34" t="s">
        <v>104</v>
      </c>
      <c r="BK324" s="34" t="s">
        <v>109</v>
      </c>
      <c r="BL324" s="34" t="s">
        <v>107</v>
      </c>
      <c r="BM324" s="34" t="s">
        <v>118</v>
      </c>
      <c r="BN324" s="34" t="s">
        <v>114</v>
      </c>
      <c r="BO324" s="34" t="s">
        <v>120</v>
      </c>
      <c r="BP324" s="34" t="s">
        <v>108</v>
      </c>
      <c r="BQ324" s="34" t="s">
        <v>111</v>
      </c>
      <c r="BR324" s="34" t="s">
        <v>112</v>
      </c>
    </row>
    <row r="325" spans="49:70" x14ac:dyDescent="0.25">
      <c r="AW325" s="34" t="str">
        <f t="shared" si="20"/>
        <v>ABDFHIJL</v>
      </c>
      <c r="AX325" s="34">
        <v>323</v>
      </c>
      <c r="AY325" s="34" t="s">
        <v>119</v>
      </c>
      <c r="AZ325" s="34" t="s">
        <v>117</v>
      </c>
      <c r="BB325" s="34" t="s">
        <v>113</v>
      </c>
      <c r="BD325" s="34" t="s">
        <v>98</v>
      </c>
      <c r="BF325" s="34" t="s">
        <v>100</v>
      </c>
      <c r="BG325" s="34" t="s">
        <v>101</v>
      </c>
      <c r="BH325" s="34" t="s">
        <v>102</v>
      </c>
      <c r="BJ325" s="34" t="s">
        <v>104</v>
      </c>
      <c r="BK325" s="34" t="s">
        <v>109</v>
      </c>
      <c r="BL325" s="34" t="s">
        <v>106</v>
      </c>
      <c r="BM325" s="34" t="s">
        <v>118</v>
      </c>
      <c r="BN325" s="34" t="s">
        <v>114</v>
      </c>
      <c r="BO325" s="34" t="s">
        <v>120</v>
      </c>
      <c r="BP325" s="34" t="s">
        <v>108</v>
      </c>
      <c r="BQ325" s="34" t="s">
        <v>111</v>
      </c>
      <c r="BR325" s="34" t="s">
        <v>107</v>
      </c>
    </row>
    <row r="326" spans="49:70" x14ac:dyDescent="0.25">
      <c r="AW326" s="34" t="str">
        <f t="shared" si="20"/>
        <v>ABDFHIJK</v>
      </c>
      <c r="AX326" s="34">
        <v>324</v>
      </c>
      <c r="AY326" s="34" t="s">
        <v>119</v>
      </c>
      <c r="AZ326" s="34" t="s">
        <v>117</v>
      </c>
      <c r="BB326" s="34" t="s">
        <v>113</v>
      </c>
      <c r="BD326" s="34" t="s">
        <v>98</v>
      </c>
      <c r="BF326" s="34" t="s">
        <v>100</v>
      </c>
      <c r="BG326" s="34" t="s">
        <v>101</v>
      </c>
      <c r="BH326" s="34" t="s">
        <v>102</v>
      </c>
      <c r="BI326" s="34" t="s">
        <v>103</v>
      </c>
      <c r="BK326" s="34" t="s">
        <v>109</v>
      </c>
      <c r="BL326" s="34" t="s">
        <v>106</v>
      </c>
      <c r="BM326" s="34" t="s">
        <v>118</v>
      </c>
      <c r="BN326" s="34" t="s">
        <v>114</v>
      </c>
      <c r="BO326" s="34" t="s">
        <v>120</v>
      </c>
      <c r="BP326" s="34" t="s">
        <v>108</v>
      </c>
      <c r="BQ326" s="34" t="s">
        <v>107</v>
      </c>
      <c r="BR326" s="34" t="s">
        <v>112</v>
      </c>
    </row>
    <row r="327" spans="49:70" x14ac:dyDescent="0.25">
      <c r="AW327" s="34" t="str">
        <f t="shared" si="20"/>
        <v>ABDFGJKL</v>
      </c>
      <c r="AX327" s="34">
        <v>325</v>
      </c>
      <c r="AY327" s="34" t="s">
        <v>119</v>
      </c>
      <c r="AZ327" s="34" t="s">
        <v>117</v>
      </c>
      <c r="BB327" s="34" t="s">
        <v>113</v>
      </c>
      <c r="BD327" s="34" t="s">
        <v>98</v>
      </c>
      <c r="BE327" s="34" t="s">
        <v>99</v>
      </c>
      <c r="BH327" s="34" t="s">
        <v>102</v>
      </c>
      <c r="BI327" s="34" t="s">
        <v>103</v>
      </c>
      <c r="BJ327" s="34" t="s">
        <v>104</v>
      </c>
      <c r="BK327" s="34" t="s">
        <v>108</v>
      </c>
      <c r="BL327" s="34" t="s">
        <v>106</v>
      </c>
      <c r="BM327" s="34" t="s">
        <v>118</v>
      </c>
      <c r="BN327" s="34" t="s">
        <v>114</v>
      </c>
      <c r="BO327" s="34" t="s">
        <v>120</v>
      </c>
      <c r="BP327" s="34" t="s">
        <v>110</v>
      </c>
      <c r="BQ327" s="34" t="s">
        <v>111</v>
      </c>
      <c r="BR327" s="34" t="s">
        <v>112</v>
      </c>
    </row>
    <row r="328" spans="49:70" x14ac:dyDescent="0.25">
      <c r="AW328" s="34" t="str">
        <f t="shared" si="20"/>
        <v>ABDFGIKL</v>
      </c>
      <c r="AX328" s="34">
        <v>326</v>
      </c>
      <c r="AY328" s="34" t="s">
        <v>119</v>
      </c>
      <c r="AZ328" s="34" t="s">
        <v>117</v>
      </c>
      <c r="BB328" s="34" t="s">
        <v>113</v>
      </c>
      <c r="BD328" s="34" t="s">
        <v>98</v>
      </c>
      <c r="BE328" s="34" t="s">
        <v>99</v>
      </c>
      <c r="BG328" s="34" t="s">
        <v>101</v>
      </c>
      <c r="BI328" s="34" t="s">
        <v>103</v>
      </c>
      <c r="BJ328" s="34" t="s">
        <v>104</v>
      </c>
      <c r="BK328" s="34" t="s">
        <v>107</v>
      </c>
      <c r="BL328" s="34" t="s">
        <v>110</v>
      </c>
      <c r="BM328" s="34" t="s">
        <v>118</v>
      </c>
      <c r="BN328" s="34" t="s">
        <v>114</v>
      </c>
      <c r="BO328" s="34" t="s">
        <v>120</v>
      </c>
      <c r="BP328" s="34" t="s">
        <v>108</v>
      </c>
      <c r="BQ328" s="34" t="s">
        <v>111</v>
      </c>
      <c r="BR328" s="34" t="s">
        <v>112</v>
      </c>
    </row>
    <row r="329" spans="49:70" x14ac:dyDescent="0.25">
      <c r="AW329" s="34" t="str">
        <f t="shared" si="20"/>
        <v>ABDFGIJL</v>
      </c>
      <c r="AX329" s="34">
        <v>327</v>
      </c>
      <c r="AY329" s="34" t="s">
        <v>119</v>
      </c>
      <c r="AZ329" s="34" t="s">
        <v>117</v>
      </c>
      <c r="BB329" s="34" t="s">
        <v>113</v>
      </c>
      <c r="BD329" s="34" t="s">
        <v>98</v>
      </c>
      <c r="BE329" s="34" t="s">
        <v>99</v>
      </c>
      <c r="BG329" s="34" t="s">
        <v>101</v>
      </c>
      <c r="BH329" s="34" t="s">
        <v>102</v>
      </c>
      <c r="BJ329" s="34" t="s">
        <v>104</v>
      </c>
      <c r="BK329" s="34" t="s">
        <v>108</v>
      </c>
      <c r="BL329" s="34" t="s">
        <v>106</v>
      </c>
      <c r="BM329" s="34" t="s">
        <v>118</v>
      </c>
      <c r="BN329" s="34" t="s">
        <v>114</v>
      </c>
      <c r="BO329" s="34" t="s">
        <v>120</v>
      </c>
      <c r="BP329" s="34" t="s">
        <v>110</v>
      </c>
      <c r="BQ329" s="34" t="s">
        <v>111</v>
      </c>
      <c r="BR329" s="34" t="s">
        <v>107</v>
      </c>
    </row>
    <row r="330" spans="49:70" x14ac:dyDescent="0.25">
      <c r="AW330" s="34" t="str">
        <f t="shared" si="20"/>
        <v>ABDFGIJK</v>
      </c>
      <c r="AX330" s="34">
        <v>328</v>
      </c>
      <c r="AY330" s="34" t="s">
        <v>119</v>
      </c>
      <c r="AZ330" s="34" t="s">
        <v>117</v>
      </c>
      <c r="BB330" s="34" t="s">
        <v>113</v>
      </c>
      <c r="BD330" s="34" t="s">
        <v>98</v>
      </c>
      <c r="BE330" s="34" t="s">
        <v>99</v>
      </c>
      <c r="BG330" s="34" t="s">
        <v>101</v>
      </c>
      <c r="BH330" s="34" t="s">
        <v>102</v>
      </c>
      <c r="BI330" s="34" t="s">
        <v>103</v>
      </c>
      <c r="BK330" s="34" t="s">
        <v>108</v>
      </c>
      <c r="BL330" s="34" t="s">
        <v>106</v>
      </c>
      <c r="BM330" s="34" t="s">
        <v>118</v>
      </c>
      <c r="BN330" s="34" t="s">
        <v>114</v>
      </c>
      <c r="BO330" s="34" t="s">
        <v>120</v>
      </c>
      <c r="BP330" s="34" t="s">
        <v>110</v>
      </c>
      <c r="BQ330" s="34" t="s">
        <v>107</v>
      </c>
      <c r="BR330" s="34" t="s">
        <v>112</v>
      </c>
    </row>
    <row r="331" spans="49:70" x14ac:dyDescent="0.25">
      <c r="AW331" s="34" t="str">
        <f t="shared" si="20"/>
        <v>ABDFGHKL</v>
      </c>
      <c r="AX331" s="34">
        <v>329</v>
      </c>
      <c r="AY331" s="34" t="s">
        <v>119</v>
      </c>
      <c r="AZ331" s="34" t="s">
        <v>117</v>
      </c>
      <c r="BB331" s="34" t="s">
        <v>113</v>
      </c>
      <c r="BD331" s="34" t="s">
        <v>98</v>
      </c>
      <c r="BE331" s="34" t="s">
        <v>99</v>
      </c>
      <c r="BF331" s="34" t="s">
        <v>100</v>
      </c>
      <c r="BI331" s="34" t="s">
        <v>103</v>
      </c>
      <c r="BJ331" s="34" t="s">
        <v>104</v>
      </c>
      <c r="BK331" s="34" t="s">
        <v>109</v>
      </c>
      <c r="BL331" s="34" t="s">
        <v>110</v>
      </c>
      <c r="BM331" s="34" t="s">
        <v>118</v>
      </c>
      <c r="BN331" s="34" t="s">
        <v>114</v>
      </c>
      <c r="BO331" s="34" t="s">
        <v>120</v>
      </c>
      <c r="BP331" s="34" t="s">
        <v>108</v>
      </c>
      <c r="BQ331" s="34" t="s">
        <v>111</v>
      </c>
      <c r="BR331" s="34" t="s">
        <v>112</v>
      </c>
    </row>
    <row r="332" spans="49:70" x14ac:dyDescent="0.25">
      <c r="AW332" s="34" t="str">
        <f t="shared" si="20"/>
        <v>ABDFGHJL</v>
      </c>
      <c r="AX332" s="34">
        <v>330</v>
      </c>
      <c r="AY332" s="34" t="s">
        <v>119</v>
      </c>
      <c r="AZ332" s="34" t="s">
        <v>117</v>
      </c>
      <c r="BB332" s="34" t="s">
        <v>113</v>
      </c>
      <c r="BD332" s="34" t="s">
        <v>98</v>
      </c>
      <c r="BE332" s="34" t="s">
        <v>99</v>
      </c>
      <c r="BF332" s="34" t="s">
        <v>100</v>
      </c>
      <c r="BH332" s="34" t="s">
        <v>102</v>
      </c>
      <c r="BJ332" s="34" t="s">
        <v>104</v>
      </c>
      <c r="BK332" s="34" t="s">
        <v>109</v>
      </c>
      <c r="BL332" s="34" t="s">
        <v>110</v>
      </c>
      <c r="BM332" s="34" t="s">
        <v>118</v>
      </c>
      <c r="BN332" s="34" t="s">
        <v>114</v>
      </c>
      <c r="BO332" s="34" t="s">
        <v>120</v>
      </c>
      <c r="BP332" s="34" t="s">
        <v>108</v>
      </c>
      <c r="BQ332" s="34" t="s">
        <v>111</v>
      </c>
      <c r="BR332" s="34" t="s">
        <v>106</v>
      </c>
    </row>
    <row r="333" spans="49:70" x14ac:dyDescent="0.25">
      <c r="AW333" s="34" t="str">
        <f t="shared" si="20"/>
        <v>ABDFGHJK</v>
      </c>
      <c r="AX333" s="34">
        <v>331</v>
      </c>
      <c r="AY333" s="34" t="s">
        <v>119</v>
      </c>
      <c r="AZ333" s="34" t="s">
        <v>117</v>
      </c>
      <c r="BB333" s="34" t="s">
        <v>113</v>
      </c>
      <c r="BD333" s="34" t="s">
        <v>98</v>
      </c>
      <c r="BE333" s="34" t="s">
        <v>99</v>
      </c>
      <c r="BF333" s="34" t="s">
        <v>100</v>
      </c>
      <c r="BH333" s="34" t="s">
        <v>102</v>
      </c>
      <c r="BI333" s="34" t="s">
        <v>103</v>
      </c>
      <c r="BK333" s="34" t="s">
        <v>109</v>
      </c>
      <c r="BL333" s="34" t="s">
        <v>110</v>
      </c>
      <c r="BM333" s="34" t="s">
        <v>118</v>
      </c>
      <c r="BN333" s="34" t="s">
        <v>114</v>
      </c>
      <c r="BO333" s="34" t="s">
        <v>120</v>
      </c>
      <c r="BP333" s="34" t="s">
        <v>108</v>
      </c>
      <c r="BQ333" s="34" t="s">
        <v>106</v>
      </c>
      <c r="BR333" s="34" t="s">
        <v>112</v>
      </c>
    </row>
    <row r="334" spans="49:70" x14ac:dyDescent="0.25">
      <c r="AW334" s="34" t="str">
        <f t="shared" si="20"/>
        <v>ABDFGHIL</v>
      </c>
      <c r="AX334" s="34">
        <v>332</v>
      </c>
      <c r="AY334" s="34" t="s">
        <v>119</v>
      </c>
      <c r="AZ334" s="34" t="s">
        <v>117</v>
      </c>
      <c r="BB334" s="34" t="s">
        <v>113</v>
      </c>
      <c r="BD334" s="34" t="s">
        <v>98</v>
      </c>
      <c r="BE334" s="34" t="s">
        <v>99</v>
      </c>
      <c r="BF334" s="34" t="s">
        <v>100</v>
      </c>
      <c r="BG334" s="34" t="s">
        <v>101</v>
      </c>
      <c r="BJ334" s="34" t="s">
        <v>104</v>
      </c>
      <c r="BK334" s="34" t="s">
        <v>109</v>
      </c>
      <c r="BL334" s="34" t="s">
        <v>110</v>
      </c>
      <c r="BM334" s="34" t="s">
        <v>118</v>
      </c>
      <c r="BN334" s="34" t="s">
        <v>114</v>
      </c>
      <c r="BO334" s="34" t="s">
        <v>120</v>
      </c>
      <c r="BP334" s="34" t="s">
        <v>108</v>
      </c>
      <c r="BQ334" s="34" t="s">
        <v>111</v>
      </c>
      <c r="BR334" s="34" t="s">
        <v>107</v>
      </c>
    </row>
    <row r="335" spans="49:70" x14ac:dyDescent="0.25">
      <c r="AW335" s="34" t="str">
        <f t="shared" si="20"/>
        <v>ABDFGHIK</v>
      </c>
      <c r="AX335" s="34">
        <v>333</v>
      </c>
      <c r="AY335" s="34" t="s">
        <v>119</v>
      </c>
      <c r="AZ335" s="34" t="s">
        <v>117</v>
      </c>
      <c r="BB335" s="34" t="s">
        <v>113</v>
      </c>
      <c r="BD335" s="34" t="s">
        <v>98</v>
      </c>
      <c r="BE335" s="34" t="s">
        <v>99</v>
      </c>
      <c r="BF335" s="34" t="s">
        <v>100</v>
      </c>
      <c r="BG335" s="34" t="s">
        <v>101</v>
      </c>
      <c r="BI335" s="34" t="s">
        <v>103</v>
      </c>
      <c r="BK335" s="34" t="s">
        <v>109</v>
      </c>
      <c r="BL335" s="34" t="s">
        <v>110</v>
      </c>
      <c r="BM335" s="34" t="s">
        <v>118</v>
      </c>
      <c r="BN335" s="34" t="s">
        <v>114</v>
      </c>
      <c r="BO335" s="34" t="s">
        <v>120</v>
      </c>
      <c r="BP335" s="34" t="s">
        <v>108</v>
      </c>
      <c r="BQ335" s="34" t="s">
        <v>107</v>
      </c>
      <c r="BR335" s="34" t="s">
        <v>112</v>
      </c>
    </row>
    <row r="336" spans="49:70" x14ac:dyDescent="0.25">
      <c r="AW336" s="34" t="str">
        <f t="shared" si="20"/>
        <v>ABDFGHIJ</v>
      </c>
      <c r="AX336" s="34">
        <v>334</v>
      </c>
      <c r="AY336" s="34" t="s">
        <v>119</v>
      </c>
      <c r="AZ336" s="34" t="s">
        <v>117</v>
      </c>
      <c r="BB336" s="34" t="s">
        <v>113</v>
      </c>
      <c r="BD336" s="34" t="s">
        <v>98</v>
      </c>
      <c r="BE336" s="34" t="s">
        <v>99</v>
      </c>
      <c r="BF336" s="34" t="s">
        <v>100</v>
      </c>
      <c r="BG336" s="34" t="s">
        <v>101</v>
      </c>
      <c r="BH336" s="34" t="s">
        <v>102</v>
      </c>
      <c r="BK336" s="34" t="s">
        <v>109</v>
      </c>
      <c r="BL336" s="34" t="s">
        <v>110</v>
      </c>
      <c r="BM336" s="34" t="s">
        <v>118</v>
      </c>
      <c r="BN336" s="34" t="s">
        <v>114</v>
      </c>
      <c r="BO336" s="34" t="s">
        <v>120</v>
      </c>
      <c r="BP336" s="34" t="s">
        <v>108</v>
      </c>
      <c r="BQ336" s="34" t="s">
        <v>107</v>
      </c>
      <c r="BR336" s="34" t="s">
        <v>106</v>
      </c>
    </row>
    <row r="337" spans="49:70" x14ac:dyDescent="0.25">
      <c r="AW337" s="34" t="str">
        <f t="shared" si="20"/>
        <v>ABDEIJKL</v>
      </c>
      <c r="AX337" s="34">
        <v>335</v>
      </c>
      <c r="AY337" s="34" t="s">
        <v>119</v>
      </c>
      <c r="AZ337" s="34" t="s">
        <v>117</v>
      </c>
      <c r="BB337" s="34" t="s">
        <v>113</v>
      </c>
      <c r="BC337" s="34" t="s">
        <v>97</v>
      </c>
      <c r="BG337" s="34" t="s">
        <v>101</v>
      </c>
      <c r="BH337" s="34" t="s">
        <v>102</v>
      </c>
      <c r="BI337" s="34" t="s">
        <v>103</v>
      </c>
      <c r="BJ337" s="34" t="s">
        <v>104</v>
      </c>
      <c r="BK337" s="34" t="s">
        <v>105</v>
      </c>
      <c r="BL337" s="34" t="s">
        <v>106</v>
      </c>
      <c r="BM337" s="34" t="s">
        <v>118</v>
      </c>
      <c r="BN337" s="34" t="s">
        <v>120</v>
      </c>
      <c r="BO337" s="34" t="s">
        <v>107</v>
      </c>
      <c r="BP337" s="34" t="s">
        <v>114</v>
      </c>
      <c r="BQ337" s="34" t="s">
        <v>111</v>
      </c>
      <c r="BR337" s="34" t="s">
        <v>112</v>
      </c>
    </row>
    <row r="338" spans="49:70" x14ac:dyDescent="0.25">
      <c r="AW338" s="34" t="str">
        <f t="shared" si="20"/>
        <v>ABDEHJKL</v>
      </c>
      <c r="AX338" s="34">
        <v>336</v>
      </c>
      <c r="AY338" s="34" t="s">
        <v>119</v>
      </c>
      <c r="AZ338" s="34" t="s">
        <v>117</v>
      </c>
      <c r="BB338" s="34" t="s">
        <v>113</v>
      </c>
      <c r="BC338" s="34" t="s">
        <v>97</v>
      </c>
      <c r="BF338" s="34" t="s">
        <v>100</v>
      </c>
      <c r="BH338" s="34" t="s">
        <v>102</v>
      </c>
      <c r="BI338" s="34" t="s">
        <v>103</v>
      </c>
      <c r="BJ338" s="34" t="s">
        <v>104</v>
      </c>
      <c r="BK338" s="34" t="s">
        <v>105</v>
      </c>
      <c r="BL338" s="34" t="s">
        <v>106</v>
      </c>
      <c r="BM338" s="34" t="s">
        <v>118</v>
      </c>
      <c r="BN338" s="34" t="s">
        <v>114</v>
      </c>
      <c r="BO338" s="34" t="s">
        <v>120</v>
      </c>
      <c r="BP338" s="34" t="s">
        <v>109</v>
      </c>
      <c r="BQ338" s="34" t="s">
        <v>111</v>
      </c>
      <c r="BR338" s="34" t="s">
        <v>112</v>
      </c>
    </row>
    <row r="339" spans="49:70" x14ac:dyDescent="0.25">
      <c r="AW339" s="34" t="str">
        <f t="shared" si="20"/>
        <v>ABDEHIKL</v>
      </c>
      <c r="AX339" s="34">
        <v>337</v>
      </c>
      <c r="AY339" s="34" t="s">
        <v>119</v>
      </c>
      <c r="AZ339" s="34" t="s">
        <v>117</v>
      </c>
      <c r="BB339" s="34" t="s">
        <v>113</v>
      </c>
      <c r="BC339" s="34" t="s">
        <v>97</v>
      </c>
      <c r="BF339" s="34" t="s">
        <v>100</v>
      </c>
      <c r="BG339" s="34" t="s">
        <v>101</v>
      </c>
      <c r="BI339" s="34" t="s">
        <v>103</v>
      </c>
      <c r="BJ339" s="34" t="s">
        <v>104</v>
      </c>
      <c r="BK339" s="34" t="s">
        <v>105</v>
      </c>
      <c r="BL339" s="34" t="s">
        <v>107</v>
      </c>
      <c r="BM339" s="34" t="s">
        <v>118</v>
      </c>
      <c r="BN339" s="34" t="s">
        <v>114</v>
      </c>
      <c r="BO339" s="34" t="s">
        <v>120</v>
      </c>
      <c r="BP339" s="34" t="s">
        <v>109</v>
      </c>
      <c r="BQ339" s="34" t="s">
        <v>111</v>
      </c>
      <c r="BR339" s="34" t="s">
        <v>112</v>
      </c>
    </row>
    <row r="340" spans="49:70" x14ac:dyDescent="0.25">
      <c r="AW340" s="34" t="str">
        <f t="shared" si="20"/>
        <v>ABDEHIJL</v>
      </c>
      <c r="AX340" s="34">
        <v>338</v>
      </c>
      <c r="AY340" s="34" t="s">
        <v>119</v>
      </c>
      <c r="AZ340" s="34" t="s">
        <v>117</v>
      </c>
      <c r="BB340" s="34" t="s">
        <v>113</v>
      </c>
      <c r="BC340" s="34" t="s">
        <v>97</v>
      </c>
      <c r="BF340" s="34" t="s">
        <v>100</v>
      </c>
      <c r="BG340" s="34" t="s">
        <v>101</v>
      </c>
      <c r="BH340" s="34" t="s">
        <v>102</v>
      </c>
      <c r="BJ340" s="34" t="s">
        <v>104</v>
      </c>
      <c r="BK340" s="34" t="s">
        <v>105</v>
      </c>
      <c r="BL340" s="34" t="s">
        <v>106</v>
      </c>
      <c r="BM340" s="34" t="s">
        <v>118</v>
      </c>
      <c r="BN340" s="34" t="s">
        <v>114</v>
      </c>
      <c r="BO340" s="34" t="s">
        <v>120</v>
      </c>
      <c r="BP340" s="34" t="s">
        <v>109</v>
      </c>
      <c r="BQ340" s="34" t="s">
        <v>111</v>
      </c>
      <c r="BR340" s="34" t="s">
        <v>107</v>
      </c>
    </row>
    <row r="341" spans="49:70" x14ac:dyDescent="0.25">
      <c r="AW341" s="34" t="str">
        <f t="shared" si="20"/>
        <v>ABDEHIJK</v>
      </c>
      <c r="AX341" s="34">
        <v>339</v>
      </c>
      <c r="AY341" s="34" t="s">
        <v>119</v>
      </c>
      <c r="AZ341" s="34" t="s">
        <v>117</v>
      </c>
      <c r="BB341" s="34" t="s">
        <v>113</v>
      </c>
      <c r="BC341" s="34" t="s">
        <v>97</v>
      </c>
      <c r="BF341" s="34" t="s">
        <v>100</v>
      </c>
      <c r="BG341" s="34" t="s">
        <v>101</v>
      </c>
      <c r="BH341" s="34" t="s">
        <v>102</v>
      </c>
      <c r="BI341" s="34" t="s">
        <v>103</v>
      </c>
      <c r="BK341" s="34" t="s">
        <v>105</v>
      </c>
      <c r="BL341" s="34" t="s">
        <v>106</v>
      </c>
      <c r="BM341" s="34" t="s">
        <v>118</v>
      </c>
      <c r="BN341" s="34" t="s">
        <v>114</v>
      </c>
      <c r="BO341" s="34" t="s">
        <v>120</v>
      </c>
      <c r="BP341" s="34" t="s">
        <v>109</v>
      </c>
      <c r="BQ341" s="34" t="s">
        <v>107</v>
      </c>
      <c r="BR341" s="34" t="s">
        <v>112</v>
      </c>
    </row>
    <row r="342" spans="49:70" x14ac:dyDescent="0.25">
      <c r="AW342" s="34" t="str">
        <f t="shared" si="20"/>
        <v>ABDEGJKL</v>
      </c>
      <c r="AX342" s="34">
        <v>340</v>
      </c>
      <c r="AY342" s="34" t="s">
        <v>119</v>
      </c>
      <c r="AZ342" s="34" t="s">
        <v>117</v>
      </c>
      <c r="BB342" s="34" t="s">
        <v>113</v>
      </c>
      <c r="BC342" s="34" t="s">
        <v>97</v>
      </c>
      <c r="BE342" s="34" t="s">
        <v>99</v>
      </c>
      <c r="BH342" s="34" t="s">
        <v>102</v>
      </c>
      <c r="BI342" s="34" t="s">
        <v>103</v>
      </c>
      <c r="BJ342" s="34" t="s">
        <v>104</v>
      </c>
      <c r="BK342" s="34" t="s">
        <v>105</v>
      </c>
      <c r="BL342" s="34" t="s">
        <v>106</v>
      </c>
      <c r="BM342" s="34" t="s">
        <v>118</v>
      </c>
      <c r="BN342" s="34" t="s">
        <v>114</v>
      </c>
      <c r="BO342" s="34" t="s">
        <v>120</v>
      </c>
      <c r="BP342" s="34" t="s">
        <v>110</v>
      </c>
      <c r="BQ342" s="34" t="s">
        <v>111</v>
      </c>
      <c r="BR342" s="34" t="s">
        <v>112</v>
      </c>
    </row>
    <row r="343" spans="49:70" x14ac:dyDescent="0.25">
      <c r="AW343" s="34" t="str">
        <f t="shared" si="20"/>
        <v>ABDEGIKL</v>
      </c>
      <c r="AX343" s="34">
        <v>341</v>
      </c>
      <c r="AY343" s="34" t="s">
        <v>119</v>
      </c>
      <c r="AZ343" s="34" t="s">
        <v>117</v>
      </c>
      <c r="BB343" s="34" t="s">
        <v>113</v>
      </c>
      <c r="BC343" s="34" t="s">
        <v>97</v>
      </c>
      <c r="BE343" s="34" t="s">
        <v>99</v>
      </c>
      <c r="BG343" s="34" t="s">
        <v>101</v>
      </c>
      <c r="BI343" s="34" t="s">
        <v>103</v>
      </c>
      <c r="BJ343" s="34" t="s">
        <v>104</v>
      </c>
      <c r="BK343" s="34" t="s">
        <v>105</v>
      </c>
      <c r="BL343" s="34" t="s">
        <v>110</v>
      </c>
      <c r="BM343" s="34" t="s">
        <v>118</v>
      </c>
      <c r="BN343" s="34" t="s">
        <v>120</v>
      </c>
      <c r="BO343" s="34" t="s">
        <v>107</v>
      </c>
      <c r="BP343" s="34" t="s">
        <v>114</v>
      </c>
      <c r="BQ343" s="34" t="s">
        <v>111</v>
      </c>
      <c r="BR343" s="34" t="s">
        <v>112</v>
      </c>
    </row>
    <row r="344" spans="49:70" x14ac:dyDescent="0.25">
      <c r="AW344" s="34" t="str">
        <f t="shared" si="20"/>
        <v>ABDEGIJL</v>
      </c>
      <c r="AX344" s="34">
        <v>342</v>
      </c>
      <c r="AY344" s="34" t="s">
        <v>119</v>
      </c>
      <c r="AZ344" s="34" t="s">
        <v>117</v>
      </c>
      <c r="BB344" s="34" t="s">
        <v>113</v>
      </c>
      <c r="BC344" s="34" t="s">
        <v>97</v>
      </c>
      <c r="BE344" s="34" t="s">
        <v>99</v>
      </c>
      <c r="BG344" s="34" t="s">
        <v>101</v>
      </c>
      <c r="BH344" s="34" t="s">
        <v>102</v>
      </c>
      <c r="BJ344" s="34" t="s">
        <v>104</v>
      </c>
      <c r="BK344" s="34" t="s">
        <v>105</v>
      </c>
      <c r="BL344" s="34" t="s">
        <v>106</v>
      </c>
      <c r="BM344" s="34" t="s">
        <v>118</v>
      </c>
      <c r="BN344" s="34" t="s">
        <v>114</v>
      </c>
      <c r="BO344" s="34" t="s">
        <v>120</v>
      </c>
      <c r="BP344" s="34" t="s">
        <v>110</v>
      </c>
      <c r="BQ344" s="34" t="s">
        <v>111</v>
      </c>
      <c r="BR344" s="34" t="s">
        <v>107</v>
      </c>
    </row>
    <row r="345" spans="49:70" x14ac:dyDescent="0.25">
      <c r="AW345" s="34" t="str">
        <f t="shared" si="20"/>
        <v>ABDEGIJK</v>
      </c>
      <c r="AX345" s="34">
        <v>343</v>
      </c>
      <c r="AY345" s="34" t="s">
        <v>119</v>
      </c>
      <c r="AZ345" s="34" t="s">
        <v>117</v>
      </c>
      <c r="BB345" s="34" t="s">
        <v>113</v>
      </c>
      <c r="BC345" s="34" t="s">
        <v>97</v>
      </c>
      <c r="BE345" s="34" t="s">
        <v>99</v>
      </c>
      <c r="BG345" s="34" t="s">
        <v>101</v>
      </c>
      <c r="BH345" s="34" t="s">
        <v>102</v>
      </c>
      <c r="BI345" s="34" t="s">
        <v>103</v>
      </c>
      <c r="BK345" s="34" t="s">
        <v>105</v>
      </c>
      <c r="BL345" s="34" t="s">
        <v>106</v>
      </c>
      <c r="BM345" s="34" t="s">
        <v>118</v>
      </c>
      <c r="BN345" s="34" t="s">
        <v>114</v>
      </c>
      <c r="BO345" s="34" t="s">
        <v>120</v>
      </c>
      <c r="BP345" s="34" t="s">
        <v>110</v>
      </c>
      <c r="BQ345" s="34" t="s">
        <v>107</v>
      </c>
      <c r="BR345" s="34" t="s">
        <v>112</v>
      </c>
    </row>
    <row r="346" spans="49:70" x14ac:dyDescent="0.25">
      <c r="AW346" s="34" t="str">
        <f t="shared" si="20"/>
        <v>ABDEGHKL</v>
      </c>
      <c r="AX346" s="34">
        <v>344</v>
      </c>
      <c r="AY346" s="34" t="s">
        <v>119</v>
      </c>
      <c r="AZ346" s="34" t="s">
        <v>117</v>
      </c>
      <c r="BB346" s="34" t="s">
        <v>113</v>
      </c>
      <c r="BC346" s="34" t="s">
        <v>97</v>
      </c>
      <c r="BE346" s="34" t="s">
        <v>99</v>
      </c>
      <c r="BF346" s="34" t="s">
        <v>100</v>
      </c>
      <c r="BI346" s="34" t="s">
        <v>103</v>
      </c>
      <c r="BJ346" s="34" t="s">
        <v>104</v>
      </c>
      <c r="BK346" s="34" t="s">
        <v>105</v>
      </c>
      <c r="BL346" s="34" t="s">
        <v>110</v>
      </c>
      <c r="BM346" s="34" t="s">
        <v>118</v>
      </c>
      <c r="BN346" s="34" t="s">
        <v>114</v>
      </c>
      <c r="BO346" s="34" t="s">
        <v>120</v>
      </c>
      <c r="BP346" s="34" t="s">
        <v>109</v>
      </c>
      <c r="BQ346" s="34" t="s">
        <v>111</v>
      </c>
      <c r="BR346" s="34" t="s">
        <v>112</v>
      </c>
    </row>
    <row r="347" spans="49:70" x14ac:dyDescent="0.25">
      <c r="AW347" s="34" t="str">
        <f t="shared" si="20"/>
        <v>ABDEGHJL</v>
      </c>
      <c r="AX347" s="34">
        <v>345</v>
      </c>
      <c r="AY347" s="34" t="s">
        <v>119</v>
      </c>
      <c r="AZ347" s="34" t="s">
        <v>117</v>
      </c>
      <c r="BB347" s="34" t="s">
        <v>113</v>
      </c>
      <c r="BC347" s="34" t="s">
        <v>97</v>
      </c>
      <c r="BE347" s="34" t="s">
        <v>99</v>
      </c>
      <c r="BF347" s="34" t="s">
        <v>100</v>
      </c>
      <c r="BH347" s="34" t="s">
        <v>102</v>
      </c>
      <c r="BJ347" s="34" t="s">
        <v>104</v>
      </c>
      <c r="BK347" s="34" t="s">
        <v>109</v>
      </c>
      <c r="BL347" s="34" t="s">
        <v>106</v>
      </c>
      <c r="BM347" s="34" t="s">
        <v>118</v>
      </c>
      <c r="BN347" s="34" t="s">
        <v>114</v>
      </c>
      <c r="BO347" s="34" t="s">
        <v>120</v>
      </c>
      <c r="BP347" s="34" t="s">
        <v>110</v>
      </c>
      <c r="BQ347" s="34" t="s">
        <v>111</v>
      </c>
      <c r="BR347" s="34" t="s">
        <v>105</v>
      </c>
    </row>
    <row r="348" spans="49:70" x14ac:dyDescent="0.25">
      <c r="AW348" s="34" t="str">
        <f t="shared" si="20"/>
        <v>ABDEGHJK</v>
      </c>
      <c r="AX348" s="34">
        <v>346</v>
      </c>
      <c r="AY348" s="34" t="s">
        <v>119</v>
      </c>
      <c r="AZ348" s="34" t="s">
        <v>117</v>
      </c>
      <c r="BB348" s="34" t="s">
        <v>113</v>
      </c>
      <c r="BC348" s="34" t="s">
        <v>97</v>
      </c>
      <c r="BE348" s="34" t="s">
        <v>99</v>
      </c>
      <c r="BF348" s="34" t="s">
        <v>100</v>
      </c>
      <c r="BH348" s="34" t="s">
        <v>102</v>
      </c>
      <c r="BI348" s="34" t="s">
        <v>103</v>
      </c>
      <c r="BK348" s="34" t="s">
        <v>109</v>
      </c>
      <c r="BL348" s="34" t="s">
        <v>106</v>
      </c>
      <c r="BM348" s="34" t="s">
        <v>118</v>
      </c>
      <c r="BN348" s="34" t="s">
        <v>114</v>
      </c>
      <c r="BO348" s="34" t="s">
        <v>120</v>
      </c>
      <c r="BP348" s="34" t="s">
        <v>110</v>
      </c>
      <c r="BQ348" s="34" t="s">
        <v>105</v>
      </c>
      <c r="BR348" s="34" t="s">
        <v>112</v>
      </c>
    </row>
    <row r="349" spans="49:70" x14ac:dyDescent="0.25">
      <c r="AW349" s="34" t="str">
        <f t="shared" si="20"/>
        <v>ABDEGHIL</v>
      </c>
      <c r="AX349" s="34">
        <v>347</v>
      </c>
      <c r="AY349" s="34" t="s">
        <v>119</v>
      </c>
      <c r="AZ349" s="34" t="s">
        <v>117</v>
      </c>
      <c r="BB349" s="34" t="s">
        <v>113</v>
      </c>
      <c r="BC349" s="34" t="s">
        <v>97</v>
      </c>
      <c r="BE349" s="34" t="s">
        <v>99</v>
      </c>
      <c r="BF349" s="34" t="s">
        <v>100</v>
      </c>
      <c r="BG349" s="34" t="s">
        <v>101</v>
      </c>
      <c r="BJ349" s="34" t="s">
        <v>104</v>
      </c>
      <c r="BK349" s="34" t="s">
        <v>105</v>
      </c>
      <c r="BL349" s="34" t="s">
        <v>110</v>
      </c>
      <c r="BM349" s="34" t="s">
        <v>118</v>
      </c>
      <c r="BN349" s="34" t="s">
        <v>114</v>
      </c>
      <c r="BO349" s="34" t="s">
        <v>120</v>
      </c>
      <c r="BP349" s="34" t="s">
        <v>109</v>
      </c>
      <c r="BQ349" s="34" t="s">
        <v>111</v>
      </c>
      <c r="BR349" s="34" t="s">
        <v>107</v>
      </c>
    </row>
    <row r="350" spans="49:70" x14ac:dyDescent="0.25">
      <c r="AW350" s="34" t="str">
        <f t="shared" si="20"/>
        <v>ABDEGHIK</v>
      </c>
      <c r="AX350" s="34">
        <v>348</v>
      </c>
      <c r="AY350" s="34" t="s">
        <v>119</v>
      </c>
      <c r="AZ350" s="34" t="s">
        <v>117</v>
      </c>
      <c r="BB350" s="34" t="s">
        <v>113</v>
      </c>
      <c r="BC350" s="34" t="s">
        <v>97</v>
      </c>
      <c r="BE350" s="34" t="s">
        <v>99</v>
      </c>
      <c r="BF350" s="34" t="s">
        <v>100</v>
      </c>
      <c r="BG350" s="34" t="s">
        <v>101</v>
      </c>
      <c r="BI350" s="34" t="s">
        <v>103</v>
      </c>
      <c r="BK350" s="34" t="s">
        <v>105</v>
      </c>
      <c r="BL350" s="34" t="s">
        <v>110</v>
      </c>
      <c r="BM350" s="34" t="s">
        <v>118</v>
      </c>
      <c r="BN350" s="34" t="s">
        <v>114</v>
      </c>
      <c r="BO350" s="34" t="s">
        <v>120</v>
      </c>
      <c r="BP350" s="34" t="s">
        <v>109</v>
      </c>
      <c r="BQ350" s="34" t="s">
        <v>107</v>
      </c>
      <c r="BR350" s="34" t="s">
        <v>112</v>
      </c>
    </row>
    <row r="351" spans="49:70" x14ac:dyDescent="0.25">
      <c r="AW351" s="34" t="str">
        <f t="shared" si="20"/>
        <v>ABDEGHIJ</v>
      </c>
      <c r="AX351" s="34">
        <v>349</v>
      </c>
      <c r="AY351" s="34" t="s">
        <v>119</v>
      </c>
      <c r="AZ351" s="34" t="s">
        <v>117</v>
      </c>
      <c r="BB351" s="34" t="s">
        <v>113</v>
      </c>
      <c r="BC351" s="34" t="s">
        <v>97</v>
      </c>
      <c r="BE351" s="34" t="s">
        <v>99</v>
      </c>
      <c r="BF351" s="34" t="s">
        <v>100</v>
      </c>
      <c r="BG351" s="34" t="s">
        <v>101</v>
      </c>
      <c r="BH351" s="34" t="s">
        <v>102</v>
      </c>
      <c r="BK351" s="34" t="s">
        <v>109</v>
      </c>
      <c r="BL351" s="34" t="s">
        <v>106</v>
      </c>
      <c r="BM351" s="34" t="s">
        <v>118</v>
      </c>
      <c r="BN351" s="34" t="s">
        <v>114</v>
      </c>
      <c r="BO351" s="34" t="s">
        <v>120</v>
      </c>
      <c r="BP351" s="34" t="s">
        <v>110</v>
      </c>
      <c r="BQ351" s="34" t="s">
        <v>105</v>
      </c>
      <c r="BR351" s="34" t="s">
        <v>107</v>
      </c>
    </row>
    <row r="352" spans="49:70" x14ac:dyDescent="0.25">
      <c r="AW352" s="34" t="str">
        <f t="shared" si="20"/>
        <v>ABDEFJKL</v>
      </c>
      <c r="AX352" s="34">
        <v>350</v>
      </c>
      <c r="AY352" s="34" t="s">
        <v>119</v>
      </c>
      <c r="AZ352" s="34" t="s">
        <v>117</v>
      </c>
      <c r="BB352" s="34" t="s">
        <v>113</v>
      </c>
      <c r="BC352" s="34" t="s">
        <v>97</v>
      </c>
      <c r="BD352" s="34" t="s">
        <v>98</v>
      </c>
      <c r="BH352" s="34" t="s">
        <v>102</v>
      </c>
      <c r="BI352" s="34" t="s">
        <v>103</v>
      </c>
      <c r="BJ352" s="34" t="s">
        <v>104</v>
      </c>
      <c r="BK352" s="34" t="s">
        <v>105</v>
      </c>
      <c r="BL352" s="34" t="s">
        <v>106</v>
      </c>
      <c r="BM352" s="34" t="s">
        <v>118</v>
      </c>
      <c r="BN352" s="34" t="s">
        <v>114</v>
      </c>
      <c r="BO352" s="34" t="s">
        <v>120</v>
      </c>
      <c r="BP352" s="34" t="s">
        <v>108</v>
      </c>
      <c r="BQ352" s="34" t="s">
        <v>111</v>
      </c>
      <c r="BR352" s="34" t="s">
        <v>112</v>
      </c>
    </row>
    <row r="353" spans="49:70" x14ac:dyDescent="0.25">
      <c r="AW353" s="34" t="str">
        <f t="shared" si="20"/>
        <v>ABDEFIKL</v>
      </c>
      <c r="AX353" s="34">
        <v>351</v>
      </c>
      <c r="AY353" s="34" t="s">
        <v>119</v>
      </c>
      <c r="AZ353" s="34" t="s">
        <v>117</v>
      </c>
      <c r="BB353" s="34" t="s">
        <v>113</v>
      </c>
      <c r="BC353" s="34" t="s">
        <v>97</v>
      </c>
      <c r="BD353" s="34" t="s">
        <v>98</v>
      </c>
      <c r="BG353" s="34" t="s">
        <v>101</v>
      </c>
      <c r="BI353" s="34" t="s">
        <v>103</v>
      </c>
      <c r="BJ353" s="34" t="s">
        <v>104</v>
      </c>
      <c r="BK353" s="34" t="s">
        <v>105</v>
      </c>
      <c r="BL353" s="34" t="s">
        <v>107</v>
      </c>
      <c r="BM353" s="34" t="s">
        <v>118</v>
      </c>
      <c r="BN353" s="34" t="s">
        <v>114</v>
      </c>
      <c r="BO353" s="34" t="s">
        <v>120</v>
      </c>
      <c r="BP353" s="34" t="s">
        <v>108</v>
      </c>
      <c r="BQ353" s="34" t="s">
        <v>111</v>
      </c>
      <c r="BR353" s="34" t="s">
        <v>112</v>
      </c>
    </row>
    <row r="354" spans="49:70" x14ac:dyDescent="0.25">
      <c r="AW354" s="34" t="str">
        <f t="shared" si="20"/>
        <v>ABDEFIJL</v>
      </c>
      <c r="AX354" s="34">
        <v>352</v>
      </c>
      <c r="AY354" s="34" t="s">
        <v>119</v>
      </c>
      <c r="AZ354" s="34" t="s">
        <v>117</v>
      </c>
      <c r="BB354" s="34" t="s">
        <v>113</v>
      </c>
      <c r="BC354" s="34" t="s">
        <v>97</v>
      </c>
      <c r="BD354" s="34" t="s">
        <v>98</v>
      </c>
      <c r="BG354" s="34" t="s">
        <v>101</v>
      </c>
      <c r="BH354" s="34" t="s">
        <v>102</v>
      </c>
      <c r="BJ354" s="34" t="s">
        <v>104</v>
      </c>
      <c r="BK354" s="34" t="s">
        <v>105</v>
      </c>
      <c r="BL354" s="34" t="s">
        <v>106</v>
      </c>
      <c r="BM354" s="34" t="s">
        <v>118</v>
      </c>
      <c r="BN354" s="34" t="s">
        <v>114</v>
      </c>
      <c r="BO354" s="34" t="s">
        <v>120</v>
      </c>
      <c r="BP354" s="34" t="s">
        <v>108</v>
      </c>
      <c r="BQ354" s="34" t="s">
        <v>111</v>
      </c>
      <c r="BR354" s="34" t="s">
        <v>107</v>
      </c>
    </row>
    <row r="355" spans="49:70" x14ac:dyDescent="0.25">
      <c r="AW355" s="34" t="str">
        <f t="shared" si="20"/>
        <v>ABDEFIJK</v>
      </c>
      <c r="AX355" s="34">
        <v>353</v>
      </c>
      <c r="AY355" s="34" t="s">
        <v>119</v>
      </c>
      <c r="AZ355" s="34" t="s">
        <v>117</v>
      </c>
      <c r="BB355" s="34" t="s">
        <v>113</v>
      </c>
      <c r="BC355" s="34" t="s">
        <v>97</v>
      </c>
      <c r="BD355" s="34" t="s">
        <v>98</v>
      </c>
      <c r="BG355" s="34" t="s">
        <v>101</v>
      </c>
      <c r="BH355" s="34" t="s">
        <v>102</v>
      </c>
      <c r="BI355" s="34" t="s">
        <v>103</v>
      </c>
      <c r="BK355" s="34" t="s">
        <v>105</v>
      </c>
      <c r="BL355" s="34" t="s">
        <v>106</v>
      </c>
      <c r="BM355" s="34" t="s">
        <v>118</v>
      </c>
      <c r="BN355" s="34" t="s">
        <v>114</v>
      </c>
      <c r="BO355" s="34" t="s">
        <v>120</v>
      </c>
      <c r="BP355" s="34" t="s">
        <v>108</v>
      </c>
      <c r="BQ355" s="34" t="s">
        <v>107</v>
      </c>
      <c r="BR355" s="34" t="s">
        <v>112</v>
      </c>
    </row>
    <row r="356" spans="49:70" x14ac:dyDescent="0.25">
      <c r="AW356" s="34" t="str">
        <f t="shared" si="20"/>
        <v>ABDEFHKL</v>
      </c>
      <c r="AX356" s="34">
        <v>354</v>
      </c>
      <c r="AY356" s="34" t="s">
        <v>119</v>
      </c>
      <c r="AZ356" s="34" t="s">
        <v>117</v>
      </c>
      <c r="BB356" s="34" t="s">
        <v>113</v>
      </c>
      <c r="BC356" s="34" t="s">
        <v>97</v>
      </c>
      <c r="BD356" s="34" t="s">
        <v>98</v>
      </c>
      <c r="BF356" s="34" t="s">
        <v>100</v>
      </c>
      <c r="BI356" s="34" t="s">
        <v>103</v>
      </c>
      <c r="BJ356" s="34" t="s">
        <v>104</v>
      </c>
      <c r="BK356" s="34" t="s">
        <v>109</v>
      </c>
      <c r="BL356" s="34" t="s">
        <v>105</v>
      </c>
      <c r="BM356" s="34" t="s">
        <v>118</v>
      </c>
      <c r="BN356" s="34" t="s">
        <v>114</v>
      </c>
      <c r="BO356" s="34" t="s">
        <v>120</v>
      </c>
      <c r="BP356" s="34" t="s">
        <v>108</v>
      </c>
      <c r="BQ356" s="34" t="s">
        <v>111</v>
      </c>
      <c r="BR356" s="34" t="s">
        <v>112</v>
      </c>
    </row>
    <row r="357" spans="49:70" x14ac:dyDescent="0.25">
      <c r="AW357" s="34" t="str">
        <f t="shared" si="20"/>
        <v>ABDEFHJL</v>
      </c>
      <c r="AX357" s="34">
        <v>355</v>
      </c>
      <c r="AY357" s="34" t="s">
        <v>119</v>
      </c>
      <c r="AZ357" s="34" t="s">
        <v>117</v>
      </c>
      <c r="BB357" s="34" t="s">
        <v>113</v>
      </c>
      <c r="BC357" s="34" t="s">
        <v>97</v>
      </c>
      <c r="BD357" s="34" t="s">
        <v>98</v>
      </c>
      <c r="BF357" s="34" t="s">
        <v>100</v>
      </c>
      <c r="BH357" s="34" t="s">
        <v>102</v>
      </c>
      <c r="BJ357" s="34" t="s">
        <v>104</v>
      </c>
      <c r="BK357" s="34" t="s">
        <v>109</v>
      </c>
      <c r="BL357" s="34" t="s">
        <v>106</v>
      </c>
      <c r="BM357" s="34" t="s">
        <v>118</v>
      </c>
      <c r="BN357" s="34" t="s">
        <v>114</v>
      </c>
      <c r="BO357" s="34" t="s">
        <v>120</v>
      </c>
      <c r="BP357" s="34" t="s">
        <v>108</v>
      </c>
      <c r="BQ357" s="34" t="s">
        <v>111</v>
      </c>
      <c r="BR357" s="34" t="s">
        <v>105</v>
      </c>
    </row>
    <row r="358" spans="49:70" x14ac:dyDescent="0.25">
      <c r="AW358" s="34" t="str">
        <f t="shared" si="20"/>
        <v>ABDEFHJK</v>
      </c>
      <c r="AX358" s="34">
        <v>356</v>
      </c>
      <c r="AY358" s="34" t="s">
        <v>119</v>
      </c>
      <c r="AZ358" s="34" t="s">
        <v>117</v>
      </c>
      <c r="BB358" s="34" t="s">
        <v>113</v>
      </c>
      <c r="BC358" s="34" t="s">
        <v>97</v>
      </c>
      <c r="BD358" s="34" t="s">
        <v>98</v>
      </c>
      <c r="BF358" s="34" t="s">
        <v>100</v>
      </c>
      <c r="BH358" s="34" t="s">
        <v>102</v>
      </c>
      <c r="BI358" s="34" t="s">
        <v>103</v>
      </c>
      <c r="BK358" s="34" t="s">
        <v>109</v>
      </c>
      <c r="BL358" s="34" t="s">
        <v>106</v>
      </c>
      <c r="BM358" s="34" t="s">
        <v>118</v>
      </c>
      <c r="BN358" s="34" t="s">
        <v>114</v>
      </c>
      <c r="BO358" s="34" t="s">
        <v>120</v>
      </c>
      <c r="BP358" s="34" t="s">
        <v>108</v>
      </c>
      <c r="BQ358" s="34" t="s">
        <v>105</v>
      </c>
      <c r="BR358" s="34" t="s">
        <v>112</v>
      </c>
    </row>
    <row r="359" spans="49:70" x14ac:dyDescent="0.25">
      <c r="AW359" s="34" t="str">
        <f t="shared" si="20"/>
        <v>ABDEFHIL</v>
      </c>
      <c r="AX359" s="34">
        <v>357</v>
      </c>
      <c r="AY359" s="34" t="s">
        <v>119</v>
      </c>
      <c r="AZ359" s="34" t="s">
        <v>117</v>
      </c>
      <c r="BB359" s="34" t="s">
        <v>113</v>
      </c>
      <c r="BC359" s="34" t="s">
        <v>97</v>
      </c>
      <c r="BD359" s="34" t="s">
        <v>98</v>
      </c>
      <c r="BF359" s="34" t="s">
        <v>100</v>
      </c>
      <c r="BG359" s="34" t="s">
        <v>101</v>
      </c>
      <c r="BJ359" s="34" t="s">
        <v>104</v>
      </c>
      <c r="BK359" s="34" t="s">
        <v>109</v>
      </c>
      <c r="BL359" s="34" t="s">
        <v>105</v>
      </c>
      <c r="BM359" s="34" t="s">
        <v>118</v>
      </c>
      <c r="BN359" s="34" t="s">
        <v>114</v>
      </c>
      <c r="BO359" s="34" t="s">
        <v>120</v>
      </c>
      <c r="BP359" s="34" t="s">
        <v>108</v>
      </c>
      <c r="BQ359" s="34" t="s">
        <v>111</v>
      </c>
      <c r="BR359" s="34" t="s">
        <v>107</v>
      </c>
    </row>
    <row r="360" spans="49:70" x14ac:dyDescent="0.25">
      <c r="AW360" s="34" t="str">
        <f t="shared" si="20"/>
        <v>ABDEFHIK</v>
      </c>
      <c r="AX360" s="34">
        <v>358</v>
      </c>
      <c r="AY360" s="34" t="s">
        <v>119</v>
      </c>
      <c r="AZ360" s="34" t="s">
        <v>117</v>
      </c>
      <c r="BB360" s="34" t="s">
        <v>113</v>
      </c>
      <c r="BC360" s="34" t="s">
        <v>97</v>
      </c>
      <c r="BD360" s="34" t="s">
        <v>98</v>
      </c>
      <c r="BF360" s="34" t="s">
        <v>100</v>
      </c>
      <c r="BG360" s="34" t="s">
        <v>101</v>
      </c>
      <c r="BI360" s="34" t="s">
        <v>103</v>
      </c>
      <c r="BK360" s="34" t="s">
        <v>109</v>
      </c>
      <c r="BL360" s="34" t="s">
        <v>105</v>
      </c>
      <c r="BM360" s="34" t="s">
        <v>118</v>
      </c>
      <c r="BN360" s="34" t="s">
        <v>114</v>
      </c>
      <c r="BO360" s="34" t="s">
        <v>120</v>
      </c>
      <c r="BP360" s="34" t="s">
        <v>108</v>
      </c>
      <c r="BQ360" s="34" t="s">
        <v>107</v>
      </c>
      <c r="BR360" s="34" t="s">
        <v>112</v>
      </c>
    </row>
    <row r="361" spans="49:70" x14ac:dyDescent="0.25">
      <c r="AW361" s="34" t="str">
        <f t="shared" si="20"/>
        <v>ABDEFHIJ</v>
      </c>
      <c r="AX361" s="34">
        <v>359</v>
      </c>
      <c r="AY361" s="34" t="s">
        <v>119</v>
      </c>
      <c r="AZ361" s="34" t="s">
        <v>117</v>
      </c>
      <c r="BB361" s="34" t="s">
        <v>113</v>
      </c>
      <c r="BC361" s="34" t="s">
        <v>97</v>
      </c>
      <c r="BD361" s="34" t="s">
        <v>98</v>
      </c>
      <c r="BF361" s="34" t="s">
        <v>100</v>
      </c>
      <c r="BG361" s="34" t="s">
        <v>101</v>
      </c>
      <c r="BH361" s="34" t="s">
        <v>102</v>
      </c>
      <c r="BK361" s="34" t="s">
        <v>109</v>
      </c>
      <c r="BL361" s="34" t="s">
        <v>106</v>
      </c>
      <c r="BM361" s="34" t="s">
        <v>118</v>
      </c>
      <c r="BN361" s="34" t="s">
        <v>114</v>
      </c>
      <c r="BO361" s="34" t="s">
        <v>120</v>
      </c>
      <c r="BP361" s="34" t="s">
        <v>108</v>
      </c>
      <c r="BQ361" s="34" t="s">
        <v>105</v>
      </c>
      <c r="BR361" s="34" t="s">
        <v>107</v>
      </c>
    </row>
    <row r="362" spans="49:70" x14ac:dyDescent="0.25">
      <c r="AW362" s="34" t="str">
        <f t="shared" si="20"/>
        <v>ABDEFGKL</v>
      </c>
      <c r="AX362" s="34">
        <v>360</v>
      </c>
      <c r="AY362" s="34" t="s">
        <v>119</v>
      </c>
      <c r="AZ362" s="34" t="s">
        <v>117</v>
      </c>
      <c r="BB362" s="34" t="s">
        <v>113</v>
      </c>
      <c r="BC362" s="34" t="s">
        <v>97</v>
      </c>
      <c r="BD362" s="34" t="s">
        <v>98</v>
      </c>
      <c r="BE362" s="34" t="s">
        <v>99</v>
      </c>
      <c r="BI362" s="34" t="s">
        <v>103</v>
      </c>
      <c r="BJ362" s="34" t="s">
        <v>104</v>
      </c>
      <c r="BK362" s="34" t="s">
        <v>105</v>
      </c>
      <c r="BL362" s="34" t="s">
        <v>110</v>
      </c>
      <c r="BM362" s="34" t="s">
        <v>118</v>
      </c>
      <c r="BN362" s="34" t="s">
        <v>114</v>
      </c>
      <c r="BO362" s="34" t="s">
        <v>120</v>
      </c>
      <c r="BP362" s="34" t="s">
        <v>108</v>
      </c>
      <c r="BQ362" s="34" t="s">
        <v>111</v>
      </c>
      <c r="BR362" s="34" t="s">
        <v>112</v>
      </c>
    </row>
    <row r="363" spans="49:70" x14ac:dyDescent="0.25">
      <c r="AW363" s="34" t="str">
        <f t="shared" si="20"/>
        <v>ABDEFGJL</v>
      </c>
      <c r="AX363" s="34">
        <v>361</v>
      </c>
      <c r="AY363" s="34" t="s">
        <v>119</v>
      </c>
      <c r="AZ363" s="34" t="s">
        <v>117</v>
      </c>
      <c r="BB363" s="34" t="s">
        <v>113</v>
      </c>
      <c r="BC363" s="34" t="s">
        <v>97</v>
      </c>
      <c r="BD363" s="34" t="s">
        <v>98</v>
      </c>
      <c r="BE363" s="34" t="s">
        <v>99</v>
      </c>
      <c r="BH363" s="34" t="s">
        <v>102</v>
      </c>
      <c r="BJ363" s="34" t="s">
        <v>104</v>
      </c>
      <c r="BK363" s="34" t="s">
        <v>105</v>
      </c>
      <c r="BL363" s="34" t="s">
        <v>110</v>
      </c>
      <c r="BM363" s="34" t="s">
        <v>118</v>
      </c>
      <c r="BN363" s="34" t="s">
        <v>114</v>
      </c>
      <c r="BO363" s="34" t="s">
        <v>120</v>
      </c>
      <c r="BP363" s="34" t="s">
        <v>108</v>
      </c>
      <c r="BQ363" s="34" t="s">
        <v>111</v>
      </c>
      <c r="BR363" s="34" t="s">
        <v>106</v>
      </c>
    </row>
    <row r="364" spans="49:70" x14ac:dyDescent="0.25">
      <c r="AW364" s="34" t="str">
        <f t="shared" si="20"/>
        <v>ABDEFGJK</v>
      </c>
      <c r="AX364" s="34">
        <v>362</v>
      </c>
      <c r="AY364" s="34" t="s">
        <v>119</v>
      </c>
      <c r="AZ364" s="34" t="s">
        <v>117</v>
      </c>
      <c r="BB364" s="34" t="s">
        <v>113</v>
      </c>
      <c r="BC364" s="34" t="s">
        <v>97</v>
      </c>
      <c r="BD364" s="34" t="s">
        <v>98</v>
      </c>
      <c r="BE364" s="34" t="s">
        <v>99</v>
      </c>
      <c r="BH364" s="34" t="s">
        <v>102</v>
      </c>
      <c r="BI364" s="34" t="s">
        <v>103</v>
      </c>
      <c r="BK364" s="34" t="s">
        <v>105</v>
      </c>
      <c r="BL364" s="34" t="s">
        <v>110</v>
      </c>
      <c r="BM364" s="34" t="s">
        <v>118</v>
      </c>
      <c r="BN364" s="34" t="s">
        <v>114</v>
      </c>
      <c r="BO364" s="34" t="s">
        <v>120</v>
      </c>
      <c r="BP364" s="34" t="s">
        <v>108</v>
      </c>
      <c r="BQ364" s="34" t="s">
        <v>106</v>
      </c>
      <c r="BR364" s="34" t="s">
        <v>112</v>
      </c>
    </row>
    <row r="365" spans="49:70" x14ac:dyDescent="0.25">
      <c r="AW365" s="34" t="str">
        <f t="shared" si="20"/>
        <v>ABDEFGIL</v>
      </c>
      <c r="AX365" s="34">
        <v>363</v>
      </c>
      <c r="AY365" s="34" t="s">
        <v>119</v>
      </c>
      <c r="AZ365" s="34" t="s">
        <v>117</v>
      </c>
      <c r="BB365" s="34" t="s">
        <v>113</v>
      </c>
      <c r="BC365" s="34" t="s">
        <v>97</v>
      </c>
      <c r="BD365" s="34" t="s">
        <v>98</v>
      </c>
      <c r="BE365" s="34" t="s">
        <v>99</v>
      </c>
      <c r="BG365" s="34" t="s">
        <v>101</v>
      </c>
      <c r="BJ365" s="34" t="s">
        <v>104</v>
      </c>
      <c r="BK365" s="34" t="s">
        <v>105</v>
      </c>
      <c r="BL365" s="34" t="s">
        <v>110</v>
      </c>
      <c r="BM365" s="34" t="s">
        <v>118</v>
      </c>
      <c r="BN365" s="34" t="s">
        <v>114</v>
      </c>
      <c r="BO365" s="34" t="s">
        <v>120</v>
      </c>
      <c r="BP365" s="34" t="s">
        <v>108</v>
      </c>
      <c r="BQ365" s="34" t="s">
        <v>111</v>
      </c>
      <c r="BR365" s="34" t="s">
        <v>107</v>
      </c>
    </row>
    <row r="366" spans="49:70" x14ac:dyDescent="0.25">
      <c r="AW366" s="34" t="str">
        <f t="shared" si="20"/>
        <v>ABDEFGIK</v>
      </c>
      <c r="AX366" s="34">
        <v>364</v>
      </c>
      <c r="AY366" s="34" t="s">
        <v>119</v>
      </c>
      <c r="AZ366" s="34" t="s">
        <v>117</v>
      </c>
      <c r="BB366" s="34" t="s">
        <v>113</v>
      </c>
      <c r="BC366" s="34" t="s">
        <v>97</v>
      </c>
      <c r="BD366" s="34" t="s">
        <v>98</v>
      </c>
      <c r="BE366" s="34" t="s">
        <v>99</v>
      </c>
      <c r="BG366" s="34" t="s">
        <v>101</v>
      </c>
      <c r="BI366" s="34" t="s">
        <v>103</v>
      </c>
      <c r="BK366" s="34" t="s">
        <v>105</v>
      </c>
      <c r="BL366" s="34" t="s">
        <v>110</v>
      </c>
      <c r="BM366" s="34" t="s">
        <v>118</v>
      </c>
      <c r="BN366" s="34" t="s">
        <v>114</v>
      </c>
      <c r="BO366" s="34" t="s">
        <v>120</v>
      </c>
      <c r="BP366" s="34" t="s">
        <v>108</v>
      </c>
      <c r="BQ366" s="34" t="s">
        <v>107</v>
      </c>
      <c r="BR366" s="34" t="s">
        <v>112</v>
      </c>
    </row>
    <row r="367" spans="49:70" x14ac:dyDescent="0.25">
      <c r="AW367" s="34" t="str">
        <f t="shared" si="20"/>
        <v>ABDEFGIJ</v>
      </c>
      <c r="AX367" s="34">
        <v>365</v>
      </c>
      <c r="AY367" s="34" t="s">
        <v>119</v>
      </c>
      <c r="AZ367" s="34" t="s">
        <v>117</v>
      </c>
      <c r="BB367" s="34" t="s">
        <v>113</v>
      </c>
      <c r="BC367" s="34" t="s">
        <v>97</v>
      </c>
      <c r="BD367" s="34" t="s">
        <v>98</v>
      </c>
      <c r="BE367" s="34" t="s">
        <v>99</v>
      </c>
      <c r="BG367" s="34" t="s">
        <v>101</v>
      </c>
      <c r="BH367" s="34" t="s">
        <v>102</v>
      </c>
      <c r="BK367" s="34" t="s">
        <v>105</v>
      </c>
      <c r="BL367" s="34" t="s">
        <v>110</v>
      </c>
      <c r="BM367" s="34" t="s">
        <v>118</v>
      </c>
      <c r="BN367" s="34" t="s">
        <v>114</v>
      </c>
      <c r="BO367" s="34" t="s">
        <v>120</v>
      </c>
      <c r="BP367" s="34" t="s">
        <v>108</v>
      </c>
      <c r="BQ367" s="34" t="s">
        <v>107</v>
      </c>
      <c r="BR367" s="34" t="s">
        <v>106</v>
      </c>
    </row>
    <row r="368" spans="49:70" x14ac:dyDescent="0.25">
      <c r="AW368" s="34" t="str">
        <f t="shared" si="20"/>
        <v>ABDEFGHL</v>
      </c>
      <c r="AX368" s="34">
        <v>366</v>
      </c>
      <c r="AY368" s="34" t="s">
        <v>119</v>
      </c>
      <c r="AZ368" s="34" t="s">
        <v>117</v>
      </c>
      <c r="BB368" s="34" t="s">
        <v>113</v>
      </c>
      <c r="BC368" s="34" t="s">
        <v>97</v>
      </c>
      <c r="BD368" s="34" t="s">
        <v>98</v>
      </c>
      <c r="BE368" s="34" t="s">
        <v>99</v>
      </c>
      <c r="BF368" s="34" t="s">
        <v>100</v>
      </c>
      <c r="BJ368" s="34" t="s">
        <v>104</v>
      </c>
      <c r="BK368" s="34" t="s">
        <v>109</v>
      </c>
      <c r="BL368" s="34" t="s">
        <v>110</v>
      </c>
      <c r="BM368" s="34" t="s">
        <v>118</v>
      </c>
      <c r="BN368" s="34" t="s">
        <v>114</v>
      </c>
      <c r="BO368" s="34" t="s">
        <v>120</v>
      </c>
      <c r="BP368" s="34" t="s">
        <v>108</v>
      </c>
      <c r="BQ368" s="34" t="s">
        <v>111</v>
      </c>
      <c r="BR368" s="34" t="s">
        <v>105</v>
      </c>
    </row>
    <row r="369" spans="49:70" x14ac:dyDescent="0.25">
      <c r="AW369" s="34" t="str">
        <f t="shared" si="20"/>
        <v>ABDEFGHK</v>
      </c>
      <c r="AX369" s="34">
        <v>367</v>
      </c>
      <c r="AY369" s="34" t="s">
        <v>119</v>
      </c>
      <c r="AZ369" s="34" t="s">
        <v>117</v>
      </c>
      <c r="BB369" s="34" t="s">
        <v>113</v>
      </c>
      <c r="BC369" s="34" t="s">
        <v>97</v>
      </c>
      <c r="BD369" s="34" t="s">
        <v>98</v>
      </c>
      <c r="BE369" s="34" t="s">
        <v>99</v>
      </c>
      <c r="BF369" s="34" t="s">
        <v>100</v>
      </c>
      <c r="BI369" s="34" t="s">
        <v>103</v>
      </c>
      <c r="BK369" s="34" t="s">
        <v>109</v>
      </c>
      <c r="BL369" s="34" t="s">
        <v>110</v>
      </c>
      <c r="BM369" s="34" t="s">
        <v>118</v>
      </c>
      <c r="BN369" s="34" t="s">
        <v>114</v>
      </c>
      <c r="BO369" s="34" t="s">
        <v>120</v>
      </c>
      <c r="BP369" s="34" t="s">
        <v>108</v>
      </c>
      <c r="BQ369" s="34" t="s">
        <v>105</v>
      </c>
      <c r="BR369" s="34" t="s">
        <v>112</v>
      </c>
    </row>
    <row r="370" spans="49:70" x14ac:dyDescent="0.25">
      <c r="AW370" s="34" t="str">
        <f t="shared" si="20"/>
        <v>ABDEFGHJ</v>
      </c>
      <c r="AX370" s="34">
        <v>368</v>
      </c>
      <c r="AY370" s="34" t="s">
        <v>119</v>
      </c>
      <c r="AZ370" s="34" t="s">
        <v>117</v>
      </c>
      <c r="BB370" s="34" t="s">
        <v>113</v>
      </c>
      <c r="BC370" s="34" t="s">
        <v>97</v>
      </c>
      <c r="BD370" s="34" t="s">
        <v>98</v>
      </c>
      <c r="BE370" s="34" t="s">
        <v>99</v>
      </c>
      <c r="BF370" s="34" t="s">
        <v>100</v>
      </c>
      <c r="BH370" s="34" t="s">
        <v>102</v>
      </c>
      <c r="BK370" s="34" t="s">
        <v>109</v>
      </c>
      <c r="BL370" s="34" t="s">
        <v>110</v>
      </c>
      <c r="BM370" s="34" t="s">
        <v>118</v>
      </c>
      <c r="BN370" s="34" t="s">
        <v>114</v>
      </c>
      <c r="BO370" s="34" t="s">
        <v>120</v>
      </c>
      <c r="BP370" s="34" t="s">
        <v>108</v>
      </c>
      <c r="BQ370" s="34" t="s">
        <v>105</v>
      </c>
      <c r="BR370" s="34" t="s">
        <v>106</v>
      </c>
    </row>
    <row r="371" spans="49:70" x14ac:dyDescent="0.25">
      <c r="AW371" s="34" t="str">
        <f t="shared" si="20"/>
        <v>ABDEFGHI</v>
      </c>
      <c r="AX371" s="34">
        <v>369</v>
      </c>
      <c r="AY371" s="34" t="s">
        <v>119</v>
      </c>
      <c r="AZ371" s="34" t="s">
        <v>117</v>
      </c>
      <c r="BB371" s="34" t="s">
        <v>113</v>
      </c>
      <c r="BC371" s="34" t="s">
        <v>97</v>
      </c>
      <c r="BD371" s="34" t="s">
        <v>98</v>
      </c>
      <c r="BE371" s="34" t="s">
        <v>99</v>
      </c>
      <c r="BF371" s="34" t="s">
        <v>100</v>
      </c>
      <c r="BG371" s="34" t="s">
        <v>101</v>
      </c>
      <c r="BK371" s="34" t="s">
        <v>109</v>
      </c>
      <c r="BL371" s="34" t="s">
        <v>110</v>
      </c>
      <c r="BM371" s="34" t="s">
        <v>118</v>
      </c>
      <c r="BN371" s="34" t="s">
        <v>114</v>
      </c>
      <c r="BO371" s="34" t="s">
        <v>120</v>
      </c>
      <c r="BP371" s="34" t="s">
        <v>108</v>
      </c>
      <c r="BQ371" s="34" t="s">
        <v>105</v>
      </c>
      <c r="BR371" s="34" t="s">
        <v>107</v>
      </c>
    </row>
    <row r="372" spans="49:70" x14ac:dyDescent="0.25">
      <c r="AW372" s="34" t="str">
        <f t="shared" si="20"/>
        <v>ABCHIJKL</v>
      </c>
      <c r="AX372" s="34">
        <v>370</v>
      </c>
      <c r="AY372" s="34" t="s">
        <v>119</v>
      </c>
      <c r="AZ372" s="34" t="s">
        <v>117</v>
      </c>
      <c r="BA372" s="34" t="s">
        <v>115</v>
      </c>
      <c r="BF372" s="34" t="s">
        <v>100</v>
      </c>
      <c r="BG372" s="34" t="s">
        <v>101</v>
      </c>
      <c r="BH372" s="34" t="s">
        <v>102</v>
      </c>
      <c r="BI372" s="34" t="s">
        <v>103</v>
      </c>
      <c r="BJ372" s="34" t="s">
        <v>104</v>
      </c>
      <c r="BK372" s="34" t="s">
        <v>107</v>
      </c>
      <c r="BL372" s="34" t="s">
        <v>106</v>
      </c>
      <c r="BM372" s="34" t="s">
        <v>118</v>
      </c>
      <c r="BN372" s="34" t="s">
        <v>116</v>
      </c>
      <c r="BO372" s="34" t="s">
        <v>120</v>
      </c>
      <c r="BP372" s="34" t="s">
        <v>109</v>
      </c>
      <c r="BQ372" s="34" t="s">
        <v>111</v>
      </c>
      <c r="BR372" s="34" t="s">
        <v>112</v>
      </c>
    </row>
    <row r="373" spans="49:70" x14ac:dyDescent="0.25">
      <c r="AW373" s="34" t="str">
        <f t="shared" si="20"/>
        <v>ABCGIJKL</v>
      </c>
      <c r="AX373" s="34">
        <v>371</v>
      </c>
      <c r="AY373" s="34" t="s">
        <v>119</v>
      </c>
      <c r="AZ373" s="34" t="s">
        <v>117</v>
      </c>
      <c r="BA373" s="34" t="s">
        <v>115</v>
      </c>
      <c r="BE373" s="34" t="s">
        <v>99</v>
      </c>
      <c r="BG373" s="34" t="s">
        <v>101</v>
      </c>
      <c r="BH373" s="34" t="s">
        <v>102</v>
      </c>
      <c r="BI373" s="34" t="s">
        <v>103</v>
      </c>
      <c r="BJ373" s="34" t="s">
        <v>104</v>
      </c>
      <c r="BK373" s="34" t="s">
        <v>107</v>
      </c>
      <c r="BL373" s="34" t="s">
        <v>106</v>
      </c>
      <c r="BM373" s="34" t="s">
        <v>118</v>
      </c>
      <c r="BN373" s="34" t="s">
        <v>116</v>
      </c>
      <c r="BO373" s="34" t="s">
        <v>120</v>
      </c>
      <c r="BP373" s="34" t="s">
        <v>110</v>
      </c>
      <c r="BQ373" s="34" t="s">
        <v>111</v>
      </c>
      <c r="BR373" s="34" t="s">
        <v>112</v>
      </c>
    </row>
    <row r="374" spans="49:70" x14ac:dyDescent="0.25">
      <c r="AW374" s="34" t="str">
        <f t="shared" si="20"/>
        <v>ABCGHJKL</v>
      </c>
      <c r="AX374" s="34">
        <v>372</v>
      </c>
      <c r="AY374" s="34" t="s">
        <v>119</v>
      </c>
      <c r="AZ374" s="34" t="s">
        <v>117</v>
      </c>
      <c r="BA374" s="34" t="s">
        <v>115</v>
      </c>
      <c r="BE374" s="34" t="s">
        <v>99</v>
      </c>
      <c r="BF374" s="34" t="s">
        <v>100</v>
      </c>
      <c r="BH374" s="34" t="s">
        <v>102</v>
      </c>
      <c r="BI374" s="34" t="s">
        <v>103</v>
      </c>
      <c r="BJ374" s="34" t="s">
        <v>104</v>
      </c>
      <c r="BK374" s="34" t="s">
        <v>109</v>
      </c>
      <c r="BL374" s="34" t="s">
        <v>106</v>
      </c>
      <c r="BM374" s="34" t="s">
        <v>118</v>
      </c>
      <c r="BN374" s="34" t="s">
        <v>116</v>
      </c>
      <c r="BO374" s="34" t="s">
        <v>120</v>
      </c>
      <c r="BP374" s="34" t="s">
        <v>110</v>
      </c>
      <c r="BQ374" s="34" t="s">
        <v>111</v>
      </c>
      <c r="BR374" s="34" t="s">
        <v>112</v>
      </c>
    </row>
    <row r="375" spans="49:70" x14ac:dyDescent="0.25">
      <c r="AW375" s="34" t="str">
        <f t="shared" si="20"/>
        <v>ABCGHIKL</v>
      </c>
      <c r="AX375" s="34">
        <v>373</v>
      </c>
      <c r="AY375" s="34" t="s">
        <v>119</v>
      </c>
      <c r="AZ375" s="34" t="s">
        <v>117</v>
      </c>
      <c r="BA375" s="34" t="s">
        <v>115</v>
      </c>
      <c r="BE375" s="34" t="s">
        <v>99</v>
      </c>
      <c r="BF375" s="34" t="s">
        <v>100</v>
      </c>
      <c r="BG375" s="34" t="s">
        <v>101</v>
      </c>
      <c r="BI375" s="34" t="s">
        <v>103</v>
      </c>
      <c r="BJ375" s="34" t="s">
        <v>104</v>
      </c>
      <c r="BK375" s="34" t="s">
        <v>107</v>
      </c>
      <c r="BL375" s="34" t="s">
        <v>110</v>
      </c>
      <c r="BM375" s="34" t="s">
        <v>118</v>
      </c>
      <c r="BN375" s="34" t="s">
        <v>116</v>
      </c>
      <c r="BO375" s="34" t="s">
        <v>120</v>
      </c>
      <c r="BP375" s="34" t="s">
        <v>109</v>
      </c>
      <c r="BQ375" s="34" t="s">
        <v>111</v>
      </c>
      <c r="BR375" s="34" t="s">
        <v>112</v>
      </c>
    </row>
    <row r="376" spans="49:70" x14ac:dyDescent="0.25">
      <c r="AW376" s="34" t="str">
        <f t="shared" si="20"/>
        <v>ABCGHIJL</v>
      </c>
      <c r="AX376" s="34">
        <v>374</v>
      </c>
      <c r="AY376" s="34" t="s">
        <v>119</v>
      </c>
      <c r="AZ376" s="34" t="s">
        <v>117</v>
      </c>
      <c r="BA376" s="34" t="s">
        <v>115</v>
      </c>
      <c r="BE376" s="34" t="s">
        <v>99</v>
      </c>
      <c r="BF376" s="34" t="s">
        <v>100</v>
      </c>
      <c r="BG376" s="34" t="s">
        <v>101</v>
      </c>
      <c r="BH376" s="34" t="s">
        <v>102</v>
      </c>
      <c r="BJ376" s="34" t="s">
        <v>104</v>
      </c>
      <c r="BK376" s="34" t="s">
        <v>109</v>
      </c>
      <c r="BL376" s="34" t="s">
        <v>106</v>
      </c>
      <c r="BM376" s="34" t="s">
        <v>118</v>
      </c>
      <c r="BN376" s="34" t="s">
        <v>116</v>
      </c>
      <c r="BO376" s="34" t="s">
        <v>120</v>
      </c>
      <c r="BP376" s="34" t="s">
        <v>110</v>
      </c>
      <c r="BQ376" s="34" t="s">
        <v>111</v>
      </c>
      <c r="BR376" s="34" t="s">
        <v>107</v>
      </c>
    </row>
    <row r="377" spans="49:70" x14ac:dyDescent="0.25">
      <c r="AW377" s="34" t="str">
        <f t="shared" si="20"/>
        <v>ABCGHIJK</v>
      </c>
      <c r="AX377" s="34">
        <v>375</v>
      </c>
      <c r="AY377" s="34" t="s">
        <v>119</v>
      </c>
      <c r="AZ377" s="34" t="s">
        <v>117</v>
      </c>
      <c r="BA377" s="34" t="s">
        <v>115</v>
      </c>
      <c r="BE377" s="34" t="s">
        <v>99</v>
      </c>
      <c r="BF377" s="34" t="s">
        <v>100</v>
      </c>
      <c r="BG377" s="34" t="s">
        <v>101</v>
      </c>
      <c r="BH377" s="34" t="s">
        <v>102</v>
      </c>
      <c r="BI377" s="34" t="s">
        <v>103</v>
      </c>
      <c r="BK377" s="34" t="s">
        <v>109</v>
      </c>
      <c r="BL377" s="34" t="s">
        <v>106</v>
      </c>
      <c r="BM377" s="34" t="s">
        <v>118</v>
      </c>
      <c r="BN377" s="34" t="s">
        <v>116</v>
      </c>
      <c r="BO377" s="34" t="s">
        <v>120</v>
      </c>
      <c r="BP377" s="34" t="s">
        <v>110</v>
      </c>
      <c r="BQ377" s="34" t="s">
        <v>107</v>
      </c>
      <c r="BR377" s="34" t="s">
        <v>112</v>
      </c>
    </row>
    <row r="378" spans="49:70" x14ac:dyDescent="0.25">
      <c r="AW378" s="34" t="str">
        <f t="shared" si="20"/>
        <v>ABCFIJKL</v>
      </c>
      <c r="AX378" s="34">
        <v>376</v>
      </c>
      <c r="AY378" s="34" t="s">
        <v>119</v>
      </c>
      <c r="AZ378" s="34" t="s">
        <v>117</v>
      </c>
      <c r="BA378" s="34" t="s">
        <v>115</v>
      </c>
      <c r="BD378" s="34" t="s">
        <v>98</v>
      </c>
      <c r="BG378" s="34" t="s">
        <v>101</v>
      </c>
      <c r="BH378" s="34" t="s">
        <v>102</v>
      </c>
      <c r="BI378" s="34" t="s">
        <v>103</v>
      </c>
      <c r="BJ378" s="34" t="s">
        <v>104</v>
      </c>
      <c r="BK378" s="34" t="s">
        <v>107</v>
      </c>
      <c r="BL378" s="34" t="s">
        <v>106</v>
      </c>
      <c r="BM378" s="34" t="s">
        <v>118</v>
      </c>
      <c r="BN378" s="34" t="s">
        <v>116</v>
      </c>
      <c r="BO378" s="34" t="s">
        <v>120</v>
      </c>
      <c r="BP378" s="34" t="s">
        <v>108</v>
      </c>
      <c r="BQ378" s="34" t="s">
        <v>111</v>
      </c>
      <c r="BR378" s="34" t="s">
        <v>112</v>
      </c>
    </row>
    <row r="379" spans="49:70" x14ac:dyDescent="0.25">
      <c r="AW379" s="34" t="str">
        <f t="shared" si="20"/>
        <v>ABCFHJKL</v>
      </c>
      <c r="AX379" s="34">
        <v>377</v>
      </c>
      <c r="AY379" s="34" t="s">
        <v>119</v>
      </c>
      <c r="AZ379" s="34" t="s">
        <v>117</v>
      </c>
      <c r="BA379" s="34" t="s">
        <v>115</v>
      </c>
      <c r="BD379" s="34" t="s">
        <v>98</v>
      </c>
      <c r="BF379" s="34" t="s">
        <v>100</v>
      </c>
      <c r="BH379" s="34" t="s">
        <v>102</v>
      </c>
      <c r="BI379" s="34" t="s">
        <v>103</v>
      </c>
      <c r="BJ379" s="34" t="s">
        <v>104</v>
      </c>
      <c r="BK379" s="34" t="s">
        <v>109</v>
      </c>
      <c r="BL379" s="34" t="s">
        <v>106</v>
      </c>
      <c r="BM379" s="34" t="s">
        <v>118</v>
      </c>
      <c r="BN379" s="34" t="s">
        <v>116</v>
      </c>
      <c r="BO379" s="34" t="s">
        <v>120</v>
      </c>
      <c r="BP379" s="34" t="s">
        <v>108</v>
      </c>
      <c r="BQ379" s="34" t="s">
        <v>111</v>
      </c>
      <c r="BR379" s="34" t="s">
        <v>112</v>
      </c>
    </row>
    <row r="380" spans="49:70" x14ac:dyDescent="0.25">
      <c r="AW380" s="34" t="str">
        <f t="shared" si="20"/>
        <v>ABCFHIKL</v>
      </c>
      <c r="AX380" s="34">
        <v>378</v>
      </c>
      <c r="AY380" s="34" t="s">
        <v>119</v>
      </c>
      <c r="AZ380" s="34" t="s">
        <v>117</v>
      </c>
      <c r="BA380" s="34" t="s">
        <v>115</v>
      </c>
      <c r="BD380" s="34" t="s">
        <v>98</v>
      </c>
      <c r="BF380" s="34" t="s">
        <v>100</v>
      </c>
      <c r="BG380" s="34" t="s">
        <v>101</v>
      </c>
      <c r="BI380" s="34" t="s">
        <v>103</v>
      </c>
      <c r="BJ380" s="34" t="s">
        <v>104</v>
      </c>
      <c r="BK380" s="34" t="s">
        <v>109</v>
      </c>
      <c r="BL380" s="34" t="s">
        <v>107</v>
      </c>
      <c r="BM380" s="34" t="s">
        <v>118</v>
      </c>
      <c r="BN380" s="34" t="s">
        <v>116</v>
      </c>
      <c r="BO380" s="34" t="s">
        <v>120</v>
      </c>
      <c r="BP380" s="34" t="s">
        <v>108</v>
      </c>
      <c r="BQ380" s="34" t="s">
        <v>111</v>
      </c>
      <c r="BR380" s="34" t="s">
        <v>112</v>
      </c>
    </row>
    <row r="381" spans="49:70" x14ac:dyDescent="0.25">
      <c r="AW381" s="34" t="str">
        <f t="shared" si="20"/>
        <v>ABCFHIJL</v>
      </c>
      <c r="AX381" s="34">
        <v>379</v>
      </c>
      <c r="AY381" s="34" t="s">
        <v>119</v>
      </c>
      <c r="AZ381" s="34" t="s">
        <v>117</v>
      </c>
      <c r="BA381" s="34" t="s">
        <v>115</v>
      </c>
      <c r="BD381" s="34" t="s">
        <v>98</v>
      </c>
      <c r="BF381" s="34" t="s">
        <v>100</v>
      </c>
      <c r="BG381" s="34" t="s">
        <v>101</v>
      </c>
      <c r="BH381" s="34" t="s">
        <v>102</v>
      </c>
      <c r="BJ381" s="34" t="s">
        <v>104</v>
      </c>
      <c r="BK381" s="34" t="s">
        <v>109</v>
      </c>
      <c r="BL381" s="34" t="s">
        <v>106</v>
      </c>
      <c r="BM381" s="34" t="s">
        <v>118</v>
      </c>
      <c r="BN381" s="34" t="s">
        <v>116</v>
      </c>
      <c r="BO381" s="34" t="s">
        <v>120</v>
      </c>
      <c r="BP381" s="34" t="s">
        <v>108</v>
      </c>
      <c r="BQ381" s="34" t="s">
        <v>111</v>
      </c>
      <c r="BR381" s="34" t="s">
        <v>107</v>
      </c>
    </row>
    <row r="382" spans="49:70" x14ac:dyDescent="0.25">
      <c r="AW382" s="34" t="str">
        <f t="shared" si="20"/>
        <v>ABCFHIJK</v>
      </c>
      <c r="AX382" s="34">
        <v>380</v>
      </c>
      <c r="AY382" s="34" t="s">
        <v>119</v>
      </c>
      <c r="AZ382" s="34" t="s">
        <v>117</v>
      </c>
      <c r="BA382" s="34" t="s">
        <v>115</v>
      </c>
      <c r="BD382" s="34" t="s">
        <v>98</v>
      </c>
      <c r="BF382" s="34" t="s">
        <v>100</v>
      </c>
      <c r="BG382" s="34" t="s">
        <v>101</v>
      </c>
      <c r="BH382" s="34" t="s">
        <v>102</v>
      </c>
      <c r="BI382" s="34" t="s">
        <v>103</v>
      </c>
      <c r="BK382" s="34" t="s">
        <v>109</v>
      </c>
      <c r="BL382" s="34" t="s">
        <v>106</v>
      </c>
      <c r="BM382" s="34" t="s">
        <v>118</v>
      </c>
      <c r="BN382" s="34" t="s">
        <v>116</v>
      </c>
      <c r="BO382" s="34" t="s">
        <v>120</v>
      </c>
      <c r="BP382" s="34" t="s">
        <v>108</v>
      </c>
      <c r="BQ382" s="34" t="s">
        <v>107</v>
      </c>
      <c r="BR382" s="34" t="s">
        <v>112</v>
      </c>
    </row>
    <row r="383" spans="49:70" x14ac:dyDescent="0.25">
      <c r="AW383" s="34" t="str">
        <f t="shared" si="20"/>
        <v>ABCFGJKL</v>
      </c>
      <c r="AX383" s="34">
        <v>381</v>
      </c>
      <c r="AY383" s="34" t="s">
        <v>119</v>
      </c>
      <c r="AZ383" s="34" t="s">
        <v>117</v>
      </c>
      <c r="BA383" s="34" t="s">
        <v>115</v>
      </c>
      <c r="BD383" s="34" t="s">
        <v>98</v>
      </c>
      <c r="BE383" s="34" t="s">
        <v>99</v>
      </c>
      <c r="BH383" s="34" t="s">
        <v>102</v>
      </c>
      <c r="BI383" s="34" t="s">
        <v>103</v>
      </c>
      <c r="BJ383" s="34" t="s">
        <v>104</v>
      </c>
      <c r="BK383" s="34" t="s">
        <v>116</v>
      </c>
      <c r="BL383" s="34" t="s">
        <v>106</v>
      </c>
      <c r="BM383" s="34" t="s">
        <v>118</v>
      </c>
      <c r="BN383" s="34" t="s">
        <v>108</v>
      </c>
      <c r="BO383" s="34" t="s">
        <v>120</v>
      </c>
      <c r="BP383" s="34" t="s">
        <v>110</v>
      </c>
      <c r="BQ383" s="34" t="s">
        <v>111</v>
      </c>
      <c r="BR383" s="34" t="s">
        <v>112</v>
      </c>
    </row>
    <row r="384" spans="49:70" x14ac:dyDescent="0.25">
      <c r="AW384" s="34" t="str">
        <f t="shared" si="20"/>
        <v>ABCFGIKL</v>
      </c>
      <c r="AX384" s="34">
        <v>382</v>
      </c>
      <c r="AY384" s="34" t="s">
        <v>119</v>
      </c>
      <c r="AZ384" s="34" t="s">
        <v>117</v>
      </c>
      <c r="BA384" s="34" t="s">
        <v>115</v>
      </c>
      <c r="BD384" s="34" t="s">
        <v>98</v>
      </c>
      <c r="BE384" s="34" t="s">
        <v>99</v>
      </c>
      <c r="BG384" s="34" t="s">
        <v>101</v>
      </c>
      <c r="BI384" s="34" t="s">
        <v>103</v>
      </c>
      <c r="BJ384" s="34" t="s">
        <v>104</v>
      </c>
      <c r="BK384" s="34" t="s">
        <v>107</v>
      </c>
      <c r="BL384" s="34" t="s">
        <v>110</v>
      </c>
      <c r="BM384" s="34" t="s">
        <v>118</v>
      </c>
      <c r="BN384" s="34" t="s">
        <v>116</v>
      </c>
      <c r="BO384" s="34" t="s">
        <v>120</v>
      </c>
      <c r="BP384" s="34" t="s">
        <v>108</v>
      </c>
      <c r="BQ384" s="34" t="s">
        <v>111</v>
      </c>
      <c r="BR384" s="34" t="s">
        <v>112</v>
      </c>
    </row>
    <row r="385" spans="49:70" x14ac:dyDescent="0.25">
      <c r="AW385" s="34" t="str">
        <f t="shared" si="20"/>
        <v>ABCFGIJL</v>
      </c>
      <c r="AX385" s="34">
        <v>383</v>
      </c>
      <c r="AY385" s="34" t="s">
        <v>119</v>
      </c>
      <c r="AZ385" s="34" t="s">
        <v>117</v>
      </c>
      <c r="BA385" s="34" t="s">
        <v>115</v>
      </c>
      <c r="BD385" s="34" t="s">
        <v>98</v>
      </c>
      <c r="BE385" s="34" t="s">
        <v>99</v>
      </c>
      <c r="BG385" s="34" t="s">
        <v>101</v>
      </c>
      <c r="BH385" s="34" t="s">
        <v>102</v>
      </c>
      <c r="BJ385" s="34" t="s">
        <v>104</v>
      </c>
      <c r="BK385" s="34" t="s">
        <v>116</v>
      </c>
      <c r="BL385" s="34" t="s">
        <v>106</v>
      </c>
      <c r="BM385" s="34" t="s">
        <v>118</v>
      </c>
      <c r="BN385" s="34" t="s">
        <v>108</v>
      </c>
      <c r="BO385" s="34" t="s">
        <v>120</v>
      </c>
      <c r="BP385" s="34" t="s">
        <v>110</v>
      </c>
      <c r="BQ385" s="34" t="s">
        <v>111</v>
      </c>
      <c r="BR385" s="34" t="s">
        <v>107</v>
      </c>
    </row>
    <row r="386" spans="49:70" x14ac:dyDescent="0.25">
      <c r="AW386" s="34" t="str">
        <f t="shared" si="20"/>
        <v>ABCFGIJK</v>
      </c>
      <c r="AX386" s="34">
        <v>384</v>
      </c>
      <c r="AY386" s="34" t="s">
        <v>119</v>
      </c>
      <c r="AZ386" s="34" t="s">
        <v>117</v>
      </c>
      <c r="BA386" s="34" t="s">
        <v>115</v>
      </c>
      <c r="BD386" s="34" t="s">
        <v>98</v>
      </c>
      <c r="BE386" s="34" t="s">
        <v>99</v>
      </c>
      <c r="BG386" s="34" t="s">
        <v>101</v>
      </c>
      <c r="BH386" s="34" t="s">
        <v>102</v>
      </c>
      <c r="BI386" s="34" t="s">
        <v>103</v>
      </c>
      <c r="BK386" s="34" t="s">
        <v>116</v>
      </c>
      <c r="BL386" s="34" t="s">
        <v>106</v>
      </c>
      <c r="BM386" s="34" t="s">
        <v>118</v>
      </c>
      <c r="BN386" s="34" t="s">
        <v>108</v>
      </c>
      <c r="BO386" s="34" t="s">
        <v>120</v>
      </c>
      <c r="BP386" s="34" t="s">
        <v>110</v>
      </c>
      <c r="BQ386" s="34" t="s">
        <v>107</v>
      </c>
      <c r="BR386" s="34" t="s">
        <v>112</v>
      </c>
    </row>
    <row r="387" spans="49:70" x14ac:dyDescent="0.25">
      <c r="AW387" s="34" t="str">
        <f t="shared" si="20"/>
        <v>ABCFGHKL</v>
      </c>
      <c r="AX387" s="34">
        <v>385</v>
      </c>
      <c r="AY387" s="34" t="s">
        <v>119</v>
      </c>
      <c r="AZ387" s="34" t="s">
        <v>117</v>
      </c>
      <c r="BA387" s="34" t="s">
        <v>115</v>
      </c>
      <c r="BD387" s="34" t="s">
        <v>98</v>
      </c>
      <c r="BE387" s="34" t="s">
        <v>99</v>
      </c>
      <c r="BF387" s="34" t="s">
        <v>100</v>
      </c>
      <c r="BI387" s="34" t="s">
        <v>103</v>
      </c>
      <c r="BJ387" s="34" t="s">
        <v>104</v>
      </c>
      <c r="BK387" s="34" t="s">
        <v>109</v>
      </c>
      <c r="BL387" s="34" t="s">
        <v>110</v>
      </c>
      <c r="BM387" s="34" t="s">
        <v>118</v>
      </c>
      <c r="BN387" s="34" t="s">
        <v>116</v>
      </c>
      <c r="BO387" s="34" t="s">
        <v>120</v>
      </c>
      <c r="BP387" s="34" t="s">
        <v>108</v>
      </c>
      <c r="BQ387" s="34" t="s">
        <v>111</v>
      </c>
      <c r="BR387" s="34" t="s">
        <v>112</v>
      </c>
    </row>
    <row r="388" spans="49:70" x14ac:dyDescent="0.25">
      <c r="AW388" s="34" t="str">
        <f t="shared" ref="AW388:AW451" si="21">AY388&amp;AZ388&amp;BA388&amp;BB388&amp;BC388&amp;BD388&amp;BE388&amp;BF388&amp;BG388&amp;BH388&amp;BI388&amp;BJ388</f>
        <v>ABCFGHJL</v>
      </c>
      <c r="AX388" s="34">
        <v>386</v>
      </c>
      <c r="AY388" s="34" t="s">
        <v>119</v>
      </c>
      <c r="AZ388" s="34" t="s">
        <v>117</v>
      </c>
      <c r="BA388" s="34" t="s">
        <v>115</v>
      </c>
      <c r="BD388" s="34" t="s">
        <v>98</v>
      </c>
      <c r="BE388" s="34" t="s">
        <v>99</v>
      </c>
      <c r="BF388" s="34" t="s">
        <v>100</v>
      </c>
      <c r="BH388" s="34" t="s">
        <v>102</v>
      </c>
      <c r="BJ388" s="34" t="s">
        <v>104</v>
      </c>
      <c r="BK388" s="34" t="s">
        <v>109</v>
      </c>
      <c r="BL388" s="34" t="s">
        <v>110</v>
      </c>
      <c r="BM388" s="34" t="s">
        <v>118</v>
      </c>
      <c r="BN388" s="34" t="s">
        <v>116</v>
      </c>
      <c r="BO388" s="34" t="s">
        <v>120</v>
      </c>
      <c r="BP388" s="34" t="s">
        <v>108</v>
      </c>
      <c r="BQ388" s="34" t="s">
        <v>111</v>
      </c>
      <c r="BR388" s="34" t="s">
        <v>106</v>
      </c>
    </row>
    <row r="389" spans="49:70" x14ac:dyDescent="0.25">
      <c r="AW389" s="34" t="str">
        <f t="shared" si="21"/>
        <v>ABCFGHJK</v>
      </c>
      <c r="AX389" s="34">
        <v>387</v>
      </c>
      <c r="AY389" s="34" t="s">
        <v>119</v>
      </c>
      <c r="AZ389" s="34" t="s">
        <v>117</v>
      </c>
      <c r="BA389" s="34" t="s">
        <v>115</v>
      </c>
      <c r="BD389" s="34" t="s">
        <v>98</v>
      </c>
      <c r="BE389" s="34" t="s">
        <v>99</v>
      </c>
      <c r="BF389" s="34" t="s">
        <v>100</v>
      </c>
      <c r="BH389" s="34" t="s">
        <v>102</v>
      </c>
      <c r="BI389" s="34" t="s">
        <v>103</v>
      </c>
      <c r="BK389" s="34" t="s">
        <v>109</v>
      </c>
      <c r="BL389" s="34" t="s">
        <v>110</v>
      </c>
      <c r="BM389" s="34" t="s">
        <v>118</v>
      </c>
      <c r="BN389" s="34" t="s">
        <v>116</v>
      </c>
      <c r="BO389" s="34" t="s">
        <v>120</v>
      </c>
      <c r="BP389" s="34" t="s">
        <v>108</v>
      </c>
      <c r="BQ389" s="34" t="s">
        <v>106</v>
      </c>
      <c r="BR389" s="34" t="s">
        <v>112</v>
      </c>
    </row>
    <row r="390" spans="49:70" x14ac:dyDescent="0.25">
      <c r="AW390" s="34" t="str">
        <f t="shared" si="21"/>
        <v>ABCFGHIL</v>
      </c>
      <c r="AX390" s="34">
        <v>388</v>
      </c>
      <c r="AY390" s="34" t="s">
        <v>119</v>
      </c>
      <c r="AZ390" s="34" t="s">
        <v>117</v>
      </c>
      <c r="BA390" s="34" t="s">
        <v>115</v>
      </c>
      <c r="BD390" s="34" t="s">
        <v>98</v>
      </c>
      <c r="BE390" s="34" t="s">
        <v>99</v>
      </c>
      <c r="BF390" s="34" t="s">
        <v>100</v>
      </c>
      <c r="BG390" s="34" t="s">
        <v>101</v>
      </c>
      <c r="BJ390" s="34" t="s">
        <v>104</v>
      </c>
      <c r="BK390" s="34" t="s">
        <v>109</v>
      </c>
      <c r="BL390" s="34" t="s">
        <v>110</v>
      </c>
      <c r="BM390" s="34" t="s">
        <v>118</v>
      </c>
      <c r="BN390" s="34" t="s">
        <v>116</v>
      </c>
      <c r="BO390" s="34" t="s">
        <v>120</v>
      </c>
      <c r="BP390" s="34" t="s">
        <v>108</v>
      </c>
      <c r="BQ390" s="34" t="s">
        <v>111</v>
      </c>
      <c r="BR390" s="34" t="s">
        <v>107</v>
      </c>
    </row>
    <row r="391" spans="49:70" x14ac:dyDescent="0.25">
      <c r="AW391" s="34" t="str">
        <f t="shared" si="21"/>
        <v>ABCFGHIK</v>
      </c>
      <c r="AX391" s="34">
        <v>389</v>
      </c>
      <c r="AY391" s="34" t="s">
        <v>119</v>
      </c>
      <c r="AZ391" s="34" t="s">
        <v>117</v>
      </c>
      <c r="BA391" s="34" t="s">
        <v>115</v>
      </c>
      <c r="BD391" s="34" t="s">
        <v>98</v>
      </c>
      <c r="BE391" s="34" t="s">
        <v>99</v>
      </c>
      <c r="BF391" s="34" t="s">
        <v>100</v>
      </c>
      <c r="BG391" s="34" t="s">
        <v>101</v>
      </c>
      <c r="BI391" s="34" t="s">
        <v>103</v>
      </c>
      <c r="BK391" s="34" t="s">
        <v>109</v>
      </c>
      <c r="BL391" s="34" t="s">
        <v>110</v>
      </c>
      <c r="BM391" s="34" t="s">
        <v>118</v>
      </c>
      <c r="BN391" s="34" t="s">
        <v>116</v>
      </c>
      <c r="BO391" s="34" t="s">
        <v>120</v>
      </c>
      <c r="BP391" s="34" t="s">
        <v>108</v>
      </c>
      <c r="BQ391" s="34" t="s">
        <v>107</v>
      </c>
      <c r="BR391" s="34" t="s">
        <v>112</v>
      </c>
    </row>
    <row r="392" spans="49:70" x14ac:dyDescent="0.25">
      <c r="AW392" s="34" t="str">
        <f t="shared" si="21"/>
        <v>ABCFGHIJ</v>
      </c>
      <c r="AX392" s="34">
        <v>390</v>
      </c>
      <c r="AY392" s="34" t="s">
        <v>119</v>
      </c>
      <c r="AZ392" s="34" t="s">
        <v>117</v>
      </c>
      <c r="BA392" s="34" t="s">
        <v>115</v>
      </c>
      <c r="BD392" s="34" t="s">
        <v>98</v>
      </c>
      <c r="BE392" s="34" t="s">
        <v>99</v>
      </c>
      <c r="BF392" s="34" t="s">
        <v>100</v>
      </c>
      <c r="BG392" s="34" t="s">
        <v>101</v>
      </c>
      <c r="BH392" s="34" t="s">
        <v>102</v>
      </c>
      <c r="BK392" s="34" t="s">
        <v>109</v>
      </c>
      <c r="BL392" s="34" t="s">
        <v>110</v>
      </c>
      <c r="BM392" s="34" t="s">
        <v>118</v>
      </c>
      <c r="BN392" s="34" t="s">
        <v>116</v>
      </c>
      <c r="BO392" s="34" t="s">
        <v>120</v>
      </c>
      <c r="BP392" s="34" t="s">
        <v>108</v>
      </c>
      <c r="BQ392" s="34" t="s">
        <v>107</v>
      </c>
      <c r="BR392" s="34" t="s">
        <v>106</v>
      </c>
    </row>
    <row r="393" spans="49:70" x14ac:dyDescent="0.25">
      <c r="AW393" s="34" t="str">
        <f t="shared" si="21"/>
        <v>ABCEIJKL</v>
      </c>
      <c r="AX393" s="34">
        <v>391</v>
      </c>
      <c r="AY393" s="34" t="s">
        <v>119</v>
      </c>
      <c r="AZ393" s="34" t="s">
        <v>117</v>
      </c>
      <c r="BA393" s="34" t="s">
        <v>115</v>
      </c>
      <c r="BC393" s="34" t="s">
        <v>97</v>
      </c>
      <c r="BG393" s="34" t="s">
        <v>101</v>
      </c>
      <c r="BH393" s="34" t="s">
        <v>102</v>
      </c>
      <c r="BI393" s="34" t="s">
        <v>103</v>
      </c>
      <c r="BJ393" s="34" t="s">
        <v>104</v>
      </c>
      <c r="BK393" s="34" t="s">
        <v>105</v>
      </c>
      <c r="BL393" s="34" t="s">
        <v>106</v>
      </c>
      <c r="BM393" s="34" t="s">
        <v>118</v>
      </c>
      <c r="BN393" s="34" t="s">
        <v>120</v>
      </c>
      <c r="BO393" s="34" t="s">
        <v>107</v>
      </c>
      <c r="BP393" s="34" t="s">
        <v>116</v>
      </c>
      <c r="BQ393" s="34" t="s">
        <v>111</v>
      </c>
      <c r="BR393" s="34" t="s">
        <v>112</v>
      </c>
    </row>
    <row r="394" spans="49:70" x14ac:dyDescent="0.25">
      <c r="AW394" s="34" t="str">
        <f t="shared" si="21"/>
        <v>ABCEHJKL</v>
      </c>
      <c r="AX394" s="34">
        <v>392</v>
      </c>
      <c r="AY394" s="34" t="s">
        <v>119</v>
      </c>
      <c r="AZ394" s="34" t="s">
        <v>117</v>
      </c>
      <c r="BA394" s="34" t="s">
        <v>115</v>
      </c>
      <c r="BC394" s="34" t="s">
        <v>97</v>
      </c>
      <c r="BF394" s="34" t="s">
        <v>100</v>
      </c>
      <c r="BH394" s="34" t="s">
        <v>102</v>
      </c>
      <c r="BI394" s="34" t="s">
        <v>103</v>
      </c>
      <c r="BJ394" s="34" t="s">
        <v>104</v>
      </c>
      <c r="BK394" s="34" t="s">
        <v>105</v>
      </c>
      <c r="BL394" s="34" t="s">
        <v>106</v>
      </c>
      <c r="BM394" s="34" t="s">
        <v>118</v>
      </c>
      <c r="BN394" s="34" t="s">
        <v>116</v>
      </c>
      <c r="BO394" s="34" t="s">
        <v>120</v>
      </c>
      <c r="BP394" s="34" t="s">
        <v>109</v>
      </c>
      <c r="BQ394" s="34" t="s">
        <v>111</v>
      </c>
      <c r="BR394" s="34" t="s">
        <v>112</v>
      </c>
    </row>
    <row r="395" spans="49:70" x14ac:dyDescent="0.25">
      <c r="AW395" s="34" t="str">
        <f t="shared" si="21"/>
        <v>ABCEHIKL</v>
      </c>
      <c r="AX395" s="34">
        <v>393</v>
      </c>
      <c r="AY395" s="34" t="s">
        <v>119</v>
      </c>
      <c r="AZ395" s="34" t="s">
        <v>117</v>
      </c>
      <c r="BA395" s="34" t="s">
        <v>115</v>
      </c>
      <c r="BC395" s="34" t="s">
        <v>97</v>
      </c>
      <c r="BF395" s="34" t="s">
        <v>100</v>
      </c>
      <c r="BG395" s="34" t="s">
        <v>101</v>
      </c>
      <c r="BI395" s="34" t="s">
        <v>103</v>
      </c>
      <c r="BJ395" s="34" t="s">
        <v>104</v>
      </c>
      <c r="BK395" s="34" t="s">
        <v>105</v>
      </c>
      <c r="BL395" s="34" t="s">
        <v>107</v>
      </c>
      <c r="BM395" s="34" t="s">
        <v>118</v>
      </c>
      <c r="BN395" s="34" t="s">
        <v>116</v>
      </c>
      <c r="BO395" s="34" t="s">
        <v>120</v>
      </c>
      <c r="BP395" s="34" t="s">
        <v>109</v>
      </c>
      <c r="BQ395" s="34" t="s">
        <v>111</v>
      </c>
      <c r="BR395" s="34" t="s">
        <v>112</v>
      </c>
    </row>
    <row r="396" spans="49:70" x14ac:dyDescent="0.25">
      <c r="AW396" s="34" t="str">
        <f t="shared" si="21"/>
        <v>ABCEHIJL</v>
      </c>
      <c r="AX396" s="34">
        <v>394</v>
      </c>
      <c r="AY396" s="34" t="s">
        <v>119</v>
      </c>
      <c r="AZ396" s="34" t="s">
        <v>117</v>
      </c>
      <c r="BA396" s="34" t="s">
        <v>115</v>
      </c>
      <c r="BC396" s="34" t="s">
        <v>97</v>
      </c>
      <c r="BF396" s="34" t="s">
        <v>100</v>
      </c>
      <c r="BG396" s="34" t="s">
        <v>101</v>
      </c>
      <c r="BH396" s="34" t="s">
        <v>102</v>
      </c>
      <c r="BJ396" s="34" t="s">
        <v>104</v>
      </c>
      <c r="BK396" s="34" t="s">
        <v>105</v>
      </c>
      <c r="BL396" s="34" t="s">
        <v>106</v>
      </c>
      <c r="BM396" s="34" t="s">
        <v>118</v>
      </c>
      <c r="BN396" s="34" t="s">
        <v>116</v>
      </c>
      <c r="BO396" s="34" t="s">
        <v>120</v>
      </c>
      <c r="BP396" s="34" t="s">
        <v>109</v>
      </c>
      <c r="BQ396" s="34" t="s">
        <v>111</v>
      </c>
      <c r="BR396" s="34" t="s">
        <v>107</v>
      </c>
    </row>
    <row r="397" spans="49:70" x14ac:dyDescent="0.25">
      <c r="AW397" s="34" t="str">
        <f t="shared" si="21"/>
        <v>ABCEHIJK</v>
      </c>
      <c r="AX397" s="34">
        <v>395</v>
      </c>
      <c r="AY397" s="34" t="s">
        <v>119</v>
      </c>
      <c r="AZ397" s="34" t="s">
        <v>117</v>
      </c>
      <c r="BA397" s="34" t="s">
        <v>115</v>
      </c>
      <c r="BC397" s="34" t="s">
        <v>97</v>
      </c>
      <c r="BF397" s="34" t="s">
        <v>100</v>
      </c>
      <c r="BG397" s="34" t="s">
        <v>101</v>
      </c>
      <c r="BH397" s="34" t="s">
        <v>102</v>
      </c>
      <c r="BI397" s="34" t="s">
        <v>103</v>
      </c>
      <c r="BK397" s="34" t="s">
        <v>105</v>
      </c>
      <c r="BL397" s="34" t="s">
        <v>106</v>
      </c>
      <c r="BM397" s="34" t="s">
        <v>118</v>
      </c>
      <c r="BN397" s="34" t="s">
        <v>116</v>
      </c>
      <c r="BO397" s="34" t="s">
        <v>120</v>
      </c>
      <c r="BP397" s="34" t="s">
        <v>109</v>
      </c>
      <c r="BQ397" s="34" t="s">
        <v>107</v>
      </c>
      <c r="BR397" s="34" t="s">
        <v>112</v>
      </c>
    </row>
    <row r="398" spans="49:70" x14ac:dyDescent="0.25">
      <c r="AW398" s="34" t="str">
        <f t="shared" si="21"/>
        <v>ABCEGJKL</v>
      </c>
      <c r="AX398" s="34">
        <v>396</v>
      </c>
      <c r="AY398" s="34" t="s">
        <v>119</v>
      </c>
      <c r="AZ398" s="34" t="s">
        <v>117</v>
      </c>
      <c r="BA398" s="34" t="s">
        <v>115</v>
      </c>
      <c r="BC398" s="34" t="s">
        <v>97</v>
      </c>
      <c r="BE398" s="34" t="s">
        <v>99</v>
      </c>
      <c r="BH398" s="34" t="s">
        <v>102</v>
      </c>
      <c r="BI398" s="34" t="s">
        <v>103</v>
      </c>
      <c r="BJ398" s="34" t="s">
        <v>104</v>
      </c>
      <c r="BK398" s="34" t="s">
        <v>105</v>
      </c>
      <c r="BL398" s="34" t="s">
        <v>106</v>
      </c>
      <c r="BM398" s="34" t="s">
        <v>118</v>
      </c>
      <c r="BN398" s="34" t="s">
        <v>116</v>
      </c>
      <c r="BO398" s="34" t="s">
        <v>120</v>
      </c>
      <c r="BP398" s="34" t="s">
        <v>110</v>
      </c>
      <c r="BQ398" s="34" t="s">
        <v>111</v>
      </c>
      <c r="BR398" s="34" t="s">
        <v>112</v>
      </c>
    </row>
    <row r="399" spans="49:70" x14ac:dyDescent="0.25">
      <c r="AW399" s="34" t="str">
        <f t="shared" si="21"/>
        <v>ABCEGIKL</v>
      </c>
      <c r="AX399" s="34">
        <v>397</v>
      </c>
      <c r="AY399" s="34" t="s">
        <v>119</v>
      </c>
      <c r="AZ399" s="34" t="s">
        <v>117</v>
      </c>
      <c r="BA399" s="34" t="s">
        <v>115</v>
      </c>
      <c r="BC399" s="34" t="s">
        <v>97</v>
      </c>
      <c r="BE399" s="34" t="s">
        <v>99</v>
      </c>
      <c r="BG399" s="34" t="s">
        <v>101</v>
      </c>
      <c r="BI399" s="34" t="s">
        <v>103</v>
      </c>
      <c r="BJ399" s="34" t="s">
        <v>104</v>
      </c>
      <c r="BK399" s="34" t="s">
        <v>105</v>
      </c>
      <c r="BL399" s="34" t="s">
        <v>110</v>
      </c>
      <c r="BM399" s="34" t="s">
        <v>118</v>
      </c>
      <c r="BN399" s="34" t="s">
        <v>120</v>
      </c>
      <c r="BO399" s="34" t="s">
        <v>107</v>
      </c>
      <c r="BP399" s="34" t="s">
        <v>116</v>
      </c>
      <c r="BQ399" s="34" t="s">
        <v>111</v>
      </c>
      <c r="BR399" s="34" t="s">
        <v>112</v>
      </c>
    </row>
    <row r="400" spans="49:70" x14ac:dyDescent="0.25">
      <c r="AW400" s="34" t="str">
        <f t="shared" si="21"/>
        <v>ABCEGIJL</v>
      </c>
      <c r="AX400" s="34">
        <v>398</v>
      </c>
      <c r="AY400" s="34" t="s">
        <v>119</v>
      </c>
      <c r="AZ400" s="34" t="s">
        <v>117</v>
      </c>
      <c r="BA400" s="34" t="s">
        <v>115</v>
      </c>
      <c r="BC400" s="34" t="s">
        <v>97</v>
      </c>
      <c r="BE400" s="34" t="s">
        <v>99</v>
      </c>
      <c r="BG400" s="34" t="s">
        <v>101</v>
      </c>
      <c r="BH400" s="34" t="s">
        <v>102</v>
      </c>
      <c r="BJ400" s="34" t="s">
        <v>104</v>
      </c>
      <c r="BK400" s="34" t="s">
        <v>105</v>
      </c>
      <c r="BL400" s="34" t="s">
        <v>106</v>
      </c>
      <c r="BM400" s="34" t="s">
        <v>118</v>
      </c>
      <c r="BN400" s="34" t="s">
        <v>116</v>
      </c>
      <c r="BO400" s="34" t="s">
        <v>120</v>
      </c>
      <c r="BP400" s="34" t="s">
        <v>110</v>
      </c>
      <c r="BQ400" s="34" t="s">
        <v>111</v>
      </c>
      <c r="BR400" s="34" t="s">
        <v>107</v>
      </c>
    </row>
    <row r="401" spans="49:70" x14ac:dyDescent="0.25">
      <c r="AW401" s="34" t="str">
        <f t="shared" si="21"/>
        <v>ABCEGIJK</v>
      </c>
      <c r="AX401" s="34">
        <v>399</v>
      </c>
      <c r="AY401" s="34" t="s">
        <v>119</v>
      </c>
      <c r="AZ401" s="34" t="s">
        <v>117</v>
      </c>
      <c r="BA401" s="34" t="s">
        <v>115</v>
      </c>
      <c r="BC401" s="34" t="s">
        <v>97</v>
      </c>
      <c r="BE401" s="34" t="s">
        <v>99</v>
      </c>
      <c r="BG401" s="34" t="s">
        <v>101</v>
      </c>
      <c r="BH401" s="34" t="s">
        <v>102</v>
      </c>
      <c r="BI401" s="34" t="s">
        <v>103</v>
      </c>
      <c r="BK401" s="34" t="s">
        <v>105</v>
      </c>
      <c r="BL401" s="34" t="s">
        <v>106</v>
      </c>
      <c r="BM401" s="34" t="s">
        <v>118</v>
      </c>
      <c r="BN401" s="34" t="s">
        <v>116</v>
      </c>
      <c r="BO401" s="34" t="s">
        <v>120</v>
      </c>
      <c r="BP401" s="34" t="s">
        <v>110</v>
      </c>
      <c r="BQ401" s="34" t="s">
        <v>107</v>
      </c>
      <c r="BR401" s="34" t="s">
        <v>112</v>
      </c>
    </row>
    <row r="402" spans="49:70" x14ac:dyDescent="0.25">
      <c r="AW402" s="34" t="str">
        <f t="shared" si="21"/>
        <v>ABCEGHKL</v>
      </c>
      <c r="AX402" s="34">
        <v>400</v>
      </c>
      <c r="AY402" s="34" t="s">
        <v>119</v>
      </c>
      <c r="AZ402" s="34" t="s">
        <v>117</v>
      </c>
      <c r="BA402" s="34" t="s">
        <v>115</v>
      </c>
      <c r="BC402" s="34" t="s">
        <v>97</v>
      </c>
      <c r="BE402" s="34" t="s">
        <v>99</v>
      </c>
      <c r="BF402" s="34" t="s">
        <v>100</v>
      </c>
      <c r="BI402" s="34" t="s">
        <v>103</v>
      </c>
      <c r="BJ402" s="34" t="s">
        <v>104</v>
      </c>
      <c r="BK402" s="34" t="s">
        <v>105</v>
      </c>
      <c r="BL402" s="34" t="s">
        <v>110</v>
      </c>
      <c r="BM402" s="34" t="s">
        <v>118</v>
      </c>
      <c r="BN402" s="34" t="s">
        <v>116</v>
      </c>
      <c r="BO402" s="34" t="s">
        <v>120</v>
      </c>
      <c r="BP402" s="34" t="s">
        <v>109</v>
      </c>
      <c r="BQ402" s="34" t="s">
        <v>111</v>
      </c>
      <c r="BR402" s="34" t="s">
        <v>112</v>
      </c>
    </row>
    <row r="403" spans="49:70" x14ac:dyDescent="0.25">
      <c r="AW403" s="34" t="str">
        <f t="shared" si="21"/>
        <v>ABCEGHJL</v>
      </c>
      <c r="AX403" s="34">
        <v>401</v>
      </c>
      <c r="AY403" s="34" t="s">
        <v>119</v>
      </c>
      <c r="AZ403" s="34" t="s">
        <v>117</v>
      </c>
      <c r="BA403" s="34" t="s">
        <v>115</v>
      </c>
      <c r="BC403" s="34" t="s">
        <v>97</v>
      </c>
      <c r="BE403" s="34" t="s">
        <v>99</v>
      </c>
      <c r="BF403" s="34" t="s">
        <v>100</v>
      </c>
      <c r="BH403" s="34" t="s">
        <v>102</v>
      </c>
      <c r="BJ403" s="34" t="s">
        <v>104</v>
      </c>
      <c r="BK403" s="34" t="s">
        <v>109</v>
      </c>
      <c r="BL403" s="34" t="s">
        <v>106</v>
      </c>
      <c r="BM403" s="34" t="s">
        <v>118</v>
      </c>
      <c r="BN403" s="34" t="s">
        <v>116</v>
      </c>
      <c r="BO403" s="34" t="s">
        <v>120</v>
      </c>
      <c r="BP403" s="34" t="s">
        <v>110</v>
      </c>
      <c r="BQ403" s="34" t="s">
        <v>111</v>
      </c>
      <c r="BR403" s="34" t="s">
        <v>105</v>
      </c>
    </row>
    <row r="404" spans="49:70" x14ac:dyDescent="0.25">
      <c r="AW404" s="34" t="str">
        <f t="shared" si="21"/>
        <v>ABCEGHJK</v>
      </c>
      <c r="AX404" s="34">
        <v>402</v>
      </c>
      <c r="AY404" s="34" t="s">
        <v>119</v>
      </c>
      <c r="AZ404" s="34" t="s">
        <v>117</v>
      </c>
      <c r="BA404" s="34" t="s">
        <v>115</v>
      </c>
      <c r="BC404" s="34" t="s">
        <v>97</v>
      </c>
      <c r="BE404" s="34" t="s">
        <v>99</v>
      </c>
      <c r="BF404" s="34" t="s">
        <v>100</v>
      </c>
      <c r="BH404" s="34" t="s">
        <v>102</v>
      </c>
      <c r="BI404" s="34" t="s">
        <v>103</v>
      </c>
      <c r="BK404" s="34" t="s">
        <v>109</v>
      </c>
      <c r="BL404" s="34" t="s">
        <v>106</v>
      </c>
      <c r="BM404" s="34" t="s">
        <v>118</v>
      </c>
      <c r="BN404" s="34" t="s">
        <v>116</v>
      </c>
      <c r="BO404" s="34" t="s">
        <v>120</v>
      </c>
      <c r="BP404" s="34" t="s">
        <v>110</v>
      </c>
      <c r="BQ404" s="34" t="s">
        <v>105</v>
      </c>
      <c r="BR404" s="34" t="s">
        <v>112</v>
      </c>
    </row>
    <row r="405" spans="49:70" x14ac:dyDescent="0.25">
      <c r="AW405" s="34" t="str">
        <f t="shared" si="21"/>
        <v>ABCEGHIL</v>
      </c>
      <c r="AX405" s="34">
        <v>403</v>
      </c>
      <c r="AY405" s="34" t="s">
        <v>119</v>
      </c>
      <c r="AZ405" s="34" t="s">
        <v>117</v>
      </c>
      <c r="BA405" s="34" t="s">
        <v>115</v>
      </c>
      <c r="BC405" s="34" t="s">
        <v>97</v>
      </c>
      <c r="BE405" s="34" t="s">
        <v>99</v>
      </c>
      <c r="BF405" s="34" t="s">
        <v>100</v>
      </c>
      <c r="BG405" s="34" t="s">
        <v>101</v>
      </c>
      <c r="BJ405" s="34" t="s">
        <v>104</v>
      </c>
      <c r="BK405" s="34" t="s">
        <v>105</v>
      </c>
      <c r="BL405" s="34" t="s">
        <v>110</v>
      </c>
      <c r="BM405" s="34" t="s">
        <v>118</v>
      </c>
      <c r="BN405" s="34" t="s">
        <v>116</v>
      </c>
      <c r="BO405" s="34" t="s">
        <v>120</v>
      </c>
      <c r="BP405" s="34" t="s">
        <v>109</v>
      </c>
      <c r="BQ405" s="34" t="s">
        <v>111</v>
      </c>
      <c r="BR405" s="34" t="s">
        <v>107</v>
      </c>
    </row>
    <row r="406" spans="49:70" x14ac:dyDescent="0.25">
      <c r="AW406" s="34" t="str">
        <f t="shared" si="21"/>
        <v>ABCEGHIK</v>
      </c>
      <c r="AX406" s="34">
        <v>404</v>
      </c>
      <c r="AY406" s="34" t="s">
        <v>119</v>
      </c>
      <c r="AZ406" s="34" t="s">
        <v>117</v>
      </c>
      <c r="BA406" s="34" t="s">
        <v>115</v>
      </c>
      <c r="BC406" s="34" t="s">
        <v>97</v>
      </c>
      <c r="BE406" s="34" t="s">
        <v>99</v>
      </c>
      <c r="BF406" s="34" t="s">
        <v>100</v>
      </c>
      <c r="BG406" s="34" t="s">
        <v>101</v>
      </c>
      <c r="BI406" s="34" t="s">
        <v>103</v>
      </c>
      <c r="BK406" s="34" t="s">
        <v>105</v>
      </c>
      <c r="BL406" s="34" t="s">
        <v>110</v>
      </c>
      <c r="BM406" s="34" t="s">
        <v>118</v>
      </c>
      <c r="BN406" s="34" t="s">
        <v>116</v>
      </c>
      <c r="BO406" s="34" t="s">
        <v>120</v>
      </c>
      <c r="BP406" s="34" t="s">
        <v>109</v>
      </c>
      <c r="BQ406" s="34" t="s">
        <v>107</v>
      </c>
      <c r="BR406" s="34" t="s">
        <v>112</v>
      </c>
    </row>
    <row r="407" spans="49:70" x14ac:dyDescent="0.25">
      <c r="AW407" s="34" t="str">
        <f t="shared" si="21"/>
        <v>ABCEGHIJ</v>
      </c>
      <c r="AX407" s="34">
        <v>405</v>
      </c>
      <c r="AY407" s="34" t="s">
        <v>119</v>
      </c>
      <c r="AZ407" s="34" t="s">
        <v>117</v>
      </c>
      <c r="BA407" s="34" t="s">
        <v>115</v>
      </c>
      <c r="BC407" s="34" t="s">
        <v>97</v>
      </c>
      <c r="BE407" s="34" t="s">
        <v>99</v>
      </c>
      <c r="BF407" s="34" t="s">
        <v>100</v>
      </c>
      <c r="BG407" s="34" t="s">
        <v>101</v>
      </c>
      <c r="BH407" s="34" t="s">
        <v>102</v>
      </c>
      <c r="BK407" s="34" t="s">
        <v>109</v>
      </c>
      <c r="BL407" s="34" t="s">
        <v>106</v>
      </c>
      <c r="BM407" s="34" t="s">
        <v>118</v>
      </c>
      <c r="BN407" s="34" t="s">
        <v>116</v>
      </c>
      <c r="BO407" s="34" t="s">
        <v>120</v>
      </c>
      <c r="BP407" s="34" t="s">
        <v>110</v>
      </c>
      <c r="BQ407" s="34" t="s">
        <v>105</v>
      </c>
      <c r="BR407" s="34" t="s">
        <v>107</v>
      </c>
    </row>
    <row r="408" spans="49:70" x14ac:dyDescent="0.25">
      <c r="AW408" s="34" t="str">
        <f t="shared" si="21"/>
        <v>ABCEFJKL</v>
      </c>
      <c r="AX408" s="34">
        <v>406</v>
      </c>
      <c r="AY408" s="34" t="s">
        <v>119</v>
      </c>
      <c r="AZ408" s="34" t="s">
        <v>117</v>
      </c>
      <c r="BA408" s="34" t="s">
        <v>115</v>
      </c>
      <c r="BC408" s="34" t="s">
        <v>97</v>
      </c>
      <c r="BD408" s="34" t="s">
        <v>98</v>
      </c>
      <c r="BH408" s="34" t="s">
        <v>102</v>
      </c>
      <c r="BI408" s="34" t="s">
        <v>103</v>
      </c>
      <c r="BJ408" s="34" t="s">
        <v>104</v>
      </c>
      <c r="BK408" s="34" t="s">
        <v>105</v>
      </c>
      <c r="BL408" s="34" t="s">
        <v>106</v>
      </c>
      <c r="BM408" s="34" t="s">
        <v>118</v>
      </c>
      <c r="BN408" s="34" t="s">
        <v>116</v>
      </c>
      <c r="BO408" s="34" t="s">
        <v>120</v>
      </c>
      <c r="BP408" s="34" t="s">
        <v>108</v>
      </c>
      <c r="BQ408" s="34" t="s">
        <v>111</v>
      </c>
      <c r="BR408" s="34" t="s">
        <v>112</v>
      </c>
    </row>
    <row r="409" spans="49:70" x14ac:dyDescent="0.25">
      <c r="AW409" s="34" t="str">
        <f t="shared" si="21"/>
        <v>ABCEFIKL</v>
      </c>
      <c r="AX409" s="34">
        <v>407</v>
      </c>
      <c r="AY409" s="34" t="s">
        <v>119</v>
      </c>
      <c r="AZ409" s="34" t="s">
        <v>117</v>
      </c>
      <c r="BA409" s="34" t="s">
        <v>115</v>
      </c>
      <c r="BC409" s="34" t="s">
        <v>97</v>
      </c>
      <c r="BD409" s="34" t="s">
        <v>98</v>
      </c>
      <c r="BG409" s="34" t="s">
        <v>101</v>
      </c>
      <c r="BI409" s="34" t="s">
        <v>103</v>
      </c>
      <c r="BJ409" s="34" t="s">
        <v>104</v>
      </c>
      <c r="BK409" s="34" t="s">
        <v>105</v>
      </c>
      <c r="BL409" s="34" t="s">
        <v>107</v>
      </c>
      <c r="BM409" s="34" t="s">
        <v>118</v>
      </c>
      <c r="BN409" s="34" t="s">
        <v>116</v>
      </c>
      <c r="BO409" s="34" t="s">
        <v>120</v>
      </c>
      <c r="BP409" s="34" t="s">
        <v>108</v>
      </c>
      <c r="BQ409" s="34" t="s">
        <v>111</v>
      </c>
      <c r="BR409" s="34" t="s">
        <v>112</v>
      </c>
    </row>
    <row r="410" spans="49:70" x14ac:dyDescent="0.25">
      <c r="AW410" s="34" t="str">
        <f t="shared" si="21"/>
        <v>ABCEFIJL</v>
      </c>
      <c r="AX410" s="34">
        <v>408</v>
      </c>
      <c r="AY410" s="34" t="s">
        <v>119</v>
      </c>
      <c r="AZ410" s="34" t="s">
        <v>117</v>
      </c>
      <c r="BA410" s="34" t="s">
        <v>115</v>
      </c>
      <c r="BC410" s="34" t="s">
        <v>97</v>
      </c>
      <c r="BD410" s="34" t="s">
        <v>98</v>
      </c>
      <c r="BG410" s="34" t="s">
        <v>101</v>
      </c>
      <c r="BH410" s="34" t="s">
        <v>102</v>
      </c>
      <c r="BJ410" s="34" t="s">
        <v>104</v>
      </c>
      <c r="BK410" s="34" t="s">
        <v>105</v>
      </c>
      <c r="BL410" s="34" t="s">
        <v>106</v>
      </c>
      <c r="BM410" s="34" t="s">
        <v>118</v>
      </c>
      <c r="BN410" s="34" t="s">
        <v>116</v>
      </c>
      <c r="BO410" s="34" t="s">
        <v>120</v>
      </c>
      <c r="BP410" s="34" t="s">
        <v>108</v>
      </c>
      <c r="BQ410" s="34" t="s">
        <v>111</v>
      </c>
      <c r="BR410" s="34" t="s">
        <v>107</v>
      </c>
    </row>
    <row r="411" spans="49:70" x14ac:dyDescent="0.25">
      <c r="AW411" s="34" t="str">
        <f t="shared" si="21"/>
        <v>ABCEFIJK</v>
      </c>
      <c r="AX411" s="34">
        <v>409</v>
      </c>
      <c r="AY411" s="34" t="s">
        <v>119</v>
      </c>
      <c r="AZ411" s="34" t="s">
        <v>117</v>
      </c>
      <c r="BA411" s="34" t="s">
        <v>115</v>
      </c>
      <c r="BC411" s="34" t="s">
        <v>97</v>
      </c>
      <c r="BD411" s="34" t="s">
        <v>98</v>
      </c>
      <c r="BG411" s="34" t="s">
        <v>101</v>
      </c>
      <c r="BH411" s="34" t="s">
        <v>102</v>
      </c>
      <c r="BI411" s="34" t="s">
        <v>103</v>
      </c>
      <c r="BK411" s="34" t="s">
        <v>105</v>
      </c>
      <c r="BL411" s="34" t="s">
        <v>106</v>
      </c>
      <c r="BM411" s="34" t="s">
        <v>118</v>
      </c>
      <c r="BN411" s="34" t="s">
        <v>116</v>
      </c>
      <c r="BO411" s="34" t="s">
        <v>120</v>
      </c>
      <c r="BP411" s="34" t="s">
        <v>108</v>
      </c>
      <c r="BQ411" s="34" t="s">
        <v>107</v>
      </c>
      <c r="BR411" s="34" t="s">
        <v>112</v>
      </c>
    </row>
    <row r="412" spans="49:70" x14ac:dyDescent="0.25">
      <c r="AW412" s="34" t="str">
        <f t="shared" si="21"/>
        <v>ABCEFHKL</v>
      </c>
      <c r="AX412" s="34">
        <v>410</v>
      </c>
      <c r="AY412" s="34" t="s">
        <v>119</v>
      </c>
      <c r="AZ412" s="34" t="s">
        <v>117</v>
      </c>
      <c r="BA412" s="34" t="s">
        <v>115</v>
      </c>
      <c r="BC412" s="34" t="s">
        <v>97</v>
      </c>
      <c r="BD412" s="34" t="s">
        <v>98</v>
      </c>
      <c r="BF412" s="34" t="s">
        <v>100</v>
      </c>
      <c r="BI412" s="34" t="s">
        <v>103</v>
      </c>
      <c r="BJ412" s="34" t="s">
        <v>104</v>
      </c>
      <c r="BK412" s="34" t="s">
        <v>109</v>
      </c>
      <c r="BL412" s="34" t="s">
        <v>105</v>
      </c>
      <c r="BM412" s="34" t="s">
        <v>118</v>
      </c>
      <c r="BN412" s="34" t="s">
        <v>116</v>
      </c>
      <c r="BO412" s="34" t="s">
        <v>120</v>
      </c>
      <c r="BP412" s="34" t="s">
        <v>108</v>
      </c>
      <c r="BQ412" s="34" t="s">
        <v>111</v>
      </c>
      <c r="BR412" s="34" t="s">
        <v>112</v>
      </c>
    </row>
    <row r="413" spans="49:70" x14ac:dyDescent="0.25">
      <c r="AW413" s="34" t="str">
        <f t="shared" si="21"/>
        <v>ABCEFHJL</v>
      </c>
      <c r="AX413" s="34">
        <v>411</v>
      </c>
      <c r="AY413" s="34" t="s">
        <v>119</v>
      </c>
      <c r="AZ413" s="34" t="s">
        <v>117</v>
      </c>
      <c r="BA413" s="34" t="s">
        <v>115</v>
      </c>
      <c r="BC413" s="34" t="s">
        <v>97</v>
      </c>
      <c r="BD413" s="34" t="s">
        <v>98</v>
      </c>
      <c r="BF413" s="34" t="s">
        <v>100</v>
      </c>
      <c r="BH413" s="34" t="s">
        <v>102</v>
      </c>
      <c r="BJ413" s="34" t="s">
        <v>104</v>
      </c>
      <c r="BK413" s="34" t="s">
        <v>109</v>
      </c>
      <c r="BL413" s="34" t="s">
        <v>106</v>
      </c>
      <c r="BM413" s="34" t="s">
        <v>118</v>
      </c>
      <c r="BN413" s="34" t="s">
        <v>116</v>
      </c>
      <c r="BO413" s="34" t="s">
        <v>120</v>
      </c>
      <c r="BP413" s="34" t="s">
        <v>108</v>
      </c>
      <c r="BQ413" s="34" t="s">
        <v>111</v>
      </c>
      <c r="BR413" s="34" t="s">
        <v>105</v>
      </c>
    </row>
    <row r="414" spans="49:70" x14ac:dyDescent="0.25">
      <c r="AW414" s="34" t="str">
        <f t="shared" si="21"/>
        <v>ABCEFHJK</v>
      </c>
      <c r="AX414" s="34">
        <v>412</v>
      </c>
      <c r="AY414" s="34" t="s">
        <v>119</v>
      </c>
      <c r="AZ414" s="34" t="s">
        <v>117</v>
      </c>
      <c r="BA414" s="34" t="s">
        <v>115</v>
      </c>
      <c r="BC414" s="34" t="s">
        <v>97</v>
      </c>
      <c r="BD414" s="34" t="s">
        <v>98</v>
      </c>
      <c r="BF414" s="34" t="s">
        <v>100</v>
      </c>
      <c r="BH414" s="34" t="s">
        <v>102</v>
      </c>
      <c r="BI414" s="34" t="s">
        <v>103</v>
      </c>
      <c r="BK414" s="34" t="s">
        <v>109</v>
      </c>
      <c r="BL414" s="34" t="s">
        <v>106</v>
      </c>
      <c r="BM414" s="34" t="s">
        <v>118</v>
      </c>
      <c r="BN414" s="34" t="s">
        <v>116</v>
      </c>
      <c r="BO414" s="34" t="s">
        <v>120</v>
      </c>
      <c r="BP414" s="34" t="s">
        <v>108</v>
      </c>
      <c r="BQ414" s="34" t="s">
        <v>105</v>
      </c>
      <c r="BR414" s="34" t="s">
        <v>112</v>
      </c>
    </row>
    <row r="415" spans="49:70" x14ac:dyDescent="0.25">
      <c r="AW415" s="34" t="str">
        <f t="shared" si="21"/>
        <v>ABCEFHIL</v>
      </c>
      <c r="AX415" s="34">
        <v>413</v>
      </c>
      <c r="AY415" s="34" t="s">
        <v>119</v>
      </c>
      <c r="AZ415" s="34" t="s">
        <v>117</v>
      </c>
      <c r="BA415" s="34" t="s">
        <v>115</v>
      </c>
      <c r="BC415" s="34" t="s">
        <v>97</v>
      </c>
      <c r="BD415" s="34" t="s">
        <v>98</v>
      </c>
      <c r="BF415" s="34" t="s">
        <v>100</v>
      </c>
      <c r="BG415" s="34" t="s">
        <v>101</v>
      </c>
      <c r="BJ415" s="34" t="s">
        <v>104</v>
      </c>
      <c r="BK415" s="34" t="s">
        <v>109</v>
      </c>
      <c r="BL415" s="34" t="s">
        <v>105</v>
      </c>
      <c r="BM415" s="34" t="s">
        <v>118</v>
      </c>
      <c r="BN415" s="34" t="s">
        <v>116</v>
      </c>
      <c r="BO415" s="34" t="s">
        <v>120</v>
      </c>
      <c r="BP415" s="34" t="s">
        <v>108</v>
      </c>
      <c r="BQ415" s="34" t="s">
        <v>111</v>
      </c>
      <c r="BR415" s="34" t="s">
        <v>107</v>
      </c>
    </row>
    <row r="416" spans="49:70" x14ac:dyDescent="0.25">
      <c r="AW416" s="34" t="str">
        <f t="shared" si="21"/>
        <v>ABCEFHIK</v>
      </c>
      <c r="AX416" s="34">
        <v>414</v>
      </c>
      <c r="AY416" s="34" t="s">
        <v>119</v>
      </c>
      <c r="AZ416" s="34" t="s">
        <v>117</v>
      </c>
      <c r="BA416" s="34" t="s">
        <v>115</v>
      </c>
      <c r="BC416" s="34" t="s">
        <v>97</v>
      </c>
      <c r="BD416" s="34" t="s">
        <v>98</v>
      </c>
      <c r="BF416" s="34" t="s">
        <v>100</v>
      </c>
      <c r="BG416" s="34" t="s">
        <v>101</v>
      </c>
      <c r="BI416" s="34" t="s">
        <v>103</v>
      </c>
      <c r="BK416" s="34" t="s">
        <v>109</v>
      </c>
      <c r="BL416" s="34" t="s">
        <v>105</v>
      </c>
      <c r="BM416" s="34" t="s">
        <v>118</v>
      </c>
      <c r="BN416" s="34" t="s">
        <v>116</v>
      </c>
      <c r="BO416" s="34" t="s">
        <v>120</v>
      </c>
      <c r="BP416" s="34" t="s">
        <v>108</v>
      </c>
      <c r="BQ416" s="34" t="s">
        <v>107</v>
      </c>
      <c r="BR416" s="34" t="s">
        <v>112</v>
      </c>
    </row>
    <row r="417" spans="49:70" x14ac:dyDescent="0.25">
      <c r="AW417" s="34" t="str">
        <f t="shared" si="21"/>
        <v>ABCEFHIJ</v>
      </c>
      <c r="AX417" s="34">
        <v>415</v>
      </c>
      <c r="AY417" s="34" t="s">
        <v>119</v>
      </c>
      <c r="AZ417" s="34" t="s">
        <v>117</v>
      </c>
      <c r="BA417" s="34" t="s">
        <v>115</v>
      </c>
      <c r="BC417" s="34" t="s">
        <v>97</v>
      </c>
      <c r="BD417" s="34" t="s">
        <v>98</v>
      </c>
      <c r="BF417" s="34" t="s">
        <v>100</v>
      </c>
      <c r="BG417" s="34" t="s">
        <v>101</v>
      </c>
      <c r="BH417" s="34" t="s">
        <v>102</v>
      </c>
      <c r="BK417" s="34" t="s">
        <v>109</v>
      </c>
      <c r="BL417" s="34" t="s">
        <v>106</v>
      </c>
      <c r="BM417" s="34" t="s">
        <v>118</v>
      </c>
      <c r="BN417" s="34" t="s">
        <v>116</v>
      </c>
      <c r="BO417" s="34" t="s">
        <v>120</v>
      </c>
      <c r="BP417" s="34" t="s">
        <v>108</v>
      </c>
      <c r="BQ417" s="34" t="s">
        <v>105</v>
      </c>
      <c r="BR417" s="34" t="s">
        <v>107</v>
      </c>
    </row>
    <row r="418" spans="49:70" x14ac:dyDescent="0.25">
      <c r="AW418" s="34" t="str">
        <f t="shared" si="21"/>
        <v>ABCEFGKL</v>
      </c>
      <c r="AX418" s="34">
        <v>416</v>
      </c>
      <c r="AY418" s="34" t="s">
        <v>119</v>
      </c>
      <c r="AZ418" s="34" t="s">
        <v>117</v>
      </c>
      <c r="BA418" s="34" t="s">
        <v>115</v>
      </c>
      <c r="BC418" s="34" t="s">
        <v>97</v>
      </c>
      <c r="BD418" s="34" t="s">
        <v>98</v>
      </c>
      <c r="BE418" s="34" t="s">
        <v>99</v>
      </c>
      <c r="BI418" s="34" t="s">
        <v>103</v>
      </c>
      <c r="BJ418" s="34" t="s">
        <v>104</v>
      </c>
      <c r="BK418" s="34" t="s">
        <v>105</v>
      </c>
      <c r="BL418" s="34" t="s">
        <v>110</v>
      </c>
      <c r="BM418" s="34" t="s">
        <v>118</v>
      </c>
      <c r="BN418" s="34" t="s">
        <v>116</v>
      </c>
      <c r="BO418" s="34" t="s">
        <v>120</v>
      </c>
      <c r="BP418" s="34" t="s">
        <v>108</v>
      </c>
      <c r="BQ418" s="34" t="s">
        <v>111</v>
      </c>
      <c r="BR418" s="34" t="s">
        <v>112</v>
      </c>
    </row>
    <row r="419" spans="49:70" x14ac:dyDescent="0.25">
      <c r="AW419" s="34" t="str">
        <f t="shared" si="21"/>
        <v>ABCEFGJL</v>
      </c>
      <c r="AX419" s="34">
        <v>417</v>
      </c>
      <c r="AY419" s="34" t="s">
        <v>119</v>
      </c>
      <c r="AZ419" s="34" t="s">
        <v>117</v>
      </c>
      <c r="BA419" s="34" t="s">
        <v>115</v>
      </c>
      <c r="BC419" s="34" t="s">
        <v>97</v>
      </c>
      <c r="BD419" s="34" t="s">
        <v>98</v>
      </c>
      <c r="BE419" s="34" t="s">
        <v>99</v>
      </c>
      <c r="BH419" s="34" t="s">
        <v>102</v>
      </c>
      <c r="BJ419" s="34" t="s">
        <v>104</v>
      </c>
      <c r="BK419" s="34" t="s">
        <v>105</v>
      </c>
      <c r="BL419" s="34" t="s">
        <v>110</v>
      </c>
      <c r="BM419" s="34" t="s">
        <v>118</v>
      </c>
      <c r="BN419" s="34" t="s">
        <v>116</v>
      </c>
      <c r="BO419" s="34" t="s">
        <v>120</v>
      </c>
      <c r="BP419" s="34" t="s">
        <v>108</v>
      </c>
      <c r="BQ419" s="34" t="s">
        <v>111</v>
      </c>
      <c r="BR419" s="34" t="s">
        <v>106</v>
      </c>
    </row>
    <row r="420" spans="49:70" x14ac:dyDescent="0.25">
      <c r="AW420" s="34" t="str">
        <f t="shared" si="21"/>
        <v>ABCEFGJK</v>
      </c>
      <c r="AX420" s="34">
        <v>418</v>
      </c>
      <c r="AY420" s="34" t="s">
        <v>119</v>
      </c>
      <c r="AZ420" s="34" t="s">
        <v>117</v>
      </c>
      <c r="BA420" s="34" t="s">
        <v>115</v>
      </c>
      <c r="BC420" s="34" t="s">
        <v>97</v>
      </c>
      <c r="BD420" s="34" t="s">
        <v>98</v>
      </c>
      <c r="BE420" s="34" t="s">
        <v>99</v>
      </c>
      <c r="BH420" s="34" t="s">
        <v>102</v>
      </c>
      <c r="BI420" s="34" t="s">
        <v>103</v>
      </c>
      <c r="BK420" s="34" t="s">
        <v>105</v>
      </c>
      <c r="BL420" s="34" t="s">
        <v>110</v>
      </c>
      <c r="BM420" s="34" t="s">
        <v>118</v>
      </c>
      <c r="BN420" s="34" t="s">
        <v>116</v>
      </c>
      <c r="BO420" s="34" t="s">
        <v>120</v>
      </c>
      <c r="BP420" s="34" t="s">
        <v>108</v>
      </c>
      <c r="BQ420" s="34" t="s">
        <v>106</v>
      </c>
      <c r="BR420" s="34" t="s">
        <v>112</v>
      </c>
    </row>
    <row r="421" spans="49:70" x14ac:dyDescent="0.25">
      <c r="AW421" s="34" t="str">
        <f t="shared" si="21"/>
        <v>ABCEFGIL</v>
      </c>
      <c r="AX421" s="34">
        <v>419</v>
      </c>
      <c r="AY421" s="34" t="s">
        <v>119</v>
      </c>
      <c r="AZ421" s="34" t="s">
        <v>117</v>
      </c>
      <c r="BA421" s="34" t="s">
        <v>115</v>
      </c>
      <c r="BC421" s="34" t="s">
        <v>97</v>
      </c>
      <c r="BD421" s="34" t="s">
        <v>98</v>
      </c>
      <c r="BE421" s="34" t="s">
        <v>99</v>
      </c>
      <c r="BG421" s="34" t="s">
        <v>101</v>
      </c>
      <c r="BJ421" s="34" t="s">
        <v>104</v>
      </c>
      <c r="BK421" s="34" t="s">
        <v>105</v>
      </c>
      <c r="BL421" s="34" t="s">
        <v>110</v>
      </c>
      <c r="BM421" s="34" t="s">
        <v>118</v>
      </c>
      <c r="BN421" s="34" t="s">
        <v>116</v>
      </c>
      <c r="BO421" s="34" t="s">
        <v>120</v>
      </c>
      <c r="BP421" s="34" t="s">
        <v>108</v>
      </c>
      <c r="BQ421" s="34" t="s">
        <v>111</v>
      </c>
      <c r="BR421" s="34" t="s">
        <v>107</v>
      </c>
    </row>
    <row r="422" spans="49:70" x14ac:dyDescent="0.25">
      <c r="AW422" s="34" t="str">
        <f t="shared" si="21"/>
        <v>ABCEFGIK</v>
      </c>
      <c r="AX422" s="34">
        <v>420</v>
      </c>
      <c r="AY422" s="34" t="s">
        <v>119</v>
      </c>
      <c r="AZ422" s="34" t="s">
        <v>117</v>
      </c>
      <c r="BA422" s="34" t="s">
        <v>115</v>
      </c>
      <c r="BC422" s="34" t="s">
        <v>97</v>
      </c>
      <c r="BD422" s="34" t="s">
        <v>98</v>
      </c>
      <c r="BE422" s="34" t="s">
        <v>99</v>
      </c>
      <c r="BG422" s="34" t="s">
        <v>101</v>
      </c>
      <c r="BI422" s="34" t="s">
        <v>103</v>
      </c>
      <c r="BK422" s="34" t="s">
        <v>105</v>
      </c>
      <c r="BL422" s="34" t="s">
        <v>110</v>
      </c>
      <c r="BM422" s="34" t="s">
        <v>118</v>
      </c>
      <c r="BN422" s="34" t="s">
        <v>116</v>
      </c>
      <c r="BO422" s="34" t="s">
        <v>120</v>
      </c>
      <c r="BP422" s="34" t="s">
        <v>108</v>
      </c>
      <c r="BQ422" s="34" t="s">
        <v>107</v>
      </c>
      <c r="BR422" s="34" t="s">
        <v>112</v>
      </c>
    </row>
    <row r="423" spans="49:70" x14ac:dyDescent="0.25">
      <c r="AW423" s="34" t="str">
        <f t="shared" si="21"/>
        <v>ABCEFGIJ</v>
      </c>
      <c r="AX423" s="34">
        <v>421</v>
      </c>
      <c r="AY423" s="34" t="s">
        <v>119</v>
      </c>
      <c r="AZ423" s="34" t="s">
        <v>117</v>
      </c>
      <c r="BA423" s="34" t="s">
        <v>115</v>
      </c>
      <c r="BC423" s="34" t="s">
        <v>97</v>
      </c>
      <c r="BD423" s="34" t="s">
        <v>98</v>
      </c>
      <c r="BE423" s="34" t="s">
        <v>99</v>
      </c>
      <c r="BG423" s="34" t="s">
        <v>101</v>
      </c>
      <c r="BH423" s="34" t="s">
        <v>102</v>
      </c>
      <c r="BK423" s="34" t="s">
        <v>105</v>
      </c>
      <c r="BL423" s="34" t="s">
        <v>110</v>
      </c>
      <c r="BM423" s="34" t="s">
        <v>118</v>
      </c>
      <c r="BN423" s="34" t="s">
        <v>116</v>
      </c>
      <c r="BO423" s="34" t="s">
        <v>120</v>
      </c>
      <c r="BP423" s="34" t="s">
        <v>108</v>
      </c>
      <c r="BQ423" s="34" t="s">
        <v>107</v>
      </c>
      <c r="BR423" s="34" t="s">
        <v>106</v>
      </c>
    </row>
    <row r="424" spans="49:70" x14ac:dyDescent="0.25">
      <c r="AW424" s="34" t="str">
        <f t="shared" si="21"/>
        <v>ABCEFGHL</v>
      </c>
      <c r="AX424" s="34">
        <v>422</v>
      </c>
      <c r="AY424" s="34" t="s">
        <v>119</v>
      </c>
      <c r="AZ424" s="34" t="s">
        <v>117</v>
      </c>
      <c r="BA424" s="34" t="s">
        <v>115</v>
      </c>
      <c r="BC424" s="34" t="s">
        <v>97</v>
      </c>
      <c r="BD424" s="34" t="s">
        <v>98</v>
      </c>
      <c r="BE424" s="34" t="s">
        <v>99</v>
      </c>
      <c r="BF424" s="34" t="s">
        <v>100</v>
      </c>
      <c r="BJ424" s="34" t="s">
        <v>104</v>
      </c>
      <c r="BK424" s="34" t="s">
        <v>109</v>
      </c>
      <c r="BL424" s="34" t="s">
        <v>110</v>
      </c>
      <c r="BM424" s="34" t="s">
        <v>118</v>
      </c>
      <c r="BN424" s="34" t="s">
        <v>116</v>
      </c>
      <c r="BO424" s="34" t="s">
        <v>120</v>
      </c>
      <c r="BP424" s="34" t="s">
        <v>108</v>
      </c>
      <c r="BQ424" s="34" t="s">
        <v>111</v>
      </c>
      <c r="BR424" s="34" t="s">
        <v>105</v>
      </c>
    </row>
    <row r="425" spans="49:70" x14ac:dyDescent="0.25">
      <c r="AW425" s="34" t="str">
        <f t="shared" si="21"/>
        <v>ABCEFGHK</v>
      </c>
      <c r="AX425" s="34">
        <v>423</v>
      </c>
      <c r="AY425" s="34" t="s">
        <v>119</v>
      </c>
      <c r="AZ425" s="34" t="s">
        <v>117</v>
      </c>
      <c r="BA425" s="34" t="s">
        <v>115</v>
      </c>
      <c r="BC425" s="34" t="s">
        <v>97</v>
      </c>
      <c r="BD425" s="34" t="s">
        <v>98</v>
      </c>
      <c r="BE425" s="34" t="s">
        <v>99</v>
      </c>
      <c r="BF425" s="34" t="s">
        <v>100</v>
      </c>
      <c r="BI425" s="34" t="s">
        <v>103</v>
      </c>
      <c r="BK425" s="34" t="s">
        <v>109</v>
      </c>
      <c r="BL425" s="34" t="s">
        <v>110</v>
      </c>
      <c r="BM425" s="34" t="s">
        <v>118</v>
      </c>
      <c r="BN425" s="34" t="s">
        <v>116</v>
      </c>
      <c r="BO425" s="34" t="s">
        <v>120</v>
      </c>
      <c r="BP425" s="34" t="s">
        <v>108</v>
      </c>
      <c r="BQ425" s="34" t="s">
        <v>105</v>
      </c>
      <c r="BR425" s="34" t="s">
        <v>112</v>
      </c>
    </row>
    <row r="426" spans="49:70" x14ac:dyDescent="0.25">
      <c r="AW426" s="34" t="str">
        <f t="shared" si="21"/>
        <v>ABCEFGHJ</v>
      </c>
      <c r="AX426" s="34">
        <v>424</v>
      </c>
      <c r="AY426" s="34" t="s">
        <v>119</v>
      </c>
      <c r="AZ426" s="34" t="s">
        <v>117</v>
      </c>
      <c r="BA426" s="34" t="s">
        <v>115</v>
      </c>
      <c r="BC426" s="34" t="s">
        <v>97</v>
      </c>
      <c r="BD426" s="34" t="s">
        <v>98</v>
      </c>
      <c r="BE426" s="34" t="s">
        <v>99</v>
      </c>
      <c r="BF426" s="34" t="s">
        <v>100</v>
      </c>
      <c r="BH426" s="34" t="s">
        <v>102</v>
      </c>
      <c r="BK426" s="34" t="s">
        <v>109</v>
      </c>
      <c r="BL426" s="34" t="s">
        <v>110</v>
      </c>
      <c r="BM426" s="34" t="s">
        <v>118</v>
      </c>
      <c r="BN426" s="34" t="s">
        <v>116</v>
      </c>
      <c r="BO426" s="34" t="s">
        <v>120</v>
      </c>
      <c r="BP426" s="34" t="s">
        <v>108</v>
      </c>
      <c r="BQ426" s="34" t="s">
        <v>105</v>
      </c>
      <c r="BR426" s="34" t="s">
        <v>106</v>
      </c>
    </row>
    <row r="427" spans="49:70" x14ac:dyDescent="0.25">
      <c r="AW427" s="34" t="str">
        <f t="shared" si="21"/>
        <v>ABCEFGHI</v>
      </c>
      <c r="AX427" s="34">
        <v>425</v>
      </c>
      <c r="AY427" s="34" t="s">
        <v>119</v>
      </c>
      <c r="AZ427" s="34" t="s">
        <v>117</v>
      </c>
      <c r="BA427" s="34" t="s">
        <v>115</v>
      </c>
      <c r="BC427" s="34" t="s">
        <v>97</v>
      </c>
      <c r="BD427" s="34" t="s">
        <v>98</v>
      </c>
      <c r="BE427" s="34" t="s">
        <v>99</v>
      </c>
      <c r="BF427" s="34" t="s">
        <v>100</v>
      </c>
      <c r="BG427" s="34" t="s">
        <v>101</v>
      </c>
      <c r="BK427" s="34" t="s">
        <v>109</v>
      </c>
      <c r="BL427" s="34" t="s">
        <v>110</v>
      </c>
      <c r="BM427" s="34" t="s">
        <v>118</v>
      </c>
      <c r="BN427" s="34" t="s">
        <v>116</v>
      </c>
      <c r="BO427" s="34" t="s">
        <v>120</v>
      </c>
      <c r="BP427" s="34" t="s">
        <v>108</v>
      </c>
      <c r="BQ427" s="34" t="s">
        <v>105</v>
      </c>
      <c r="BR427" s="34" t="s">
        <v>107</v>
      </c>
    </row>
    <row r="428" spans="49:70" x14ac:dyDescent="0.25">
      <c r="AW428" s="34" t="str">
        <f t="shared" si="21"/>
        <v>ABCDIJKL</v>
      </c>
      <c r="AX428" s="34">
        <v>426</v>
      </c>
      <c r="AY428" s="34" t="s">
        <v>119</v>
      </c>
      <c r="AZ428" s="34" t="s">
        <v>117</v>
      </c>
      <c r="BA428" s="34" t="s">
        <v>115</v>
      </c>
      <c r="BB428" s="34" t="s">
        <v>113</v>
      </c>
      <c r="BG428" s="34" t="s">
        <v>101</v>
      </c>
      <c r="BH428" s="34" t="s">
        <v>102</v>
      </c>
      <c r="BI428" s="34" t="s">
        <v>103</v>
      </c>
      <c r="BJ428" s="34" t="s">
        <v>104</v>
      </c>
      <c r="BK428" s="34" t="s">
        <v>107</v>
      </c>
      <c r="BL428" s="34" t="s">
        <v>106</v>
      </c>
      <c r="BM428" s="34" t="s">
        <v>118</v>
      </c>
      <c r="BN428" s="34" t="s">
        <v>116</v>
      </c>
      <c r="BO428" s="34" t="s">
        <v>120</v>
      </c>
      <c r="BP428" s="34" t="s">
        <v>114</v>
      </c>
      <c r="BQ428" s="34" t="s">
        <v>111</v>
      </c>
      <c r="BR428" s="34" t="s">
        <v>112</v>
      </c>
    </row>
    <row r="429" spans="49:70" x14ac:dyDescent="0.25">
      <c r="AW429" s="34" t="str">
        <f t="shared" si="21"/>
        <v>ABCDHJKL</v>
      </c>
      <c r="AX429" s="34">
        <v>427</v>
      </c>
      <c r="AY429" s="34" t="s">
        <v>119</v>
      </c>
      <c r="AZ429" s="34" t="s">
        <v>117</v>
      </c>
      <c r="BA429" s="34" t="s">
        <v>115</v>
      </c>
      <c r="BB429" s="34" t="s">
        <v>113</v>
      </c>
      <c r="BF429" s="34" t="s">
        <v>100</v>
      </c>
      <c r="BH429" s="34" t="s">
        <v>102</v>
      </c>
      <c r="BI429" s="34" t="s">
        <v>103</v>
      </c>
      <c r="BJ429" s="34" t="s">
        <v>104</v>
      </c>
      <c r="BK429" s="34" t="s">
        <v>109</v>
      </c>
      <c r="BL429" s="34" t="s">
        <v>106</v>
      </c>
      <c r="BM429" s="34" t="s">
        <v>118</v>
      </c>
      <c r="BN429" s="34" t="s">
        <v>116</v>
      </c>
      <c r="BO429" s="34" t="s">
        <v>120</v>
      </c>
      <c r="BP429" s="34" t="s">
        <v>114</v>
      </c>
      <c r="BQ429" s="34" t="s">
        <v>111</v>
      </c>
      <c r="BR429" s="34" t="s">
        <v>112</v>
      </c>
    </row>
    <row r="430" spans="49:70" x14ac:dyDescent="0.25">
      <c r="AW430" s="34" t="str">
        <f t="shared" si="21"/>
        <v>ABCDHIKL</v>
      </c>
      <c r="AX430" s="34">
        <v>428</v>
      </c>
      <c r="AY430" s="34" t="s">
        <v>119</v>
      </c>
      <c r="AZ430" s="34" t="s">
        <v>117</v>
      </c>
      <c r="BA430" s="34" t="s">
        <v>115</v>
      </c>
      <c r="BB430" s="34" t="s">
        <v>113</v>
      </c>
      <c r="BF430" s="34" t="s">
        <v>100</v>
      </c>
      <c r="BG430" s="34" t="s">
        <v>101</v>
      </c>
      <c r="BI430" s="34" t="s">
        <v>103</v>
      </c>
      <c r="BJ430" s="34" t="s">
        <v>104</v>
      </c>
      <c r="BK430" s="34" t="s">
        <v>109</v>
      </c>
      <c r="BL430" s="34" t="s">
        <v>107</v>
      </c>
      <c r="BM430" s="34" t="s">
        <v>118</v>
      </c>
      <c r="BN430" s="34" t="s">
        <v>116</v>
      </c>
      <c r="BO430" s="34" t="s">
        <v>120</v>
      </c>
      <c r="BP430" s="34" t="s">
        <v>114</v>
      </c>
      <c r="BQ430" s="34" t="s">
        <v>111</v>
      </c>
      <c r="BR430" s="34" t="s">
        <v>112</v>
      </c>
    </row>
    <row r="431" spans="49:70" x14ac:dyDescent="0.25">
      <c r="AW431" s="34" t="str">
        <f t="shared" si="21"/>
        <v>ABCDHIJL</v>
      </c>
      <c r="AX431" s="34">
        <v>429</v>
      </c>
      <c r="AY431" s="34" t="s">
        <v>119</v>
      </c>
      <c r="AZ431" s="34" t="s">
        <v>117</v>
      </c>
      <c r="BA431" s="34" t="s">
        <v>115</v>
      </c>
      <c r="BB431" s="34" t="s">
        <v>113</v>
      </c>
      <c r="BF431" s="34" t="s">
        <v>100</v>
      </c>
      <c r="BG431" s="34" t="s">
        <v>101</v>
      </c>
      <c r="BH431" s="34" t="s">
        <v>102</v>
      </c>
      <c r="BJ431" s="34" t="s">
        <v>104</v>
      </c>
      <c r="BK431" s="34" t="s">
        <v>109</v>
      </c>
      <c r="BL431" s="34" t="s">
        <v>106</v>
      </c>
      <c r="BM431" s="34" t="s">
        <v>118</v>
      </c>
      <c r="BN431" s="34" t="s">
        <v>116</v>
      </c>
      <c r="BO431" s="34" t="s">
        <v>120</v>
      </c>
      <c r="BP431" s="34" t="s">
        <v>114</v>
      </c>
      <c r="BQ431" s="34" t="s">
        <v>111</v>
      </c>
      <c r="BR431" s="34" t="s">
        <v>107</v>
      </c>
    </row>
    <row r="432" spans="49:70" x14ac:dyDescent="0.25">
      <c r="AW432" s="34" t="str">
        <f t="shared" si="21"/>
        <v>ABCDHIJK</v>
      </c>
      <c r="AX432" s="34">
        <v>430</v>
      </c>
      <c r="AY432" s="34" t="s">
        <v>119</v>
      </c>
      <c r="AZ432" s="34" t="s">
        <v>117</v>
      </c>
      <c r="BA432" s="34" t="s">
        <v>115</v>
      </c>
      <c r="BB432" s="34" t="s">
        <v>113</v>
      </c>
      <c r="BF432" s="34" t="s">
        <v>100</v>
      </c>
      <c r="BG432" s="34" t="s">
        <v>101</v>
      </c>
      <c r="BH432" s="34" t="s">
        <v>102</v>
      </c>
      <c r="BI432" s="34" t="s">
        <v>103</v>
      </c>
      <c r="BK432" s="34" t="s">
        <v>109</v>
      </c>
      <c r="BL432" s="34" t="s">
        <v>106</v>
      </c>
      <c r="BM432" s="34" t="s">
        <v>118</v>
      </c>
      <c r="BN432" s="34" t="s">
        <v>116</v>
      </c>
      <c r="BO432" s="34" t="s">
        <v>120</v>
      </c>
      <c r="BP432" s="34" t="s">
        <v>114</v>
      </c>
      <c r="BQ432" s="34" t="s">
        <v>107</v>
      </c>
      <c r="BR432" s="34" t="s">
        <v>112</v>
      </c>
    </row>
    <row r="433" spans="49:70" x14ac:dyDescent="0.25">
      <c r="AW433" s="34" t="str">
        <f t="shared" si="21"/>
        <v>ABCDGJKL</v>
      </c>
      <c r="AX433" s="34">
        <v>431</v>
      </c>
      <c r="AY433" s="34" t="s">
        <v>119</v>
      </c>
      <c r="AZ433" s="34" t="s">
        <v>117</v>
      </c>
      <c r="BA433" s="34" t="s">
        <v>115</v>
      </c>
      <c r="BB433" s="34" t="s">
        <v>113</v>
      </c>
      <c r="BE433" s="34" t="s">
        <v>99</v>
      </c>
      <c r="BH433" s="34" t="s">
        <v>102</v>
      </c>
      <c r="BI433" s="34" t="s">
        <v>103</v>
      </c>
      <c r="BJ433" s="34" t="s">
        <v>104</v>
      </c>
      <c r="BK433" s="34" t="s">
        <v>116</v>
      </c>
      <c r="BL433" s="34" t="s">
        <v>106</v>
      </c>
      <c r="BM433" s="34" t="s">
        <v>118</v>
      </c>
      <c r="BN433" s="34" t="s">
        <v>114</v>
      </c>
      <c r="BO433" s="34" t="s">
        <v>120</v>
      </c>
      <c r="BP433" s="34" t="s">
        <v>110</v>
      </c>
      <c r="BQ433" s="34" t="s">
        <v>111</v>
      </c>
      <c r="BR433" s="34" t="s">
        <v>112</v>
      </c>
    </row>
    <row r="434" spans="49:70" x14ac:dyDescent="0.25">
      <c r="AW434" s="34" t="str">
        <f t="shared" si="21"/>
        <v>ABCDGIKL</v>
      </c>
      <c r="AX434" s="34">
        <v>432</v>
      </c>
      <c r="AY434" s="34" t="s">
        <v>119</v>
      </c>
      <c r="AZ434" s="34" t="s">
        <v>117</v>
      </c>
      <c r="BA434" s="34" t="s">
        <v>115</v>
      </c>
      <c r="BB434" s="34" t="s">
        <v>113</v>
      </c>
      <c r="BE434" s="34" t="s">
        <v>99</v>
      </c>
      <c r="BG434" s="34" t="s">
        <v>101</v>
      </c>
      <c r="BI434" s="34" t="s">
        <v>103</v>
      </c>
      <c r="BJ434" s="34" t="s">
        <v>104</v>
      </c>
      <c r="BK434" s="34" t="s">
        <v>107</v>
      </c>
      <c r="BL434" s="34" t="s">
        <v>110</v>
      </c>
      <c r="BM434" s="34" t="s">
        <v>118</v>
      </c>
      <c r="BN434" s="34" t="s">
        <v>116</v>
      </c>
      <c r="BO434" s="34" t="s">
        <v>120</v>
      </c>
      <c r="BP434" s="34" t="s">
        <v>114</v>
      </c>
      <c r="BQ434" s="34" t="s">
        <v>111</v>
      </c>
      <c r="BR434" s="34" t="s">
        <v>112</v>
      </c>
    </row>
    <row r="435" spans="49:70" x14ac:dyDescent="0.25">
      <c r="AW435" s="34" t="str">
        <f t="shared" si="21"/>
        <v>ABCDGIJL</v>
      </c>
      <c r="AX435" s="34">
        <v>433</v>
      </c>
      <c r="AY435" s="34" t="s">
        <v>119</v>
      </c>
      <c r="AZ435" s="34" t="s">
        <v>117</v>
      </c>
      <c r="BA435" s="34" t="s">
        <v>115</v>
      </c>
      <c r="BB435" s="34" t="s">
        <v>113</v>
      </c>
      <c r="BE435" s="34" t="s">
        <v>99</v>
      </c>
      <c r="BG435" s="34" t="s">
        <v>101</v>
      </c>
      <c r="BH435" s="34" t="s">
        <v>102</v>
      </c>
      <c r="BJ435" s="34" t="s">
        <v>104</v>
      </c>
      <c r="BK435" s="34" t="s">
        <v>116</v>
      </c>
      <c r="BL435" s="34" t="s">
        <v>106</v>
      </c>
      <c r="BM435" s="34" t="s">
        <v>118</v>
      </c>
      <c r="BN435" s="34" t="s">
        <v>114</v>
      </c>
      <c r="BO435" s="34" t="s">
        <v>120</v>
      </c>
      <c r="BP435" s="34" t="s">
        <v>110</v>
      </c>
      <c r="BQ435" s="34" t="s">
        <v>111</v>
      </c>
      <c r="BR435" s="34" t="s">
        <v>107</v>
      </c>
    </row>
    <row r="436" spans="49:70" x14ac:dyDescent="0.25">
      <c r="AW436" s="34" t="str">
        <f t="shared" si="21"/>
        <v>ABCDGIJK</v>
      </c>
      <c r="AX436" s="34">
        <v>434</v>
      </c>
      <c r="AY436" s="34" t="s">
        <v>119</v>
      </c>
      <c r="AZ436" s="34" t="s">
        <v>117</v>
      </c>
      <c r="BA436" s="34" t="s">
        <v>115</v>
      </c>
      <c r="BB436" s="34" t="s">
        <v>113</v>
      </c>
      <c r="BE436" s="34" t="s">
        <v>99</v>
      </c>
      <c r="BG436" s="34" t="s">
        <v>101</v>
      </c>
      <c r="BH436" s="34" t="s">
        <v>102</v>
      </c>
      <c r="BI436" s="34" t="s">
        <v>103</v>
      </c>
      <c r="BK436" s="34" t="s">
        <v>116</v>
      </c>
      <c r="BL436" s="34" t="s">
        <v>106</v>
      </c>
      <c r="BM436" s="34" t="s">
        <v>118</v>
      </c>
      <c r="BN436" s="34" t="s">
        <v>114</v>
      </c>
      <c r="BO436" s="34" t="s">
        <v>120</v>
      </c>
      <c r="BP436" s="34" t="s">
        <v>110</v>
      </c>
      <c r="BQ436" s="34" t="s">
        <v>107</v>
      </c>
      <c r="BR436" s="34" t="s">
        <v>112</v>
      </c>
    </row>
    <row r="437" spans="49:70" x14ac:dyDescent="0.25">
      <c r="AW437" s="34" t="str">
        <f t="shared" si="21"/>
        <v>ABCDGHKL</v>
      </c>
      <c r="AX437" s="34">
        <v>435</v>
      </c>
      <c r="AY437" s="34" t="s">
        <v>119</v>
      </c>
      <c r="AZ437" s="34" t="s">
        <v>117</v>
      </c>
      <c r="BA437" s="34" t="s">
        <v>115</v>
      </c>
      <c r="BB437" s="34" t="s">
        <v>113</v>
      </c>
      <c r="BE437" s="34" t="s">
        <v>99</v>
      </c>
      <c r="BF437" s="34" t="s">
        <v>100</v>
      </c>
      <c r="BI437" s="34" t="s">
        <v>103</v>
      </c>
      <c r="BJ437" s="34" t="s">
        <v>104</v>
      </c>
      <c r="BK437" s="34" t="s">
        <v>109</v>
      </c>
      <c r="BL437" s="34" t="s">
        <v>110</v>
      </c>
      <c r="BM437" s="34" t="s">
        <v>118</v>
      </c>
      <c r="BN437" s="34" t="s">
        <v>116</v>
      </c>
      <c r="BO437" s="34" t="s">
        <v>120</v>
      </c>
      <c r="BP437" s="34" t="s">
        <v>114</v>
      </c>
      <c r="BQ437" s="34" t="s">
        <v>111</v>
      </c>
      <c r="BR437" s="34" t="s">
        <v>112</v>
      </c>
    </row>
    <row r="438" spans="49:70" x14ac:dyDescent="0.25">
      <c r="AW438" s="34" t="str">
        <f t="shared" si="21"/>
        <v>ABCDGHJL</v>
      </c>
      <c r="AX438" s="34">
        <v>436</v>
      </c>
      <c r="AY438" s="34" t="s">
        <v>119</v>
      </c>
      <c r="AZ438" s="34" t="s">
        <v>117</v>
      </c>
      <c r="BA438" s="34" t="s">
        <v>115</v>
      </c>
      <c r="BB438" s="34" t="s">
        <v>113</v>
      </c>
      <c r="BE438" s="34" t="s">
        <v>99</v>
      </c>
      <c r="BF438" s="34" t="s">
        <v>100</v>
      </c>
      <c r="BH438" s="34" t="s">
        <v>102</v>
      </c>
      <c r="BJ438" s="34" t="s">
        <v>104</v>
      </c>
      <c r="BK438" s="34" t="s">
        <v>109</v>
      </c>
      <c r="BL438" s="34" t="s">
        <v>110</v>
      </c>
      <c r="BM438" s="34" t="s">
        <v>118</v>
      </c>
      <c r="BN438" s="34" t="s">
        <v>116</v>
      </c>
      <c r="BO438" s="34" t="s">
        <v>120</v>
      </c>
      <c r="BP438" s="34" t="s">
        <v>114</v>
      </c>
      <c r="BQ438" s="34" t="s">
        <v>111</v>
      </c>
      <c r="BR438" s="34" t="s">
        <v>106</v>
      </c>
    </row>
    <row r="439" spans="49:70" x14ac:dyDescent="0.25">
      <c r="AW439" s="34" t="str">
        <f t="shared" si="21"/>
        <v>ABCDGHJK</v>
      </c>
      <c r="AX439" s="34">
        <v>437</v>
      </c>
      <c r="AY439" s="34" t="s">
        <v>119</v>
      </c>
      <c r="AZ439" s="34" t="s">
        <v>117</v>
      </c>
      <c r="BA439" s="34" t="s">
        <v>115</v>
      </c>
      <c r="BB439" s="34" t="s">
        <v>113</v>
      </c>
      <c r="BE439" s="34" t="s">
        <v>99</v>
      </c>
      <c r="BF439" s="34" t="s">
        <v>100</v>
      </c>
      <c r="BH439" s="34" t="s">
        <v>102</v>
      </c>
      <c r="BI439" s="34" t="s">
        <v>103</v>
      </c>
      <c r="BK439" s="34" t="s">
        <v>109</v>
      </c>
      <c r="BL439" s="34" t="s">
        <v>110</v>
      </c>
      <c r="BM439" s="34" t="s">
        <v>118</v>
      </c>
      <c r="BN439" s="34" t="s">
        <v>116</v>
      </c>
      <c r="BO439" s="34" t="s">
        <v>120</v>
      </c>
      <c r="BP439" s="34" t="s">
        <v>114</v>
      </c>
      <c r="BQ439" s="34" t="s">
        <v>106</v>
      </c>
      <c r="BR439" s="34" t="s">
        <v>112</v>
      </c>
    </row>
    <row r="440" spans="49:70" x14ac:dyDescent="0.25">
      <c r="AW440" s="34" t="str">
        <f t="shared" si="21"/>
        <v>ABCDGHIL</v>
      </c>
      <c r="AX440" s="34">
        <v>438</v>
      </c>
      <c r="AY440" s="34" t="s">
        <v>119</v>
      </c>
      <c r="AZ440" s="34" t="s">
        <v>117</v>
      </c>
      <c r="BA440" s="34" t="s">
        <v>115</v>
      </c>
      <c r="BB440" s="34" t="s">
        <v>113</v>
      </c>
      <c r="BE440" s="34" t="s">
        <v>99</v>
      </c>
      <c r="BF440" s="34" t="s">
        <v>100</v>
      </c>
      <c r="BG440" s="34" t="s">
        <v>101</v>
      </c>
      <c r="BJ440" s="34" t="s">
        <v>104</v>
      </c>
      <c r="BK440" s="34" t="s">
        <v>109</v>
      </c>
      <c r="BL440" s="34" t="s">
        <v>110</v>
      </c>
      <c r="BM440" s="34" t="s">
        <v>118</v>
      </c>
      <c r="BN440" s="34" t="s">
        <v>116</v>
      </c>
      <c r="BO440" s="34" t="s">
        <v>120</v>
      </c>
      <c r="BP440" s="34" t="s">
        <v>114</v>
      </c>
      <c r="BQ440" s="34" t="s">
        <v>111</v>
      </c>
      <c r="BR440" s="34" t="s">
        <v>107</v>
      </c>
    </row>
    <row r="441" spans="49:70" x14ac:dyDescent="0.25">
      <c r="AW441" s="34" t="str">
        <f t="shared" si="21"/>
        <v>ABCDGHIK</v>
      </c>
      <c r="AX441" s="34">
        <v>439</v>
      </c>
      <c r="AY441" s="34" t="s">
        <v>119</v>
      </c>
      <c r="AZ441" s="34" t="s">
        <v>117</v>
      </c>
      <c r="BA441" s="34" t="s">
        <v>115</v>
      </c>
      <c r="BB441" s="34" t="s">
        <v>113</v>
      </c>
      <c r="BE441" s="34" t="s">
        <v>99</v>
      </c>
      <c r="BF441" s="34" t="s">
        <v>100</v>
      </c>
      <c r="BG441" s="34" t="s">
        <v>101</v>
      </c>
      <c r="BI441" s="34" t="s">
        <v>103</v>
      </c>
      <c r="BK441" s="34" t="s">
        <v>109</v>
      </c>
      <c r="BL441" s="34" t="s">
        <v>110</v>
      </c>
      <c r="BM441" s="34" t="s">
        <v>118</v>
      </c>
      <c r="BN441" s="34" t="s">
        <v>116</v>
      </c>
      <c r="BO441" s="34" t="s">
        <v>120</v>
      </c>
      <c r="BP441" s="34" t="s">
        <v>114</v>
      </c>
      <c r="BQ441" s="34" t="s">
        <v>107</v>
      </c>
      <c r="BR441" s="34" t="s">
        <v>112</v>
      </c>
    </row>
    <row r="442" spans="49:70" x14ac:dyDescent="0.25">
      <c r="AW442" s="34" t="str">
        <f t="shared" si="21"/>
        <v>ABCDGHIJ</v>
      </c>
      <c r="AX442" s="34">
        <v>440</v>
      </c>
      <c r="AY442" s="34" t="s">
        <v>119</v>
      </c>
      <c r="AZ442" s="34" t="s">
        <v>117</v>
      </c>
      <c r="BA442" s="34" t="s">
        <v>115</v>
      </c>
      <c r="BB442" s="34" t="s">
        <v>113</v>
      </c>
      <c r="BE442" s="34" t="s">
        <v>99</v>
      </c>
      <c r="BF442" s="34" t="s">
        <v>100</v>
      </c>
      <c r="BG442" s="34" t="s">
        <v>101</v>
      </c>
      <c r="BH442" s="34" t="s">
        <v>102</v>
      </c>
      <c r="BK442" s="34" t="s">
        <v>109</v>
      </c>
      <c r="BL442" s="34" t="s">
        <v>110</v>
      </c>
      <c r="BM442" s="34" t="s">
        <v>118</v>
      </c>
      <c r="BN442" s="34" t="s">
        <v>116</v>
      </c>
      <c r="BO442" s="34" t="s">
        <v>120</v>
      </c>
      <c r="BP442" s="34" t="s">
        <v>114</v>
      </c>
      <c r="BQ442" s="34" t="s">
        <v>107</v>
      </c>
      <c r="BR442" s="34" t="s">
        <v>106</v>
      </c>
    </row>
    <row r="443" spans="49:70" x14ac:dyDescent="0.25">
      <c r="AW443" s="34" t="str">
        <f t="shared" si="21"/>
        <v>ABCDFJKL</v>
      </c>
      <c r="AX443" s="34">
        <v>441</v>
      </c>
      <c r="AY443" s="34" t="s">
        <v>119</v>
      </c>
      <c r="AZ443" s="34" t="s">
        <v>117</v>
      </c>
      <c r="BA443" s="34" t="s">
        <v>115</v>
      </c>
      <c r="BB443" s="34" t="s">
        <v>113</v>
      </c>
      <c r="BD443" s="34" t="s">
        <v>98</v>
      </c>
      <c r="BH443" s="34" t="s">
        <v>102</v>
      </c>
      <c r="BI443" s="34" t="s">
        <v>103</v>
      </c>
      <c r="BJ443" s="34" t="s">
        <v>104</v>
      </c>
      <c r="BK443" s="34" t="s">
        <v>116</v>
      </c>
      <c r="BL443" s="34" t="s">
        <v>106</v>
      </c>
      <c r="BM443" s="34" t="s">
        <v>118</v>
      </c>
      <c r="BN443" s="34" t="s">
        <v>114</v>
      </c>
      <c r="BO443" s="34" t="s">
        <v>120</v>
      </c>
      <c r="BP443" s="34" t="s">
        <v>108</v>
      </c>
      <c r="BQ443" s="34" t="s">
        <v>111</v>
      </c>
      <c r="BR443" s="34" t="s">
        <v>112</v>
      </c>
    </row>
    <row r="444" spans="49:70" x14ac:dyDescent="0.25">
      <c r="AW444" s="34" t="str">
        <f t="shared" si="21"/>
        <v>ABCDFIKL</v>
      </c>
      <c r="AX444" s="34">
        <v>442</v>
      </c>
      <c r="AY444" s="34" t="s">
        <v>119</v>
      </c>
      <c r="AZ444" s="34" t="s">
        <v>117</v>
      </c>
      <c r="BA444" s="34" t="s">
        <v>115</v>
      </c>
      <c r="BB444" s="34" t="s">
        <v>113</v>
      </c>
      <c r="BD444" s="34" t="s">
        <v>98</v>
      </c>
      <c r="BG444" s="34" t="s">
        <v>101</v>
      </c>
      <c r="BI444" s="34" t="s">
        <v>103</v>
      </c>
      <c r="BJ444" s="34" t="s">
        <v>104</v>
      </c>
      <c r="BK444" s="34" t="s">
        <v>116</v>
      </c>
      <c r="BL444" s="34" t="s">
        <v>107</v>
      </c>
      <c r="BM444" s="34" t="s">
        <v>118</v>
      </c>
      <c r="BN444" s="34" t="s">
        <v>114</v>
      </c>
      <c r="BO444" s="34" t="s">
        <v>120</v>
      </c>
      <c r="BP444" s="34" t="s">
        <v>108</v>
      </c>
      <c r="BQ444" s="34" t="s">
        <v>111</v>
      </c>
      <c r="BR444" s="34" t="s">
        <v>112</v>
      </c>
    </row>
    <row r="445" spans="49:70" x14ac:dyDescent="0.25">
      <c r="AW445" s="34" t="str">
        <f t="shared" si="21"/>
        <v>ABCDFIJL</v>
      </c>
      <c r="AX445" s="34">
        <v>443</v>
      </c>
      <c r="AY445" s="34" t="s">
        <v>119</v>
      </c>
      <c r="AZ445" s="34" t="s">
        <v>117</v>
      </c>
      <c r="BA445" s="34" t="s">
        <v>115</v>
      </c>
      <c r="BB445" s="34" t="s">
        <v>113</v>
      </c>
      <c r="BD445" s="34" t="s">
        <v>98</v>
      </c>
      <c r="BG445" s="34" t="s">
        <v>101</v>
      </c>
      <c r="BH445" s="34" t="s">
        <v>102</v>
      </c>
      <c r="BJ445" s="34" t="s">
        <v>104</v>
      </c>
      <c r="BK445" s="34" t="s">
        <v>116</v>
      </c>
      <c r="BL445" s="34" t="s">
        <v>106</v>
      </c>
      <c r="BM445" s="34" t="s">
        <v>118</v>
      </c>
      <c r="BN445" s="34" t="s">
        <v>114</v>
      </c>
      <c r="BO445" s="34" t="s">
        <v>120</v>
      </c>
      <c r="BP445" s="34" t="s">
        <v>108</v>
      </c>
      <c r="BQ445" s="34" t="s">
        <v>111</v>
      </c>
      <c r="BR445" s="34" t="s">
        <v>107</v>
      </c>
    </row>
    <row r="446" spans="49:70" x14ac:dyDescent="0.25">
      <c r="AW446" s="34" t="str">
        <f t="shared" si="21"/>
        <v>ABCDFIJK</v>
      </c>
      <c r="AX446" s="34">
        <v>444</v>
      </c>
      <c r="AY446" s="34" t="s">
        <v>119</v>
      </c>
      <c r="AZ446" s="34" t="s">
        <v>117</v>
      </c>
      <c r="BA446" s="34" t="s">
        <v>115</v>
      </c>
      <c r="BB446" s="34" t="s">
        <v>113</v>
      </c>
      <c r="BD446" s="34" t="s">
        <v>98</v>
      </c>
      <c r="BG446" s="34" t="s">
        <v>101</v>
      </c>
      <c r="BH446" s="34" t="s">
        <v>102</v>
      </c>
      <c r="BI446" s="34" t="s">
        <v>103</v>
      </c>
      <c r="BK446" s="34" t="s">
        <v>116</v>
      </c>
      <c r="BL446" s="34" t="s">
        <v>106</v>
      </c>
      <c r="BM446" s="34" t="s">
        <v>118</v>
      </c>
      <c r="BN446" s="34" t="s">
        <v>114</v>
      </c>
      <c r="BO446" s="34" t="s">
        <v>120</v>
      </c>
      <c r="BP446" s="34" t="s">
        <v>108</v>
      </c>
      <c r="BQ446" s="34" t="s">
        <v>107</v>
      </c>
      <c r="BR446" s="34" t="s">
        <v>112</v>
      </c>
    </row>
    <row r="447" spans="49:70" x14ac:dyDescent="0.25">
      <c r="AW447" s="34" t="str">
        <f t="shared" si="21"/>
        <v>ABCDFHKL</v>
      </c>
      <c r="AX447" s="34">
        <v>445</v>
      </c>
      <c r="AY447" s="34" t="s">
        <v>119</v>
      </c>
      <c r="AZ447" s="34" t="s">
        <v>117</v>
      </c>
      <c r="BA447" s="34" t="s">
        <v>115</v>
      </c>
      <c r="BB447" s="34" t="s">
        <v>113</v>
      </c>
      <c r="BD447" s="34" t="s">
        <v>98</v>
      </c>
      <c r="BF447" s="34" t="s">
        <v>100</v>
      </c>
      <c r="BI447" s="34" t="s">
        <v>103</v>
      </c>
      <c r="BJ447" s="34" t="s">
        <v>104</v>
      </c>
      <c r="BK447" s="34" t="s">
        <v>109</v>
      </c>
      <c r="BL447" s="34" t="s">
        <v>108</v>
      </c>
      <c r="BM447" s="34" t="s">
        <v>118</v>
      </c>
      <c r="BN447" s="34" t="s">
        <v>116</v>
      </c>
      <c r="BO447" s="34" t="s">
        <v>120</v>
      </c>
      <c r="BP447" s="34" t="s">
        <v>114</v>
      </c>
      <c r="BQ447" s="34" t="s">
        <v>111</v>
      </c>
      <c r="BR447" s="34" t="s">
        <v>112</v>
      </c>
    </row>
    <row r="448" spans="49:70" x14ac:dyDescent="0.25">
      <c r="AW448" s="34" t="str">
        <f t="shared" si="21"/>
        <v>ABCDFHJL</v>
      </c>
      <c r="AX448" s="34">
        <v>446</v>
      </c>
      <c r="AY448" s="34" t="s">
        <v>119</v>
      </c>
      <c r="AZ448" s="34" t="s">
        <v>117</v>
      </c>
      <c r="BA448" s="34" t="s">
        <v>115</v>
      </c>
      <c r="BB448" s="34" t="s">
        <v>113</v>
      </c>
      <c r="BD448" s="34" t="s">
        <v>98</v>
      </c>
      <c r="BF448" s="34" t="s">
        <v>100</v>
      </c>
      <c r="BH448" s="34" t="s">
        <v>102</v>
      </c>
      <c r="BJ448" s="34" t="s">
        <v>104</v>
      </c>
      <c r="BK448" s="34" t="s">
        <v>116</v>
      </c>
      <c r="BL448" s="34" t="s">
        <v>106</v>
      </c>
      <c r="BM448" s="34" t="s">
        <v>118</v>
      </c>
      <c r="BN448" s="34" t="s">
        <v>114</v>
      </c>
      <c r="BO448" s="34" t="s">
        <v>120</v>
      </c>
      <c r="BP448" s="34" t="s">
        <v>108</v>
      </c>
      <c r="BQ448" s="34" t="s">
        <v>111</v>
      </c>
      <c r="BR448" s="34" t="s">
        <v>109</v>
      </c>
    </row>
    <row r="449" spans="49:70" x14ac:dyDescent="0.25">
      <c r="AW449" s="34" t="str">
        <f t="shared" si="21"/>
        <v>ABCDFHJK</v>
      </c>
      <c r="AX449" s="34">
        <v>447</v>
      </c>
      <c r="AY449" s="34" t="s">
        <v>119</v>
      </c>
      <c r="AZ449" s="34" t="s">
        <v>117</v>
      </c>
      <c r="BA449" s="34" t="s">
        <v>115</v>
      </c>
      <c r="BB449" s="34" t="s">
        <v>113</v>
      </c>
      <c r="BD449" s="34" t="s">
        <v>98</v>
      </c>
      <c r="BF449" s="34" t="s">
        <v>100</v>
      </c>
      <c r="BH449" s="34" t="s">
        <v>102</v>
      </c>
      <c r="BI449" s="34" t="s">
        <v>103</v>
      </c>
      <c r="BK449" s="34" t="s">
        <v>109</v>
      </c>
      <c r="BL449" s="34" t="s">
        <v>106</v>
      </c>
      <c r="BM449" s="34" t="s">
        <v>118</v>
      </c>
      <c r="BN449" s="34" t="s">
        <v>116</v>
      </c>
      <c r="BO449" s="34" t="s">
        <v>120</v>
      </c>
      <c r="BP449" s="34" t="s">
        <v>108</v>
      </c>
      <c r="BQ449" s="34" t="s">
        <v>114</v>
      </c>
      <c r="BR449" s="34" t="s">
        <v>112</v>
      </c>
    </row>
    <row r="450" spans="49:70" x14ac:dyDescent="0.25">
      <c r="AW450" s="34" t="str">
        <f t="shared" si="21"/>
        <v>ABCDFHIL</v>
      </c>
      <c r="AX450" s="34">
        <v>448</v>
      </c>
      <c r="AY450" s="34" t="s">
        <v>119</v>
      </c>
      <c r="AZ450" s="34" t="s">
        <v>117</v>
      </c>
      <c r="BA450" s="34" t="s">
        <v>115</v>
      </c>
      <c r="BB450" s="34" t="s">
        <v>113</v>
      </c>
      <c r="BD450" s="34" t="s">
        <v>98</v>
      </c>
      <c r="BF450" s="34" t="s">
        <v>100</v>
      </c>
      <c r="BG450" s="34" t="s">
        <v>101</v>
      </c>
      <c r="BJ450" s="34" t="s">
        <v>104</v>
      </c>
      <c r="BK450" s="34" t="s">
        <v>109</v>
      </c>
      <c r="BL450" s="34" t="s">
        <v>108</v>
      </c>
      <c r="BM450" s="34" t="s">
        <v>118</v>
      </c>
      <c r="BN450" s="34" t="s">
        <v>116</v>
      </c>
      <c r="BO450" s="34" t="s">
        <v>120</v>
      </c>
      <c r="BP450" s="34" t="s">
        <v>114</v>
      </c>
      <c r="BQ450" s="34" t="s">
        <v>111</v>
      </c>
      <c r="BR450" s="34" t="s">
        <v>107</v>
      </c>
    </row>
    <row r="451" spans="49:70" x14ac:dyDescent="0.25">
      <c r="AW451" s="34" t="str">
        <f t="shared" si="21"/>
        <v>ABCDFHIK</v>
      </c>
      <c r="AX451" s="34">
        <v>449</v>
      </c>
      <c r="AY451" s="34" t="s">
        <v>119</v>
      </c>
      <c r="AZ451" s="34" t="s">
        <v>117</v>
      </c>
      <c r="BA451" s="34" t="s">
        <v>115</v>
      </c>
      <c r="BB451" s="34" t="s">
        <v>113</v>
      </c>
      <c r="BD451" s="34" t="s">
        <v>98</v>
      </c>
      <c r="BF451" s="34" t="s">
        <v>100</v>
      </c>
      <c r="BG451" s="34" t="s">
        <v>101</v>
      </c>
      <c r="BI451" s="34" t="s">
        <v>103</v>
      </c>
      <c r="BK451" s="34" t="s">
        <v>109</v>
      </c>
      <c r="BL451" s="34" t="s">
        <v>108</v>
      </c>
      <c r="BM451" s="34" t="s">
        <v>118</v>
      </c>
      <c r="BN451" s="34" t="s">
        <v>116</v>
      </c>
      <c r="BO451" s="34" t="s">
        <v>120</v>
      </c>
      <c r="BP451" s="34" t="s">
        <v>114</v>
      </c>
      <c r="BQ451" s="34" t="s">
        <v>107</v>
      </c>
      <c r="BR451" s="34" t="s">
        <v>112</v>
      </c>
    </row>
    <row r="452" spans="49:70" x14ac:dyDescent="0.25">
      <c r="AW452" s="34" t="str">
        <f t="shared" ref="AW452:AW497" si="22">AY452&amp;AZ452&amp;BA452&amp;BB452&amp;BC452&amp;BD452&amp;BE452&amp;BF452&amp;BG452&amp;BH452&amp;BI452&amp;BJ452</f>
        <v>ABCDFHIJ</v>
      </c>
      <c r="AX452" s="34">
        <v>450</v>
      </c>
      <c r="AY452" s="34" t="s">
        <v>119</v>
      </c>
      <c r="AZ452" s="34" t="s">
        <v>117</v>
      </c>
      <c r="BA452" s="34" t="s">
        <v>115</v>
      </c>
      <c r="BB452" s="34" t="s">
        <v>113</v>
      </c>
      <c r="BD452" s="34" t="s">
        <v>98</v>
      </c>
      <c r="BF452" s="34" t="s">
        <v>100</v>
      </c>
      <c r="BG452" s="34" t="s">
        <v>101</v>
      </c>
      <c r="BH452" s="34" t="s">
        <v>102</v>
      </c>
      <c r="BK452" s="34" t="s">
        <v>109</v>
      </c>
      <c r="BL452" s="34" t="s">
        <v>106</v>
      </c>
      <c r="BM452" s="34" t="s">
        <v>118</v>
      </c>
      <c r="BN452" s="34" t="s">
        <v>116</v>
      </c>
      <c r="BO452" s="34" t="s">
        <v>120</v>
      </c>
      <c r="BP452" s="34" t="s">
        <v>108</v>
      </c>
      <c r="BQ452" s="34" t="s">
        <v>114</v>
      </c>
      <c r="BR452" s="34" t="s">
        <v>107</v>
      </c>
    </row>
    <row r="453" spans="49:70" x14ac:dyDescent="0.25">
      <c r="AW453" s="34" t="str">
        <f t="shared" si="22"/>
        <v>ABCDFGKL</v>
      </c>
      <c r="AX453" s="34">
        <v>451</v>
      </c>
      <c r="AY453" s="34" t="s">
        <v>119</v>
      </c>
      <c r="AZ453" s="34" t="s">
        <v>117</v>
      </c>
      <c r="BA453" s="34" t="s">
        <v>115</v>
      </c>
      <c r="BB453" s="34" t="s">
        <v>113</v>
      </c>
      <c r="BD453" s="34" t="s">
        <v>98</v>
      </c>
      <c r="BE453" s="34" t="s">
        <v>99</v>
      </c>
      <c r="BI453" s="34" t="s">
        <v>103</v>
      </c>
      <c r="BJ453" s="34" t="s">
        <v>104</v>
      </c>
      <c r="BK453" s="34" t="s">
        <v>116</v>
      </c>
      <c r="BL453" s="34" t="s">
        <v>110</v>
      </c>
      <c r="BM453" s="34" t="s">
        <v>118</v>
      </c>
      <c r="BN453" s="34" t="s">
        <v>114</v>
      </c>
      <c r="BO453" s="34" t="s">
        <v>120</v>
      </c>
      <c r="BP453" s="34" t="s">
        <v>108</v>
      </c>
      <c r="BQ453" s="34" t="s">
        <v>111</v>
      </c>
      <c r="BR453" s="34" t="s">
        <v>112</v>
      </c>
    </row>
    <row r="454" spans="49:70" x14ac:dyDescent="0.25">
      <c r="AW454" s="34" t="str">
        <f t="shared" si="22"/>
        <v>ABCDFGJL</v>
      </c>
      <c r="AX454" s="34">
        <v>452</v>
      </c>
      <c r="AY454" s="34" t="s">
        <v>119</v>
      </c>
      <c r="AZ454" s="34" t="s">
        <v>117</v>
      </c>
      <c r="BA454" s="34" t="s">
        <v>115</v>
      </c>
      <c r="BB454" s="34" t="s">
        <v>113</v>
      </c>
      <c r="BD454" s="34" t="s">
        <v>98</v>
      </c>
      <c r="BE454" s="34" t="s">
        <v>99</v>
      </c>
      <c r="BH454" s="34" t="s">
        <v>102</v>
      </c>
      <c r="BJ454" s="34" t="s">
        <v>104</v>
      </c>
      <c r="BK454" s="34" t="s">
        <v>116</v>
      </c>
      <c r="BL454" s="34" t="s">
        <v>110</v>
      </c>
      <c r="BM454" s="34" t="s">
        <v>118</v>
      </c>
      <c r="BN454" s="34" t="s">
        <v>114</v>
      </c>
      <c r="BO454" s="34" t="s">
        <v>120</v>
      </c>
      <c r="BP454" s="34" t="s">
        <v>108</v>
      </c>
      <c r="BQ454" s="34" t="s">
        <v>111</v>
      </c>
      <c r="BR454" s="34" t="s">
        <v>106</v>
      </c>
    </row>
    <row r="455" spans="49:70" x14ac:dyDescent="0.25">
      <c r="AW455" s="34" t="str">
        <f t="shared" si="22"/>
        <v>ABCDFGJK</v>
      </c>
      <c r="AX455" s="34">
        <v>453</v>
      </c>
      <c r="AY455" s="34" t="s">
        <v>119</v>
      </c>
      <c r="AZ455" s="34" t="s">
        <v>117</v>
      </c>
      <c r="BA455" s="34" t="s">
        <v>115</v>
      </c>
      <c r="BB455" s="34" t="s">
        <v>113</v>
      </c>
      <c r="BD455" s="34" t="s">
        <v>98</v>
      </c>
      <c r="BE455" s="34" t="s">
        <v>99</v>
      </c>
      <c r="BH455" s="34" t="s">
        <v>102</v>
      </c>
      <c r="BI455" s="34" t="s">
        <v>103</v>
      </c>
      <c r="BK455" s="34" t="s">
        <v>116</v>
      </c>
      <c r="BL455" s="34" t="s">
        <v>110</v>
      </c>
      <c r="BM455" s="34" t="s">
        <v>118</v>
      </c>
      <c r="BN455" s="34" t="s">
        <v>114</v>
      </c>
      <c r="BO455" s="34" t="s">
        <v>120</v>
      </c>
      <c r="BP455" s="34" t="s">
        <v>108</v>
      </c>
      <c r="BQ455" s="34" t="s">
        <v>106</v>
      </c>
      <c r="BR455" s="34" t="s">
        <v>112</v>
      </c>
    </row>
    <row r="456" spans="49:70" x14ac:dyDescent="0.25">
      <c r="AW456" s="34" t="str">
        <f t="shared" si="22"/>
        <v>ABCDFGIL</v>
      </c>
      <c r="AX456" s="34">
        <v>454</v>
      </c>
      <c r="AY456" s="34" t="s">
        <v>119</v>
      </c>
      <c r="AZ456" s="34" t="s">
        <v>117</v>
      </c>
      <c r="BA456" s="34" t="s">
        <v>115</v>
      </c>
      <c r="BB456" s="34" t="s">
        <v>113</v>
      </c>
      <c r="BD456" s="34" t="s">
        <v>98</v>
      </c>
      <c r="BE456" s="34" t="s">
        <v>99</v>
      </c>
      <c r="BG456" s="34" t="s">
        <v>101</v>
      </c>
      <c r="BJ456" s="34" t="s">
        <v>104</v>
      </c>
      <c r="BK456" s="34" t="s">
        <v>116</v>
      </c>
      <c r="BL456" s="34" t="s">
        <v>110</v>
      </c>
      <c r="BM456" s="34" t="s">
        <v>118</v>
      </c>
      <c r="BN456" s="34" t="s">
        <v>114</v>
      </c>
      <c r="BO456" s="34" t="s">
        <v>120</v>
      </c>
      <c r="BP456" s="34" t="s">
        <v>108</v>
      </c>
      <c r="BQ456" s="34" t="s">
        <v>111</v>
      </c>
      <c r="BR456" s="34" t="s">
        <v>107</v>
      </c>
    </row>
    <row r="457" spans="49:70" x14ac:dyDescent="0.25">
      <c r="AW457" s="34" t="str">
        <f t="shared" si="22"/>
        <v>ABCDFGIK</v>
      </c>
      <c r="AX457" s="34">
        <v>455</v>
      </c>
      <c r="AY457" s="34" t="s">
        <v>119</v>
      </c>
      <c r="AZ457" s="34" t="s">
        <v>117</v>
      </c>
      <c r="BA457" s="34" t="s">
        <v>115</v>
      </c>
      <c r="BB457" s="34" t="s">
        <v>113</v>
      </c>
      <c r="BD457" s="34" t="s">
        <v>98</v>
      </c>
      <c r="BE457" s="34" t="s">
        <v>99</v>
      </c>
      <c r="BG457" s="34" t="s">
        <v>101</v>
      </c>
      <c r="BI457" s="34" t="s">
        <v>103</v>
      </c>
      <c r="BK457" s="34" t="s">
        <v>116</v>
      </c>
      <c r="BL457" s="34" t="s">
        <v>110</v>
      </c>
      <c r="BM457" s="34" t="s">
        <v>118</v>
      </c>
      <c r="BN457" s="34" t="s">
        <v>114</v>
      </c>
      <c r="BO457" s="34" t="s">
        <v>120</v>
      </c>
      <c r="BP457" s="34" t="s">
        <v>108</v>
      </c>
      <c r="BQ457" s="34" t="s">
        <v>107</v>
      </c>
      <c r="BR457" s="34" t="s">
        <v>112</v>
      </c>
    </row>
    <row r="458" spans="49:70" x14ac:dyDescent="0.25">
      <c r="AW458" s="34" t="str">
        <f t="shared" si="22"/>
        <v>ABCDFGIJ</v>
      </c>
      <c r="AX458" s="34">
        <v>456</v>
      </c>
      <c r="AY458" s="34" t="s">
        <v>119</v>
      </c>
      <c r="AZ458" s="34" t="s">
        <v>117</v>
      </c>
      <c r="BA458" s="34" t="s">
        <v>115</v>
      </c>
      <c r="BB458" s="34" t="s">
        <v>113</v>
      </c>
      <c r="BD458" s="34" t="s">
        <v>98</v>
      </c>
      <c r="BE458" s="34" t="s">
        <v>99</v>
      </c>
      <c r="BG458" s="34" t="s">
        <v>101</v>
      </c>
      <c r="BH458" s="34" t="s">
        <v>102</v>
      </c>
      <c r="BK458" s="34" t="s">
        <v>116</v>
      </c>
      <c r="BL458" s="34" t="s">
        <v>110</v>
      </c>
      <c r="BM458" s="34" t="s">
        <v>118</v>
      </c>
      <c r="BN458" s="34" t="s">
        <v>114</v>
      </c>
      <c r="BO458" s="34" t="s">
        <v>120</v>
      </c>
      <c r="BP458" s="34" t="s">
        <v>108</v>
      </c>
      <c r="BQ458" s="34" t="s">
        <v>107</v>
      </c>
      <c r="BR458" s="34" t="s">
        <v>106</v>
      </c>
    </row>
    <row r="459" spans="49:70" x14ac:dyDescent="0.25">
      <c r="AW459" s="34" t="str">
        <f t="shared" si="22"/>
        <v>ABCDFGHL</v>
      </c>
      <c r="AX459" s="34">
        <v>457</v>
      </c>
      <c r="AY459" s="34" t="s">
        <v>119</v>
      </c>
      <c r="AZ459" s="34" t="s">
        <v>117</v>
      </c>
      <c r="BA459" s="34" t="s">
        <v>115</v>
      </c>
      <c r="BB459" s="34" t="s">
        <v>113</v>
      </c>
      <c r="BD459" s="34" t="s">
        <v>98</v>
      </c>
      <c r="BE459" s="34" t="s">
        <v>99</v>
      </c>
      <c r="BF459" s="34" t="s">
        <v>100</v>
      </c>
      <c r="BJ459" s="34" t="s">
        <v>104</v>
      </c>
      <c r="BK459" s="34" t="s">
        <v>116</v>
      </c>
      <c r="BL459" s="34" t="s">
        <v>110</v>
      </c>
      <c r="BM459" s="34" t="s">
        <v>118</v>
      </c>
      <c r="BN459" s="34" t="s">
        <v>114</v>
      </c>
      <c r="BO459" s="34" t="s">
        <v>120</v>
      </c>
      <c r="BP459" s="34" t="s">
        <v>108</v>
      </c>
      <c r="BQ459" s="34" t="s">
        <v>111</v>
      </c>
      <c r="BR459" s="34" t="s">
        <v>109</v>
      </c>
    </row>
    <row r="460" spans="49:70" x14ac:dyDescent="0.25">
      <c r="AW460" s="34" t="str">
        <f t="shared" si="22"/>
        <v>ABCDFGHK</v>
      </c>
      <c r="AX460" s="34">
        <v>458</v>
      </c>
      <c r="AY460" s="34" t="s">
        <v>119</v>
      </c>
      <c r="AZ460" s="34" t="s">
        <v>117</v>
      </c>
      <c r="BA460" s="34" t="s">
        <v>115</v>
      </c>
      <c r="BB460" s="34" t="s">
        <v>113</v>
      </c>
      <c r="BD460" s="34" t="s">
        <v>98</v>
      </c>
      <c r="BE460" s="34" t="s">
        <v>99</v>
      </c>
      <c r="BF460" s="34" t="s">
        <v>100</v>
      </c>
      <c r="BI460" s="34" t="s">
        <v>103</v>
      </c>
      <c r="BK460" s="34" t="s">
        <v>109</v>
      </c>
      <c r="BL460" s="34" t="s">
        <v>110</v>
      </c>
      <c r="BM460" s="34" t="s">
        <v>118</v>
      </c>
      <c r="BN460" s="34" t="s">
        <v>116</v>
      </c>
      <c r="BO460" s="34" t="s">
        <v>120</v>
      </c>
      <c r="BP460" s="34" t="s">
        <v>108</v>
      </c>
      <c r="BQ460" s="34" t="s">
        <v>114</v>
      </c>
      <c r="BR460" s="34" t="s">
        <v>112</v>
      </c>
    </row>
    <row r="461" spans="49:70" x14ac:dyDescent="0.25">
      <c r="AW461" s="34" t="str">
        <f t="shared" si="22"/>
        <v>ABCDFGHJ</v>
      </c>
      <c r="AX461" s="34">
        <v>459</v>
      </c>
      <c r="AY461" s="34" t="s">
        <v>119</v>
      </c>
      <c r="AZ461" s="34" t="s">
        <v>117</v>
      </c>
      <c r="BA461" s="34" t="s">
        <v>115</v>
      </c>
      <c r="BB461" s="34" t="s">
        <v>113</v>
      </c>
      <c r="BD461" s="34" t="s">
        <v>98</v>
      </c>
      <c r="BE461" s="34" t="s">
        <v>99</v>
      </c>
      <c r="BF461" s="34" t="s">
        <v>100</v>
      </c>
      <c r="BH461" s="34" t="s">
        <v>102</v>
      </c>
      <c r="BK461" s="34" t="s">
        <v>109</v>
      </c>
      <c r="BL461" s="34" t="s">
        <v>110</v>
      </c>
      <c r="BM461" s="34" t="s">
        <v>118</v>
      </c>
      <c r="BN461" s="34" t="s">
        <v>116</v>
      </c>
      <c r="BO461" s="34" t="s">
        <v>120</v>
      </c>
      <c r="BP461" s="34" t="s">
        <v>108</v>
      </c>
      <c r="BQ461" s="34" t="s">
        <v>114</v>
      </c>
      <c r="BR461" s="34" t="s">
        <v>106</v>
      </c>
    </row>
    <row r="462" spans="49:70" x14ac:dyDescent="0.25">
      <c r="AW462" s="34" t="str">
        <f t="shared" si="22"/>
        <v>ABCDFGHI</v>
      </c>
      <c r="AX462" s="34">
        <v>460</v>
      </c>
      <c r="AY462" s="34" t="s">
        <v>119</v>
      </c>
      <c r="AZ462" s="34" t="s">
        <v>117</v>
      </c>
      <c r="BA462" s="34" t="s">
        <v>115</v>
      </c>
      <c r="BB462" s="34" t="s">
        <v>113</v>
      </c>
      <c r="BD462" s="34" t="s">
        <v>98</v>
      </c>
      <c r="BE462" s="34" t="s">
        <v>99</v>
      </c>
      <c r="BF462" s="34" t="s">
        <v>100</v>
      </c>
      <c r="BG462" s="34" t="s">
        <v>101</v>
      </c>
      <c r="BK462" s="34" t="s">
        <v>109</v>
      </c>
      <c r="BL462" s="34" t="s">
        <v>110</v>
      </c>
      <c r="BM462" s="34" t="s">
        <v>118</v>
      </c>
      <c r="BN462" s="34" t="s">
        <v>116</v>
      </c>
      <c r="BO462" s="34" t="s">
        <v>120</v>
      </c>
      <c r="BP462" s="34" t="s">
        <v>108</v>
      </c>
      <c r="BQ462" s="34" t="s">
        <v>114</v>
      </c>
      <c r="BR462" s="34" t="s">
        <v>107</v>
      </c>
    </row>
    <row r="463" spans="49:70" x14ac:dyDescent="0.25">
      <c r="AW463" s="34" t="str">
        <f t="shared" si="22"/>
        <v>ABCDEJKL</v>
      </c>
      <c r="AX463" s="34">
        <v>461</v>
      </c>
      <c r="AY463" s="34" t="s">
        <v>119</v>
      </c>
      <c r="AZ463" s="34" t="s">
        <v>117</v>
      </c>
      <c r="BA463" s="34" t="s">
        <v>115</v>
      </c>
      <c r="BB463" s="34" t="s">
        <v>113</v>
      </c>
      <c r="BC463" s="34" t="s">
        <v>97</v>
      </c>
      <c r="BH463" s="34" t="s">
        <v>102</v>
      </c>
      <c r="BI463" s="34" t="s">
        <v>103</v>
      </c>
      <c r="BJ463" s="34" t="s">
        <v>104</v>
      </c>
      <c r="BK463" s="34" t="s">
        <v>105</v>
      </c>
      <c r="BL463" s="34" t="s">
        <v>106</v>
      </c>
      <c r="BM463" s="34" t="s">
        <v>118</v>
      </c>
      <c r="BN463" s="34" t="s">
        <v>116</v>
      </c>
      <c r="BO463" s="34" t="s">
        <v>120</v>
      </c>
      <c r="BP463" s="34" t="s">
        <v>114</v>
      </c>
      <c r="BQ463" s="34" t="s">
        <v>111</v>
      </c>
      <c r="BR463" s="34" t="s">
        <v>112</v>
      </c>
    </row>
    <row r="464" spans="49:70" x14ac:dyDescent="0.25">
      <c r="AW464" s="34" t="str">
        <f t="shared" si="22"/>
        <v>ABCDEIKL</v>
      </c>
      <c r="AX464" s="34">
        <v>462</v>
      </c>
      <c r="AY464" s="34" t="s">
        <v>119</v>
      </c>
      <c r="AZ464" s="34" t="s">
        <v>117</v>
      </c>
      <c r="BA464" s="34" t="s">
        <v>115</v>
      </c>
      <c r="BB464" s="34" t="s">
        <v>113</v>
      </c>
      <c r="BC464" s="34" t="s">
        <v>97</v>
      </c>
      <c r="BG464" s="34" t="s">
        <v>101</v>
      </c>
      <c r="BI464" s="34" t="s">
        <v>103</v>
      </c>
      <c r="BJ464" s="34" t="s">
        <v>104</v>
      </c>
      <c r="BK464" s="34" t="s">
        <v>105</v>
      </c>
      <c r="BL464" s="34" t="s">
        <v>107</v>
      </c>
      <c r="BM464" s="34" t="s">
        <v>118</v>
      </c>
      <c r="BN464" s="34" t="s">
        <v>116</v>
      </c>
      <c r="BO464" s="34" t="s">
        <v>120</v>
      </c>
      <c r="BP464" s="34" t="s">
        <v>114</v>
      </c>
      <c r="BQ464" s="34" t="s">
        <v>111</v>
      </c>
      <c r="BR464" s="34" t="s">
        <v>112</v>
      </c>
    </row>
    <row r="465" spans="49:70" x14ac:dyDescent="0.25">
      <c r="AW465" s="34" t="str">
        <f t="shared" si="22"/>
        <v>ABCDEIJL</v>
      </c>
      <c r="AX465" s="34">
        <v>463</v>
      </c>
      <c r="AY465" s="34" t="s">
        <v>119</v>
      </c>
      <c r="AZ465" s="34" t="s">
        <v>117</v>
      </c>
      <c r="BA465" s="34" t="s">
        <v>115</v>
      </c>
      <c r="BB465" s="34" t="s">
        <v>113</v>
      </c>
      <c r="BC465" s="34" t="s">
        <v>97</v>
      </c>
      <c r="BG465" s="34" t="s">
        <v>101</v>
      </c>
      <c r="BH465" s="34" t="s">
        <v>102</v>
      </c>
      <c r="BJ465" s="34" t="s">
        <v>104</v>
      </c>
      <c r="BK465" s="34" t="s">
        <v>105</v>
      </c>
      <c r="BL465" s="34" t="s">
        <v>106</v>
      </c>
      <c r="BM465" s="34" t="s">
        <v>118</v>
      </c>
      <c r="BN465" s="34" t="s">
        <v>116</v>
      </c>
      <c r="BO465" s="34" t="s">
        <v>120</v>
      </c>
      <c r="BP465" s="34" t="s">
        <v>114</v>
      </c>
      <c r="BQ465" s="34" t="s">
        <v>111</v>
      </c>
      <c r="BR465" s="34" t="s">
        <v>107</v>
      </c>
    </row>
    <row r="466" spans="49:70" x14ac:dyDescent="0.25">
      <c r="AW466" s="34" t="str">
        <f t="shared" si="22"/>
        <v>ABCDEIJK</v>
      </c>
      <c r="AX466" s="34">
        <v>464</v>
      </c>
      <c r="AY466" s="34" t="s">
        <v>119</v>
      </c>
      <c r="AZ466" s="34" t="s">
        <v>117</v>
      </c>
      <c r="BA466" s="34" t="s">
        <v>115</v>
      </c>
      <c r="BB466" s="34" t="s">
        <v>113</v>
      </c>
      <c r="BC466" s="34" t="s">
        <v>97</v>
      </c>
      <c r="BG466" s="34" t="s">
        <v>101</v>
      </c>
      <c r="BH466" s="34" t="s">
        <v>102</v>
      </c>
      <c r="BI466" s="34" t="s">
        <v>103</v>
      </c>
      <c r="BK466" s="34" t="s">
        <v>105</v>
      </c>
      <c r="BL466" s="34" t="s">
        <v>106</v>
      </c>
      <c r="BM466" s="34" t="s">
        <v>118</v>
      </c>
      <c r="BN466" s="34" t="s">
        <v>116</v>
      </c>
      <c r="BO466" s="34" t="s">
        <v>120</v>
      </c>
      <c r="BP466" s="34" t="s">
        <v>114</v>
      </c>
      <c r="BQ466" s="34" t="s">
        <v>107</v>
      </c>
      <c r="BR466" s="34" t="s">
        <v>112</v>
      </c>
    </row>
    <row r="467" spans="49:70" x14ac:dyDescent="0.25">
      <c r="AW467" s="34" t="str">
        <f t="shared" si="22"/>
        <v>ABCDEHKL</v>
      </c>
      <c r="AX467" s="34">
        <v>465</v>
      </c>
      <c r="AY467" s="34" t="s">
        <v>119</v>
      </c>
      <c r="AZ467" s="34" t="s">
        <v>117</v>
      </c>
      <c r="BA467" s="34" t="s">
        <v>115</v>
      </c>
      <c r="BB467" s="34" t="s">
        <v>113</v>
      </c>
      <c r="BC467" s="34" t="s">
        <v>97</v>
      </c>
      <c r="BF467" s="34" t="s">
        <v>100</v>
      </c>
      <c r="BI467" s="34" t="s">
        <v>103</v>
      </c>
      <c r="BJ467" s="34" t="s">
        <v>104</v>
      </c>
      <c r="BK467" s="34" t="s">
        <v>109</v>
      </c>
      <c r="BL467" s="34" t="s">
        <v>105</v>
      </c>
      <c r="BM467" s="34" t="s">
        <v>118</v>
      </c>
      <c r="BN467" s="34" t="s">
        <v>116</v>
      </c>
      <c r="BO467" s="34" t="s">
        <v>120</v>
      </c>
      <c r="BP467" s="34" t="s">
        <v>114</v>
      </c>
      <c r="BQ467" s="34" t="s">
        <v>111</v>
      </c>
      <c r="BR467" s="34" t="s">
        <v>112</v>
      </c>
    </row>
    <row r="468" spans="49:70" x14ac:dyDescent="0.25">
      <c r="AW468" s="34" t="str">
        <f t="shared" si="22"/>
        <v>ABCDEHJL</v>
      </c>
      <c r="AX468" s="34">
        <v>466</v>
      </c>
      <c r="AY468" s="34" t="s">
        <v>119</v>
      </c>
      <c r="AZ468" s="34" t="s">
        <v>117</v>
      </c>
      <c r="BA468" s="34" t="s">
        <v>115</v>
      </c>
      <c r="BB468" s="34" t="s">
        <v>113</v>
      </c>
      <c r="BC468" s="34" t="s">
        <v>97</v>
      </c>
      <c r="BF468" s="34" t="s">
        <v>100</v>
      </c>
      <c r="BH468" s="34" t="s">
        <v>102</v>
      </c>
      <c r="BJ468" s="34" t="s">
        <v>104</v>
      </c>
      <c r="BK468" s="34" t="s">
        <v>109</v>
      </c>
      <c r="BL468" s="34" t="s">
        <v>106</v>
      </c>
      <c r="BM468" s="34" t="s">
        <v>118</v>
      </c>
      <c r="BN468" s="34" t="s">
        <v>116</v>
      </c>
      <c r="BO468" s="34" t="s">
        <v>120</v>
      </c>
      <c r="BP468" s="34" t="s">
        <v>114</v>
      </c>
      <c r="BQ468" s="34" t="s">
        <v>111</v>
      </c>
      <c r="BR468" s="34" t="s">
        <v>105</v>
      </c>
    </row>
    <row r="469" spans="49:70" x14ac:dyDescent="0.25">
      <c r="AW469" s="34" t="str">
        <f t="shared" si="22"/>
        <v>ABCDEHJK</v>
      </c>
      <c r="AX469" s="34">
        <v>467</v>
      </c>
      <c r="AY469" s="34" t="s">
        <v>119</v>
      </c>
      <c r="AZ469" s="34" t="s">
        <v>117</v>
      </c>
      <c r="BA469" s="34" t="s">
        <v>115</v>
      </c>
      <c r="BB469" s="34" t="s">
        <v>113</v>
      </c>
      <c r="BC469" s="34" t="s">
        <v>97</v>
      </c>
      <c r="BF469" s="34" t="s">
        <v>100</v>
      </c>
      <c r="BH469" s="34" t="s">
        <v>102</v>
      </c>
      <c r="BI469" s="34" t="s">
        <v>103</v>
      </c>
      <c r="BK469" s="34" t="s">
        <v>109</v>
      </c>
      <c r="BL469" s="34" t="s">
        <v>106</v>
      </c>
      <c r="BM469" s="34" t="s">
        <v>118</v>
      </c>
      <c r="BN469" s="34" t="s">
        <v>116</v>
      </c>
      <c r="BO469" s="34" t="s">
        <v>120</v>
      </c>
      <c r="BP469" s="34" t="s">
        <v>114</v>
      </c>
      <c r="BQ469" s="34" t="s">
        <v>105</v>
      </c>
      <c r="BR469" s="34" t="s">
        <v>112</v>
      </c>
    </row>
    <row r="470" spans="49:70" x14ac:dyDescent="0.25">
      <c r="AW470" s="34" t="str">
        <f t="shared" si="22"/>
        <v>ABCDEHIL</v>
      </c>
      <c r="AX470" s="34">
        <v>468</v>
      </c>
      <c r="AY470" s="34" t="s">
        <v>119</v>
      </c>
      <c r="AZ470" s="34" t="s">
        <v>117</v>
      </c>
      <c r="BA470" s="34" t="s">
        <v>115</v>
      </c>
      <c r="BB470" s="34" t="s">
        <v>113</v>
      </c>
      <c r="BC470" s="34" t="s">
        <v>97</v>
      </c>
      <c r="BF470" s="34" t="s">
        <v>100</v>
      </c>
      <c r="BG470" s="34" t="s">
        <v>101</v>
      </c>
      <c r="BJ470" s="34" t="s">
        <v>104</v>
      </c>
      <c r="BK470" s="34" t="s">
        <v>109</v>
      </c>
      <c r="BL470" s="34" t="s">
        <v>105</v>
      </c>
      <c r="BM470" s="34" t="s">
        <v>118</v>
      </c>
      <c r="BN470" s="34" t="s">
        <v>116</v>
      </c>
      <c r="BO470" s="34" t="s">
        <v>120</v>
      </c>
      <c r="BP470" s="34" t="s">
        <v>114</v>
      </c>
      <c r="BQ470" s="34" t="s">
        <v>111</v>
      </c>
      <c r="BR470" s="34" t="s">
        <v>107</v>
      </c>
    </row>
    <row r="471" spans="49:70" x14ac:dyDescent="0.25">
      <c r="AW471" s="34" t="str">
        <f t="shared" si="22"/>
        <v>ABCDEHIK</v>
      </c>
      <c r="AX471" s="34">
        <v>469</v>
      </c>
      <c r="AY471" s="34" t="s">
        <v>119</v>
      </c>
      <c r="AZ471" s="34" t="s">
        <v>117</v>
      </c>
      <c r="BA471" s="34" t="s">
        <v>115</v>
      </c>
      <c r="BB471" s="34" t="s">
        <v>113</v>
      </c>
      <c r="BC471" s="34" t="s">
        <v>97</v>
      </c>
      <c r="BF471" s="34" t="s">
        <v>100</v>
      </c>
      <c r="BG471" s="34" t="s">
        <v>101</v>
      </c>
      <c r="BI471" s="34" t="s">
        <v>103</v>
      </c>
      <c r="BK471" s="34" t="s">
        <v>109</v>
      </c>
      <c r="BL471" s="34" t="s">
        <v>105</v>
      </c>
      <c r="BM471" s="34" t="s">
        <v>118</v>
      </c>
      <c r="BN471" s="34" t="s">
        <v>116</v>
      </c>
      <c r="BO471" s="34" t="s">
        <v>120</v>
      </c>
      <c r="BP471" s="34" t="s">
        <v>114</v>
      </c>
      <c r="BQ471" s="34" t="s">
        <v>107</v>
      </c>
      <c r="BR471" s="34" t="s">
        <v>112</v>
      </c>
    </row>
    <row r="472" spans="49:70" x14ac:dyDescent="0.25">
      <c r="AW472" s="34" t="str">
        <f t="shared" si="22"/>
        <v>ABCDEHIJ</v>
      </c>
      <c r="AX472" s="34">
        <v>470</v>
      </c>
      <c r="AY472" s="34" t="s">
        <v>119</v>
      </c>
      <c r="AZ472" s="34" t="s">
        <v>117</v>
      </c>
      <c r="BA472" s="34" t="s">
        <v>115</v>
      </c>
      <c r="BB472" s="34" t="s">
        <v>113</v>
      </c>
      <c r="BC472" s="34" t="s">
        <v>97</v>
      </c>
      <c r="BF472" s="34" t="s">
        <v>100</v>
      </c>
      <c r="BG472" s="34" t="s">
        <v>101</v>
      </c>
      <c r="BH472" s="34" t="s">
        <v>102</v>
      </c>
      <c r="BK472" s="34" t="s">
        <v>109</v>
      </c>
      <c r="BL472" s="34" t="s">
        <v>106</v>
      </c>
      <c r="BM472" s="34" t="s">
        <v>118</v>
      </c>
      <c r="BN472" s="34" t="s">
        <v>116</v>
      </c>
      <c r="BO472" s="34" t="s">
        <v>120</v>
      </c>
      <c r="BP472" s="34" t="s">
        <v>114</v>
      </c>
      <c r="BQ472" s="34" t="s">
        <v>105</v>
      </c>
      <c r="BR472" s="34" t="s">
        <v>107</v>
      </c>
    </row>
    <row r="473" spans="49:70" x14ac:dyDescent="0.25">
      <c r="AW473" s="34" t="str">
        <f t="shared" si="22"/>
        <v>ABCDEGKL</v>
      </c>
      <c r="AX473" s="34">
        <v>471</v>
      </c>
      <c r="AY473" s="34" t="s">
        <v>119</v>
      </c>
      <c r="AZ473" s="34" t="s">
        <v>117</v>
      </c>
      <c r="BA473" s="34" t="s">
        <v>115</v>
      </c>
      <c r="BB473" s="34" t="s">
        <v>113</v>
      </c>
      <c r="BC473" s="34" t="s">
        <v>97</v>
      </c>
      <c r="BE473" s="34" t="s">
        <v>99</v>
      </c>
      <c r="BI473" s="34" t="s">
        <v>103</v>
      </c>
      <c r="BJ473" s="34" t="s">
        <v>104</v>
      </c>
      <c r="BK473" s="34" t="s">
        <v>105</v>
      </c>
      <c r="BL473" s="34" t="s">
        <v>110</v>
      </c>
      <c r="BM473" s="34" t="s">
        <v>118</v>
      </c>
      <c r="BN473" s="34" t="s">
        <v>116</v>
      </c>
      <c r="BO473" s="34" t="s">
        <v>120</v>
      </c>
      <c r="BP473" s="34" t="s">
        <v>114</v>
      </c>
      <c r="BQ473" s="34" t="s">
        <v>111</v>
      </c>
      <c r="BR473" s="34" t="s">
        <v>112</v>
      </c>
    </row>
    <row r="474" spans="49:70" x14ac:dyDescent="0.25">
      <c r="AW474" s="34" t="str">
        <f t="shared" si="22"/>
        <v>ABCDEGJL</v>
      </c>
      <c r="AX474" s="34">
        <v>472</v>
      </c>
      <c r="AY474" s="34" t="s">
        <v>119</v>
      </c>
      <c r="AZ474" s="34" t="s">
        <v>117</v>
      </c>
      <c r="BA474" s="34" t="s">
        <v>115</v>
      </c>
      <c r="BB474" s="34" t="s">
        <v>113</v>
      </c>
      <c r="BC474" s="34" t="s">
        <v>97</v>
      </c>
      <c r="BE474" s="34" t="s">
        <v>99</v>
      </c>
      <c r="BH474" s="34" t="s">
        <v>102</v>
      </c>
      <c r="BJ474" s="34" t="s">
        <v>104</v>
      </c>
      <c r="BK474" s="34" t="s">
        <v>105</v>
      </c>
      <c r="BL474" s="34" t="s">
        <v>110</v>
      </c>
      <c r="BM474" s="34" t="s">
        <v>118</v>
      </c>
      <c r="BN474" s="34" t="s">
        <v>116</v>
      </c>
      <c r="BO474" s="34" t="s">
        <v>120</v>
      </c>
      <c r="BP474" s="34" t="s">
        <v>114</v>
      </c>
      <c r="BQ474" s="34" t="s">
        <v>111</v>
      </c>
      <c r="BR474" s="34" t="s">
        <v>106</v>
      </c>
    </row>
    <row r="475" spans="49:70" x14ac:dyDescent="0.25">
      <c r="AW475" s="34" t="str">
        <f t="shared" si="22"/>
        <v>ABCDEGJK</v>
      </c>
      <c r="AX475" s="34">
        <v>473</v>
      </c>
      <c r="AY475" s="34" t="s">
        <v>119</v>
      </c>
      <c r="AZ475" s="34" t="s">
        <v>117</v>
      </c>
      <c r="BA475" s="34" t="s">
        <v>115</v>
      </c>
      <c r="BB475" s="34" t="s">
        <v>113</v>
      </c>
      <c r="BC475" s="34" t="s">
        <v>97</v>
      </c>
      <c r="BE475" s="34" t="s">
        <v>99</v>
      </c>
      <c r="BH475" s="34" t="s">
        <v>102</v>
      </c>
      <c r="BI475" s="34" t="s">
        <v>103</v>
      </c>
      <c r="BK475" s="34" t="s">
        <v>105</v>
      </c>
      <c r="BL475" s="34" t="s">
        <v>110</v>
      </c>
      <c r="BM475" s="34" t="s">
        <v>118</v>
      </c>
      <c r="BN475" s="34" t="s">
        <v>116</v>
      </c>
      <c r="BO475" s="34" t="s">
        <v>120</v>
      </c>
      <c r="BP475" s="34" t="s">
        <v>114</v>
      </c>
      <c r="BQ475" s="34" t="s">
        <v>106</v>
      </c>
      <c r="BR475" s="34" t="s">
        <v>112</v>
      </c>
    </row>
    <row r="476" spans="49:70" x14ac:dyDescent="0.25">
      <c r="AW476" s="34" t="str">
        <f t="shared" si="22"/>
        <v>ABCDEGIL</v>
      </c>
      <c r="AX476" s="34">
        <v>474</v>
      </c>
      <c r="AY476" s="34" t="s">
        <v>119</v>
      </c>
      <c r="AZ476" s="34" t="s">
        <v>117</v>
      </c>
      <c r="BA476" s="34" t="s">
        <v>115</v>
      </c>
      <c r="BB476" s="34" t="s">
        <v>113</v>
      </c>
      <c r="BC476" s="34" t="s">
        <v>97</v>
      </c>
      <c r="BE476" s="34" t="s">
        <v>99</v>
      </c>
      <c r="BG476" s="34" t="s">
        <v>101</v>
      </c>
      <c r="BJ476" s="34" t="s">
        <v>104</v>
      </c>
      <c r="BK476" s="34" t="s">
        <v>105</v>
      </c>
      <c r="BL476" s="34" t="s">
        <v>110</v>
      </c>
      <c r="BM476" s="34" t="s">
        <v>118</v>
      </c>
      <c r="BN476" s="34" t="s">
        <v>116</v>
      </c>
      <c r="BO476" s="34" t="s">
        <v>120</v>
      </c>
      <c r="BP476" s="34" t="s">
        <v>114</v>
      </c>
      <c r="BQ476" s="34" t="s">
        <v>111</v>
      </c>
      <c r="BR476" s="34" t="s">
        <v>107</v>
      </c>
    </row>
    <row r="477" spans="49:70" x14ac:dyDescent="0.25">
      <c r="AW477" s="34" t="str">
        <f t="shared" si="22"/>
        <v>ABCDEGIK</v>
      </c>
      <c r="AX477" s="34">
        <v>475</v>
      </c>
      <c r="AY477" s="34" t="s">
        <v>119</v>
      </c>
      <c r="AZ477" s="34" t="s">
        <v>117</v>
      </c>
      <c r="BA477" s="34" t="s">
        <v>115</v>
      </c>
      <c r="BB477" s="34" t="s">
        <v>113</v>
      </c>
      <c r="BC477" s="34" t="s">
        <v>97</v>
      </c>
      <c r="BE477" s="34" t="s">
        <v>99</v>
      </c>
      <c r="BG477" s="34" t="s">
        <v>101</v>
      </c>
      <c r="BI477" s="34" t="s">
        <v>103</v>
      </c>
      <c r="BK477" s="34" t="s">
        <v>105</v>
      </c>
      <c r="BL477" s="34" t="s">
        <v>110</v>
      </c>
      <c r="BM477" s="34" t="s">
        <v>118</v>
      </c>
      <c r="BN477" s="34" t="s">
        <v>116</v>
      </c>
      <c r="BO477" s="34" t="s">
        <v>120</v>
      </c>
      <c r="BP477" s="34" t="s">
        <v>114</v>
      </c>
      <c r="BQ477" s="34" t="s">
        <v>107</v>
      </c>
      <c r="BR477" s="34" t="s">
        <v>112</v>
      </c>
    </row>
    <row r="478" spans="49:70" x14ac:dyDescent="0.25">
      <c r="AW478" s="34" t="str">
        <f t="shared" si="22"/>
        <v>ABCDEGIJ</v>
      </c>
      <c r="AX478" s="34">
        <v>476</v>
      </c>
      <c r="AY478" s="34" t="s">
        <v>119</v>
      </c>
      <c r="AZ478" s="34" t="s">
        <v>117</v>
      </c>
      <c r="BA478" s="34" t="s">
        <v>115</v>
      </c>
      <c r="BB478" s="34" t="s">
        <v>113</v>
      </c>
      <c r="BC478" s="34" t="s">
        <v>97</v>
      </c>
      <c r="BE478" s="34" t="s">
        <v>99</v>
      </c>
      <c r="BG478" s="34" t="s">
        <v>101</v>
      </c>
      <c r="BH478" s="34" t="s">
        <v>102</v>
      </c>
      <c r="BK478" s="34" t="s">
        <v>105</v>
      </c>
      <c r="BL478" s="34" t="s">
        <v>110</v>
      </c>
      <c r="BM478" s="34" t="s">
        <v>118</v>
      </c>
      <c r="BN478" s="34" t="s">
        <v>116</v>
      </c>
      <c r="BO478" s="34" t="s">
        <v>120</v>
      </c>
      <c r="BP478" s="34" t="s">
        <v>114</v>
      </c>
      <c r="BQ478" s="34" t="s">
        <v>107</v>
      </c>
      <c r="BR478" s="34" t="s">
        <v>106</v>
      </c>
    </row>
    <row r="479" spans="49:70" x14ac:dyDescent="0.25">
      <c r="AW479" s="34" t="str">
        <f t="shared" si="22"/>
        <v>ABCDEGHL</v>
      </c>
      <c r="AX479" s="34">
        <v>477</v>
      </c>
      <c r="AY479" s="34" t="s">
        <v>119</v>
      </c>
      <c r="AZ479" s="34" t="s">
        <v>117</v>
      </c>
      <c r="BA479" s="34" t="s">
        <v>115</v>
      </c>
      <c r="BB479" s="34" t="s">
        <v>113</v>
      </c>
      <c r="BC479" s="34" t="s">
        <v>97</v>
      </c>
      <c r="BE479" s="34" t="s">
        <v>99</v>
      </c>
      <c r="BF479" s="34" t="s">
        <v>100</v>
      </c>
      <c r="BJ479" s="34" t="s">
        <v>104</v>
      </c>
      <c r="BK479" s="34" t="s">
        <v>109</v>
      </c>
      <c r="BL479" s="34" t="s">
        <v>110</v>
      </c>
      <c r="BM479" s="34" t="s">
        <v>118</v>
      </c>
      <c r="BN479" s="34" t="s">
        <v>116</v>
      </c>
      <c r="BO479" s="34" t="s">
        <v>120</v>
      </c>
      <c r="BP479" s="34" t="s">
        <v>114</v>
      </c>
      <c r="BQ479" s="34" t="s">
        <v>111</v>
      </c>
      <c r="BR479" s="34" t="s">
        <v>105</v>
      </c>
    </row>
    <row r="480" spans="49:70" x14ac:dyDescent="0.25">
      <c r="AW480" s="34" t="str">
        <f t="shared" si="22"/>
        <v>ABCDEGHK</v>
      </c>
      <c r="AX480" s="34">
        <v>478</v>
      </c>
      <c r="AY480" s="34" t="s">
        <v>119</v>
      </c>
      <c r="AZ480" s="34" t="s">
        <v>117</v>
      </c>
      <c r="BA480" s="34" t="s">
        <v>115</v>
      </c>
      <c r="BB480" s="34" t="s">
        <v>113</v>
      </c>
      <c r="BC480" s="34" t="s">
        <v>97</v>
      </c>
      <c r="BE480" s="34" t="s">
        <v>99</v>
      </c>
      <c r="BF480" s="34" t="s">
        <v>100</v>
      </c>
      <c r="BI480" s="34" t="s">
        <v>103</v>
      </c>
      <c r="BK480" s="34" t="s">
        <v>109</v>
      </c>
      <c r="BL480" s="34" t="s">
        <v>110</v>
      </c>
      <c r="BM480" s="34" t="s">
        <v>118</v>
      </c>
      <c r="BN480" s="34" t="s">
        <v>116</v>
      </c>
      <c r="BO480" s="34" t="s">
        <v>120</v>
      </c>
      <c r="BP480" s="34" t="s">
        <v>114</v>
      </c>
      <c r="BQ480" s="34" t="s">
        <v>105</v>
      </c>
      <c r="BR480" s="34" t="s">
        <v>112</v>
      </c>
    </row>
    <row r="481" spans="49:70" x14ac:dyDescent="0.25">
      <c r="AW481" s="34" t="str">
        <f t="shared" si="22"/>
        <v>ABCDEGHJ</v>
      </c>
      <c r="AX481" s="34">
        <v>479</v>
      </c>
      <c r="AY481" s="34" t="s">
        <v>119</v>
      </c>
      <c r="AZ481" s="34" t="s">
        <v>117</v>
      </c>
      <c r="BA481" s="34" t="s">
        <v>115</v>
      </c>
      <c r="BB481" s="34" t="s">
        <v>113</v>
      </c>
      <c r="BC481" s="34" t="s">
        <v>97</v>
      </c>
      <c r="BE481" s="34" t="s">
        <v>99</v>
      </c>
      <c r="BF481" s="34" t="s">
        <v>100</v>
      </c>
      <c r="BH481" s="34" t="s">
        <v>102</v>
      </c>
      <c r="BK481" s="34" t="s">
        <v>109</v>
      </c>
      <c r="BL481" s="34" t="s">
        <v>110</v>
      </c>
      <c r="BM481" s="34" t="s">
        <v>118</v>
      </c>
      <c r="BN481" s="34" t="s">
        <v>116</v>
      </c>
      <c r="BO481" s="34" t="s">
        <v>120</v>
      </c>
      <c r="BP481" s="34" t="s">
        <v>114</v>
      </c>
      <c r="BQ481" s="34" t="s">
        <v>105</v>
      </c>
      <c r="BR481" s="34" t="s">
        <v>106</v>
      </c>
    </row>
    <row r="482" spans="49:70" x14ac:dyDescent="0.25">
      <c r="AW482" s="34" t="str">
        <f t="shared" si="22"/>
        <v>ABCDEGHI</v>
      </c>
      <c r="AX482" s="34">
        <v>480</v>
      </c>
      <c r="AY482" s="34" t="s">
        <v>119</v>
      </c>
      <c r="AZ482" s="34" t="s">
        <v>117</v>
      </c>
      <c r="BA482" s="34" t="s">
        <v>115</v>
      </c>
      <c r="BB482" s="34" t="s">
        <v>113</v>
      </c>
      <c r="BC482" s="34" t="s">
        <v>97</v>
      </c>
      <c r="BE482" s="34" t="s">
        <v>99</v>
      </c>
      <c r="BF482" s="34" t="s">
        <v>100</v>
      </c>
      <c r="BG482" s="34" t="s">
        <v>101</v>
      </c>
      <c r="BK482" s="34" t="s">
        <v>109</v>
      </c>
      <c r="BL482" s="34" t="s">
        <v>110</v>
      </c>
      <c r="BM482" s="34" t="s">
        <v>118</v>
      </c>
      <c r="BN482" s="34" t="s">
        <v>116</v>
      </c>
      <c r="BO482" s="34" t="s">
        <v>120</v>
      </c>
      <c r="BP482" s="34" t="s">
        <v>114</v>
      </c>
      <c r="BQ482" s="34" t="s">
        <v>105</v>
      </c>
      <c r="BR482" s="34" t="s">
        <v>107</v>
      </c>
    </row>
    <row r="483" spans="49:70" x14ac:dyDescent="0.25">
      <c r="AW483" s="34" t="str">
        <f t="shared" si="22"/>
        <v>ABCDEFKL</v>
      </c>
      <c r="AX483" s="34">
        <v>481</v>
      </c>
      <c r="AY483" s="34" t="s">
        <v>119</v>
      </c>
      <c r="AZ483" s="34" t="s">
        <v>117</v>
      </c>
      <c r="BA483" s="34" t="s">
        <v>115</v>
      </c>
      <c r="BB483" s="34" t="s">
        <v>113</v>
      </c>
      <c r="BC483" s="34" t="s">
        <v>97</v>
      </c>
      <c r="BD483" s="34" t="s">
        <v>98</v>
      </c>
      <c r="BI483" s="34" t="s">
        <v>103</v>
      </c>
      <c r="BJ483" s="34" t="s">
        <v>104</v>
      </c>
      <c r="BK483" s="34" t="s">
        <v>116</v>
      </c>
      <c r="BL483" s="34" t="s">
        <v>105</v>
      </c>
      <c r="BM483" s="34" t="s">
        <v>118</v>
      </c>
      <c r="BN483" s="34" t="s">
        <v>114</v>
      </c>
      <c r="BO483" s="34" t="s">
        <v>120</v>
      </c>
      <c r="BP483" s="34" t="s">
        <v>108</v>
      </c>
      <c r="BQ483" s="34" t="s">
        <v>111</v>
      </c>
      <c r="BR483" s="34" t="s">
        <v>112</v>
      </c>
    </row>
    <row r="484" spans="49:70" x14ac:dyDescent="0.25">
      <c r="AW484" s="34" t="str">
        <f t="shared" si="22"/>
        <v>ABCDEFJL</v>
      </c>
      <c r="AX484" s="34">
        <v>482</v>
      </c>
      <c r="AY484" s="34" t="s">
        <v>119</v>
      </c>
      <c r="AZ484" s="34" t="s">
        <v>117</v>
      </c>
      <c r="BA484" s="34" t="s">
        <v>115</v>
      </c>
      <c r="BB484" s="34" t="s">
        <v>113</v>
      </c>
      <c r="BC484" s="34" t="s">
        <v>97</v>
      </c>
      <c r="BD484" s="34" t="s">
        <v>98</v>
      </c>
      <c r="BH484" s="34" t="s">
        <v>102</v>
      </c>
      <c r="BJ484" s="34" t="s">
        <v>104</v>
      </c>
      <c r="BK484" s="34" t="s">
        <v>116</v>
      </c>
      <c r="BL484" s="34" t="s">
        <v>106</v>
      </c>
      <c r="BM484" s="34" t="s">
        <v>118</v>
      </c>
      <c r="BN484" s="34" t="s">
        <v>114</v>
      </c>
      <c r="BO484" s="34" t="s">
        <v>120</v>
      </c>
      <c r="BP484" s="34" t="s">
        <v>108</v>
      </c>
      <c r="BQ484" s="34" t="s">
        <v>111</v>
      </c>
      <c r="BR484" s="34" t="s">
        <v>105</v>
      </c>
    </row>
    <row r="485" spans="49:70" x14ac:dyDescent="0.25">
      <c r="AW485" s="34" t="str">
        <f t="shared" si="22"/>
        <v>ABCDEFJK</v>
      </c>
      <c r="AX485" s="34">
        <v>483</v>
      </c>
      <c r="AY485" s="34" t="s">
        <v>119</v>
      </c>
      <c r="AZ485" s="34" t="s">
        <v>117</v>
      </c>
      <c r="BA485" s="34" t="s">
        <v>115</v>
      </c>
      <c r="BB485" s="34" t="s">
        <v>113</v>
      </c>
      <c r="BC485" s="34" t="s">
        <v>97</v>
      </c>
      <c r="BD485" s="34" t="s">
        <v>98</v>
      </c>
      <c r="BH485" s="34" t="s">
        <v>102</v>
      </c>
      <c r="BI485" s="34" t="s">
        <v>103</v>
      </c>
      <c r="BK485" s="34" t="s">
        <v>116</v>
      </c>
      <c r="BL485" s="34" t="s">
        <v>106</v>
      </c>
      <c r="BM485" s="34" t="s">
        <v>118</v>
      </c>
      <c r="BN485" s="34" t="s">
        <v>114</v>
      </c>
      <c r="BO485" s="34" t="s">
        <v>120</v>
      </c>
      <c r="BP485" s="34" t="s">
        <v>108</v>
      </c>
      <c r="BQ485" s="34" t="s">
        <v>105</v>
      </c>
      <c r="BR485" s="34" t="s">
        <v>112</v>
      </c>
    </row>
    <row r="486" spans="49:70" x14ac:dyDescent="0.25">
      <c r="AW486" s="34" t="str">
        <f t="shared" si="22"/>
        <v>ABCDEFIL</v>
      </c>
      <c r="AX486" s="34">
        <v>484</v>
      </c>
      <c r="AY486" s="34" t="s">
        <v>119</v>
      </c>
      <c r="AZ486" s="34" t="s">
        <v>117</v>
      </c>
      <c r="BA486" s="34" t="s">
        <v>115</v>
      </c>
      <c r="BB486" s="34" t="s">
        <v>113</v>
      </c>
      <c r="BC486" s="34" t="s">
        <v>97</v>
      </c>
      <c r="BD486" s="34" t="s">
        <v>98</v>
      </c>
      <c r="BG486" s="34" t="s">
        <v>101</v>
      </c>
      <c r="BJ486" s="34" t="s">
        <v>104</v>
      </c>
      <c r="BK486" s="34" t="s">
        <v>116</v>
      </c>
      <c r="BL486" s="34" t="s">
        <v>105</v>
      </c>
      <c r="BM486" s="34" t="s">
        <v>118</v>
      </c>
      <c r="BN486" s="34" t="s">
        <v>114</v>
      </c>
      <c r="BO486" s="34" t="s">
        <v>120</v>
      </c>
      <c r="BP486" s="34" t="s">
        <v>108</v>
      </c>
      <c r="BQ486" s="34" t="s">
        <v>111</v>
      </c>
      <c r="BR486" s="34" t="s">
        <v>107</v>
      </c>
    </row>
    <row r="487" spans="49:70" x14ac:dyDescent="0.25">
      <c r="AW487" s="34" t="str">
        <f t="shared" si="22"/>
        <v>ABCDEFIK</v>
      </c>
      <c r="AX487" s="34">
        <v>485</v>
      </c>
      <c r="AY487" s="34" t="s">
        <v>119</v>
      </c>
      <c r="AZ487" s="34" t="s">
        <v>117</v>
      </c>
      <c r="BA487" s="34" t="s">
        <v>115</v>
      </c>
      <c r="BB487" s="34" t="s">
        <v>113</v>
      </c>
      <c r="BC487" s="34" t="s">
        <v>97</v>
      </c>
      <c r="BD487" s="34" t="s">
        <v>98</v>
      </c>
      <c r="BG487" s="34" t="s">
        <v>101</v>
      </c>
      <c r="BI487" s="34" t="s">
        <v>103</v>
      </c>
      <c r="BK487" s="34" t="s">
        <v>116</v>
      </c>
      <c r="BL487" s="34" t="s">
        <v>105</v>
      </c>
      <c r="BM487" s="34" t="s">
        <v>118</v>
      </c>
      <c r="BN487" s="34" t="s">
        <v>114</v>
      </c>
      <c r="BO487" s="34" t="s">
        <v>120</v>
      </c>
      <c r="BP487" s="34" t="s">
        <v>108</v>
      </c>
      <c r="BQ487" s="34" t="s">
        <v>107</v>
      </c>
      <c r="BR487" s="34" t="s">
        <v>112</v>
      </c>
    </row>
    <row r="488" spans="49:70" x14ac:dyDescent="0.25">
      <c r="AW488" s="34" t="str">
        <f t="shared" si="22"/>
        <v>ABCDEFIJ</v>
      </c>
      <c r="AX488" s="34">
        <v>486</v>
      </c>
      <c r="AY488" s="34" t="s">
        <v>119</v>
      </c>
      <c r="AZ488" s="34" t="s">
        <v>117</v>
      </c>
      <c r="BA488" s="34" t="s">
        <v>115</v>
      </c>
      <c r="BB488" s="34" t="s">
        <v>113</v>
      </c>
      <c r="BC488" s="34" t="s">
        <v>97</v>
      </c>
      <c r="BD488" s="34" t="s">
        <v>98</v>
      </c>
      <c r="BG488" s="34" t="s">
        <v>101</v>
      </c>
      <c r="BH488" s="34" t="s">
        <v>102</v>
      </c>
      <c r="BK488" s="34" t="s">
        <v>116</v>
      </c>
      <c r="BL488" s="34" t="s">
        <v>106</v>
      </c>
      <c r="BM488" s="34" t="s">
        <v>118</v>
      </c>
      <c r="BN488" s="34" t="s">
        <v>114</v>
      </c>
      <c r="BO488" s="34" t="s">
        <v>120</v>
      </c>
      <c r="BP488" s="34" t="s">
        <v>108</v>
      </c>
      <c r="BQ488" s="34" t="s">
        <v>105</v>
      </c>
      <c r="BR488" s="34" t="s">
        <v>107</v>
      </c>
    </row>
    <row r="489" spans="49:70" x14ac:dyDescent="0.25">
      <c r="AW489" s="34" t="str">
        <f t="shared" si="22"/>
        <v>ABCDEFHL</v>
      </c>
      <c r="AX489" s="34">
        <v>487</v>
      </c>
      <c r="AY489" s="34" t="s">
        <v>119</v>
      </c>
      <c r="AZ489" s="34" t="s">
        <v>117</v>
      </c>
      <c r="BA489" s="34" t="s">
        <v>115</v>
      </c>
      <c r="BB489" s="34" t="s">
        <v>113</v>
      </c>
      <c r="BC489" s="34" t="s">
        <v>97</v>
      </c>
      <c r="BD489" s="34" t="s">
        <v>98</v>
      </c>
      <c r="BF489" s="34" t="s">
        <v>100</v>
      </c>
      <c r="BJ489" s="34" t="s">
        <v>104</v>
      </c>
      <c r="BK489" s="34" t="s">
        <v>109</v>
      </c>
      <c r="BL489" s="34" t="s">
        <v>108</v>
      </c>
      <c r="BM489" s="34" t="s">
        <v>118</v>
      </c>
      <c r="BN489" s="34" t="s">
        <v>116</v>
      </c>
      <c r="BO489" s="34" t="s">
        <v>120</v>
      </c>
      <c r="BP489" s="34" t="s">
        <v>114</v>
      </c>
      <c r="BQ489" s="34" t="s">
        <v>111</v>
      </c>
      <c r="BR489" s="34" t="s">
        <v>105</v>
      </c>
    </row>
    <row r="490" spans="49:70" x14ac:dyDescent="0.25">
      <c r="AW490" s="34" t="str">
        <f t="shared" si="22"/>
        <v>ABCDEFHK</v>
      </c>
      <c r="AX490" s="34">
        <v>488</v>
      </c>
      <c r="AY490" s="34" t="s">
        <v>119</v>
      </c>
      <c r="AZ490" s="34" t="s">
        <v>117</v>
      </c>
      <c r="BA490" s="34" t="s">
        <v>115</v>
      </c>
      <c r="BB490" s="34" t="s">
        <v>113</v>
      </c>
      <c r="BC490" s="34" t="s">
        <v>97</v>
      </c>
      <c r="BD490" s="34" t="s">
        <v>98</v>
      </c>
      <c r="BF490" s="34" t="s">
        <v>100</v>
      </c>
      <c r="BI490" s="34" t="s">
        <v>103</v>
      </c>
      <c r="BK490" s="34" t="s">
        <v>109</v>
      </c>
      <c r="BL490" s="34" t="s">
        <v>105</v>
      </c>
      <c r="BM490" s="34" t="s">
        <v>118</v>
      </c>
      <c r="BN490" s="34" t="s">
        <v>116</v>
      </c>
      <c r="BO490" s="34" t="s">
        <v>120</v>
      </c>
      <c r="BP490" s="34" t="s">
        <v>108</v>
      </c>
      <c r="BQ490" s="34" t="s">
        <v>114</v>
      </c>
      <c r="BR490" s="34" t="s">
        <v>112</v>
      </c>
    </row>
    <row r="491" spans="49:70" x14ac:dyDescent="0.25">
      <c r="AW491" s="34" t="str">
        <f t="shared" si="22"/>
        <v>ABCDEFHJ</v>
      </c>
      <c r="AX491" s="34">
        <v>489</v>
      </c>
      <c r="AY491" s="34" t="s">
        <v>119</v>
      </c>
      <c r="AZ491" s="34" t="s">
        <v>117</v>
      </c>
      <c r="BA491" s="34" t="s">
        <v>115</v>
      </c>
      <c r="BB491" s="34" t="s">
        <v>113</v>
      </c>
      <c r="BC491" s="34" t="s">
        <v>97</v>
      </c>
      <c r="BD491" s="34" t="s">
        <v>98</v>
      </c>
      <c r="BF491" s="34" t="s">
        <v>100</v>
      </c>
      <c r="BH491" s="34" t="s">
        <v>102</v>
      </c>
      <c r="BK491" s="34" t="s">
        <v>109</v>
      </c>
      <c r="BL491" s="34" t="s">
        <v>106</v>
      </c>
      <c r="BM491" s="34" t="s">
        <v>118</v>
      </c>
      <c r="BN491" s="34" t="s">
        <v>116</v>
      </c>
      <c r="BO491" s="34" t="s">
        <v>120</v>
      </c>
      <c r="BP491" s="34" t="s">
        <v>108</v>
      </c>
      <c r="BQ491" s="34" t="s">
        <v>114</v>
      </c>
      <c r="BR491" s="34" t="s">
        <v>105</v>
      </c>
    </row>
    <row r="492" spans="49:70" x14ac:dyDescent="0.25">
      <c r="AW492" s="34" t="str">
        <f t="shared" si="22"/>
        <v>ABCDEFHI</v>
      </c>
      <c r="AX492" s="34">
        <v>490</v>
      </c>
      <c r="AY492" s="34" t="s">
        <v>119</v>
      </c>
      <c r="AZ492" s="34" t="s">
        <v>117</v>
      </c>
      <c r="BA492" s="34" t="s">
        <v>115</v>
      </c>
      <c r="BB492" s="34" t="s">
        <v>113</v>
      </c>
      <c r="BC492" s="34" t="s">
        <v>97</v>
      </c>
      <c r="BD492" s="34" t="s">
        <v>98</v>
      </c>
      <c r="BF492" s="34" t="s">
        <v>100</v>
      </c>
      <c r="BG492" s="34" t="s">
        <v>101</v>
      </c>
      <c r="BK492" s="34" t="s">
        <v>109</v>
      </c>
      <c r="BL492" s="34" t="s">
        <v>105</v>
      </c>
      <c r="BM492" s="34" t="s">
        <v>118</v>
      </c>
      <c r="BN492" s="34" t="s">
        <v>116</v>
      </c>
      <c r="BO492" s="34" t="s">
        <v>120</v>
      </c>
      <c r="BP492" s="34" t="s">
        <v>108</v>
      </c>
      <c r="BQ492" s="34" t="s">
        <v>114</v>
      </c>
      <c r="BR492" s="34" t="s">
        <v>107</v>
      </c>
    </row>
    <row r="493" spans="49:70" x14ac:dyDescent="0.25">
      <c r="AW493" s="34" t="str">
        <f t="shared" si="22"/>
        <v>ABCDEFGL</v>
      </c>
      <c r="AX493" s="34">
        <v>491</v>
      </c>
      <c r="AY493" s="34" t="s">
        <v>119</v>
      </c>
      <c r="AZ493" s="34" t="s">
        <v>117</v>
      </c>
      <c r="BA493" s="34" t="s">
        <v>115</v>
      </c>
      <c r="BB493" s="34" t="s">
        <v>113</v>
      </c>
      <c r="BC493" s="34" t="s">
        <v>97</v>
      </c>
      <c r="BD493" s="34" t="s">
        <v>98</v>
      </c>
      <c r="BE493" s="34" t="s">
        <v>99</v>
      </c>
      <c r="BJ493" s="34" t="s">
        <v>104</v>
      </c>
      <c r="BK493" s="34" t="s">
        <v>116</v>
      </c>
      <c r="BL493" s="34" t="s">
        <v>110</v>
      </c>
      <c r="BM493" s="34" t="s">
        <v>118</v>
      </c>
      <c r="BN493" s="34" t="s">
        <v>114</v>
      </c>
      <c r="BO493" s="34" t="s">
        <v>120</v>
      </c>
      <c r="BP493" s="34" t="s">
        <v>108</v>
      </c>
      <c r="BQ493" s="34" t="s">
        <v>111</v>
      </c>
      <c r="BR493" s="34" t="s">
        <v>105</v>
      </c>
    </row>
    <row r="494" spans="49:70" x14ac:dyDescent="0.25">
      <c r="AW494" s="34" t="str">
        <f t="shared" si="22"/>
        <v>ABCDEFGK</v>
      </c>
      <c r="AX494" s="34">
        <v>492</v>
      </c>
      <c r="AY494" s="34" t="s">
        <v>119</v>
      </c>
      <c r="AZ494" s="34" t="s">
        <v>117</v>
      </c>
      <c r="BA494" s="34" t="s">
        <v>115</v>
      </c>
      <c r="BB494" s="34" t="s">
        <v>113</v>
      </c>
      <c r="BC494" s="34" t="s">
        <v>97</v>
      </c>
      <c r="BD494" s="34" t="s">
        <v>98</v>
      </c>
      <c r="BE494" s="34" t="s">
        <v>99</v>
      </c>
      <c r="BI494" s="34" t="s">
        <v>103</v>
      </c>
      <c r="BK494" s="34" t="s">
        <v>116</v>
      </c>
      <c r="BL494" s="34" t="s">
        <v>110</v>
      </c>
      <c r="BM494" s="34" t="s">
        <v>118</v>
      </c>
      <c r="BN494" s="34" t="s">
        <v>114</v>
      </c>
      <c r="BO494" s="34" t="s">
        <v>120</v>
      </c>
      <c r="BP494" s="34" t="s">
        <v>108</v>
      </c>
      <c r="BQ494" s="34" t="s">
        <v>105</v>
      </c>
      <c r="BR494" s="34" t="s">
        <v>112</v>
      </c>
    </row>
    <row r="495" spans="49:70" x14ac:dyDescent="0.25">
      <c r="AW495" s="34" t="str">
        <f t="shared" si="22"/>
        <v>ABCDEFGJ</v>
      </c>
      <c r="AX495" s="34">
        <v>493</v>
      </c>
      <c r="AY495" s="34" t="s">
        <v>119</v>
      </c>
      <c r="AZ495" s="34" t="s">
        <v>117</v>
      </c>
      <c r="BA495" s="34" t="s">
        <v>115</v>
      </c>
      <c r="BB495" s="34" t="s">
        <v>113</v>
      </c>
      <c r="BC495" s="34" t="s">
        <v>97</v>
      </c>
      <c r="BD495" s="34" t="s">
        <v>98</v>
      </c>
      <c r="BE495" s="34" t="s">
        <v>99</v>
      </c>
      <c r="BH495" s="34" t="s">
        <v>102</v>
      </c>
      <c r="BK495" s="34" t="s">
        <v>116</v>
      </c>
      <c r="BL495" s="34" t="s">
        <v>110</v>
      </c>
      <c r="BM495" s="34" t="s">
        <v>118</v>
      </c>
      <c r="BN495" s="34" t="s">
        <v>114</v>
      </c>
      <c r="BO495" s="34" t="s">
        <v>120</v>
      </c>
      <c r="BP495" s="34" t="s">
        <v>108</v>
      </c>
      <c r="BQ495" s="34" t="s">
        <v>105</v>
      </c>
      <c r="BR495" s="34" t="s">
        <v>106</v>
      </c>
    </row>
    <row r="496" spans="49:70" x14ac:dyDescent="0.25">
      <c r="AW496" s="34" t="str">
        <f t="shared" si="22"/>
        <v>ABCDEFGI</v>
      </c>
      <c r="AX496" s="34">
        <v>494</v>
      </c>
      <c r="AY496" s="34" t="s">
        <v>119</v>
      </c>
      <c r="AZ496" s="34" t="s">
        <v>117</v>
      </c>
      <c r="BA496" s="34" t="s">
        <v>115</v>
      </c>
      <c r="BB496" s="34" t="s">
        <v>113</v>
      </c>
      <c r="BC496" s="34" t="s">
        <v>97</v>
      </c>
      <c r="BD496" s="34" t="s">
        <v>98</v>
      </c>
      <c r="BE496" s="34" t="s">
        <v>99</v>
      </c>
      <c r="BG496" s="34" t="s">
        <v>101</v>
      </c>
      <c r="BK496" s="34" t="s">
        <v>116</v>
      </c>
      <c r="BL496" s="34" t="s">
        <v>110</v>
      </c>
      <c r="BM496" s="34" t="s">
        <v>118</v>
      </c>
      <c r="BN496" s="34" t="s">
        <v>114</v>
      </c>
      <c r="BO496" s="34" t="s">
        <v>120</v>
      </c>
      <c r="BP496" s="34" t="s">
        <v>108</v>
      </c>
      <c r="BQ496" s="34" t="s">
        <v>105</v>
      </c>
      <c r="BR496" s="34" t="s">
        <v>107</v>
      </c>
    </row>
    <row r="497" spans="49:70" x14ac:dyDescent="0.25">
      <c r="AW497" s="34" t="str">
        <f t="shared" si="22"/>
        <v>ABCDEFGH</v>
      </c>
      <c r="AX497" s="34">
        <v>495</v>
      </c>
      <c r="AY497" s="34" t="s">
        <v>119</v>
      </c>
      <c r="AZ497" s="34" t="s">
        <v>117</v>
      </c>
      <c r="BA497" s="34" t="s">
        <v>115</v>
      </c>
      <c r="BB497" s="34" t="s">
        <v>113</v>
      </c>
      <c r="BC497" s="34" t="s">
        <v>97</v>
      </c>
      <c r="BD497" s="34" t="s">
        <v>98</v>
      </c>
      <c r="BE497" s="34" t="s">
        <v>99</v>
      </c>
      <c r="BF497" s="34" t="s">
        <v>100</v>
      </c>
      <c r="BK497" s="34" t="s">
        <v>109</v>
      </c>
      <c r="BL497" s="34" t="s">
        <v>110</v>
      </c>
      <c r="BM497" s="34" t="s">
        <v>118</v>
      </c>
      <c r="BN497" s="34" t="s">
        <v>116</v>
      </c>
      <c r="BO497" s="34" t="s">
        <v>120</v>
      </c>
      <c r="BP497" s="34" t="s">
        <v>108</v>
      </c>
      <c r="BQ497" s="34" t="s">
        <v>114</v>
      </c>
      <c r="BR497" s="34" t="s">
        <v>105</v>
      </c>
    </row>
  </sheetData>
  <protectedRanges>
    <protectedRange sqref="U8:U19 N27:AA38" name="Prioridades Grupo A_1"/>
  </protectedRanges>
  <mergeCells count="16">
    <mergeCell ref="AY2:BJ2"/>
    <mergeCell ref="B3:H4"/>
    <mergeCell ref="R18:T18"/>
    <mergeCell ref="R19:T19"/>
    <mergeCell ref="B6:H6"/>
    <mergeCell ref="R7:U7"/>
    <mergeCell ref="R8:T8"/>
    <mergeCell ref="R17:T17"/>
    <mergeCell ref="R9:T9"/>
    <mergeCell ref="R10:T10"/>
    <mergeCell ref="R11:T11"/>
    <mergeCell ref="R12:T12"/>
    <mergeCell ref="R13:T13"/>
    <mergeCell ref="R14:T14"/>
    <mergeCell ref="R15:T15"/>
    <mergeCell ref="R16:T1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1134-27C1-43F5-9CDA-00CEDE8D0CE9}">
  <dimension ref="B1:AR65"/>
  <sheetViews>
    <sheetView topLeftCell="A34" zoomScale="70" zoomScaleNormal="70" workbookViewId="0">
      <selection activeCell="AG52" sqref="AG52"/>
    </sheetView>
  </sheetViews>
  <sheetFormatPr defaultColWidth="11.42578125" defaultRowHeight="15" x14ac:dyDescent="0.25"/>
  <cols>
    <col min="2" max="2" width="13.5703125" bestFit="1" customWidth="1"/>
    <col min="4" max="4" width="9.140625" bestFit="1" customWidth="1"/>
    <col min="9" max="9" width="9.140625" bestFit="1" customWidth="1"/>
    <col min="22" max="22" width="17.140625" bestFit="1" customWidth="1"/>
    <col min="39" max="39" width="9.140625" bestFit="1" customWidth="1"/>
    <col min="42" max="42" width="15.28515625" bestFit="1" customWidth="1"/>
    <col min="44" max="44" width="9.140625" bestFit="1" customWidth="1"/>
  </cols>
  <sheetData>
    <row r="1" spans="2:44" x14ac:dyDescent="0.25">
      <c r="T1" s="34" t="e">
        <f>IF(OR(C8="",C9="",C16="",C17="",C24="",C25="",C32="",C33="",H12="",H13="",H28="",H29="",M20="",M21="",#REF!="",#REF!="",#REF!="",#REF!="",#REF!=""),1,0)</f>
        <v>#REF!</v>
      </c>
      <c r="U1" s="34"/>
      <c r="V1" s="34"/>
    </row>
    <row r="3" spans="2:44" ht="15.75" thickBot="1" x14ac:dyDescent="0.3"/>
    <row r="4" spans="2:44" ht="15.75" thickBot="1" x14ac:dyDescent="0.3">
      <c r="B4" s="92" t="s">
        <v>138</v>
      </c>
      <c r="C4" s="93"/>
      <c r="D4" s="94"/>
      <c r="AP4" s="92" t="s">
        <v>138</v>
      </c>
      <c r="AQ4" s="93"/>
      <c r="AR4" s="94"/>
    </row>
    <row r="6" spans="2:44" ht="15.75" thickBot="1" x14ac:dyDescent="0.3"/>
    <row r="7" spans="2:44" ht="15.75" thickBot="1" x14ac:dyDescent="0.3">
      <c r="B7" s="56">
        <v>74</v>
      </c>
      <c r="C7" s="57" t="s">
        <v>34</v>
      </c>
      <c r="D7" s="58" t="s">
        <v>35</v>
      </c>
      <c r="AP7" s="56">
        <v>76</v>
      </c>
      <c r="AQ7" s="57" t="s">
        <v>34</v>
      </c>
      <c r="AR7" s="58" t="s">
        <v>35</v>
      </c>
    </row>
    <row r="8" spans="2:44" ht="15.75" thickBot="1" x14ac:dyDescent="0.3">
      <c r="B8" s="59" t="str">
        <f>'GRUPO E'!C8</f>
        <v>Alemania</v>
      </c>
      <c r="C8" s="60"/>
      <c r="D8" s="61"/>
      <c r="G8" s="92" t="s">
        <v>137</v>
      </c>
      <c r="H8" s="93"/>
      <c r="I8" s="94"/>
      <c r="AK8" s="92" t="s">
        <v>137</v>
      </c>
      <c r="AL8" s="93"/>
      <c r="AM8" s="94"/>
      <c r="AO8" s="88"/>
      <c r="AP8" s="59" t="str">
        <f>'GRUPO C'!C8</f>
        <v>Brasil</v>
      </c>
      <c r="AQ8" s="60"/>
      <c r="AR8" s="61"/>
    </row>
    <row r="9" spans="2:44" ht="15.75" thickBot="1" x14ac:dyDescent="0.3">
      <c r="B9" s="62" t="str">
        <f ca="1">INDIRECT("'GRUPO "&amp;RIGHT(INDIRECT("'Mejores Terceros'!BN"&amp;'Mejores Terceros'!AV4),1)&amp;"'!C10")</f>
        <v>Haití</v>
      </c>
      <c r="C9" s="63"/>
      <c r="D9" s="64"/>
      <c r="E9" s="65"/>
      <c r="AN9" s="66"/>
      <c r="AP9" s="62" t="str">
        <f>'GRUPO F'!C9</f>
        <v>Japón</v>
      </c>
      <c r="AQ9" s="63"/>
      <c r="AR9" s="64"/>
    </row>
    <row r="10" spans="2:44" ht="15.75" thickBot="1" x14ac:dyDescent="0.3">
      <c r="E10" s="66"/>
      <c r="AN10" s="66"/>
    </row>
    <row r="11" spans="2:44" ht="15.75" thickBot="1" x14ac:dyDescent="0.3">
      <c r="E11" s="66"/>
      <c r="G11" s="56">
        <v>89</v>
      </c>
      <c r="H11" s="57" t="s">
        <v>34</v>
      </c>
      <c r="I11" s="58" t="s">
        <v>35</v>
      </c>
      <c r="AK11" s="56">
        <v>91</v>
      </c>
      <c r="AL11" s="57" t="s">
        <v>34</v>
      </c>
      <c r="AM11" s="58" t="s">
        <v>35</v>
      </c>
      <c r="AN11" s="66"/>
    </row>
    <row r="12" spans="2:44" x14ac:dyDescent="0.25">
      <c r="E12" s="66"/>
      <c r="G12" s="59" t="str">
        <f>IF(C9&gt;C8,B9,IF(C8&gt;C9,B8,IF(D9&gt;D8,B9,IF(D8&gt;D9,B8,""))))</f>
        <v/>
      </c>
      <c r="H12" s="60"/>
      <c r="I12" s="61"/>
      <c r="AJ12" s="88"/>
      <c r="AK12" s="59" t="str">
        <f>IF(AQ9&gt;AQ8,AP9,IF(AQ8&gt;AQ9,AP8,IF(AR9&gt;AR8,AP9,IF(AR8&gt;AR9,AP8,""))))</f>
        <v/>
      </c>
      <c r="AL12" s="60"/>
      <c r="AM12" s="61"/>
      <c r="AN12" s="78"/>
    </row>
    <row r="13" spans="2:44" ht="15.75" thickBot="1" x14ac:dyDescent="0.3">
      <c r="E13" s="66"/>
      <c r="F13" s="67"/>
      <c r="G13" s="62" t="str">
        <f>IF(C17&gt;C16,B17,IF(C16&gt;C17,B16,IF(D17&gt;D16,B17,IF(D16&gt;D17,B16,""))))</f>
        <v/>
      </c>
      <c r="H13" s="63"/>
      <c r="I13" s="64"/>
      <c r="J13" s="65"/>
      <c r="AI13" s="66"/>
      <c r="AK13" s="62" t="str">
        <f>IF(AQ17&gt;AQ16,AP17,IF(AQ16&gt;AQ17,AP16,IF(AR17&gt;AR16,AP17,IF(AR16&gt;AR17,AP16,""))))</f>
        <v/>
      </c>
      <c r="AL13" s="63"/>
      <c r="AM13" s="64"/>
      <c r="AN13" s="87"/>
    </row>
    <row r="14" spans="2:44" ht="15.75" thickBot="1" x14ac:dyDescent="0.3">
      <c r="E14" s="66"/>
      <c r="J14" s="66"/>
      <c r="AI14" s="66"/>
      <c r="AN14" s="66"/>
    </row>
    <row r="15" spans="2:44" ht="15.75" thickBot="1" x14ac:dyDescent="0.3">
      <c r="B15" s="56">
        <v>77</v>
      </c>
      <c r="C15" s="57" t="s">
        <v>34</v>
      </c>
      <c r="D15" s="58" t="s">
        <v>35</v>
      </c>
      <c r="E15" s="66"/>
      <c r="J15" s="66"/>
      <c r="AI15" s="66"/>
      <c r="AN15" s="66"/>
      <c r="AP15" s="56">
        <v>78</v>
      </c>
      <c r="AQ15" s="57" t="s">
        <v>34</v>
      </c>
      <c r="AR15" s="58" t="s">
        <v>35</v>
      </c>
    </row>
    <row r="16" spans="2:44" ht="15.75" thickBot="1" x14ac:dyDescent="0.3">
      <c r="B16" s="59" t="str">
        <f>'GRUPO I'!C8</f>
        <v>Francia</v>
      </c>
      <c r="C16" s="60"/>
      <c r="D16" s="61"/>
      <c r="E16" s="68"/>
      <c r="J16" s="66"/>
      <c r="L16" s="92" t="s">
        <v>32</v>
      </c>
      <c r="M16" s="93"/>
      <c r="N16" s="94"/>
      <c r="AF16" s="92" t="s">
        <v>32</v>
      </c>
      <c r="AG16" s="93"/>
      <c r="AH16" s="94"/>
      <c r="AI16" s="66"/>
      <c r="AN16" s="66"/>
      <c r="AO16" s="77"/>
      <c r="AP16" s="59" t="str">
        <f>'GRUPO E'!C9</f>
        <v>Curazao</v>
      </c>
      <c r="AQ16" s="60"/>
      <c r="AR16" s="61"/>
    </row>
    <row r="17" spans="2:44" ht="15.75" thickBot="1" x14ac:dyDescent="0.3">
      <c r="B17" s="62" t="str">
        <f ca="1">INDIRECT("'GRUPO "&amp;RIGHT(INDIRECT("'Mejores Terceros'!BP"&amp;'Mejores Terceros'!AV4),1)&amp;"'!C10")</f>
        <v>Suecia</v>
      </c>
      <c r="C17" s="63"/>
      <c r="D17" s="64"/>
      <c r="J17" s="66"/>
      <c r="AI17" s="66"/>
      <c r="AP17" s="62" t="str">
        <f>'GRUPO I'!C9</f>
        <v>Senegal</v>
      </c>
      <c r="AQ17" s="63"/>
      <c r="AR17" s="64"/>
    </row>
    <row r="18" spans="2:44" ht="15.75" thickBot="1" x14ac:dyDescent="0.3">
      <c r="J18" s="66"/>
      <c r="AI18" s="66"/>
    </row>
    <row r="19" spans="2:44" ht="15.75" thickBot="1" x14ac:dyDescent="0.3">
      <c r="J19" s="66"/>
      <c r="L19" s="56">
        <v>97</v>
      </c>
      <c r="M19" s="57" t="s">
        <v>34</v>
      </c>
      <c r="N19" s="58" t="s">
        <v>35</v>
      </c>
      <c r="AF19" s="56">
        <v>99</v>
      </c>
      <c r="AG19" s="57" t="s">
        <v>34</v>
      </c>
      <c r="AH19" s="58" t="s">
        <v>35</v>
      </c>
      <c r="AI19" s="66"/>
    </row>
    <row r="20" spans="2:44" x14ac:dyDescent="0.25">
      <c r="J20" s="66"/>
      <c r="L20" s="59" t="str">
        <f>IF(H13&gt;H12,G13,IF(H12&gt;H13,G12,IF(I13&gt;I12,G13,IF(I12&gt;I13,G12,""))))</f>
        <v/>
      </c>
      <c r="M20" s="60"/>
      <c r="N20" s="61"/>
      <c r="AE20" s="88"/>
      <c r="AF20" s="59" t="str">
        <f>IF(AL13&gt;AL12,AK13,IF(AL12&gt;AL13,AK12,IF(AM13&gt;AM12,AK13,IF(AM12&gt;AM13,AK12,""))))</f>
        <v/>
      </c>
      <c r="AG20" s="60"/>
      <c r="AH20" s="61"/>
      <c r="AI20" s="68"/>
    </row>
    <row r="21" spans="2:44" ht="15.75" thickBot="1" x14ac:dyDescent="0.3">
      <c r="J21" s="66"/>
      <c r="K21" s="73"/>
      <c r="L21" s="62" t="str">
        <f>IF(H29&gt;H28,G29,IF(H28&gt;H29,G28,IF(I29&gt;I28,G29,IF(I28&gt;I29,G28,""))))</f>
        <v/>
      </c>
      <c r="M21" s="63"/>
      <c r="N21" s="64"/>
      <c r="O21" s="87"/>
      <c r="AD21" s="66"/>
      <c r="AF21" s="62" t="str">
        <f>IF(AL29&gt;AL28,AK29,IF(AL28&gt;AL29,AK28,IF(AM29&gt;AM28,AK29,IF(AM28&gt;AM29,AK28,""))))</f>
        <v/>
      </c>
      <c r="AG21" s="63"/>
      <c r="AH21" s="64"/>
      <c r="AI21" s="66"/>
    </row>
    <row r="22" spans="2:44" ht="15.75" thickBot="1" x14ac:dyDescent="0.3">
      <c r="J22" s="66"/>
      <c r="O22" s="66"/>
      <c r="AD22" s="66"/>
      <c r="AI22" s="66"/>
    </row>
    <row r="23" spans="2:44" ht="15.75" thickBot="1" x14ac:dyDescent="0.3">
      <c r="B23" s="56">
        <v>73</v>
      </c>
      <c r="C23" s="57" t="s">
        <v>34</v>
      </c>
      <c r="D23" s="58" t="s">
        <v>35</v>
      </c>
      <c r="J23" s="66"/>
      <c r="O23" s="66"/>
      <c r="AD23" s="66"/>
      <c r="AI23" s="66"/>
      <c r="AP23" s="56">
        <v>79</v>
      </c>
      <c r="AQ23" s="57" t="s">
        <v>34</v>
      </c>
      <c r="AR23" s="58" t="s">
        <v>35</v>
      </c>
    </row>
    <row r="24" spans="2:44" x14ac:dyDescent="0.25">
      <c r="B24" s="59" t="str">
        <f>'GRUPO A'!C9</f>
        <v>Sudáfrica</v>
      </c>
      <c r="C24" s="60"/>
      <c r="D24" s="61"/>
      <c r="J24" s="66"/>
      <c r="O24" s="66"/>
      <c r="AD24" s="66"/>
      <c r="AI24" s="66"/>
      <c r="AO24" s="88"/>
      <c r="AP24" s="59" t="str">
        <f>'GRUPO A'!C8</f>
        <v>México</v>
      </c>
      <c r="AQ24" s="60"/>
      <c r="AR24" s="61"/>
    </row>
    <row r="25" spans="2:44" ht="15.75" thickBot="1" x14ac:dyDescent="0.3">
      <c r="B25" s="62" t="str">
        <f>'GRUPO B'!C9</f>
        <v>Bosnia</v>
      </c>
      <c r="C25" s="63"/>
      <c r="D25" s="64"/>
      <c r="E25" s="65"/>
      <c r="J25" s="66"/>
      <c r="O25" s="66"/>
      <c r="AD25" s="66"/>
      <c r="AI25" s="66"/>
      <c r="AN25" s="66"/>
      <c r="AP25" s="62" t="str">
        <f ca="1">INDIRECT("'GRUPO "&amp;RIGHT(INDIRECT("'Mejores Terceros'!BK"&amp;'Mejores Terceros'!AV4),1)&amp;"'!C10")</f>
        <v>Arabia Saudita</v>
      </c>
      <c r="AQ25" s="63"/>
      <c r="AR25" s="64"/>
    </row>
    <row r="26" spans="2:44" ht="15.75" thickBot="1" x14ac:dyDescent="0.3">
      <c r="E26" s="66"/>
      <c r="J26" s="66"/>
      <c r="O26" s="66"/>
      <c r="AD26" s="66"/>
      <c r="AI26" s="66"/>
      <c r="AN26" s="66"/>
    </row>
    <row r="27" spans="2:44" ht="15.75" thickBot="1" x14ac:dyDescent="0.3">
      <c r="E27" s="66"/>
      <c r="G27" s="56">
        <v>90</v>
      </c>
      <c r="H27" s="57" t="s">
        <v>34</v>
      </c>
      <c r="I27" s="58" t="s">
        <v>35</v>
      </c>
      <c r="J27" s="66"/>
      <c r="O27" s="66"/>
      <c r="AD27" s="66"/>
      <c r="AI27" s="66"/>
      <c r="AK27" s="56">
        <v>92</v>
      </c>
      <c r="AL27" s="57" t="s">
        <v>34</v>
      </c>
      <c r="AM27" s="58" t="s">
        <v>35</v>
      </c>
      <c r="AN27" s="66"/>
    </row>
    <row r="28" spans="2:44" ht="15.75" thickBot="1" x14ac:dyDescent="0.3">
      <c r="E28" s="66"/>
      <c r="G28" s="59" t="str">
        <f>IF(C25&gt;C24,B25,IF(C24&gt;C25,B24,IF(D25&gt;D24,B25,IF(D24&gt;D25,B24,""))))</f>
        <v/>
      </c>
      <c r="H28" s="60"/>
      <c r="I28" s="61"/>
      <c r="J28" s="68"/>
      <c r="O28" s="66"/>
      <c r="AD28" s="66"/>
      <c r="AI28" s="66"/>
      <c r="AJ28" s="88"/>
      <c r="AK28" s="59" t="str">
        <f>IF(AQ25&gt;AQ24,AP25,IF(AQ24&gt;AQ25,AP24,IF(AR25&gt;AR24,AP25,IF(AR24&gt;AR25,AP24,""))))</f>
        <v/>
      </c>
      <c r="AL28" s="60"/>
      <c r="AM28" s="61"/>
      <c r="AN28" s="78"/>
    </row>
    <row r="29" spans="2:44" ht="15.75" thickBot="1" x14ac:dyDescent="0.3">
      <c r="E29" s="66"/>
      <c r="F29" s="67"/>
      <c r="G29" s="62" t="str">
        <f>IF(C33&gt;C32,B33,IF(C32&gt;C33,B32,IF(D33&gt;D32,B33,IF(D32&gt;D33,B32,""))))</f>
        <v/>
      </c>
      <c r="H29" s="63"/>
      <c r="I29" s="64"/>
      <c r="O29" s="66"/>
      <c r="V29" s="92" t="s">
        <v>36</v>
      </c>
      <c r="W29" s="93"/>
      <c r="X29" s="94"/>
      <c r="AD29" s="66"/>
      <c r="AK29" s="62" t="str">
        <f>IF(AQ33&gt;AQ32,AP33,IF(AQ32&gt;AQ33,AP32,IF(AR33&gt;AR32,AP33,IF(AR32&gt;AR33,AP32,""))))</f>
        <v/>
      </c>
      <c r="AL29" s="63"/>
      <c r="AM29" s="64"/>
      <c r="AN29" s="87"/>
    </row>
    <row r="30" spans="2:44" ht="15.75" thickBot="1" x14ac:dyDescent="0.3">
      <c r="E30" s="66"/>
      <c r="O30" s="66"/>
      <c r="AD30" s="66"/>
      <c r="AN30" s="66"/>
    </row>
    <row r="31" spans="2:44" ht="15.75" thickBot="1" x14ac:dyDescent="0.3">
      <c r="B31" s="56">
        <v>75</v>
      </c>
      <c r="C31" s="57" t="s">
        <v>34</v>
      </c>
      <c r="D31" s="58" t="s">
        <v>35</v>
      </c>
      <c r="E31" s="66"/>
      <c r="O31" s="66"/>
      <c r="AD31" s="66"/>
      <c r="AN31" s="66"/>
      <c r="AP31" s="56">
        <v>80</v>
      </c>
      <c r="AQ31" s="57" t="s">
        <v>34</v>
      </c>
      <c r="AR31" s="58" t="s">
        <v>35</v>
      </c>
    </row>
    <row r="32" spans="2:44" ht="15.75" thickBot="1" x14ac:dyDescent="0.3">
      <c r="B32" s="59" t="str">
        <f>'GRUPO F'!C8</f>
        <v>Países Bajos</v>
      </c>
      <c r="C32" s="60"/>
      <c r="D32" s="61"/>
      <c r="E32" s="68"/>
      <c r="O32" s="66"/>
      <c r="Q32" s="92" t="s">
        <v>33</v>
      </c>
      <c r="R32" s="93"/>
      <c r="S32" s="94"/>
      <c r="V32" s="56">
        <v>104</v>
      </c>
      <c r="W32" s="57" t="s">
        <v>34</v>
      </c>
      <c r="X32" s="58" t="s">
        <v>35</v>
      </c>
      <c r="AA32" s="92" t="s">
        <v>33</v>
      </c>
      <c r="AB32" s="93"/>
      <c r="AC32" s="94"/>
      <c r="AD32" s="66"/>
      <c r="AN32" s="66"/>
      <c r="AO32" s="77"/>
      <c r="AP32" s="59" t="str">
        <f>'GRUPO L'!C8</f>
        <v>Inglaterra</v>
      </c>
      <c r="AQ32" s="60"/>
      <c r="AR32" s="61"/>
    </row>
    <row r="33" spans="2:44" ht="15.75" thickBot="1" x14ac:dyDescent="0.3">
      <c r="B33" s="62" t="str">
        <f>'GRUPO C'!C9</f>
        <v>Marruecos</v>
      </c>
      <c r="C33" s="63"/>
      <c r="D33" s="64"/>
      <c r="O33" s="66"/>
      <c r="U33" s="88"/>
      <c r="V33" s="59" t="str">
        <f>IF(R37&gt;R36,Q37,IF(R36&gt;R37,Q36,IF(S37&gt;S36,Q37,IF(S36&gt;S37,Q36,""))))</f>
        <v/>
      </c>
      <c r="W33" s="60"/>
      <c r="X33" s="61"/>
      <c r="Y33" s="89"/>
      <c r="AD33" s="66"/>
      <c r="AP33" s="62" t="str">
        <f ca="1">INDIRECT("'GRUPO "&amp;RIGHT(INDIRECT("'Mejores Terceros'!BR"&amp;'Mejores Terceros'!AV4),1)&amp;"'!C10")</f>
        <v>Costa de Marfil</v>
      </c>
      <c r="AQ33" s="63"/>
      <c r="AR33" s="64"/>
    </row>
    <row r="34" spans="2:44" ht="15.75" thickBot="1" x14ac:dyDescent="0.3">
      <c r="O34" s="66"/>
      <c r="T34" s="66"/>
      <c r="V34" s="62" t="str">
        <f>IF(AB37&gt;AB36,AA37,IF(AB36&gt;AB37,AA36,IF(AC37&gt;AC36,AA37,IF(AC36&gt;AC37,AA36,""))))</f>
        <v/>
      </c>
      <c r="W34" s="63"/>
      <c r="X34" s="64"/>
      <c r="Y34" s="66"/>
      <c r="AD34" s="66"/>
    </row>
    <row r="35" spans="2:44" ht="15.75" thickBot="1" x14ac:dyDescent="0.3">
      <c r="O35" s="66"/>
      <c r="Q35" s="56">
        <v>101</v>
      </c>
      <c r="R35" s="57" t="s">
        <v>34</v>
      </c>
      <c r="S35" s="58" t="s">
        <v>35</v>
      </c>
      <c r="T35" s="66"/>
      <c r="Y35" s="66"/>
      <c r="AA35" s="56">
        <v>102</v>
      </c>
      <c r="AB35" s="57" t="s">
        <v>34</v>
      </c>
      <c r="AC35" s="58" t="s">
        <v>35</v>
      </c>
      <c r="AD35" s="66"/>
    </row>
    <row r="36" spans="2:44" x14ac:dyDescent="0.25">
      <c r="O36" s="66"/>
      <c r="Q36" s="59" t="str">
        <f>IF(M21&gt;M20,L21,IF(M20&gt;M21,L20,IF(N21&gt;N20,L21,IF(N20&gt;N21,L20,""))))</f>
        <v/>
      </c>
      <c r="R36" s="60"/>
      <c r="S36" s="61"/>
      <c r="T36" s="68"/>
      <c r="Y36" s="66"/>
      <c r="Z36" s="77"/>
      <c r="AA36" s="59" t="str">
        <f>IF(AG21&gt;AG20,AF21,IF(AG20&gt;AG21,AF20,IF(AH21&gt;AH20,AF21,IF(AH20&gt;AH21,AF20,""))))</f>
        <v/>
      </c>
      <c r="AB36" s="60"/>
      <c r="AC36" s="61"/>
      <c r="AD36" s="68"/>
    </row>
    <row r="37" spans="2:44" ht="15.75" thickBot="1" x14ac:dyDescent="0.3">
      <c r="O37" s="66"/>
      <c r="P37" s="73"/>
      <c r="Q37" s="62" t="str">
        <f>IF(M53&gt;M52,L53,IF(M52&gt;M53,L52,IF(N53&gt;N52,L53,IF(N52&gt;N53,L52,""))))</f>
        <v/>
      </c>
      <c r="R37" s="63"/>
      <c r="S37" s="64"/>
      <c r="T37" s="66"/>
      <c r="Y37" s="66"/>
      <c r="AA37" s="62" t="str">
        <f>IF(AG53&gt;AG52,AF53,IF(AG52&gt;AG53,AF52,IF(AH53&gt;AH52,AF53,IF(AH52&gt;AH53,AF52,""))))</f>
        <v/>
      </c>
      <c r="AB37" s="63"/>
      <c r="AC37" s="64"/>
      <c r="AD37" s="66"/>
    </row>
    <row r="38" spans="2:44" ht="15.75" thickBot="1" x14ac:dyDescent="0.3">
      <c r="O38" s="66"/>
      <c r="T38" s="66"/>
      <c r="V38" s="92" t="s">
        <v>39</v>
      </c>
      <c r="W38" s="93"/>
      <c r="X38" s="94"/>
      <c r="Y38" s="66"/>
      <c r="AD38" s="66"/>
    </row>
    <row r="39" spans="2:44" ht="15.75" thickBot="1" x14ac:dyDescent="0.3">
      <c r="B39" s="56">
        <v>83</v>
      </c>
      <c r="C39" s="57" t="s">
        <v>34</v>
      </c>
      <c r="D39" s="58" t="s">
        <v>35</v>
      </c>
      <c r="O39" s="66"/>
      <c r="T39" s="66"/>
      <c r="Y39" s="66"/>
      <c r="AD39" s="66"/>
      <c r="AP39" s="56">
        <v>86</v>
      </c>
      <c r="AQ39" s="57" t="s">
        <v>34</v>
      </c>
      <c r="AR39" s="58" t="s">
        <v>35</v>
      </c>
    </row>
    <row r="40" spans="2:44" ht="15.75" thickBot="1" x14ac:dyDescent="0.3">
      <c r="B40" s="59" t="str">
        <f>'GRUPO K'!C9</f>
        <v>Congo</v>
      </c>
      <c r="C40" s="60"/>
      <c r="D40" s="61"/>
      <c r="O40" s="66"/>
      <c r="T40" s="66"/>
      <c r="Y40" s="66"/>
      <c r="AD40" s="66"/>
      <c r="AO40" s="88"/>
      <c r="AP40" s="59" t="str">
        <f>'GRUPO J'!C8</f>
        <v>Argentina</v>
      </c>
      <c r="AQ40" s="60"/>
      <c r="AR40" s="61"/>
    </row>
    <row r="41" spans="2:44" ht="15.75" thickBot="1" x14ac:dyDescent="0.3">
      <c r="B41" s="62" t="str">
        <f>'GRUPO L'!C9</f>
        <v>Croacia</v>
      </c>
      <c r="C41" s="63"/>
      <c r="D41" s="64"/>
      <c r="E41" s="65"/>
      <c r="O41" s="66"/>
      <c r="T41" s="66"/>
      <c r="V41" s="56">
        <v>103</v>
      </c>
      <c r="W41" s="57" t="s">
        <v>34</v>
      </c>
      <c r="X41" s="58" t="s">
        <v>35</v>
      </c>
      <c r="Y41" s="66"/>
      <c r="AD41" s="66"/>
      <c r="AN41" s="66"/>
      <c r="AP41" s="62" t="str">
        <f>'GRUPO H'!C9</f>
        <v>Cabo Verde</v>
      </c>
      <c r="AQ41" s="63"/>
      <c r="AR41" s="64"/>
    </row>
    <row r="42" spans="2:44" ht="15.75" thickBot="1" x14ac:dyDescent="0.3">
      <c r="E42" s="66"/>
      <c r="O42" s="66"/>
      <c r="T42" s="66"/>
      <c r="U42" s="77"/>
      <c r="V42" s="59" t="str">
        <f>IF(V33=Q36,Q37,IF(V33=Q37,Q36,""))</f>
        <v/>
      </c>
      <c r="W42" s="60"/>
      <c r="X42" s="61"/>
      <c r="Y42" s="68"/>
      <c r="AD42" s="66"/>
      <c r="AN42" s="66"/>
    </row>
    <row r="43" spans="2:44" ht="15.75" thickBot="1" x14ac:dyDescent="0.3">
      <c r="E43" s="66"/>
      <c r="G43" s="56">
        <v>93</v>
      </c>
      <c r="H43" s="57" t="s">
        <v>34</v>
      </c>
      <c r="I43" s="58" t="s">
        <v>35</v>
      </c>
      <c r="O43" s="66"/>
      <c r="V43" s="62" t="str">
        <f>IF(V34=AA36,AA37,IF(V34=AA37,AA36,""))</f>
        <v/>
      </c>
      <c r="W43" s="63"/>
      <c r="X43" s="64"/>
      <c r="AD43" s="66"/>
      <c r="AK43" s="56">
        <v>95</v>
      </c>
      <c r="AL43" s="57" t="s">
        <v>34</v>
      </c>
      <c r="AM43" s="58" t="s">
        <v>35</v>
      </c>
      <c r="AN43" s="66"/>
    </row>
    <row r="44" spans="2:44" x14ac:dyDescent="0.25">
      <c r="E44" s="66"/>
      <c r="G44" s="59" t="str">
        <f>IF(C41&gt;C40,B41,IF(C40&gt;C41,B40,IF(D41&gt;D40,B41,IF(D40&gt;D41,B40,""))))</f>
        <v/>
      </c>
      <c r="H44" s="60"/>
      <c r="I44" s="61"/>
      <c r="O44" s="66"/>
      <c r="AD44" s="66"/>
      <c r="AJ44" s="88"/>
      <c r="AK44" s="59" t="str">
        <f>IF(AQ41&gt;AQ40,AP41,IF(AQ40&gt;AQ41,AP40,IF(AR41&gt;AR40,AP41,IF(AR40&gt;AR41,AP40,""))))</f>
        <v/>
      </c>
      <c r="AL44" s="60"/>
      <c r="AM44" s="61"/>
      <c r="AN44" s="78"/>
    </row>
    <row r="45" spans="2:44" ht="15.75" thickBot="1" x14ac:dyDescent="0.3">
      <c r="E45" s="66"/>
      <c r="F45" s="67"/>
      <c r="G45" s="62" t="str">
        <f>IF(C49&gt;C48,B49,IF(C48&gt;C49,B48,IF(D49&gt;D48,B49,IF(D48&gt;D49,B48,""))))</f>
        <v/>
      </c>
      <c r="H45" s="63"/>
      <c r="I45" s="64"/>
      <c r="J45" s="65"/>
      <c r="O45" s="66"/>
      <c r="AD45" s="66"/>
      <c r="AI45" s="66"/>
      <c r="AK45" s="62" t="str">
        <f>IF(AQ49&gt;AQ48,AP49,IF(AQ48&gt;AQ49,AP48,IF(AR49&gt;AR48,AP49,IF(AR48&gt;AR49,AP48,""))))</f>
        <v/>
      </c>
      <c r="AL45" s="63"/>
      <c r="AM45" s="64"/>
      <c r="AN45" s="87"/>
    </row>
    <row r="46" spans="2:44" ht="15.75" thickBot="1" x14ac:dyDescent="0.3">
      <c r="E46" s="66"/>
      <c r="J46" s="66"/>
      <c r="O46" s="66"/>
      <c r="AD46" s="66"/>
      <c r="AI46" s="66"/>
      <c r="AN46" s="66"/>
    </row>
    <row r="47" spans="2:44" ht="15.75" thickBot="1" x14ac:dyDescent="0.3">
      <c r="B47" s="56">
        <v>84</v>
      </c>
      <c r="C47" s="57" t="s">
        <v>34</v>
      </c>
      <c r="D47" s="58" t="s">
        <v>35</v>
      </c>
      <c r="E47" s="66"/>
      <c r="J47" s="66"/>
      <c r="O47" s="66"/>
      <c r="V47" s="90" t="s">
        <v>37</v>
      </c>
      <c r="W47" s="91"/>
      <c r="AD47" s="66"/>
      <c r="AI47" s="66"/>
      <c r="AN47" s="66"/>
      <c r="AP47" s="56">
        <v>88</v>
      </c>
      <c r="AQ47" s="57" t="s">
        <v>34</v>
      </c>
      <c r="AR47" s="58" t="s">
        <v>35</v>
      </c>
    </row>
    <row r="48" spans="2:44" x14ac:dyDescent="0.25">
      <c r="B48" s="59" t="str">
        <f>'GRUPO H'!C8</f>
        <v>España</v>
      </c>
      <c r="C48" s="60"/>
      <c r="D48" s="61"/>
      <c r="E48" s="68"/>
      <c r="J48" s="66"/>
      <c r="O48" s="66"/>
      <c r="V48" s="59" t="s">
        <v>38</v>
      </c>
      <c r="W48" s="69" t="str">
        <f>IF(W33&gt;W34,V33,IF(W34&gt;W33,V34,IF(X33&gt;X34,V33,IF(X34&gt;X33,V34,""))))</f>
        <v/>
      </c>
      <c r="AD48" s="66"/>
      <c r="AI48" s="66"/>
      <c r="AN48" s="66"/>
      <c r="AO48" s="77"/>
      <c r="AP48" s="59" t="str">
        <f>'GRUPO D'!C9</f>
        <v>Paraguay</v>
      </c>
      <c r="AQ48" s="60"/>
      <c r="AR48" s="61"/>
    </row>
    <row r="49" spans="2:44" ht="15.75" thickBot="1" x14ac:dyDescent="0.3">
      <c r="B49" s="62" t="str">
        <f>'GRUPO J'!C9</f>
        <v>Argelia</v>
      </c>
      <c r="C49" s="63"/>
      <c r="D49" s="64"/>
      <c r="J49" s="66"/>
      <c r="O49" s="66"/>
      <c r="V49" s="70" t="s">
        <v>40</v>
      </c>
      <c r="W49" s="71" t="str">
        <f>IF(W48=V33,V34,IF(W48=V34,V33,""))</f>
        <v/>
      </c>
      <c r="AD49" s="66"/>
      <c r="AI49" s="66"/>
      <c r="AP49" s="62" t="str">
        <f>'GRUPO G'!C9</f>
        <v>Egipto</v>
      </c>
      <c r="AQ49" s="63"/>
      <c r="AR49" s="64"/>
    </row>
    <row r="50" spans="2:44" ht="15.75" thickBot="1" x14ac:dyDescent="0.3">
      <c r="J50" s="66"/>
      <c r="O50" s="66"/>
      <c r="V50" s="62" t="s">
        <v>41</v>
      </c>
      <c r="W50" s="72" t="str">
        <f>IF(W42&gt;W43,V42,IF(W43&gt;W42,V43,IF(X42&gt;X43,V42,IF(X43&gt;X42,V43,""))))</f>
        <v/>
      </c>
      <c r="AD50" s="66"/>
      <c r="AI50" s="66"/>
    </row>
    <row r="51" spans="2:44" ht="15.75" thickBot="1" x14ac:dyDescent="0.3">
      <c r="J51" s="66"/>
      <c r="L51" s="56">
        <v>98</v>
      </c>
      <c r="M51" s="57" t="s">
        <v>34</v>
      </c>
      <c r="N51" s="58" t="s">
        <v>35</v>
      </c>
      <c r="O51" s="66"/>
      <c r="AD51" s="66"/>
      <c r="AF51" s="56">
        <v>100</v>
      </c>
      <c r="AG51" s="57" t="s">
        <v>34</v>
      </c>
      <c r="AH51" s="58" t="s">
        <v>35</v>
      </c>
      <c r="AI51" s="66"/>
    </row>
    <row r="52" spans="2:44" x14ac:dyDescent="0.25">
      <c r="J52" s="66"/>
      <c r="L52" s="59" t="str">
        <f>IF(H45&gt;H44,G45,IF(H44&gt;H45,G44,IF(I45&gt;I44,G45,IF(I44&gt;I45,G44,""))))</f>
        <v/>
      </c>
      <c r="M52" s="60"/>
      <c r="N52" s="61"/>
      <c r="O52" s="78"/>
      <c r="AD52" s="66"/>
      <c r="AE52" s="88"/>
      <c r="AF52" s="59" t="str">
        <f>IF(AL45&gt;AL44,AK45,IF(AL44&gt;AL45,AK44,IF(AM45&gt;AM44,AK45,IF(AM44&gt;AM45,AK44,""))))</f>
        <v/>
      </c>
      <c r="AG52" s="60"/>
      <c r="AH52" s="61"/>
      <c r="AI52" s="68"/>
    </row>
    <row r="53" spans="2:44" ht="15.75" thickBot="1" x14ac:dyDescent="0.3">
      <c r="J53" s="66"/>
      <c r="K53" s="73"/>
      <c r="L53" s="62" t="str">
        <f>IF(H61&gt;H60,G61,IF(H60&gt;H61,G60,IF(I61&gt;I60,G61,IF(I60&gt;I61,G60,""))))</f>
        <v/>
      </c>
      <c r="M53" s="63"/>
      <c r="N53" s="64"/>
      <c r="AF53" s="62" t="str">
        <f>IF(AL61&gt;AL60,AK61,IF(AL60&gt;AL61,AK60,IF(AM61&gt;AM60,AK61,IF(AM60&gt;AM61,AK60,""))))</f>
        <v/>
      </c>
      <c r="AG53" s="63"/>
      <c r="AH53" s="64"/>
      <c r="AI53" s="66"/>
    </row>
    <row r="54" spans="2:44" ht="15.75" thickBot="1" x14ac:dyDescent="0.3">
      <c r="J54" s="66"/>
      <c r="AI54" s="66"/>
    </row>
    <row r="55" spans="2:44" ht="15.75" thickBot="1" x14ac:dyDescent="0.3">
      <c r="B55" s="56">
        <v>81</v>
      </c>
      <c r="C55" s="57" t="s">
        <v>34</v>
      </c>
      <c r="D55" s="58" t="s">
        <v>35</v>
      </c>
      <c r="J55" s="66"/>
      <c r="AI55" s="66"/>
      <c r="AP55" s="56">
        <v>85</v>
      </c>
      <c r="AQ55" s="57" t="s">
        <v>34</v>
      </c>
      <c r="AR55" s="58" t="s">
        <v>35</v>
      </c>
    </row>
    <row r="56" spans="2:44" x14ac:dyDescent="0.25">
      <c r="B56" s="59" t="str">
        <f>'GRUPO D'!C8</f>
        <v>USA</v>
      </c>
      <c r="C56" s="60"/>
      <c r="D56" s="61"/>
      <c r="J56" s="66"/>
      <c r="AI56" s="66"/>
      <c r="AO56" s="88"/>
      <c r="AP56" s="59" t="str">
        <f>'GRUPO B'!C8</f>
        <v>Canadá</v>
      </c>
      <c r="AQ56" s="60"/>
      <c r="AR56" s="61"/>
    </row>
    <row r="57" spans="2:44" ht="15.75" thickBot="1" x14ac:dyDescent="0.3">
      <c r="B57" s="62" t="str">
        <f ca="1">INDIRECT("'GRUPO "&amp;RIGHT(INDIRECT("'Mejores Terceros'!BM"&amp;'Mejores Terceros'!AV4),1)&amp;"'!C10")</f>
        <v>Suiza</v>
      </c>
      <c r="C57" s="63"/>
      <c r="D57" s="64"/>
      <c r="E57" s="65"/>
      <c r="J57" s="66"/>
      <c r="AI57" s="66"/>
      <c r="AN57" s="66"/>
      <c r="AP57" s="62" t="str">
        <f ca="1">INDIRECT("'GRUPO "&amp;RIGHT(INDIRECT("'Mejores Terceros'!BL"&amp;'Mejores Terceros'!AV4),1)&amp;"'!C10")</f>
        <v>Irán</v>
      </c>
      <c r="AQ57" s="63"/>
      <c r="AR57" s="64"/>
    </row>
    <row r="58" spans="2:44" ht="15.75" thickBot="1" x14ac:dyDescent="0.3">
      <c r="E58" s="66"/>
      <c r="J58" s="66"/>
      <c r="AI58" s="66"/>
      <c r="AN58" s="66"/>
    </row>
    <row r="59" spans="2:44" ht="15.75" thickBot="1" x14ac:dyDescent="0.3">
      <c r="E59" s="66"/>
      <c r="G59" s="56">
        <v>94</v>
      </c>
      <c r="H59" s="57" t="s">
        <v>34</v>
      </c>
      <c r="I59" s="58" t="s">
        <v>35</v>
      </c>
      <c r="J59" s="66"/>
      <c r="AI59" s="66"/>
      <c r="AK59" s="56">
        <v>96</v>
      </c>
      <c r="AL59" s="57" t="s">
        <v>34</v>
      </c>
      <c r="AM59" s="58" t="s">
        <v>35</v>
      </c>
      <c r="AN59" s="66"/>
    </row>
    <row r="60" spans="2:44" x14ac:dyDescent="0.25">
      <c r="E60" s="66"/>
      <c r="G60" s="59" t="str">
        <f>IF(C57&gt;C56,B57,IF(C56&gt;C57,B56,IF(D57&gt;D56,B57,IF(D56&gt;D57,B56,""))))</f>
        <v/>
      </c>
      <c r="H60" s="60"/>
      <c r="I60" s="61"/>
      <c r="J60" s="68"/>
      <c r="AI60" s="66"/>
      <c r="AJ60" s="88"/>
      <c r="AK60" s="59" t="str">
        <f>IF(AQ57&gt;AQ56,AP57,IF(AQ56&gt;AQ57,AP56,IF(AR57&gt;AR56,AP57,IF(AR56&gt;AR57,AP56,""))))</f>
        <v/>
      </c>
      <c r="AL60" s="60"/>
      <c r="AM60" s="61"/>
      <c r="AN60" s="78"/>
    </row>
    <row r="61" spans="2:44" ht="15.75" thickBot="1" x14ac:dyDescent="0.3">
      <c r="E61" s="66"/>
      <c r="F61" s="67"/>
      <c r="G61" s="62" t="str">
        <f>IF(C65&gt;C64,B65,IF(C64&gt;C65,B64,IF(D65&gt;D64,B65,IF(D64&gt;D65,B64,""))))</f>
        <v/>
      </c>
      <c r="H61" s="63"/>
      <c r="I61" s="64"/>
      <c r="AK61" s="62" t="str">
        <f>IF(AQ65&gt;AQ64,AP65,IF(AQ64&gt;AQ65,AP64,IF(AR65&gt;AR64,AP65,IF(AR64&gt;AR65,AP64,""))))</f>
        <v/>
      </c>
      <c r="AL61" s="63"/>
      <c r="AM61" s="64"/>
      <c r="AN61" s="87"/>
    </row>
    <row r="62" spans="2:44" ht="15.75" thickBot="1" x14ac:dyDescent="0.3">
      <c r="E62" s="66"/>
      <c r="AN62" s="66"/>
    </row>
    <row r="63" spans="2:44" ht="15.75" thickBot="1" x14ac:dyDescent="0.3">
      <c r="B63" s="56">
        <v>82</v>
      </c>
      <c r="C63" s="57" t="s">
        <v>34</v>
      </c>
      <c r="D63" s="58" t="s">
        <v>35</v>
      </c>
      <c r="E63" s="66"/>
      <c r="AN63" s="66"/>
      <c r="AP63" s="56">
        <v>87</v>
      </c>
      <c r="AQ63" s="57" t="s">
        <v>34</v>
      </c>
      <c r="AR63" s="58" t="s">
        <v>35</v>
      </c>
    </row>
    <row r="64" spans="2:44" x14ac:dyDescent="0.25">
      <c r="B64" s="59" t="str">
        <f>'GRUPO G'!C8</f>
        <v>Bélgica</v>
      </c>
      <c r="C64" s="60"/>
      <c r="D64" s="61"/>
      <c r="E64" s="68"/>
      <c r="AN64" s="66"/>
      <c r="AO64" s="77"/>
      <c r="AP64" s="59" t="str">
        <f>'GRUPO K'!C8</f>
        <v>Portugal</v>
      </c>
      <c r="AQ64" s="60"/>
      <c r="AR64" s="61"/>
    </row>
    <row r="65" spans="2:44" ht="15.75" thickBot="1" x14ac:dyDescent="0.3">
      <c r="B65" s="62" t="str">
        <f ca="1">INDIRECT("'GRUPO "&amp;RIGHT(INDIRECT("'Mejores Terceros'!BO"&amp;'Mejores Terceros'!AV4),1)&amp;"'!C10")</f>
        <v>Corea</v>
      </c>
      <c r="C65" s="63"/>
      <c r="D65" s="64"/>
      <c r="AP65" s="62" t="str">
        <f ca="1">INDIRECT("'GRUPO "&amp;RIGHT(INDIRECT("'Mejores Terceros'!BQ"&amp;'Mejores Terceros'!AV4),1)&amp;"'!C10")</f>
        <v>Australia</v>
      </c>
      <c r="AQ65" s="63"/>
      <c r="AR65" s="64"/>
    </row>
  </sheetData>
  <protectedRanges>
    <protectedRange sqref="C16:D17 C24:D25 C32:D33 M20:N21 C8:D9 H12:I13 H28:I29 C48:D49 C56:D57 C64:D65 C40:D41 H44:I45 H60:I61 M52:N53 R36:S37 AL12:AM13 AL28:AM29 AL44:AM45 AL60:AM61 AG20:AH21 AG52:AH53 AB36:AC37 W33:X34 W42:X43" name="Resultados Play Off"/>
  </protectedRanges>
  <mergeCells count="11">
    <mergeCell ref="B4:D4"/>
    <mergeCell ref="G8:I8"/>
    <mergeCell ref="L16:N16"/>
    <mergeCell ref="Q32:S32"/>
    <mergeCell ref="V47:W47"/>
    <mergeCell ref="V38:X38"/>
    <mergeCell ref="AP4:AR4"/>
    <mergeCell ref="AK8:AM8"/>
    <mergeCell ref="AF16:AH16"/>
    <mergeCell ref="AA32:AC32"/>
    <mergeCell ref="V29:X29"/>
  </mergeCells>
  <conditionalFormatting sqref="D8">
    <cfRule type="expression" dxfId="63" priority="88">
      <formula>C8=C9</formula>
    </cfRule>
  </conditionalFormatting>
  <conditionalFormatting sqref="D9">
    <cfRule type="expression" dxfId="62" priority="87">
      <formula>C8=C9</formula>
    </cfRule>
  </conditionalFormatting>
  <conditionalFormatting sqref="D16">
    <cfRule type="expression" dxfId="61" priority="82">
      <formula>C16=C17</formula>
    </cfRule>
  </conditionalFormatting>
  <conditionalFormatting sqref="D17">
    <cfRule type="expression" dxfId="60" priority="81">
      <formula>C16=C17</formula>
    </cfRule>
  </conditionalFormatting>
  <conditionalFormatting sqref="D24">
    <cfRule type="expression" dxfId="59" priority="80">
      <formula>C24=C25</formula>
    </cfRule>
  </conditionalFormatting>
  <conditionalFormatting sqref="D25">
    <cfRule type="expression" dxfId="58" priority="79">
      <formula>C24=C25</formula>
    </cfRule>
  </conditionalFormatting>
  <conditionalFormatting sqref="D32">
    <cfRule type="expression" dxfId="57" priority="78">
      <formula>C32=C33</formula>
    </cfRule>
  </conditionalFormatting>
  <conditionalFormatting sqref="D33">
    <cfRule type="expression" dxfId="56" priority="77">
      <formula>C32=C33</formula>
    </cfRule>
  </conditionalFormatting>
  <conditionalFormatting sqref="D40">
    <cfRule type="expression" dxfId="55" priority="74">
      <formula>C40=C41</formula>
    </cfRule>
  </conditionalFormatting>
  <conditionalFormatting sqref="D41">
    <cfRule type="expression" dxfId="54" priority="73">
      <formula>C40=C41</formula>
    </cfRule>
  </conditionalFormatting>
  <conditionalFormatting sqref="D48">
    <cfRule type="expression" dxfId="53" priority="72">
      <formula>C48=C49</formula>
    </cfRule>
  </conditionalFormatting>
  <conditionalFormatting sqref="D49">
    <cfRule type="expression" dxfId="52" priority="71">
      <formula>C48=C49</formula>
    </cfRule>
  </conditionalFormatting>
  <conditionalFormatting sqref="D56">
    <cfRule type="expression" dxfId="51" priority="70">
      <formula>C56=C57</formula>
    </cfRule>
  </conditionalFormatting>
  <conditionalFormatting sqref="D57">
    <cfRule type="expression" dxfId="50" priority="69">
      <formula>C56=C57</formula>
    </cfRule>
  </conditionalFormatting>
  <conditionalFormatting sqref="D64">
    <cfRule type="expression" dxfId="49" priority="68">
      <formula>C64=C65</formula>
    </cfRule>
  </conditionalFormatting>
  <conditionalFormatting sqref="D65">
    <cfRule type="expression" dxfId="48" priority="67">
      <formula>C64=C65</formula>
    </cfRule>
  </conditionalFormatting>
  <conditionalFormatting sqref="I12">
    <cfRule type="expression" dxfId="47" priority="86">
      <formula>H12=H13</formula>
    </cfRule>
  </conditionalFormatting>
  <conditionalFormatting sqref="I13">
    <cfRule type="expression" dxfId="46" priority="85">
      <formula>H12=H13</formula>
    </cfRule>
  </conditionalFormatting>
  <conditionalFormatting sqref="I28">
    <cfRule type="expression" dxfId="45" priority="84">
      <formula>H28=H29</formula>
    </cfRule>
  </conditionalFormatting>
  <conditionalFormatting sqref="I29">
    <cfRule type="expression" dxfId="44" priority="83">
      <formula>H28=H29</formula>
    </cfRule>
  </conditionalFormatting>
  <conditionalFormatting sqref="I44">
    <cfRule type="expression" dxfId="43" priority="66">
      <formula>H44=H45</formula>
    </cfRule>
  </conditionalFormatting>
  <conditionalFormatting sqref="I45">
    <cfRule type="expression" dxfId="42" priority="65">
      <formula>H44=H45</formula>
    </cfRule>
  </conditionalFormatting>
  <conditionalFormatting sqref="I60">
    <cfRule type="expression" dxfId="41" priority="64">
      <formula>H60=H61</formula>
    </cfRule>
  </conditionalFormatting>
  <conditionalFormatting sqref="I61">
    <cfRule type="expression" dxfId="40" priority="63">
      <formula>H60=H61</formula>
    </cfRule>
  </conditionalFormatting>
  <conditionalFormatting sqref="N20">
    <cfRule type="expression" dxfId="39" priority="58">
      <formula>M20=M21</formula>
    </cfRule>
  </conditionalFormatting>
  <conditionalFormatting sqref="N21">
    <cfRule type="expression" dxfId="38" priority="57">
      <formula>M20=M21</formula>
    </cfRule>
  </conditionalFormatting>
  <conditionalFormatting sqref="N52">
    <cfRule type="expression" dxfId="37" priority="56">
      <formula>M52=M53</formula>
    </cfRule>
  </conditionalFormatting>
  <conditionalFormatting sqref="N53">
    <cfRule type="expression" dxfId="36" priority="55">
      <formula>M52=M53</formula>
    </cfRule>
  </conditionalFormatting>
  <conditionalFormatting sqref="S36">
    <cfRule type="expression" dxfId="35" priority="60">
      <formula>R36=R37</formula>
    </cfRule>
  </conditionalFormatting>
  <conditionalFormatting sqref="S37">
    <cfRule type="expression" dxfId="34" priority="59">
      <formula>R36=R37</formula>
    </cfRule>
  </conditionalFormatting>
  <conditionalFormatting sqref="X33">
    <cfRule type="expression" dxfId="33" priority="4">
      <formula>W33=W34</formula>
    </cfRule>
  </conditionalFormatting>
  <conditionalFormatting sqref="X34">
    <cfRule type="expression" dxfId="32" priority="3">
      <formula>W33=W34</formula>
    </cfRule>
  </conditionalFormatting>
  <conditionalFormatting sqref="X42">
    <cfRule type="expression" dxfId="31" priority="2">
      <formula>W42=W43</formula>
    </cfRule>
  </conditionalFormatting>
  <conditionalFormatting sqref="X43">
    <cfRule type="expression" dxfId="30" priority="1">
      <formula>W42=W43</formula>
    </cfRule>
  </conditionalFormatting>
  <conditionalFormatting sqref="AC36">
    <cfRule type="expression" dxfId="29" priority="6">
      <formula>AB36=AB37</formula>
    </cfRule>
  </conditionalFormatting>
  <conditionalFormatting sqref="AC37">
    <cfRule type="expression" dxfId="28" priority="5">
      <formula>AB36=AB37</formula>
    </cfRule>
  </conditionalFormatting>
  <conditionalFormatting sqref="AH20">
    <cfRule type="expression" dxfId="27" priority="10">
      <formula>AG20=AG21</formula>
    </cfRule>
  </conditionalFormatting>
  <conditionalFormatting sqref="AH21">
    <cfRule type="expression" dxfId="26" priority="9">
      <formula>AG20=AG21</formula>
    </cfRule>
  </conditionalFormatting>
  <conditionalFormatting sqref="AH52">
    <cfRule type="expression" dxfId="25" priority="8">
      <formula>AG52=AG53</formula>
    </cfRule>
  </conditionalFormatting>
  <conditionalFormatting sqref="AH53">
    <cfRule type="expression" dxfId="24" priority="7">
      <formula>AG52=AG53</formula>
    </cfRule>
  </conditionalFormatting>
  <conditionalFormatting sqref="AM12">
    <cfRule type="expression" dxfId="23" priority="18">
      <formula>AL12=AL13</formula>
    </cfRule>
  </conditionalFormatting>
  <conditionalFormatting sqref="AM13">
    <cfRule type="expression" dxfId="22" priority="17">
      <formula>AL12=AL13</formula>
    </cfRule>
  </conditionalFormatting>
  <conditionalFormatting sqref="AM28">
    <cfRule type="expression" dxfId="21" priority="16">
      <formula>AL28=AL29</formula>
    </cfRule>
  </conditionalFormatting>
  <conditionalFormatting sqref="AM29">
    <cfRule type="expression" dxfId="20" priority="15">
      <formula>AL28=AL29</formula>
    </cfRule>
  </conditionalFormatting>
  <conditionalFormatting sqref="AM44">
    <cfRule type="expression" dxfId="19" priority="14">
      <formula>AL44=AL45</formula>
    </cfRule>
  </conditionalFormatting>
  <conditionalFormatting sqref="AM45">
    <cfRule type="expression" dxfId="18" priority="13">
      <formula>AL44=AL45</formula>
    </cfRule>
  </conditionalFormatting>
  <conditionalFormatting sqref="AM60">
    <cfRule type="expression" dxfId="17" priority="12">
      <formula>AL60=AL61</formula>
    </cfRule>
  </conditionalFormatting>
  <conditionalFormatting sqref="AM61">
    <cfRule type="expression" dxfId="16" priority="11">
      <formula>AL60=AL61</formula>
    </cfRule>
  </conditionalFormatting>
  <conditionalFormatting sqref="AR8">
    <cfRule type="expression" dxfId="15" priority="34">
      <formula>AQ8=AQ9</formula>
    </cfRule>
  </conditionalFormatting>
  <conditionalFormatting sqref="AR9">
    <cfRule type="expression" dxfId="14" priority="33">
      <formula>AQ8=AQ9</formula>
    </cfRule>
  </conditionalFormatting>
  <conditionalFormatting sqref="AR16">
    <cfRule type="expression" dxfId="13" priority="32">
      <formula>AQ16=AQ17</formula>
    </cfRule>
  </conditionalFormatting>
  <conditionalFormatting sqref="AR17">
    <cfRule type="expression" dxfId="12" priority="31">
      <formula>AQ16=AQ17</formula>
    </cfRule>
  </conditionalFormatting>
  <conditionalFormatting sqref="AR24">
    <cfRule type="expression" dxfId="11" priority="30">
      <formula>AQ24=AQ25</formula>
    </cfRule>
  </conditionalFormatting>
  <conditionalFormatting sqref="AR25">
    <cfRule type="expression" dxfId="10" priority="29">
      <formula>AQ24=AQ25</formula>
    </cfRule>
  </conditionalFormatting>
  <conditionalFormatting sqref="AR32">
    <cfRule type="expression" dxfId="9" priority="28">
      <formula>AQ32=AQ33</formula>
    </cfRule>
  </conditionalFormatting>
  <conditionalFormatting sqref="AR33">
    <cfRule type="expression" dxfId="8" priority="27">
      <formula>AQ32=AQ33</formula>
    </cfRule>
  </conditionalFormatting>
  <conditionalFormatting sqref="AR40">
    <cfRule type="expression" dxfId="7" priority="26">
      <formula>AQ40=AQ41</formula>
    </cfRule>
  </conditionalFormatting>
  <conditionalFormatting sqref="AR41">
    <cfRule type="expression" dxfId="6" priority="25">
      <formula>AQ40=AQ41</formula>
    </cfRule>
  </conditionalFormatting>
  <conditionalFormatting sqref="AR48">
    <cfRule type="expression" dxfId="5" priority="24">
      <formula>AQ48=AQ49</formula>
    </cfRule>
  </conditionalFormatting>
  <conditionalFormatting sqref="AR49">
    <cfRule type="expression" dxfId="4" priority="23">
      <formula>AQ48=AQ49</formula>
    </cfRule>
  </conditionalFormatting>
  <conditionalFormatting sqref="AR56">
    <cfRule type="expression" dxfId="3" priority="22">
      <formula>AQ56=AQ57</formula>
    </cfRule>
  </conditionalFormatting>
  <conditionalFormatting sqref="AR57">
    <cfRule type="expression" dxfId="2" priority="21">
      <formula>AQ56=AQ57</formula>
    </cfRule>
  </conditionalFormatting>
  <conditionalFormatting sqref="AR64">
    <cfRule type="expression" dxfId="1" priority="20">
      <formula>AQ64=AQ65</formula>
    </cfRule>
  </conditionalFormatting>
  <conditionalFormatting sqref="AR65">
    <cfRule type="expression" dxfId="0" priority="19">
      <formula>AQ64=AQ65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GRUPO I</vt:lpstr>
      <vt:lpstr>GRUPO J</vt:lpstr>
      <vt:lpstr>GRUPO K</vt:lpstr>
      <vt:lpstr>GRUPO L</vt:lpstr>
      <vt:lpstr>Mejores Terceros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Jos� Antonio Vial Figueroa</cp:lastModifiedBy>
  <dcterms:created xsi:type="dcterms:W3CDTF">2022-11-02T00:22:23Z</dcterms:created>
  <dcterms:modified xsi:type="dcterms:W3CDTF">2026-05-06T22:46:51Z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2024-06-13T13:55:52Z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72b735a8-7e8a-478c-b3df-6492eb0469b8</vt:lpwstr>
  </property>
  <property fmtid="{D5CDD505-2E9C-101B-9397-08002B2CF9AE}" pid="7" name="MSIP_Label_defa4170-0d19-0005-0004-bc88714345d2_ActionId">
    <vt:lpwstr>2feb39b6-1fc1-4e57-99c4-7b144890428f</vt:lpwstr>
  </property>
  <property fmtid="{D5CDD505-2E9C-101B-9397-08002B2CF9AE}" pid="8" name="MSIP_Label_defa4170-0d19-0005-0004-bc88714345d2_ContentBits">
    <vt:lpwstr>0</vt:lpwstr>
  </property>
</Properties>
</file>