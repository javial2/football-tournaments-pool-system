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"/>
    </mc:Choice>
  </mc:AlternateContent>
  <xr:revisionPtr revIDLastSave="0" documentId="13_ncr:1_{33548100-1B75-41DB-97A0-43754BF449C9}" xr6:coauthVersionLast="47" xr6:coauthVersionMax="47" xr10:uidLastSave="{00000000-0000-0000-0000-000000000000}"/>
  <bookViews>
    <workbookView xWindow="20370" yWindow="-120" windowWidth="29040" windowHeight="15840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 s="1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P10" i="12" s="1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K10" i="10"/>
  <c r="AL10" i="10" s="1"/>
  <c r="AJ10" i="10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W24" i="16" l="1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Z10" i="12" s="1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Z9" i="2"/>
  <c r="AK11" i="2"/>
  <c r="AL11" i="2" s="1"/>
  <c r="AP7" i="1"/>
  <c r="AP9" i="1"/>
  <c r="AP8" i="1"/>
  <c r="AQ7" i="1"/>
  <c r="AQ8" i="1"/>
  <c r="AQ10" i="1"/>
  <c r="AQ9" i="1"/>
  <c r="AK8" i="1"/>
  <c r="AP10" i="1" s="1"/>
  <c r="AP10" i="15" l="1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W9" i="13" s="1"/>
  <c r="AX9" i="13" s="1"/>
  <c r="AY9" i="13" s="1"/>
  <c r="BA9" i="13" s="1"/>
  <c r="BB9" i="13" s="1"/>
  <c r="AL7" i="13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9" i="12"/>
  <c r="AW7" i="12"/>
  <c r="AX7" i="12" s="1"/>
  <c r="AY7" i="12" s="1"/>
  <c r="BA7" i="12" s="1"/>
  <c r="BB7" i="12" s="1"/>
  <c r="AL11" i="12"/>
  <c r="AL12" i="12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L12" i="11"/>
  <c r="AW7" i="11"/>
  <c r="AL11" i="11"/>
  <c r="AW9" i="11"/>
  <c r="AX9" i="11" s="1"/>
  <c r="AY9" i="11" s="1"/>
  <c r="BA9" i="11" s="1"/>
  <c r="BB9" i="11" s="1"/>
  <c r="AP9" i="10"/>
  <c r="AZ9" i="10" s="1"/>
  <c r="AL12" i="10"/>
  <c r="AP7" i="10"/>
  <c r="AZ7" i="10" s="1"/>
  <c r="AW8" i="2"/>
  <c r="AZ10" i="2"/>
  <c r="AW9" i="2" s="1"/>
  <c r="AL8" i="2"/>
  <c r="AL12" i="2"/>
  <c r="AZ10" i="1"/>
  <c r="AZ9" i="1"/>
  <c r="AL7" i="1"/>
  <c r="AZ8" i="1"/>
  <c r="AL8" i="1"/>
  <c r="AW10" i="15" l="1"/>
  <c r="AX10" i="15" s="1"/>
  <c r="AY10" i="15" s="1"/>
  <c r="BA10" i="15" s="1"/>
  <c r="BB10" i="15" s="1"/>
  <c r="AW10" i="2"/>
  <c r="AX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N9" i="12" s="1"/>
  <c r="AX7" i="11"/>
  <c r="AY7" i="11" s="1"/>
  <c r="BA7" i="11" s="1"/>
  <c r="BB7" i="11" s="1"/>
  <c r="AN9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Y10" i="2"/>
  <c r="BA10" i="2" s="1"/>
  <c r="BB10" i="2" s="1"/>
  <c r="AX8" i="2"/>
  <c r="AY8" i="2" s="1"/>
  <c r="BA8" i="2" s="1"/>
  <c r="BB8" i="2" s="1"/>
  <c r="AX9" i="2"/>
  <c r="AY9" i="2" s="1"/>
  <c r="BA9" i="2" s="1"/>
  <c r="BB9" i="2" s="1"/>
  <c r="AN9" i="15" l="1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G8" i="12"/>
  <c r="D8" i="12"/>
  <c r="F8" i="12"/>
  <c r="AN10" i="11"/>
  <c r="AN8" i="11"/>
  <c r="AN7" i="11"/>
  <c r="E10" i="11" s="1"/>
  <c r="G11" i="11"/>
  <c r="G10" i="11"/>
  <c r="E8" i="11"/>
  <c r="F10" i="11"/>
  <c r="D8" i="11"/>
  <c r="G8" i="11"/>
  <c r="AN9" i="10"/>
  <c r="AN7" i="10"/>
  <c r="AN8" i="10"/>
  <c r="AN10" i="10"/>
  <c r="AN8" i="2"/>
  <c r="AN7" i="2"/>
  <c r="AN9" i="2"/>
  <c r="AN10" i="2"/>
  <c r="BA7" i="1"/>
  <c r="BB7" i="1" s="1"/>
  <c r="AN7" i="1" s="1"/>
  <c r="E8" i="12" l="1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<sst xmlns="http://schemas.openxmlformats.org/spreadsheetml/2006/main" count="452" uniqueCount="77">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</sst>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workbookViewId="0"/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/>
      <c r="D3" s="87"/>
    </row>
    <row r="4" spans="2:4" ht="15.75" thickBot="1" x14ac:dyDescent="0.3">
      <c r="B4" s="77" t="s">
        <v>76</v>
      </c>
      <c r="C4" s="88"/>
      <c r="D4" s="89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/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/>
      <c r="M7" s="31"/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1</v>
      </c>
      <c r="AK7" s="34">
        <f>IF(AJ7=3,0,IF(AJ7=1,1,3))</f>
        <v>1</v>
      </c>
      <c r="AL7" s="34" t="str">
        <f t="shared" ref="AL7:AL12" si="2">IF(AJ7&gt;AK7,K7,IF(AK7&gt;AJ7,N7,"SIN GANADOR"))</f>
        <v>SIN GANADOR</v>
      </c>
      <c r="AN7" s="34">
        <f>_xlfn.RANK.EQ(BB7,BB$7:BB$11,1)</f>
        <v>1</v>
      </c>
      <c r="AO7" s="34" t="s">
        <v>14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Qatar</v>
      </c>
      <c r="AW7" s="34" t="str">
        <f>IF(AZ7=AZ8,AV8,IF(AZ7=AZ9,AV9,IF(AZ7=AZ10,AV10,"")))</f>
        <v>Holanda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3">IFERROR(VLOOKUP($B8,$AN$7:$AS$11,C$5,FALSE),"")</f>
        <v>Qatar</v>
      </c>
      <c r="D8" s="9">
        <f t="shared" si="3"/>
        <v>3</v>
      </c>
      <c r="E8" s="9">
        <f t="shared" si="3"/>
        <v>0</v>
      </c>
      <c r="F8" s="9">
        <f t="shared" si="3"/>
        <v>0</v>
      </c>
      <c r="G8" s="10">
        <f t="shared" si="3"/>
        <v>0</v>
      </c>
      <c r="I8" s="18">
        <v>2</v>
      </c>
      <c r="J8" s="19">
        <v>44886</v>
      </c>
      <c r="K8" s="20" t="s">
        <v>14</v>
      </c>
      <c r="L8" s="21"/>
      <c r="M8" s="22"/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2</v>
      </c>
      <c r="AO8" s="34" t="s">
        <v>13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Holanda</v>
      </c>
      <c r="AW8" s="34" t="str">
        <f>IF(AZ8=AZ9,AV9,IF(AZ8=AZ10,AV10,IF(AZ8=AZ7,AV7,"")))</f>
        <v>Senegal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-30000000</v>
      </c>
      <c r="BA8" s="34">
        <f t="shared" ref="BA8:BA10" si="10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3"/>
        <v>Holanda</v>
      </c>
      <c r="D9" s="13">
        <f t="shared" si="3"/>
        <v>3</v>
      </c>
      <c r="E9" s="13">
        <f t="shared" si="3"/>
        <v>0</v>
      </c>
      <c r="F9" s="13">
        <f t="shared" si="3"/>
        <v>0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/>
      <c r="M9" s="22"/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0</v>
      </c>
      <c r="AS9" s="34">
        <f t="shared" si="6"/>
        <v>0</v>
      </c>
      <c r="AV9" s="34" t="str">
        <f t="shared" si="7"/>
        <v>Senegal</v>
      </c>
      <c r="AW9" s="34" t="str">
        <f>IF(AZ9=AZ10,AV10,IF(AZ9=AZ7,AV7,IF(AZ9=AZ8,AV8,"")))</f>
        <v>Ecuador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-30000000</v>
      </c>
      <c r="BA9" s="34">
        <f t="shared" si="10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0</v>
      </c>
      <c r="F10" s="50">
        <f t="shared" si="3"/>
        <v>0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/>
      <c r="M10" s="22"/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4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7"/>
        <v>Ecuador</v>
      </c>
      <c r="AW10" s="34" t="str">
        <f>IF(AZ10=AZ7,AV7,IF(AZ10=AZ8,AV8,IF(AZ10=AZ9,AV9,"")))</f>
        <v>Qatar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-30000000</v>
      </c>
      <c r="BA10" s="34">
        <f t="shared" si="10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3"/>
        <v>Ecuador</v>
      </c>
      <c r="D11" s="54">
        <f t="shared" si="3"/>
        <v>3</v>
      </c>
      <c r="E11" s="54">
        <f t="shared" si="3"/>
        <v>0</v>
      </c>
      <c r="F11" s="54">
        <f t="shared" si="3"/>
        <v>0</v>
      </c>
      <c r="G11" s="55">
        <f t="shared" si="3"/>
        <v>0</v>
      </c>
      <c r="I11" s="23">
        <f>I9+16</f>
        <v>33</v>
      </c>
      <c r="J11" s="24">
        <v>44894</v>
      </c>
      <c r="K11" s="25" t="s">
        <v>11</v>
      </c>
      <c r="L11" s="21"/>
      <c r="M11" s="22"/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/>
      <c r="M12" s="33"/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1</v>
      </c>
      <c r="AK12" s="34">
        <f t="shared" si="4"/>
        <v>1</v>
      </c>
      <c r="AL12" s="34" t="str">
        <f t="shared" si="2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/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/>
      <c r="M7" s="31"/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Inglaterra</v>
      </c>
      <c r="AW7" s="34" t="str">
        <f>IF(AZ7=AZ8,AV8,IF(AZ7=AZ9,AV9,IF(AZ7=AZ10,AV10,"")))</f>
        <v>USA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4</v>
      </c>
      <c r="J8" s="19">
        <v>44886</v>
      </c>
      <c r="K8" s="20" t="s">
        <v>31</v>
      </c>
      <c r="L8" s="21"/>
      <c r="M8" s="22"/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USA</v>
      </c>
      <c r="AW8" s="34" t="str">
        <f>IF(AZ8=AZ9,AV9,IF(AZ8=AZ10,AV10,IF(AZ8=AZ7,AV7,"")))</f>
        <v>Iran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-30000000</v>
      </c>
      <c r="BA8" s="34">
        <f t="shared" ref="BA8:BA10" si="10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/>
      <c r="M9" s="22"/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32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0</v>
      </c>
      <c r="AS9" s="34">
        <f t="shared" si="6"/>
        <v>0</v>
      </c>
      <c r="AV9" s="34" t="str">
        <f t="shared" si="7"/>
        <v>Iran</v>
      </c>
      <c r="AW9" s="34" t="str">
        <f>IF(AZ9=AZ10,AV10,IF(AZ9=AZ7,AV7,IF(AZ9=AZ8,AV8,"")))</f>
        <v>Gales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-30000000</v>
      </c>
      <c r="BA9" s="34">
        <f t="shared" si="10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Iran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/>
      <c r="M10" s="22"/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7"/>
        <v>Gales</v>
      </c>
      <c r="AW10" s="34" t="str">
        <f>IF(AZ10=AZ7,AV7,IF(AZ10=AZ8,AV8,IF(AZ10=AZ9,AV9,"")))</f>
        <v>Inglaterra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-30000000</v>
      </c>
      <c r="BA10" s="34">
        <f t="shared" si="10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Gales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f>I9+16</f>
        <v>35</v>
      </c>
      <c r="J11" s="24">
        <v>44894</v>
      </c>
      <c r="K11" s="25" t="s">
        <v>33</v>
      </c>
      <c r="L11" s="21"/>
      <c r="M11" s="22"/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/>
      <c r="M12" s="33"/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/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/>
      <c r="M7" s="31"/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Argentina</v>
      </c>
      <c r="AW7" s="34" t="str">
        <f>IF(AZ7=AZ8,AV8,IF(AZ7=AZ9,AV9,IF(AZ7=AZ10,AV10,"")))</f>
        <v>Mexico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6</v>
      </c>
      <c r="J8" s="19">
        <v>44887</v>
      </c>
      <c r="K8" s="20" t="s">
        <v>35</v>
      </c>
      <c r="L8" s="21"/>
      <c r="M8" s="22"/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Mexico</v>
      </c>
      <c r="AW8" s="34" t="str">
        <f>IF(AZ8=AZ9,AV9,IF(AZ8=AZ10,AV10,IF(AZ8=AZ7,AV7,"")))</f>
        <v>Polonia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-30000000</v>
      </c>
      <c r="BA8" s="34">
        <f t="shared" ref="BA8:BA10" si="10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/>
      <c r="M9" s="22"/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0</v>
      </c>
      <c r="AS9" s="34">
        <f t="shared" si="6"/>
        <v>0</v>
      </c>
      <c r="AV9" s="34" t="str">
        <f t="shared" si="7"/>
        <v>Polonia</v>
      </c>
      <c r="AW9" s="34" t="str">
        <f>IF(AZ9=AZ10,AV10,IF(AZ9=AZ7,AV7,IF(AZ9=AZ8,AV8,"")))</f>
        <v>Arabia Saudita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-30000000</v>
      </c>
      <c r="BA9" s="34">
        <f t="shared" si="10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/>
      <c r="M10" s="22"/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7"/>
        <v>Arabia Saudita</v>
      </c>
      <c r="AW10" s="34" t="str">
        <f>IF(AZ10=AZ7,AV7,IF(AZ10=AZ8,AV8,IF(AZ10=AZ9,AV9,"")))</f>
        <v>Argentina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-30000000</v>
      </c>
      <c r="BA10" s="34">
        <f t="shared" si="10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f>I9+16</f>
        <v>37</v>
      </c>
      <c r="J11" s="24">
        <v>44895</v>
      </c>
      <c r="K11" s="25" t="s">
        <v>37</v>
      </c>
      <c r="L11" s="21"/>
      <c r="M11" s="22"/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/>
      <c r="M12" s="33"/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/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/>
      <c r="M7" s="31"/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Francia</v>
      </c>
      <c r="AW7" s="34" t="str">
        <f>IF(AZ7=AZ8,AV8,IF(AZ7=AZ9,AV9,IF(AZ7=AZ10,AV10,"")))</f>
        <v>Dinamarca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8</v>
      </c>
      <c r="J8" s="19">
        <v>44887</v>
      </c>
      <c r="K8" s="20" t="s">
        <v>40</v>
      </c>
      <c r="L8" s="21"/>
      <c r="M8" s="22"/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Dinamarca</v>
      </c>
      <c r="AW8" s="34" t="str">
        <f>IF(AZ8=AZ9,AV9,IF(AZ8=AZ10,AV10,IF(AZ8=AZ7,AV7,"")))</f>
        <v>Tunez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-30000000</v>
      </c>
      <c r="BA8" s="34">
        <f t="shared" ref="BA8:BA10" si="10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/>
      <c r="M9" s="22"/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0</v>
      </c>
      <c r="AS9" s="34">
        <f t="shared" si="6"/>
        <v>0</v>
      </c>
      <c r="AV9" s="34" t="str">
        <f t="shared" si="7"/>
        <v>Tunez</v>
      </c>
      <c r="AW9" s="34" t="str">
        <f>IF(AZ9=AZ10,AV10,IF(AZ9=AZ7,AV7,IF(AZ9=AZ8,AV8,"")))</f>
        <v>Australia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-30000000</v>
      </c>
      <c r="BA9" s="34">
        <f t="shared" si="10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f>I8+16</f>
        <v>24</v>
      </c>
      <c r="J10" s="19">
        <v>44891</v>
      </c>
      <c r="K10" s="20" t="s">
        <v>40</v>
      </c>
      <c r="L10" s="21"/>
      <c r="M10" s="22"/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7"/>
        <v>Australia</v>
      </c>
      <c r="AW10" s="34" t="str">
        <f>IF(AZ10=AZ7,AV7,IF(AZ10=AZ8,AV8,IF(AZ10=AZ9,AV9,"")))</f>
        <v>Francia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-30000000</v>
      </c>
      <c r="BA10" s="34">
        <f t="shared" si="10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f>I9+16</f>
        <v>39</v>
      </c>
      <c r="J11" s="24">
        <v>44895</v>
      </c>
      <c r="K11" s="25" t="s">
        <v>42</v>
      </c>
      <c r="L11" s="21"/>
      <c r="M11" s="22"/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/>
      <c r="M12" s="33"/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/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/>
      <c r="M7" s="31"/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España</v>
      </c>
      <c r="AW7" s="34" t="str">
        <f>IF(AZ7=AZ8,AV8,IF(AZ7=AZ9,AV9,IF(AZ7=AZ10,AV10,"")))</f>
        <v>Alemania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10</v>
      </c>
      <c r="J8" s="19">
        <v>44888</v>
      </c>
      <c r="K8" s="20" t="s">
        <v>44</v>
      </c>
      <c r="L8" s="21"/>
      <c r="M8" s="22"/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Alemania</v>
      </c>
      <c r="AW8" s="34" t="str">
        <f>IF(AZ8=AZ9,AV9,IF(AZ8=AZ10,AV10,IF(AZ8=AZ7,AV7,"")))</f>
        <v>Japon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-30000000</v>
      </c>
      <c r="BA8" s="34">
        <f t="shared" ref="BA8:BA10" si="10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f>I7+16</f>
        <v>25</v>
      </c>
      <c r="J9" s="24">
        <v>44892</v>
      </c>
      <c r="K9" s="25" t="s">
        <v>46</v>
      </c>
      <c r="L9" s="21"/>
      <c r="M9" s="22"/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0</v>
      </c>
      <c r="AS9" s="34">
        <f t="shared" si="6"/>
        <v>0</v>
      </c>
      <c r="AV9" s="34" t="str">
        <f t="shared" si="7"/>
        <v>Japon</v>
      </c>
      <c r="AW9" s="34" t="str">
        <f>IF(AZ9=AZ10,AV10,IF(AZ9=AZ7,AV7,IF(AZ9=AZ8,AV8,"")))</f>
        <v>Costa Rica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-30000000</v>
      </c>
      <c r="BA9" s="34">
        <f t="shared" si="10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f>I8+16</f>
        <v>26</v>
      </c>
      <c r="J10" s="19">
        <v>44892</v>
      </c>
      <c r="K10" s="20" t="s">
        <v>44</v>
      </c>
      <c r="L10" s="21"/>
      <c r="M10" s="22"/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7"/>
        <v>Costa Rica</v>
      </c>
      <c r="AW10" s="34" t="str">
        <f>IF(AZ10=AZ7,AV7,IF(AZ10=AZ8,AV8,IF(AZ10=AZ9,AV9,"")))</f>
        <v>España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-30000000</v>
      </c>
      <c r="BA10" s="34">
        <f t="shared" si="10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f>I9+16</f>
        <v>41</v>
      </c>
      <c r="J11" s="24">
        <v>44896</v>
      </c>
      <c r="K11" s="25" t="s">
        <v>46</v>
      </c>
      <c r="L11" s="21"/>
      <c r="M11" s="22"/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/>
      <c r="M12" s="33"/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/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/>
      <c r="M7" s="31"/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Belgica</v>
      </c>
      <c r="AW7" s="34" t="str">
        <f>IF(AZ7=AZ8,AV8,IF(AZ7=AZ9,AV9,IF(AZ7=AZ10,AV10,"")))</f>
        <v>Croacia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12</v>
      </c>
      <c r="J8" s="19">
        <v>44888</v>
      </c>
      <c r="K8" s="20" t="s">
        <v>48</v>
      </c>
      <c r="L8" s="21"/>
      <c r="M8" s="22"/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Croacia</v>
      </c>
      <c r="AW8" s="34" t="str">
        <f>IF(AZ8=AZ9,AV9,IF(AZ8=AZ10,AV10,IF(AZ8=AZ7,AV7,"")))</f>
        <v>Marruecos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-30000000</v>
      </c>
      <c r="BA8" s="34">
        <f t="shared" ref="BA8:BA10" si="10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/>
      <c r="M9" s="22"/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0</v>
      </c>
      <c r="AS9" s="34">
        <f t="shared" si="6"/>
        <v>0</v>
      </c>
      <c r="AV9" s="34" t="str">
        <f t="shared" si="7"/>
        <v>Marruecos</v>
      </c>
      <c r="AW9" s="34" t="str">
        <f>IF(AZ9=AZ10,AV10,IF(AZ9=AZ7,AV7,IF(AZ9=AZ8,AV8,"")))</f>
        <v>Canada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-30000000</v>
      </c>
      <c r="BA9" s="34">
        <f t="shared" si="10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f>I8+16</f>
        <v>28</v>
      </c>
      <c r="J10" s="19">
        <v>44892</v>
      </c>
      <c r="K10" s="20" t="s">
        <v>49</v>
      </c>
      <c r="L10" s="21"/>
      <c r="M10" s="22"/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7"/>
        <v>Canada</v>
      </c>
      <c r="AW10" s="34" t="str">
        <f>IF(AZ10=AZ7,AV7,IF(AZ10=AZ8,AV8,IF(AZ10=AZ9,AV9,"")))</f>
        <v>Belgica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-30000000</v>
      </c>
      <c r="BA10" s="34">
        <f t="shared" si="10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f>I9+16</f>
        <v>43</v>
      </c>
      <c r="J11" s="24">
        <v>44896</v>
      </c>
      <c r="K11" s="25" t="s">
        <v>49</v>
      </c>
      <c r="L11" s="21"/>
      <c r="M11" s="22"/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/>
      <c r="M12" s="33"/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/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/>
      <c r="M7" s="31"/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>Suiza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14</v>
      </c>
      <c r="J8" s="19">
        <v>44889</v>
      </c>
      <c r="K8" s="20" t="s">
        <v>10</v>
      </c>
      <c r="L8" s="21"/>
      <c r="M8" s="22"/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Suiza</v>
      </c>
      <c r="AW8" s="34" t="str">
        <f>IF(AZ8=AZ9,AV9,IF(AZ8=AZ10,AV10,IF(AZ8=AZ7,AV7,"")))</f>
        <v>Serbia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-30000000</v>
      </c>
      <c r="BA8" s="34">
        <f t="shared" ref="BA8:BA10" si="10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/>
      <c r="M9" s="22"/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0</v>
      </c>
      <c r="AS9" s="34">
        <f t="shared" si="6"/>
        <v>0</v>
      </c>
      <c r="AV9" s="34" t="str">
        <f t="shared" si="7"/>
        <v>Serbia</v>
      </c>
      <c r="AW9" s="34" t="str">
        <f>IF(AZ9=AZ10,AV10,IF(AZ9=AZ7,AV7,IF(AZ9=AZ8,AV8,"")))</f>
        <v>Camerun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-30000000</v>
      </c>
      <c r="BA9" s="34">
        <f t="shared" si="10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f>I8+16</f>
        <v>30</v>
      </c>
      <c r="J10" s="19">
        <v>44893</v>
      </c>
      <c r="K10" s="20" t="s">
        <v>10</v>
      </c>
      <c r="L10" s="21"/>
      <c r="M10" s="22"/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7"/>
        <v>Camerun</v>
      </c>
      <c r="AW10" s="34" t="str">
        <f>IF(AZ10=AZ7,AV7,IF(AZ10=AZ8,AV8,IF(AZ10=AZ9,AV9,"")))</f>
        <v>Brasil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-30000000</v>
      </c>
      <c r="BA10" s="34">
        <f t="shared" si="10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f>I9+16</f>
        <v>45</v>
      </c>
      <c r="J11" s="24">
        <v>44897</v>
      </c>
      <c r="K11" s="25" t="s">
        <v>53</v>
      </c>
      <c r="L11" s="21"/>
      <c r="M11" s="22"/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/>
      <c r="M12" s="33"/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/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/>
      <c r="M7" s="31"/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Portugal</v>
      </c>
      <c r="AW7" s="34" t="str">
        <f>IF(AZ7=AZ8,AV8,IF(AZ7=AZ9,AV9,IF(AZ7=AZ10,AV10,"")))</f>
        <v>Uruguay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16</v>
      </c>
      <c r="J8" s="19">
        <v>44889</v>
      </c>
      <c r="K8" s="20" t="s">
        <v>57</v>
      </c>
      <c r="L8" s="21"/>
      <c r="M8" s="22"/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Uruguay</v>
      </c>
      <c r="AW8" s="34" t="str">
        <f>IF(AZ8=AZ9,AV9,IF(AZ8=AZ10,AV10,IF(AZ8=AZ7,AV7,"")))</f>
        <v>Corea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-30000000</v>
      </c>
      <c r="BA8" s="34">
        <f t="shared" ref="BA8:BA10" si="10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/>
      <c r="M9" s="22"/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0</v>
      </c>
      <c r="AS9" s="34">
        <f t="shared" si="6"/>
        <v>0</v>
      </c>
      <c r="AV9" s="34" t="str">
        <f t="shared" si="7"/>
        <v>Corea</v>
      </c>
      <c r="AW9" s="34" t="str">
        <f>IF(AZ9=AZ10,AV10,IF(AZ9=AZ7,AV7,IF(AZ9=AZ8,AV8,"")))</f>
        <v>Gana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-30000000</v>
      </c>
      <c r="BA9" s="34">
        <f t="shared" si="10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f>I8+16</f>
        <v>32</v>
      </c>
      <c r="J10" s="19">
        <v>44893</v>
      </c>
      <c r="K10" s="20" t="s">
        <v>57</v>
      </c>
      <c r="L10" s="21"/>
      <c r="M10" s="22"/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7"/>
        <v>Gana</v>
      </c>
      <c r="AW10" s="34" t="str">
        <f>IF(AZ10=AZ7,AV7,IF(AZ10=AZ8,AV8,IF(AZ10=AZ9,AV9,"")))</f>
        <v>Portugal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-30000000</v>
      </c>
      <c r="BA10" s="34">
        <f t="shared" si="10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f>I9+16</f>
        <v>47</v>
      </c>
      <c r="J11" s="24">
        <v>44897</v>
      </c>
      <c r="K11" s="25" t="s">
        <v>58</v>
      </c>
      <c r="L11" s="21"/>
      <c r="M11" s="22"/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/>
      <c r="M12" s="33"/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workbookViewId="0"/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Qatar</v>
      </c>
      <c r="C6" s="60"/>
      <c r="D6" s="61"/>
    </row>
    <row r="7" spans="2:19" ht="15.75" thickBot="1" x14ac:dyDescent="0.3">
      <c r="B7" s="62" t="str">
        <f>'GRUPO B'!C9</f>
        <v>USA</v>
      </c>
      <c r="C7" s="63"/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/>
      </c>
      <c r="H8" s="60"/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/>
      </c>
      <c r="H9" s="63"/>
      <c r="I9" s="64"/>
      <c r="J9" s="65"/>
    </row>
    <row r="10" spans="2:19" ht="15.75" thickBot="1" x14ac:dyDescent="0.3">
      <c r="B10" s="59" t="str">
        <f>'GRUPO C'!C8</f>
        <v>Argentina</v>
      </c>
      <c r="C10" s="60"/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/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/>
      </c>
      <c r="M12" s="60"/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/>
      </c>
      <c r="M13" s="63"/>
      <c r="N13" s="64"/>
      <c r="O13" s="65"/>
    </row>
    <row r="14" spans="2:19" ht="15.75" thickBot="1" x14ac:dyDescent="0.3">
      <c r="B14" s="59" t="str">
        <f>'GRUPO E'!C8</f>
        <v>España</v>
      </c>
      <c r="C14" s="60"/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/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/>
      </c>
      <c r="H16" s="60"/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/>
      </c>
      <c r="H17" s="63"/>
      <c r="I17" s="64"/>
      <c r="O17" s="66"/>
    </row>
    <row r="18" spans="2:23" ht="15.75" thickBot="1" x14ac:dyDescent="0.3">
      <c r="B18" s="59" t="str">
        <f>'GRUPO G'!C8</f>
        <v>Brasil</v>
      </c>
      <c r="C18" s="60"/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/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/>
      </c>
      <c r="R20" s="60"/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/>
      </c>
      <c r="R21" s="63"/>
      <c r="S21" s="64"/>
    </row>
    <row r="22" spans="2:23" ht="15.75" thickBot="1" x14ac:dyDescent="0.3">
      <c r="B22" s="59" t="str">
        <f>'GRUPO B'!C8</f>
        <v>Inglaterra</v>
      </c>
      <c r="C22" s="60"/>
      <c r="D22" s="61"/>
      <c r="O22" s="66"/>
    </row>
    <row r="23" spans="2:23" ht="15.75" thickBot="1" x14ac:dyDescent="0.3">
      <c r="B23" s="62" t="str">
        <f>'GRUPO A'!C9</f>
        <v>Holanda</v>
      </c>
      <c r="C23" s="63"/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/>
      </c>
      <c r="H24" s="60"/>
      <c r="I24" s="61"/>
      <c r="O24" s="66"/>
      <c r="V24" s="59" t="s">
        <v>65</v>
      </c>
      <c r="W24" s="71" t="str">
        <f>IF(R20&gt;R21,Q20,IF(R21&gt;R20,Q21,IF(S20&gt;S21,Q20,IF(S21&gt;S20,Q21,""))))</f>
        <v/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/>
      </c>
      <c r="H25" s="63"/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/>
      </c>
    </row>
    <row r="26" spans="2:23" ht="15.75" thickBot="1" x14ac:dyDescent="0.3">
      <c r="B26" s="59" t="str">
        <f>'GRUPO D'!C8</f>
        <v>Francia</v>
      </c>
      <c r="C26" s="60"/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/>
      </c>
    </row>
    <row r="27" spans="2:23" ht="15.75" thickBot="1" x14ac:dyDescent="0.3">
      <c r="B27" s="62" t="str">
        <f>'GRUPO C'!C9</f>
        <v>Mexico</v>
      </c>
      <c r="C27" s="63"/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/>
      </c>
      <c r="M28" s="60"/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/>
      </c>
      <c r="M29" s="63"/>
      <c r="N29" s="64"/>
      <c r="Q29" s="59" t="str">
        <f>IF(Q20=L12,L13,IF(Q20=L13,L12,""))</f>
        <v/>
      </c>
      <c r="R29" s="60"/>
      <c r="S29" s="61"/>
    </row>
    <row r="30" spans="2:23" ht="15.75" thickBot="1" x14ac:dyDescent="0.3">
      <c r="B30" s="59" t="str">
        <f>'GRUPO F'!C8</f>
        <v>Belgica</v>
      </c>
      <c r="C30" s="60"/>
      <c r="D30" s="61"/>
      <c r="J30" s="66"/>
      <c r="Q30" s="62" t="str">
        <f>IF(Q21=L28,L29,IF(Q21=L29,L28,""))</f>
        <v/>
      </c>
      <c r="R30" s="63"/>
      <c r="S30" s="64"/>
    </row>
    <row r="31" spans="2:23" ht="15.75" thickBot="1" x14ac:dyDescent="0.3">
      <c r="B31" s="62" t="str">
        <f>'GRUPO E'!C9</f>
        <v>Alemania</v>
      </c>
      <c r="C31" s="63"/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/>
      </c>
      <c r="H32" s="60"/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/>
      </c>
      <c r="H33" s="63"/>
      <c r="I33" s="64"/>
    </row>
    <row r="34" spans="2:9" x14ac:dyDescent="0.25">
      <c r="B34" s="59" t="str">
        <f>'GRUPO H'!C8</f>
        <v>Portugal</v>
      </c>
      <c r="C34" s="60"/>
      <c r="D34" s="61"/>
      <c r="E34" s="69"/>
    </row>
    <row r="35" spans="2:9" ht="15.75" thickBot="1" x14ac:dyDescent="0.3">
      <c r="B35" s="62" t="str">
        <f>'GRUPO G'!C9</f>
        <v>Suiza</v>
      </c>
      <c r="C35" s="63"/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2022-11-08T16:03:56Z</dcterms:modified>
</cp:coreProperties>
</file>