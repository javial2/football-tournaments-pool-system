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ntonio\Documents\football-tournaments-pool-system\instances\Copa America 2024 Familiar\"/>
    </mc:Choice>
  </mc:AlternateContent>
  <xr:revisionPtr revIDLastSave="0" documentId="13_ncr:1_{BDF71B3A-77B6-4374-81D6-A368782C2BF2}" xr6:coauthVersionLast="47" xr6:coauthVersionMax="47" xr10:uidLastSave="{00000000-0000-0000-0000-000000000000}"/>
  <bookViews>
    <workbookView xWindow="-120" yWindow="-120" windowWidth="20730" windowHeight="11160" tabRatio="823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Play-Off" sheetId="1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11" l="1"/>
  <c r="AG11" i="11"/>
  <c r="AG10" i="11"/>
  <c r="AG9" i="11"/>
  <c r="AG8" i="11"/>
  <c r="AG7" i="11"/>
  <c r="AG13" i="11" s="1"/>
  <c r="AG12" i="10"/>
  <c r="AG11" i="10"/>
  <c r="AG10" i="10"/>
  <c r="AG9" i="10"/>
  <c r="AG8" i="10"/>
  <c r="AG7" i="10"/>
  <c r="AG13" i="10" s="1"/>
  <c r="AG12" i="2"/>
  <c r="AG11" i="2"/>
  <c r="AG10" i="2"/>
  <c r="AG9" i="2"/>
  <c r="AG8" i="2"/>
  <c r="AG7" i="2"/>
  <c r="AG13" i="2" s="1"/>
  <c r="AG13" i="1"/>
  <c r="AG8" i="1"/>
  <c r="AG9" i="1"/>
  <c r="AG10" i="1"/>
  <c r="AG11" i="1"/>
  <c r="AG12" i="1"/>
  <c r="AG7" i="1"/>
  <c r="B32" i="19"/>
  <c r="B25" i="19"/>
  <c r="B16" i="19"/>
  <c r="B9" i="19"/>
  <c r="G29" i="19"/>
  <c r="L21" i="19" s="1"/>
  <c r="G28" i="19"/>
  <c r="G13" i="19"/>
  <c r="G12" i="19"/>
  <c r="L20" i="19" s="1"/>
  <c r="R24" i="19" s="1"/>
  <c r="AO10" i="11"/>
  <c r="AO9" i="11"/>
  <c r="AO8" i="11"/>
  <c r="AV8" i="11" s="1"/>
  <c r="AO7" i="11"/>
  <c r="AV7" i="11" s="1"/>
  <c r="AO10" i="10"/>
  <c r="AO9" i="10"/>
  <c r="AO8" i="10"/>
  <c r="AS8" i="10" s="1"/>
  <c r="AO7" i="10"/>
  <c r="AS7" i="10" s="1"/>
  <c r="AO10" i="2"/>
  <c r="AO9" i="2"/>
  <c r="AO8" i="2"/>
  <c r="AO7" i="2"/>
  <c r="AV7" i="2" s="1"/>
  <c r="AO8" i="1"/>
  <c r="AO9" i="1"/>
  <c r="AO10" i="1"/>
  <c r="AO7" i="1"/>
  <c r="AV7" i="1" s="1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R8" i="11"/>
  <c r="AJ8" i="11"/>
  <c r="AK8" i="11" s="1"/>
  <c r="AL8" i="11" s="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J8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0" l="1"/>
  <c r="L30" i="19"/>
  <c r="L29" i="19"/>
  <c r="R26" i="19" s="1"/>
  <c r="R25" i="19"/>
  <c r="AR7" i="11"/>
  <c r="AS8" i="11"/>
  <c r="AS7" i="11"/>
  <c r="AR7" i="10"/>
  <c r="AQ7" i="10" s="1"/>
  <c r="AR8" i="10"/>
  <c r="AQ8" i="10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9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V1" i="19" l="1"/>
  <c r="J1" i="18" s="1"/>
  <c r="B9" i="18" s="1"/>
  <c r="AZ8" i="10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8" i="11" l="1"/>
  <c r="AX8" i="11" s="1"/>
  <c r="AY8" i="11" s="1"/>
  <c r="BA8" i="11" s="1"/>
  <c r="BB8" i="11" s="1"/>
  <c r="AW7" i="1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10" i="11" l="1"/>
  <c r="G8" i="11"/>
  <c r="G10" i="11"/>
  <c r="D8" i="11"/>
  <c r="G11" i="11"/>
  <c r="E8" i="11"/>
  <c r="E10" i="11"/>
  <c r="F8" i="11"/>
  <c r="C9" i="11"/>
  <c r="D9" i="11"/>
  <c r="E9" i="11"/>
  <c r="C8" i="11"/>
  <c r="G9" i="11"/>
  <c r="C10" i="11"/>
  <c r="D10" i="11"/>
  <c r="F11" i="11"/>
  <c r="C11" i="2"/>
  <c r="D11" i="11"/>
  <c r="E11" i="11"/>
  <c r="C11" i="11"/>
  <c r="F9" i="11"/>
  <c r="D11" i="10"/>
  <c r="E10" i="10"/>
  <c r="F9" i="10"/>
  <c r="G8" i="10"/>
  <c r="C8" i="10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F8" i="2"/>
  <c r="D11" i="2"/>
  <c r="G11" i="2"/>
  <c r="E8" i="2"/>
  <c r="F11" i="2"/>
  <c r="C9" i="2"/>
  <c r="E11" i="2"/>
  <c r="F10" i="2"/>
  <c r="D8" i="2"/>
  <c r="E10" i="2"/>
  <c r="C8" i="2"/>
  <c r="G10" i="2"/>
  <c r="C10" i="2"/>
  <c r="D10" i="2"/>
  <c r="G8" i="2"/>
  <c r="F9" i="2"/>
  <c r="D9" i="2"/>
  <c r="E9" i="2"/>
  <c r="G9" i="2"/>
  <c r="AN10" i="1"/>
  <c r="AN9" i="1"/>
  <c r="AN8" i="1"/>
  <c r="B33" i="19" l="1"/>
  <c r="B24" i="19"/>
  <c r="D10" i="1"/>
  <c r="F9" i="1"/>
  <c r="D9" i="1"/>
  <c r="E9" i="1"/>
  <c r="C9" i="1"/>
  <c r="B17" i="19" s="1"/>
  <c r="G9" i="1"/>
  <c r="C10" i="1"/>
  <c r="F11" i="1"/>
  <c r="C11" i="1"/>
  <c r="D11" i="1"/>
  <c r="G11" i="1"/>
  <c r="E8" i="1"/>
  <c r="E10" i="1"/>
  <c r="F8" i="1"/>
  <c r="C8" i="1"/>
  <c r="B8" i="19" s="1"/>
  <c r="F10" i="1"/>
  <c r="G8" i="1"/>
  <c r="D8" i="1"/>
  <c r="E11" i="1"/>
  <c r="G10" i="1"/>
</calcChain>
</file>

<file path=xl/sharedStrings.xml><?xml version="1.0" encoding="utf-8"?>
<sst xmlns="http://schemas.openxmlformats.org/spreadsheetml/2006/main" count="217" uniqueCount="58">
  <si>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</si>
  <si>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</si>
  <si>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</si>
  <si>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</si>
  <si>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</si>
  <si>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</si>
  <si>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</si>
  <si>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</si>
  <si>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</si>
  <si>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</si>
  <si>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</si>
  <si>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</si>
  <si>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</si>
  <si>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</si>
  <si>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</si>
  <si>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</si>
  <si>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</si>
  <si>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</si>
  <si>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</si>
  <si>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</si>
  <si>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</si>
  <si>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</si>
  <si>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</si>
  <si>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</si>
  <si>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</si>
  <si>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</si>
  <si>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</si>
  <si>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USA</t>
  </si>
  <si>
    <t>GRUPO C</t>
  </si>
  <si>
    <t>Argentina</t>
  </si>
  <si>
    <t>GRUPO D</t>
  </si>
  <si>
    <t>Costa Rica</t>
  </si>
  <si>
    <t>Uruguay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</si>
  <si>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</si>
  <si>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</si>
  <si>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</si>
  <si>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</si>
  <si>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</si>
  <si>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</si>
  <si>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</si>
  <si>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</si>
  <si>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</si>
  <si>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</si>
  <si>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Información del Jugador</t>
  </si>
  <si>
    <t>Nombre</t>
  </si>
  <si>
    <t>Mail</t>
  </si>
  <si>
    <t>Perú</t>
  </si>
  <si>
    <t>Chile</t>
  </si>
  <si>
    <t>Canadá</t>
  </si>
  <si>
    <t>México</t>
  </si>
  <si>
    <t>Venezuela</t>
  </si>
  <si>
    <t>Jamaica</t>
  </si>
  <si>
    <t>Panamá</t>
  </si>
  <si>
    <t>Bolivia</t>
  </si>
  <si>
    <t>Colombia</t>
  </si>
  <si>
    <t>Paraguay</t>
  </si>
  <si>
    <t>Goleador</t>
  </si>
  <si>
    <t>¿Cartilla Completa?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</si>
</sst>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6" fontId="0" fillId="2" borderId="29" xfId="0" applyNumberForma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16" fontId="0" fillId="4" borderId="29" xfId="0" applyNumberForma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16" fontId="0" fillId="2" borderId="33" xfId="0" applyNumberFormat="1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4" borderId="27" xfId="0" applyNumberFormat="1" applyFill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0" xfId="0" applyFill="1" applyBorder="1"/>
    <xf numFmtId="0" fontId="0" fillId="7" borderId="0" xfId="0" applyFill="1"/>
    <xf numFmtId="0" fontId="0" fillId="7" borderId="41" xfId="0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7" xfId="0" applyFill="1" applyBorder="1"/>
    <xf numFmtId="0" fontId="0" fillId="2" borderId="27" xfId="0" applyFill="1" applyBorder="1"/>
    <xf numFmtId="0" fontId="0" fillId="0" borderId="27" xfId="0" applyBorder="1"/>
    <xf numFmtId="0" fontId="0" fillId="9" borderId="42" xfId="0" applyFill="1" applyBorder="1"/>
    <xf numFmtId="0" fontId="0" fillId="2" borderId="33" xfId="0" applyFill="1" applyBorder="1"/>
    <xf numFmtId="0" fontId="0" fillId="0" borderId="33" xfId="0" applyBorder="1"/>
    <xf numFmtId="0" fontId="0" fillId="9" borderId="44" xfId="0" applyFill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5" borderId="52" xfId="0" applyFill="1" applyBorder="1"/>
    <xf numFmtId="0" fontId="0" fillId="2" borderId="29" xfId="0" applyFill="1" applyBorder="1"/>
    <xf numFmtId="0" fontId="0" fillId="10" borderId="43" xfId="0" applyFill="1" applyBorder="1"/>
    <xf numFmtId="0" fontId="0" fillId="11" borderId="44" xfId="0" applyFill="1" applyBorder="1"/>
    <xf numFmtId="0" fontId="0" fillId="0" borderId="53" xfId="0" applyBorder="1"/>
    <xf numFmtId="0" fontId="0" fillId="2" borderId="1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55" xfId="2" applyBorder="1" applyAlignment="1">
      <alignment horizontal="center" vertical="center"/>
    </xf>
    <xf numFmtId="0" fontId="6" fillId="0" borderId="44" xfId="2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3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J9"/>
  <sheetViews>
    <sheetView tabSelected="1" workbookViewId="0"/>
  </sheetViews>
  <sheetFormatPr defaultColWidth="11.42578125" defaultRowHeight="15" x14ac:dyDescent="0.25"/>
  <sheetData>
    <row r="1" spans="2:10" ht="15.75" thickBot="1" x14ac:dyDescent="0.3">
      <c r="J1" s="34">
        <f>SUM('GRUPO A'!AG13,'GRUPO B'!AG13,'GRUPO C'!AG13,'GRUPO D'!AG13,'Play-Off'!V1)</f>
        <v>5</v>
      </c>
    </row>
    <row r="2" spans="2:10" ht="15.75" thickBot="1" x14ac:dyDescent="0.3">
      <c r="B2" s="80" t="s">
        <v>43</v>
      </c>
      <c r="C2" s="81"/>
      <c r="D2" s="82"/>
    </row>
    <row r="3" spans="2:10" x14ac:dyDescent="0.25">
      <c r="B3" s="74" t="s">
        <v>44</v>
      </c>
      <c r="C3" s="83"/>
      <c r="D3" s="84"/>
    </row>
    <row r="4" spans="2:10" ht="15.75" thickBot="1" x14ac:dyDescent="0.3">
      <c r="B4" s="75" t="s">
        <v>45</v>
      </c>
      <c r="C4" s="85"/>
      <c r="D4" s="86"/>
    </row>
    <row r="5" spans="2:10" ht="15.75" thickBot="1" x14ac:dyDescent="0.3"/>
    <row r="6" spans="2:10" ht="15.75" thickBot="1" x14ac:dyDescent="0.3">
      <c r="B6" s="76" t="s">
        <v>56</v>
      </c>
      <c r="C6" s="87"/>
      <c r="D6" s="88"/>
    </row>
    <row r="7" spans="2:10" ht="15.75" thickBot="1" x14ac:dyDescent="0.3"/>
    <row r="8" spans="2:10" ht="15.75" thickBot="1" x14ac:dyDescent="0.3">
      <c r="B8" s="89" t="s">
        <v>57</v>
      </c>
      <c r="C8" s="90"/>
      <c r="D8" s="91"/>
    </row>
    <row r="9" spans="2:10" ht="15.75" thickBot="1" x14ac:dyDescent="0.3">
      <c r="B9" s="77" t="str">
        <f>IF(J1&gt;0,"NO","SÍ")</f>
        <v>NO</v>
      </c>
      <c r="C9" s="78"/>
      <c r="D9" s="79"/>
    </row>
  </sheetData>
  <protectedRanges>
    <protectedRange sqref="C3:C4" name="Info"/>
  </protectedRanges>
  <mergeCells count="6">
    <mergeCell ref="B9:D9"/>
    <mergeCell ref="B2:D2"/>
    <mergeCell ref="C3:D3"/>
    <mergeCell ref="C4:D4"/>
    <mergeCell ref="C6:D6"/>
    <mergeCell ref="B8:D8"/>
  </mergeCells>
  <conditionalFormatting sqref="B9:D9">
    <cfRule type="cellIs" dxfId="33" priority="1" operator="equal">
      <formula>"SÍ"</formula>
    </cfRule>
    <cfRule type="cellIs" dxfId="32" priority="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zoomScale="90" zoomScaleNormal="90" workbookViewId="0">
      <selection activeCell="I9" sqref="I9"/>
    </sheetView>
  </sheetViews>
  <sheetFormatPr defaultColWidth="11.42578125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8" t="s">
        <v>0</v>
      </c>
      <c r="C3" s="99"/>
      <c r="D3" s="99"/>
      <c r="E3" s="99"/>
      <c r="F3" s="99"/>
      <c r="G3" s="100"/>
    </row>
    <row r="4" spans="2:54" ht="15.75" thickBot="1" x14ac:dyDescent="0.3">
      <c r="B4" s="101"/>
      <c r="C4" s="102"/>
      <c r="D4" s="102"/>
      <c r="E4" s="102"/>
      <c r="F4" s="102"/>
      <c r="G4" s="103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4" t="s">
        <v>1</v>
      </c>
      <c r="C6" s="105"/>
      <c r="D6" s="105"/>
      <c r="E6" s="105"/>
      <c r="F6" s="105"/>
      <c r="G6" s="106"/>
      <c r="J6" s="15" t="s">
        <v>8</v>
      </c>
      <c r="K6" s="107" t="s">
        <v>9</v>
      </c>
      <c r="L6" s="90"/>
      <c r="M6" s="90"/>
      <c r="N6" s="9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45463</v>
      </c>
      <c r="K7" s="17" t="s">
        <v>29</v>
      </c>
      <c r="L7" s="30"/>
      <c r="M7" s="31"/>
      <c r="N7" s="16" t="s">
        <v>48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>
        <f>IF(OR(L7="",M7=""),1,0)</f>
        <v>1</v>
      </c>
      <c r="AH7" s="2"/>
      <c r="AI7" s="2" t="str">
        <f t="shared" ref="AI7:AI12" si="0">CONCATENATE(K7,"_",N7)</f>
        <v>Argentina_Canadá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1</v>
      </c>
      <c r="AO7" s="34" t="str">
        <f>J23</f>
        <v>Argentina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>Perú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3">IFERROR(VLOOKUP($B8,$AN$7:$AS$11,C$5,FALSE),"")</f>
        <v>Argentina</v>
      </c>
      <c r="D8" s="9">
        <f t="shared" si="3"/>
        <v>3</v>
      </c>
      <c r="E8" s="9">
        <f t="shared" si="3"/>
        <v>0</v>
      </c>
      <c r="F8" s="9">
        <f t="shared" si="3"/>
        <v>0</v>
      </c>
      <c r="G8" s="10">
        <f t="shared" si="3"/>
        <v>0</v>
      </c>
      <c r="I8" s="18">
        <v>2</v>
      </c>
      <c r="J8" s="19">
        <v>45464</v>
      </c>
      <c r="K8" s="20" t="s">
        <v>46</v>
      </c>
      <c r="L8" s="21"/>
      <c r="M8" s="22"/>
      <c r="N8" s="18" t="s">
        <v>47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>
        <f t="shared" ref="AG8:AG12" si="4">IF(OR(L8="",M8=""),1,0)</f>
        <v>1</v>
      </c>
      <c r="AH8" s="2"/>
      <c r="AI8" s="2" t="str">
        <f t="shared" si="0"/>
        <v>Perú_Chile</v>
      </c>
      <c r="AJ8" s="34">
        <f t="shared" si="1"/>
        <v>1</v>
      </c>
      <c r="AK8" s="34">
        <f t="shared" ref="AK8:AK12" si="5">IF(AJ8=3,0,IF(AJ8=1,1,3))</f>
        <v>1</v>
      </c>
      <c r="AL8" s="34" t="str">
        <f t="shared" si="2"/>
        <v>SIN GANADOR</v>
      </c>
      <c r="AN8" s="34">
        <f>_xlfn.RANK.EQ(BB8,BB$7:BB$11,1)</f>
        <v>2</v>
      </c>
      <c r="AO8" s="34" t="str">
        <f t="shared" ref="AO8:AO10" si="6">J24</f>
        <v>Perú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Perú</v>
      </c>
      <c r="AW8" s="34" t="str">
        <f>IF(AZ8=AZ9,AV9,IF(AZ8=AZ10,AV10,IF(AZ8=AZ7,AV7,"")))</f>
        <v>Chile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3"/>
        <v>Perú</v>
      </c>
      <c r="D9" s="13">
        <f t="shared" si="3"/>
        <v>3</v>
      </c>
      <c r="E9" s="13">
        <f t="shared" si="3"/>
        <v>0</v>
      </c>
      <c r="F9" s="13">
        <f t="shared" si="3"/>
        <v>0</v>
      </c>
      <c r="G9" s="14">
        <f t="shared" si="3"/>
        <v>0</v>
      </c>
      <c r="I9" s="23">
        <v>9</v>
      </c>
      <c r="J9" s="24">
        <v>45468</v>
      </c>
      <c r="K9" s="25" t="s">
        <v>47</v>
      </c>
      <c r="L9" s="21"/>
      <c r="M9" s="22"/>
      <c r="N9" s="23" t="s">
        <v>29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f t="shared" si="4"/>
        <v>1</v>
      </c>
      <c r="AH9" s="2"/>
      <c r="AI9" s="2" t="str">
        <f t="shared" si="0"/>
        <v>Chile_Argentina</v>
      </c>
      <c r="AJ9" s="34">
        <f t="shared" si="1"/>
        <v>1</v>
      </c>
      <c r="AK9" s="34">
        <f t="shared" si="5"/>
        <v>1</v>
      </c>
      <c r="AL9" s="34" t="str">
        <f t="shared" si="2"/>
        <v>SIN GANADOR</v>
      </c>
      <c r="AN9" s="34">
        <f>_xlfn.RANK.EQ(BB9,BB$7:BB$11,1)</f>
        <v>3</v>
      </c>
      <c r="AO9" s="34" t="str">
        <f t="shared" si="6"/>
        <v>Chile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Chile</v>
      </c>
      <c r="AW9" s="34" t="str">
        <f>IF(AZ9=AZ10,AV10,IF(AZ9=AZ7,AV7,IF(AZ9=AZ8,AV8,"")))</f>
        <v>Canadá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3"/>
        <v>Chile</v>
      </c>
      <c r="D10" s="50">
        <f t="shared" si="3"/>
        <v>3</v>
      </c>
      <c r="E10" s="50">
        <f t="shared" si="3"/>
        <v>0</v>
      </c>
      <c r="F10" s="50">
        <f t="shared" si="3"/>
        <v>0</v>
      </c>
      <c r="G10" s="51">
        <f t="shared" si="3"/>
        <v>0</v>
      </c>
      <c r="I10" s="18">
        <v>10</v>
      </c>
      <c r="J10" s="19">
        <v>45468</v>
      </c>
      <c r="K10" s="20" t="s">
        <v>46</v>
      </c>
      <c r="L10" s="21"/>
      <c r="M10" s="22"/>
      <c r="N10" s="18" t="s">
        <v>48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>
        <f t="shared" si="4"/>
        <v>1</v>
      </c>
      <c r="AH10" s="2"/>
      <c r="AI10" s="2" t="str">
        <f t="shared" si="0"/>
        <v>Perú_Canadá</v>
      </c>
      <c r="AJ10" s="34">
        <f t="shared" si="1"/>
        <v>1</v>
      </c>
      <c r="AK10" s="34">
        <f t="shared" si="5"/>
        <v>1</v>
      </c>
      <c r="AL10" s="34" t="str">
        <f t="shared" si="2"/>
        <v>SIN GANADOR</v>
      </c>
      <c r="AN10" s="34">
        <f>_xlfn.RANK.EQ(BB10,BB$7:BB$11,1)</f>
        <v>4</v>
      </c>
      <c r="AO10" s="34" t="str">
        <f t="shared" si="6"/>
        <v>Canadá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Canadá</v>
      </c>
      <c r="AW10" s="34" t="str">
        <f>IF(AZ10=AZ7,AV7,IF(AZ10=AZ8,AV8,IF(AZ10=AZ9,AV9,"")))</f>
        <v>Argentina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3"/>
        <v>Canadá</v>
      </c>
      <c r="D11" s="54">
        <f t="shared" si="3"/>
        <v>3</v>
      </c>
      <c r="E11" s="54">
        <f t="shared" si="3"/>
        <v>0</v>
      </c>
      <c r="F11" s="54">
        <f t="shared" si="3"/>
        <v>0</v>
      </c>
      <c r="G11" s="55">
        <f t="shared" si="3"/>
        <v>0</v>
      </c>
      <c r="I11" s="23">
        <v>17</v>
      </c>
      <c r="J11" s="24">
        <v>45472</v>
      </c>
      <c r="K11" s="25" t="s">
        <v>29</v>
      </c>
      <c r="L11" s="21"/>
      <c r="M11" s="22"/>
      <c r="N11" s="23" t="s">
        <v>46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f t="shared" si="4"/>
        <v>1</v>
      </c>
      <c r="AH11" s="2"/>
      <c r="AI11" s="2" t="str">
        <f t="shared" si="0"/>
        <v>Argentina_Perú</v>
      </c>
      <c r="AJ11" s="34">
        <f t="shared" si="1"/>
        <v>1</v>
      </c>
      <c r="AK11" s="34">
        <f t="shared" si="5"/>
        <v>1</v>
      </c>
      <c r="AL11" s="34" t="str">
        <f t="shared" si="2"/>
        <v>SIN GANADOR</v>
      </c>
    </row>
    <row r="12" spans="2:54" ht="15.75" thickBot="1" x14ac:dyDescent="0.3">
      <c r="I12" s="26">
        <v>18</v>
      </c>
      <c r="J12" s="27">
        <v>45472</v>
      </c>
      <c r="K12" s="28" t="s">
        <v>48</v>
      </c>
      <c r="L12" s="32"/>
      <c r="M12" s="33"/>
      <c r="N12" s="26" t="s">
        <v>47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f t="shared" si="4"/>
        <v>1</v>
      </c>
      <c r="AH12" s="2"/>
      <c r="AI12" s="2" t="str">
        <f t="shared" si="0"/>
        <v>Canadá_Chile</v>
      </c>
      <c r="AJ12" s="34">
        <f t="shared" si="1"/>
        <v>1</v>
      </c>
      <c r="AK12" s="34">
        <f t="shared" si="5"/>
        <v>1</v>
      </c>
      <c r="AL12" s="34" t="str">
        <f t="shared" si="2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80" t="s">
        <v>20</v>
      </c>
      <c r="K22" s="81"/>
      <c r="L22" s="81"/>
      <c r="M22" s="82"/>
    </row>
    <row r="23" spans="2:1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29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92" t="s">
        <v>46</v>
      </c>
      <c r="K24" s="93"/>
      <c r="L24" s="94"/>
      <c r="M24" s="43">
        <v>2</v>
      </c>
      <c r="N24" s="35">
        <f>IF(J24="",0,M24)</f>
        <v>2</v>
      </c>
    </row>
    <row r="25" spans="2:1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92" t="s">
        <v>47</v>
      </c>
      <c r="K25" s="93"/>
      <c r="L25" s="94"/>
      <c r="M25" s="43">
        <v>3</v>
      </c>
      <c r="N25" s="35">
        <f>IF(J25="",0,M25)</f>
        <v>3</v>
      </c>
    </row>
    <row r="26" spans="2:1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95" t="s">
        <v>48</v>
      </c>
      <c r="K26" s="96"/>
      <c r="L26" s="97"/>
      <c r="M26" s="44">
        <v>4</v>
      </c>
      <c r="N26" s="35">
        <f>IF(J26="",0,M26)</f>
        <v>4</v>
      </c>
    </row>
    <row r="27" spans="2:1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31" priority="10">
      <formula>OR($I$22=0,AND($J$20="",$J$21="",$J$22="",$J$23=""))</formula>
    </cfRule>
  </conditionalFormatting>
  <conditionalFormatting sqref="M23:M26">
    <cfRule type="expression" dxfId="30" priority="7">
      <formula>J23=""</formula>
    </cfRule>
  </conditionalFormatting>
  <conditionalFormatting sqref="N23:AH27">
    <cfRule type="expression" dxfId="29" priority="1">
      <formula>K23=""</formula>
    </cfRule>
    <cfRule type="expression" dxfId="2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zoomScale="90" zoomScaleNormal="90" workbookViewId="0"/>
  </sheetViews>
  <sheetFormatPr defaultColWidth="11.42578125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8" t="s">
        <v>26</v>
      </c>
      <c r="C3" s="99"/>
      <c r="D3" s="99"/>
      <c r="E3" s="99"/>
      <c r="F3" s="99"/>
      <c r="G3" s="100"/>
    </row>
    <row r="4" spans="2:54" ht="15.75" thickBot="1" x14ac:dyDescent="0.3">
      <c r="B4" s="101"/>
      <c r="C4" s="102"/>
      <c r="D4" s="102"/>
      <c r="E4" s="102"/>
      <c r="F4" s="102"/>
      <c r="G4" s="103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4" t="s">
        <v>1</v>
      </c>
      <c r="C6" s="105"/>
      <c r="D6" s="105"/>
      <c r="E6" s="105"/>
      <c r="F6" s="105"/>
      <c r="G6" s="106"/>
      <c r="J6" s="15" t="s">
        <v>8</v>
      </c>
      <c r="K6" s="107" t="s">
        <v>9</v>
      </c>
      <c r="L6" s="90"/>
      <c r="M6" s="90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45465</v>
      </c>
      <c r="K7" s="17" t="s">
        <v>49</v>
      </c>
      <c r="L7" s="30"/>
      <c r="M7" s="31"/>
      <c r="N7" s="16" t="s">
        <v>51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México_Jamaica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México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México</v>
      </c>
      <c r="AW7" s="34" t="str">
        <f>IF(AZ7=AZ8,AV8,IF(AZ7=AZ9,AV9,IF(AZ7=AZ10,AV10,"")))</f>
        <v>Ecuador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México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4</v>
      </c>
      <c r="J8" s="19">
        <v>45465</v>
      </c>
      <c r="K8" s="20" t="s">
        <v>11</v>
      </c>
      <c r="L8" s="21"/>
      <c r="M8" s="22"/>
      <c r="N8" s="18" t="s">
        <v>50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Ecuador_Venezuela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Ecuador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Ecuador</v>
      </c>
      <c r="AW8" s="34" t="str">
        <f>IF(AZ8=AZ9,AV9,IF(AZ8=AZ10,AV10,IF(AZ8=AZ7,AV7,"")))</f>
        <v>Venezuela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Ecuador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11</v>
      </c>
      <c r="J9" s="24">
        <v>45469</v>
      </c>
      <c r="K9" s="25" t="s">
        <v>50</v>
      </c>
      <c r="L9" s="21"/>
      <c r="M9" s="22"/>
      <c r="N9" s="23" t="s">
        <v>49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Venezuela_México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Venezuela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Venezuela</v>
      </c>
      <c r="AW9" s="34" t="str">
        <f>IF(AZ9=AZ10,AV10,IF(AZ9=AZ7,AV7,IF(AZ9=AZ8,AV8,"")))</f>
        <v>Jamaica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Venezuela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12</v>
      </c>
      <c r="J10" s="19">
        <v>45469</v>
      </c>
      <c r="K10" s="20" t="s">
        <v>11</v>
      </c>
      <c r="L10" s="21"/>
      <c r="M10" s="22"/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Ecuador_Jamaica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Jamaica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Jamaica</v>
      </c>
      <c r="AW10" s="34" t="str">
        <f>IF(AZ10=AZ7,AV7,IF(AZ10=AZ8,AV8,IF(AZ10=AZ9,AV9,"")))</f>
        <v>México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Jamaica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19</v>
      </c>
      <c r="J11" s="24">
        <v>45473</v>
      </c>
      <c r="K11" s="25" t="s">
        <v>49</v>
      </c>
      <c r="L11" s="21"/>
      <c r="M11" s="22"/>
      <c r="N11" s="23" t="s">
        <v>11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México_Ecuador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20</v>
      </c>
      <c r="J12" s="27">
        <v>45473</v>
      </c>
      <c r="K12" s="28" t="s">
        <v>51</v>
      </c>
      <c r="L12" s="32"/>
      <c r="M12" s="33"/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Jamaica_Venezuela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80" t="s">
        <v>20</v>
      </c>
      <c r="K22" s="81"/>
      <c r="L22" s="81"/>
      <c r="M22" s="82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49</v>
      </c>
      <c r="K23" s="109"/>
      <c r="L23" s="110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92" t="s">
        <v>11</v>
      </c>
      <c r="K24" s="93"/>
      <c r="L24" s="94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92" t="s">
        <v>50</v>
      </c>
      <c r="K25" s="93"/>
      <c r="L25" s="94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95" t="s">
        <v>51</v>
      </c>
      <c r="K26" s="96"/>
      <c r="L26" s="97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27" priority="9">
      <formula>OR($I$22=0,AND($J$20="",$J$21="",$J$22="",$J$23=""))</formula>
    </cfRule>
  </conditionalFormatting>
  <conditionalFormatting sqref="M23:M26">
    <cfRule type="expression" dxfId="26" priority="6">
      <formula>J23=""</formula>
    </cfRule>
  </conditionalFormatting>
  <conditionalFormatting sqref="N23:AH27">
    <cfRule type="expression" dxfId="25" priority="1">
      <formula>K23=""</formula>
    </cfRule>
    <cfRule type="expression" dxfId="24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zoomScale="90" zoomScaleNormal="90" workbookViewId="0"/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8" t="s">
        <v>28</v>
      </c>
      <c r="C3" s="99"/>
      <c r="D3" s="99"/>
      <c r="E3" s="99"/>
      <c r="F3" s="99"/>
      <c r="G3" s="100"/>
    </row>
    <row r="4" spans="2:54" ht="15.75" thickBot="1" x14ac:dyDescent="0.3">
      <c r="B4" s="101"/>
      <c r="C4" s="102"/>
      <c r="D4" s="102"/>
      <c r="E4" s="102"/>
      <c r="F4" s="102"/>
      <c r="G4" s="103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4" t="s">
        <v>1</v>
      </c>
      <c r="C6" s="105"/>
      <c r="D6" s="105"/>
      <c r="E6" s="105"/>
      <c r="F6" s="105"/>
      <c r="G6" s="106"/>
      <c r="J6" s="15" t="s">
        <v>8</v>
      </c>
      <c r="K6" s="107" t="s">
        <v>9</v>
      </c>
      <c r="L6" s="90"/>
      <c r="M6" s="90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45466</v>
      </c>
      <c r="K7" s="17" t="s">
        <v>27</v>
      </c>
      <c r="L7" s="30"/>
      <c r="M7" s="31"/>
      <c r="N7" s="16" t="s">
        <v>53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USA_Bolivia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USA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USA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6</v>
      </c>
      <c r="J8" s="19">
        <v>45466</v>
      </c>
      <c r="K8" s="20" t="s">
        <v>32</v>
      </c>
      <c r="L8" s="21"/>
      <c r="M8" s="22"/>
      <c r="N8" s="18" t="s">
        <v>52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Uruguay_Panamá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Uruguay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Uruguay</v>
      </c>
      <c r="AW8" s="34" t="str">
        <f>IF(AZ8=AZ9,AV9,IF(AZ8=AZ10,AV10,IF(AZ8=AZ7,AV7,"")))</f>
        <v>Panamá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13</v>
      </c>
      <c r="J9" s="24">
        <v>45470</v>
      </c>
      <c r="K9" s="25" t="s">
        <v>52</v>
      </c>
      <c r="L9" s="21"/>
      <c r="M9" s="22"/>
      <c r="N9" s="23" t="s">
        <v>27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Panamá_USA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Panamá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Panamá</v>
      </c>
      <c r="AW9" s="34" t="str">
        <f>IF(AZ9=AZ10,AV10,IF(AZ9=AZ7,AV7,IF(AZ9=AZ8,AV8,"")))</f>
        <v>Bolivia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Panamá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14</v>
      </c>
      <c r="J10" s="19">
        <v>45470</v>
      </c>
      <c r="K10" s="20" t="s">
        <v>32</v>
      </c>
      <c r="L10" s="21"/>
      <c r="M10" s="22"/>
      <c r="N10" s="18" t="s">
        <v>53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Uruguay_Bolivia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Bolivia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Bolivia</v>
      </c>
      <c r="AW10" s="34" t="str">
        <f>IF(AZ10=AZ7,AV7,IF(AZ10=AZ8,AV8,IF(AZ10=AZ9,AV9,"")))</f>
        <v>USA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Bolivia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21</v>
      </c>
      <c r="J11" s="24">
        <v>45474</v>
      </c>
      <c r="K11" s="25" t="s">
        <v>27</v>
      </c>
      <c r="L11" s="21"/>
      <c r="M11" s="22"/>
      <c r="N11" s="23" t="s">
        <v>32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USA_Uruguay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22</v>
      </c>
      <c r="J12" s="27">
        <v>45474</v>
      </c>
      <c r="K12" s="28" t="s">
        <v>53</v>
      </c>
      <c r="L12" s="32"/>
      <c r="M12" s="33"/>
      <c r="N12" s="26" t="s">
        <v>52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Bolivia_Panamá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80" t="s">
        <v>20</v>
      </c>
      <c r="K22" s="81"/>
      <c r="L22" s="81"/>
      <c r="M22" s="82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27</v>
      </c>
      <c r="K23" s="109"/>
      <c r="L23" s="110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92" t="s">
        <v>32</v>
      </c>
      <c r="K24" s="93"/>
      <c r="L24" s="94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92" t="s">
        <v>52</v>
      </c>
      <c r="K25" s="93"/>
      <c r="L25" s="94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95" t="s">
        <v>53</v>
      </c>
      <c r="K26" s="96"/>
      <c r="L26" s="97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23" priority="9">
      <formula>OR($I$22=0,AND($J$20="",$J$21="",$J$22="",$J$23=""))</formula>
    </cfRule>
  </conditionalFormatting>
  <conditionalFormatting sqref="M23:M26">
    <cfRule type="expression" dxfId="22" priority="6">
      <formula>J23=""</formula>
    </cfRule>
  </conditionalFormatting>
  <conditionalFormatting sqref="N23:AH27">
    <cfRule type="expression" dxfId="21" priority="1">
      <formula>K23=""</formula>
    </cfRule>
    <cfRule type="expression" dxfId="2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zoomScale="90" zoomScaleNormal="90" workbookViewId="0"/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8" t="s">
        <v>30</v>
      </c>
      <c r="C3" s="99"/>
      <c r="D3" s="99"/>
      <c r="E3" s="99"/>
      <c r="F3" s="99"/>
      <c r="G3" s="100"/>
    </row>
    <row r="4" spans="2:54" ht="15.75" thickBot="1" x14ac:dyDescent="0.3">
      <c r="B4" s="101"/>
      <c r="C4" s="102"/>
      <c r="D4" s="102"/>
      <c r="E4" s="102"/>
      <c r="F4" s="102"/>
      <c r="G4" s="103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4" t="s">
        <v>1</v>
      </c>
      <c r="C6" s="105"/>
      <c r="D6" s="105"/>
      <c r="E6" s="105"/>
      <c r="F6" s="105"/>
      <c r="G6" s="106"/>
      <c r="J6" s="15" t="s">
        <v>8</v>
      </c>
      <c r="K6" s="107" t="s">
        <v>9</v>
      </c>
      <c r="L6" s="90"/>
      <c r="M6" s="90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45467</v>
      </c>
      <c r="K7" s="17" t="s">
        <v>10</v>
      </c>
      <c r="L7" s="30"/>
      <c r="M7" s="31"/>
      <c r="N7" s="16" t="s">
        <v>31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Brasil_Costa Rica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Brasil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>Colombia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8</v>
      </c>
      <c r="J8" s="19">
        <v>45467</v>
      </c>
      <c r="K8" s="20" t="s">
        <v>54</v>
      </c>
      <c r="L8" s="21"/>
      <c r="M8" s="22"/>
      <c r="N8" s="18" t="s">
        <v>55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Colombia_Paraguay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Colombia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Colombia</v>
      </c>
      <c r="AW8" s="34" t="str">
        <f>IF(AZ8=AZ9,AV9,IF(AZ8=AZ10,AV10,IF(AZ8=AZ7,AV7,"")))</f>
        <v>Paraguay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Colombia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15</v>
      </c>
      <c r="J9" s="24">
        <v>45471</v>
      </c>
      <c r="K9" s="25" t="s">
        <v>55</v>
      </c>
      <c r="L9" s="21"/>
      <c r="M9" s="22"/>
      <c r="N9" s="23" t="s">
        <v>10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Paraguay_Brasil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Paraguay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Paraguay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Paraguay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16</v>
      </c>
      <c r="J10" s="19">
        <v>45471</v>
      </c>
      <c r="K10" s="20" t="s">
        <v>54</v>
      </c>
      <c r="L10" s="21"/>
      <c r="M10" s="22"/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Colombia_Costa Rica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Costa Rica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Costa Rica</v>
      </c>
      <c r="AW10" s="34" t="str">
        <f>IF(AZ10=AZ7,AV7,IF(AZ10=AZ8,AV8,IF(AZ10=AZ9,AV9,"")))</f>
        <v>Brasil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23</v>
      </c>
      <c r="J11" s="24">
        <v>45475</v>
      </c>
      <c r="K11" s="25" t="s">
        <v>10</v>
      </c>
      <c r="L11" s="21"/>
      <c r="M11" s="22"/>
      <c r="N11" s="23" t="s">
        <v>54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Brasil_Colombia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24</v>
      </c>
      <c r="J12" s="27">
        <v>45475</v>
      </c>
      <c r="K12" s="28" t="s">
        <v>31</v>
      </c>
      <c r="L12" s="32"/>
      <c r="M12" s="33"/>
      <c r="N12" s="26" t="s">
        <v>55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Costa Rica_Paraguay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80" t="s">
        <v>20</v>
      </c>
      <c r="K22" s="81"/>
      <c r="L22" s="81"/>
      <c r="M22" s="82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92" t="s">
        <v>54</v>
      </c>
      <c r="K24" s="93"/>
      <c r="L24" s="94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92" t="s">
        <v>55</v>
      </c>
      <c r="K25" s="93"/>
      <c r="L25" s="94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95" t="s">
        <v>31</v>
      </c>
      <c r="K26" s="96"/>
      <c r="L26" s="97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19" priority="9">
      <formula>OR($I$22=0,AND($J$20="",$J$21="",$J$22="",$J$23=""))</formula>
    </cfRule>
  </conditionalFormatting>
  <conditionalFormatting sqref="M23:M26">
    <cfRule type="expression" dxfId="18" priority="6">
      <formula>J23=""</formula>
    </cfRule>
  </conditionalFormatting>
  <conditionalFormatting sqref="N23:AH27">
    <cfRule type="expression" dxfId="17" priority="1">
      <formula>K23=""</formula>
    </cfRule>
    <cfRule type="expression" dxfId="1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C58E-691F-48A5-A9D7-0FF22815387A}">
  <dimension ref="B1:V33"/>
  <sheetViews>
    <sheetView zoomScale="50" zoomScaleNormal="50" workbookViewId="0">
      <selection activeCell="N20" sqref="N20"/>
    </sheetView>
  </sheetViews>
  <sheetFormatPr defaultColWidth="11.42578125" defaultRowHeight="15" x14ac:dyDescent="0.25"/>
  <cols>
    <col min="4" max="4" width="9.140625" bestFit="1" customWidth="1"/>
    <col min="9" max="9" width="9.140625" bestFit="1" customWidth="1"/>
    <col min="17" max="17" width="14.140625" bestFit="1" customWidth="1"/>
  </cols>
  <sheetData>
    <row r="1" spans="2:22" x14ac:dyDescent="0.25">
      <c r="V1" s="34">
        <f>IF(OR(C8="",C9="",C16="",C17="",C24="",C25="",C32="",C33="",H12="",H13="",H28="",H29="",M20="",M21="",M29="",M30="",R24="",R25="",R26=""),1,0)</f>
        <v>1</v>
      </c>
    </row>
    <row r="3" spans="2:22" ht="15.75" thickBot="1" x14ac:dyDescent="0.3"/>
    <row r="4" spans="2:22" ht="15.75" thickBot="1" x14ac:dyDescent="0.3">
      <c r="B4" s="111" t="s">
        <v>33</v>
      </c>
      <c r="C4" s="112"/>
      <c r="D4" s="113"/>
    </row>
    <row r="6" spans="2:22" ht="15.75" thickBot="1" x14ac:dyDescent="0.3"/>
    <row r="7" spans="2:22" ht="15.75" thickBot="1" x14ac:dyDescent="0.3">
      <c r="B7" s="56">
        <v>25</v>
      </c>
      <c r="C7" s="57" t="s">
        <v>35</v>
      </c>
      <c r="D7" s="58" t="s">
        <v>36</v>
      </c>
    </row>
    <row r="8" spans="2:22" ht="15.75" thickBot="1" x14ac:dyDescent="0.3">
      <c r="B8" s="59" t="str">
        <f>'GRUPO A'!C8</f>
        <v>Argentina</v>
      </c>
      <c r="C8" s="60"/>
      <c r="D8" s="61"/>
      <c r="G8" s="111" t="s">
        <v>34</v>
      </c>
      <c r="H8" s="112"/>
      <c r="I8" s="113"/>
    </row>
    <row r="9" spans="2:22" ht="15.75" thickBot="1" x14ac:dyDescent="0.3">
      <c r="B9" s="62" t="str">
        <f>'GRUPO B'!C9</f>
        <v>Ecuador</v>
      </c>
      <c r="C9" s="63"/>
      <c r="D9" s="64"/>
      <c r="E9" s="65"/>
    </row>
    <row r="10" spans="2:22" ht="15.75" thickBot="1" x14ac:dyDescent="0.3">
      <c r="E10" s="66"/>
    </row>
    <row r="11" spans="2:22" ht="15.75" thickBot="1" x14ac:dyDescent="0.3">
      <c r="E11" s="66"/>
      <c r="G11" s="56">
        <v>29</v>
      </c>
      <c r="H11" s="57" t="s">
        <v>35</v>
      </c>
      <c r="I11" s="58" t="s">
        <v>36</v>
      </c>
    </row>
    <row r="12" spans="2:22" x14ac:dyDescent="0.25">
      <c r="E12" s="66"/>
      <c r="G12" s="59" t="str">
        <f>IF(C9&gt;C8,B9,IF(C8&gt;C9,B8,IF(D9&gt;D8,B9,IF(D8&gt;D9,B8,""))))</f>
        <v/>
      </c>
      <c r="H12" s="60"/>
      <c r="I12" s="61"/>
    </row>
    <row r="13" spans="2:22" ht="15.75" thickBot="1" x14ac:dyDescent="0.3">
      <c r="E13" s="66"/>
      <c r="F13" s="67"/>
      <c r="G13" s="62" t="str">
        <f>IF(C17&gt;C16,B17,IF(C16&gt;C17,B16,IF(D17&gt;D16,B17,IF(D16&gt;D17,B16,""))))</f>
        <v/>
      </c>
      <c r="H13" s="63"/>
      <c r="I13" s="64"/>
      <c r="J13" s="65"/>
    </row>
    <row r="14" spans="2:22" ht="15.75" thickBot="1" x14ac:dyDescent="0.3">
      <c r="E14" s="66"/>
      <c r="J14" s="66"/>
    </row>
    <row r="15" spans="2:22" ht="15.75" thickBot="1" x14ac:dyDescent="0.3">
      <c r="B15" s="56">
        <v>26</v>
      </c>
      <c r="C15" s="57" t="s">
        <v>35</v>
      </c>
      <c r="D15" s="58" t="s">
        <v>36</v>
      </c>
      <c r="E15" s="66"/>
      <c r="J15" s="66"/>
    </row>
    <row r="16" spans="2:22" ht="15.75" thickBot="1" x14ac:dyDescent="0.3">
      <c r="B16" s="59" t="str">
        <f>'GRUPO B'!C8</f>
        <v>México</v>
      </c>
      <c r="C16" s="60"/>
      <c r="D16" s="61"/>
      <c r="E16" s="68"/>
      <c r="J16" s="66"/>
      <c r="L16" s="111" t="s">
        <v>37</v>
      </c>
      <c r="M16" s="112"/>
      <c r="N16" s="113"/>
    </row>
    <row r="17" spans="2:18" ht="15.75" thickBot="1" x14ac:dyDescent="0.3">
      <c r="B17" s="62" t="str">
        <f>'GRUPO A'!C9</f>
        <v>Perú</v>
      </c>
      <c r="C17" s="63"/>
      <c r="D17" s="64"/>
      <c r="J17" s="66"/>
    </row>
    <row r="18" spans="2:18" ht="15.75" thickBot="1" x14ac:dyDescent="0.3">
      <c r="J18" s="66"/>
    </row>
    <row r="19" spans="2:18" ht="15.75" thickBot="1" x14ac:dyDescent="0.3">
      <c r="J19" s="66"/>
      <c r="L19" s="56">
        <v>32</v>
      </c>
      <c r="M19" s="57" t="s">
        <v>35</v>
      </c>
      <c r="N19" s="58" t="s">
        <v>36</v>
      </c>
    </row>
    <row r="20" spans="2:18" x14ac:dyDescent="0.25">
      <c r="J20" s="66"/>
      <c r="L20" s="59" t="str">
        <f>IF(H13&gt;H12,G13,IF(H12&gt;H13,G12,IF(I13&gt;I12,G13,IF(I12&gt;I13,G12,""))))</f>
        <v/>
      </c>
      <c r="M20" s="60"/>
      <c r="N20" s="61"/>
    </row>
    <row r="21" spans="2:18" ht="15.75" thickBot="1" x14ac:dyDescent="0.3">
      <c r="J21" s="66"/>
      <c r="K21" s="73"/>
      <c r="L21" s="62" t="str">
        <f>IF(H29&gt;H28,G29,IF(H28&gt;H29,G28,IF(I29&gt;I28,G29,IF(I28&gt;I29,G28,""))))</f>
        <v/>
      </c>
      <c r="M21" s="63"/>
      <c r="N21" s="64"/>
    </row>
    <row r="22" spans="2:18" ht="15.75" thickBot="1" x14ac:dyDescent="0.3">
      <c r="J22" s="66"/>
    </row>
    <row r="23" spans="2:18" ht="15.75" thickBot="1" x14ac:dyDescent="0.3">
      <c r="B23" s="56">
        <v>27</v>
      </c>
      <c r="C23" s="57" t="s">
        <v>35</v>
      </c>
      <c r="D23" s="58" t="s">
        <v>36</v>
      </c>
      <c r="J23" s="66"/>
      <c r="Q23" s="89" t="s">
        <v>38</v>
      </c>
      <c r="R23" s="91"/>
    </row>
    <row r="24" spans="2:18" ht="15.75" thickBot="1" x14ac:dyDescent="0.3">
      <c r="B24" s="59" t="str">
        <f>'GRUPO C'!C8</f>
        <v>USA</v>
      </c>
      <c r="C24" s="60"/>
      <c r="D24" s="61"/>
      <c r="J24" s="66"/>
      <c r="Q24" s="59" t="s">
        <v>39</v>
      </c>
      <c r="R24" s="69" t="str">
        <f>IF(M20&gt;M21,L20,IF(M21&gt;M20,L21,IF(N20&gt;N21,L20,IF(N21&gt;N20,L21,""))))</f>
        <v/>
      </c>
    </row>
    <row r="25" spans="2:18" ht="15.75" thickBot="1" x14ac:dyDescent="0.3">
      <c r="B25" s="62" t="str">
        <f>'GRUPO D'!C9</f>
        <v>Colombia</v>
      </c>
      <c r="C25" s="63"/>
      <c r="D25" s="64"/>
      <c r="E25" s="65"/>
      <c r="J25" s="66"/>
      <c r="L25" s="111" t="s">
        <v>40</v>
      </c>
      <c r="M25" s="112"/>
      <c r="N25" s="113"/>
      <c r="Q25" s="70" t="s">
        <v>41</v>
      </c>
      <c r="R25" s="71" t="str">
        <f>IF(R24=L20,L21,IF(R24=L21,L20,""))</f>
        <v/>
      </c>
    </row>
    <row r="26" spans="2:18" ht="15.75" thickBot="1" x14ac:dyDescent="0.3">
      <c r="E26" s="66"/>
      <c r="J26" s="66"/>
      <c r="Q26" s="62" t="s">
        <v>42</v>
      </c>
      <c r="R26" s="72" t="str">
        <f>IF(M29&gt;M30,L29,IF(M30&gt;M29,L30,IF(N29&gt;N30,L29,IF(N30&gt;N29,L30,""))))</f>
        <v/>
      </c>
    </row>
    <row r="27" spans="2:18" ht="15.75" thickBot="1" x14ac:dyDescent="0.3">
      <c r="E27" s="66"/>
      <c r="G27" s="56">
        <v>30</v>
      </c>
      <c r="H27" s="57" t="s">
        <v>35</v>
      </c>
      <c r="I27" s="58" t="s">
        <v>36</v>
      </c>
      <c r="J27" s="66"/>
    </row>
    <row r="28" spans="2:18" ht="15.75" thickBot="1" x14ac:dyDescent="0.3">
      <c r="E28" s="66"/>
      <c r="G28" s="59" t="str">
        <f>IF(C25&gt;C24,B25,IF(C24&gt;C25,B24,IF(D25&gt;D24,B25,IF(D24&gt;D25,B24,""))))</f>
        <v/>
      </c>
      <c r="H28" s="60"/>
      <c r="I28" s="61"/>
      <c r="J28" s="68"/>
      <c r="L28" s="56">
        <v>31</v>
      </c>
      <c r="M28" s="57" t="s">
        <v>35</v>
      </c>
      <c r="N28" s="58" t="s">
        <v>36</v>
      </c>
    </row>
    <row r="29" spans="2:18" ht="15.75" thickBot="1" x14ac:dyDescent="0.3">
      <c r="E29" s="66"/>
      <c r="F29" s="67"/>
      <c r="G29" s="62" t="str">
        <f>IF(C33&gt;C32,B33,IF(C32&gt;C33,B32,IF(D33&gt;D32,B33,IF(D32&gt;D33,B32,""))))</f>
        <v/>
      </c>
      <c r="H29" s="63"/>
      <c r="I29" s="64"/>
      <c r="L29" s="59" t="str">
        <f>IF(L20=G12,G13,IF(L20=G13,G12,""))</f>
        <v/>
      </c>
      <c r="M29" s="60"/>
      <c r="N29" s="61"/>
    </row>
    <row r="30" spans="2:18" ht="15.75" thickBot="1" x14ac:dyDescent="0.3">
      <c r="E30" s="66"/>
      <c r="L30" s="62" t="str">
        <f>IF(L21=G28,G29,IF(L21=G29,G28,""))</f>
        <v/>
      </c>
      <c r="M30" s="63"/>
      <c r="N30" s="64"/>
    </row>
    <row r="31" spans="2:18" ht="15.75" thickBot="1" x14ac:dyDescent="0.3">
      <c r="B31" s="56">
        <v>28</v>
      </c>
      <c r="C31" s="57" t="s">
        <v>35</v>
      </c>
      <c r="D31" s="58" t="s">
        <v>36</v>
      </c>
      <c r="E31" s="66"/>
    </row>
    <row r="32" spans="2:18" x14ac:dyDescent="0.25">
      <c r="B32" s="59" t="str">
        <f>'GRUPO D'!C8</f>
        <v>Brasil</v>
      </c>
      <c r="C32" s="60"/>
      <c r="D32" s="61"/>
      <c r="E32" s="68"/>
    </row>
    <row r="33" spans="2:4" ht="15.75" thickBot="1" x14ac:dyDescent="0.3">
      <c r="B33" s="62" t="str">
        <f>'GRUPO C'!C9</f>
        <v>Uruguay</v>
      </c>
      <c r="C33" s="63"/>
      <c r="D33" s="64"/>
    </row>
  </sheetData>
  <protectedRanges>
    <protectedRange sqref="C16:D17 C24:D25 C32:D33 M20:N21 C8:D9 H12:I13 H28:I29" name="Resultados Play Off"/>
    <protectedRange sqref="M29:N30" name="Resultados Play Off_1"/>
  </protectedRanges>
  <mergeCells count="5">
    <mergeCell ref="B4:D4"/>
    <mergeCell ref="G8:I8"/>
    <mergeCell ref="L16:N16"/>
    <mergeCell ref="Q23:R23"/>
    <mergeCell ref="L25:N25"/>
  </mergeCells>
  <conditionalFormatting sqref="D8">
    <cfRule type="expression" dxfId="15" priority="22">
      <formula>C8=C9</formula>
    </cfRule>
  </conditionalFormatting>
  <conditionalFormatting sqref="D9">
    <cfRule type="expression" dxfId="14" priority="21">
      <formula>C8=C9</formula>
    </cfRule>
  </conditionalFormatting>
  <conditionalFormatting sqref="D16">
    <cfRule type="expression" dxfId="13" priority="8">
      <formula>C16=C17</formula>
    </cfRule>
  </conditionalFormatting>
  <conditionalFormatting sqref="D17">
    <cfRule type="expression" dxfId="12" priority="7">
      <formula>C16=C17</formula>
    </cfRule>
  </conditionalFormatting>
  <conditionalFormatting sqref="D24">
    <cfRule type="expression" dxfId="11" priority="6">
      <formula>C24=C25</formula>
    </cfRule>
  </conditionalFormatting>
  <conditionalFormatting sqref="D25">
    <cfRule type="expression" dxfId="10" priority="5">
      <formula>C24=C25</formula>
    </cfRule>
  </conditionalFormatting>
  <conditionalFormatting sqref="D32">
    <cfRule type="expression" dxfId="9" priority="4">
      <formula>C32=C33</formula>
    </cfRule>
  </conditionalFormatting>
  <conditionalFormatting sqref="D33">
    <cfRule type="expression" dxfId="8" priority="3">
      <formula>C32=C33</formula>
    </cfRule>
  </conditionalFormatting>
  <conditionalFormatting sqref="I12">
    <cfRule type="expression" dxfId="7" priority="20">
      <formula>H12=H13</formula>
    </cfRule>
  </conditionalFormatting>
  <conditionalFormatting sqref="I13">
    <cfRule type="expression" dxfId="6" priority="19">
      <formula>H12=H13</formula>
    </cfRule>
  </conditionalFormatting>
  <conditionalFormatting sqref="I28">
    <cfRule type="expression" dxfId="5" priority="14">
      <formula>H28=H29</formula>
    </cfRule>
  </conditionalFormatting>
  <conditionalFormatting sqref="I29">
    <cfRule type="expression" dxfId="4" priority="13">
      <formula>H28=H29</formula>
    </cfRule>
  </conditionalFormatting>
  <conditionalFormatting sqref="N20">
    <cfRule type="expression" dxfId="3" priority="30">
      <formula>M20=M21</formula>
    </cfRule>
  </conditionalFormatting>
  <conditionalFormatting sqref="N21">
    <cfRule type="expression" dxfId="2" priority="31">
      <formula>M27=M21</formula>
    </cfRule>
  </conditionalFormatting>
  <conditionalFormatting sqref="N29">
    <cfRule type="expression" dxfId="1" priority="2">
      <formula>M29=M30</formula>
    </cfRule>
  </conditionalFormatting>
  <conditionalFormatting sqref="N30">
    <cfRule type="expression" dxfId="0" priority="1">
      <formula>M29=M30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INFORMACION</vt:lpstr>
      <vt:lpstr>GRUPO A</vt:lpstr>
      <vt:lpstr>GRUPO B</vt:lpstr>
      <vt:lpstr>GRUPO C</vt:lpstr>
      <vt:lpstr>GRUPO D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VIAL</cp:lastModifiedBy>
  <dcterms:created xsi:type="dcterms:W3CDTF">2022-11-02T00:22:23Z</dcterms:created>
  <dcterms:modified xsi:type="dcterms:W3CDTF">2024-06-13T13:55:53Z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2024-06-13T13:55:52Z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72b735a8-7e8a-478c-b3df-6492eb0469b8</vt:lpwstr>
  </property>
  <property fmtid="{D5CDD505-2E9C-101B-9397-08002B2CF9AE}" pid="7" name="MSIP_Label_defa4170-0d19-0005-0004-bc88714345d2_ActionId">
    <vt:lpwstr>2feb39b6-1fc1-4e57-99c4-7b144890428f</vt:lpwstr>
  </property>
  <property fmtid="{D5CDD505-2E9C-101B-9397-08002B2CF9AE}" pid="8" name="MSIP_Label_defa4170-0d19-0005-0004-bc88714345d2_ContentBits">
    <vt:lpwstr>0</vt:lpwstr>
  </property>
</Properties>
</file>