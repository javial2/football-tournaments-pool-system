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A78DE1C7-2438-4880-80E4-39F7DD76E306}" xr6:coauthVersionLast="47" xr6:coauthVersionMax="47" xr10:uidLastSave="{00000000-0000-0000-0000-000000000000}"/>
  <bookViews>
    <workbookView xWindow="-110" yWindow="-110" windowWidth="19420" windowHeight="1042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P8" i="14"/>
  <c r="AZ8" i="14" s="1"/>
  <c r="AZ9" i="12"/>
  <c r="AZ9" i="11"/>
  <c r="AZ8" i="11"/>
  <c r="AZ10" i="12"/>
  <c r="AZ7" i="12"/>
  <c r="AZ8" i="10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10" i="11"/>
  <c r="AX10" i="11" s="1"/>
  <c r="AY10" i="11" s="1"/>
  <c r="BA10" i="11" s="1"/>
  <c r="BB10" i="11" s="1"/>
  <c r="AW7" i="12"/>
  <c r="AX7" i="12" s="1"/>
  <c r="AY7" i="12" s="1"/>
  <c r="BA7" i="12" s="1"/>
  <c r="BB7" i="12" s="1"/>
  <c r="AW8" i="11"/>
  <c r="AX8" i="11" s="1"/>
  <c r="AY8" i="11" s="1"/>
  <c r="BA8" i="11" s="1"/>
  <c r="BB8" i="11" s="1"/>
  <c r="AW9" i="13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N9" i="12" s="1"/>
  <c r="AW10" i="12"/>
  <c r="AX10" i="12" s="1"/>
  <c r="AY10" i="12" s="1"/>
  <c r="BA10" i="12" s="1"/>
  <c r="BB10" i="12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D8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E8" i="11"/>
  <c r="G8" i="11"/>
  <c r="F10" i="11"/>
  <c r="G10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<sst xmlns="http://schemas.openxmlformats.org/spreadsheetml/2006/main" count="452" uniqueCount="77">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</sst>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12" sqref="E12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78" t="s">
        <v>74</v>
      </c>
      <c r="C2" s="79"/>
      <c r="D2" s="80"/>
    </row>
    <row r="3" spans="2:4" x14ac:dyDescent="0.35">
      <c r="B3" s="76" t="s">
        <v>75</v>
      </c>
      <c r="C3" s="81"/>
      <c r="D3" s="82"/>
    </row>
    <row r="4" spans="2:4" ht="15" thickBot="1" x14ac:dyDescent="0.4">
      <c r="B4" s="77" t="s">
        <v>76</v>
      </c>
      <c r="C4" s="83"/>
      <c r="D4" s="84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14" width="10.90625" customWidth="1"/>
    <col min="15" max="34" width="11.453125" style="34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0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1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59900</v>
      </c>
      <c r="BA7" s="34">
        <f>AZ7-AY7*10</f>
        <v>59890</v>
      </c>
      <c r="BB7" s="34">
        <f>BA7+N23</f>
        <v>59894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-70040509</v>
      </c>
    </row>
    <row r="9" spans="2:54" x14ac:dyDescent="0.3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-60010507</v>
      </c>
    </row>
    <row r="10" spans="2:54" x14ac:dyDescent="0.3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4</v>
      </c>
      <c r="F10" s="50">
        <f t="shared" si="3"/>
        <v>3</v>
      </c>
      <c r="G10" s="51">
        <f t="shared" si="3"/>
        <v>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-40010408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7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2</v>
      </c>
      <c r="N26" s="35">
        <f>IF(J26="",0,M26)</f>
        <v>2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14" width="10.90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29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6</v>
      </c>
      <c r="M7" s="31">
        <v>2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-70070900</v>
      </c>
      <c r="BA7" s="34">
        <f>AZ7-AY7*10</f>
        <v>-70070910</v>
      </c>
      <c r="BB7" s="34">
        <f>BA7+N23</f>
        <v>-70070909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-50010200</v>
      </c>
      <c r="BA8" s="34">
        <f t="shared" ref="BA8:BA10" si="10">AZ8-AY8*10</f>
        <v>-50010210</v>
      </c>
      <c r="BB8" s="34">
        <f>BA8+N24</f>
        <v>-50010208</v>
      </c>
    </row>
    <row r="9" spans="2:54" x14ac:dyDescent="0.35">
      <c r="B9" s="11">
        <v>2</v>
      </c>
      <c r="C9" s="12" t="str">
        <f t="shared" si="0"/>
        <v>USA</v>
      </c>
      <c r="D9" s="13">
        <f t="shared" si="0"/>
        <v>5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2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4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-29970400</v>
      </c>
      <c r="BA9" s="34">
        <f t="shared" si="10"/>
        <v>-29970410</v>
      </c>
      <c r="BB9" s="34">
        <f>BA9+N25</f>
        <v>-29970407</v>
      </c>
    </row>
    <row r="10" spans="2:54" x14ac:dyDescent="0.35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0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" thickBot="1" x14ac:dyDescent="0.4">
      <c r="B11" s="52">
        <v>4</v>
      </c>
      <c r="C11" s="53" t="str">
        <f t="shared" si="0"/>
        <v>Gales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3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34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0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6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6</v>
      </c>
      <c r="J8" s="19">
        <v>44887</v>
      </c>
      <c r="K8" s="20" t="s">
        <v>35</v>
      </c>
      <c r="L8" s="21">
        <v>1</v>
      </c>
      <c r="M8" s="22">
        <v>2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Arabia Saudita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-39990208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3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39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0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-60030600</v>
      </c>
      <c r="BA7" s="34">
        <f>AZ7-AY7*10</f>
        <v>-60030610</v>
      </c>
      <c r="BB7" s="34">
        <f>BA7+N23</f>
        <v>-60030609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6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4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-9980100</v>
      </c>
      <c r="BA8" s="34">
        <f t="shared" ref="BA8:BA10" si="10">AZ8-AY8*10</f>
        <v>-9980110</v>
      </c>
      <c r="BB8" s="34">
        <f>BA8+N24</f>
        <v>-9980108</v>
      </c>
    </row>
    <row r="9" spans="2:54" x14ac:dyDescent="0.35">
      <c r="B9" s="11">
        <v>2</v>
      </c>
      <c r="C9" s="12" t="str">
        <f t="shared" si="0"/>
        <v>Australia</v>
      </c>
      <c r="D9" s="13">
        <f t="shared" si="0"/>
        <v>6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1</v>
      </c>
      <c r="AS9" s="34">
        <f t="shared" si="6"/>
        <v>1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-40000100</v>
      </c>
      <c r="BA9" s="34">
        <f t="shared" si="10"/>
        <v>-40000110</v>
      </c>
      <c r="BB9" s="34">
        <f>BA9+N25</f>
        <v>-40000107</v>
      </c>
    </row>
    <row r="10" spans="2:54" x14ac:dyDescent="0.35">
      <c r="B10" s="48">
        <v>3</v>
      </c>
      <c r="C10" s="49" t="str">
        <f t="shared" si="0"/>
        <v>Tunez</v>
      </c>
      <c r="D10" s="50">
        <f t="shared" si="0"/>
        <v>4</v>
      </c>
      <c r="E10" s="50">
        <f t="shared" si="0"/>
        <v>1</v>
      </c>
      <c r="F10" s="50">
        <f t="shared" si="0"/>
        <v>1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6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-59990300</v>
      </c>
      <c r="BA10" s="34">
        <f t="shared" si="10"/>
        <v>-59990310</v>
      </c>
      <c r="BB10" s="34">
        <f>BA10+N26</f>
        <v>-59990306</v>
      </c>
    </row>
    <row r="11" spans="2:54" ht="15" thickBot="1" x14ac:dyDescent="0.4">
      <c r="B11" s="52">
        <v>4</v>
      </c>
      <c r="C11" s="53" t="str">
        <f t="shared" si="0"/>
        <v>Dinamarca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0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3</v>
      </c>
      <c r="AK11" s="34">
        <f t="shared" si="3"/>
        <v>0</v>
      </c>
      <c r="AL11" s="34" t="str">
        <f t="shared" si="4"/>
        <v>Tunez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0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70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2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Japon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-40060900</v>
      </c>
      <c r="BA7" s="34">
        <f>AZ7-AY7*10</f>
        <v>-40060910</v>
      </c>
      <c r="BB7" s="34">
        <f>BA7+N23</f>
        <v>-40060909</v>
      </c>
    </row>
    <row r="8" spans="2:54" x14ac:dyDescent="0.35">
      <c r="B8" s="7">
        <v>1</v>
      </c>
      <c r="C8" s="8" t="str">
        <f t="shared" ref="C8:G11" si="0">IFERROR(VLOOKUP($B8,$AN$7:$AS$11,C$5,FALSE),"")</f>
        <v>Japon</v>
      </c>
      <c r="D8" s="9">
        <f t="shared" si="0"/>
        <v>6</v>
      </c>
      <c r="E8" s="9">
        <f t="shared" si="0"/>
        <v>4</v>
      </c>
      <c r="F8" s="9">
        <f t="shared" si="0"/>
        <v>3</v>
      </c>
      <c r="G8" s="10">
        <f t="shared" si="0"/>
        <v>1</v>
      </c>
      <c r="I8" s="18">
        <v>10</v>
      </c>
      <c r="J8" s="19">
        <v>44888</v>
      </c>
      <c r="K8" s="20" t="s">
        <v>44</v>
      </c>
      <c r="L8" s="21">
        <v>7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3</v>
      </c>
      <c r="AO8" s="34" t="s">
        <v>45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-40010600</v>
      </c>
      <c r="BA8" s="34">
        <f t="shared" ref="BA8:BA10" si="10">AZ8-AY8*10</f>
        <v>-40010610</v>
      </c>
      <c r="BB8" s="34">
        <f>BA8+N24</f>
        <v>-40010608</v>
      </c>
    </row>
    <row r="9" spans="2:54" x14ac:dyDescent="0.3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9</v>
      </c>
      <c r="F9" s="13">
        <f t="shared" si="0"/>
        <v>3</v>
      </c>
      <c r="G9" s="14">
        <f t="shared" si="0"/>
        <v>6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1</v>
      </c>
      <c r="AO9" s="34" t="s">
        <v>46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-60010407</v>
      </c>
    </row>
    <row r="10" spans="2:54" x14ac:dyDescent="0.35">
      <c r="B10" s="48">
        <v>3</v>
      </c>
      <c r="C10" s="49" t="str">
        <f t="shared" si="0"/>
        <v>Alemania</v>
      </c>
      <c r="D10" s="50">
        <f t="shared" si="0"/>
        <v>4</v>
      </c>
      <c r="E10" s="50">
        <f t="shared" si="0"/>
        <v>6</v>
      </c>
      <c r="F10" s="50">
        <f t="shared" si="0"/>
        <v>5</v>
      </c>
      <c r="G10" s="51">
        <f t="shared" si="0"/>
        <v>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-8</v>
      </c>
      <c r="AR10" s="34">
        <f>SUMIF($K$7:$K$12,AO10,$L$7:$L$12) + SUMIF($N$7:$N$12,AO10,$M$7:$M$12)</f>
        <v>3</v>
      </c>
      <c r="AS10" s="34">
        <f>SUMIF($K$7:$K$12,AO10,$M$7:$M$12) + SUMIF($N$7:$N$12,AO10,$L$7:$L$12)</f>
        <v>11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-29920300</v>
      </c>
      <c r="BA10" s="34">
        <f t="shared" si="10"/>
        <v>-29920310</v>
      </c>
      <c r="BB10" s="34">
        <f>BA10+N26</f>
        <v>-29920306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3</v>
      </c>
      <c r="E11" s="54">
        <f t="shared" si="0"/>
        <v>3</v>
      </c>
      <c r="F11" s="54">
        <f t="shared" si="0"/>
        <v>11</v>
      </c>
      <c r="G11" s="55">
        <f t="shared" si="0"/>
        <v>-8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1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3</v>
      </c>
      <c r="AK11" s="34">
        <f t="shared" si="3"/>
        <v>0</v>
      </c>
      <c r="AL11" s="34" t="str">
        <f t="shared" si="4"/>
        <v>Japon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2</v>
      </c>
      <c r="M12" s="33">
        <v>4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71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0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3</v>
      </c>
      <c r="AO7" s="34" t="s">
        <v>48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1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-39990100</v>
      </c>
      <c r="BA7" s="34">
        <f>AZ7-AY7*10</f>
        <v>-39990110</v>
      </c>
      <c r="BB7" s="34">
        <f>BA7+N23</f>
        <v>-39990109</v>
      </c>
    </row>
    <row r="8" spans="2:54" x14ac:dyDescent="0.35">
      <c r="B8" s="7">
        <v>1</v>
      </c>
      <c r="C8" s="8" t="str">
        <f t="shared" ref="C8:G11" si="0">IFERROR(VLOOKUP($B8,$AN$7:$AS$11,C$5,FALSE),"")</f>
        <v>Marruecos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5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-50030400</v>
      </c>
      <c r="BA8" s="34">
        <f t="shared" ref="BA8:BA10" si="10">AZ8-AY8*10</f>
        <v>-50030410</v>
      </c>
      <c r="BB8" s="34">
        <f>BA8+N24</f>
        <v>-50030408</v>
      </c>
    </row>
    <row r="9" spans="2:54" x14ac:dyDescent="0.35">
      <c r="B9" s="11">
        <v>2</v>
      </c>
      <c r="C9" s="12" t="str">
        <f t="shared" si="0"/>
        <v>Croacia</v>
      </c>
      <c r="D9" s="13">
        <f t="shared" si="0"/>
        <v>5</v>
      </c>
      <c r="E9" s="13">
        <f t="shared" si="0"/>
        <v>4</v>
      </c>
      <c r="F9" s="13">
        <f t="shared" si="0"/>
        <v>1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0</v>
      </c>
      <c r="M9" s="22">
        <v>2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0</v>
      </c>
      <c r="AK9" s="34">
        <f t="shared" si="3"/>
        <v>3</v>
      </c>
      <c r="AL9" s="34" t="str">
        <f t="shared" si="4"/>
        <v>Marruecos</v>
      </c>
      <c r="AN9" s="34">
        <f>_xlfn.RANK.EQ(BB9,BB$7:BB$11,1)</f>
        <v>1</v>
      </c>
      <c r="AO9" s="34" t="s">
        <v>50</v>
      </c>
      <c r="AP9" s="34">
        <f>SUMIF($K$7:$K$12,AO9,$AJ$7:$AJ$12) + SUMIF($N$7:$N$12,AO9,$AK$7:$AK$12)</f>
        <v>7</v>
      </c>
      <c r="AQ9" s="34">
        <f t="shared" ref="AQ9:AQ10" si="11">AR9-AS9</f>
        <v>3</v>
      </c>
      <c r="AR9" s="34">
        <f t="shared" si="5"/>
        <v>4</v>
      </c>
      <c r="AS9" s="34">
        <f t="shared" si="6"/>
        <v>1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-70030400</v>
      </c>
      <c r="BA9" s="34">
        <f t="shared" si="10"/>
        <v>-70030410</v>
      </c>
      <c r="BB9" s="34">
        <f>BA9+N25</f>
        <v>-70030407</v>
      </c>
    </row>
    <row r="10" spans="2:54" x14ac:dyDescent="0.35">
      <c r="B10" s="48">
        <v>3</v>
      </c>
      <c r="C10" s="49" t="str">
        <f t="shared" si="0"/>
        <v>Belgica</v>
      </c>
      <c r="D10" s="50">
        <f t="shared" si="0"/>
        <v>4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4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0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2" sqref="M12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72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-60020300</v>
      </c>
      <c r="BA7" s="34">
        <f>AZ7-AY7*10</f>
        <v>-60020310</v>
      </c>
      <c r="BB7" s="34">
        <f>BA7+N23</f>
        <v>-60020309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6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3</v>
      </c>
      <c r="M9" s="22">
        <v>3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5</v>
      </c>
      <c r="AS9" s="34">
        <f t="shared" si="6"/>
        <v>8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-9970500</v>
      </c>
      <c r="BA9" s="34">
        <f t="shared" si="10"/>
        <v>-9970510</v>
      </c>
      <c r="BB9" s="34">
        <f>BA9+N25</f>
        <v>-9970507</v>
      </c>
    </row>
    <row r="10" spans="2:54" x14ac:dyDescent="0.35">
      <c r="B10" s="48">
        <v>3</v>
      </c>
      <c r="C10" s="49" t="str">
        <f t="shared" si="0"/>
        <v>Camerun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5" thickBot="1" x14ac:dyDescent="0.4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5</v>
      </c>
      <c r="F11" s="54">
        <f t="shared" si="0"/>
        <v>8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3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0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3</v>
      </c>
      <c r="AK12" s="34">
        <f t="shared" si="3"/>
        <v>0</v>
      </c>
      <c r="AL12" s="34" t="str">
        <f t="shared" si="4"/>
        <v>Camerun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73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0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6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3</v>
      </c>
      <c r="M8" s="22">
        <v>2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3</v>
      </c>
      <c r="AO8" s="34" t="s">
        <v>55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35">
      <c r="B9" s="11">
        <v>2</v>
      </c>
      <c r="C9" s="12" t="str">
        <f t="shared" si="0"/>
        <v>Corea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3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2</v>
      </c>
      <c r="AO9" s="34" t="s">
        <v>56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35">
      <c r="B10" s="48">
        <v>3</v>
      </c>
      <c r="C10" s="49" t="str">
        <f t="shared" si="0"/>
        <v>Uruguay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0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5</v>
      </c>
      <c r="AS10" s="34">
        <f>SUMIF($K$7:$K$12,AO10,$M$7:$M$12) + SUMIF($N$7:$N$12,AO10,$L$7:$L$12)</f>
        <v>7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-29980500</v>
      </c>
      <c r="BA10" s="34">
        <f t="shared" si="10"/>
        <v>-29980510</v>
      </c>
      <c r="BB10" s="34">
        <f>BA10+N26</f>
        <v>-29980506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3</v>
      </c>
      <c r="E11" s="54">
        <f t="shared" si="0"/>
        <v>5</v>
      </c>
      <c r="F11" s="54">
        <f t="shared" si="0"/>
        <v>7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2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3</v>
      </c>
      <c r="AK12" s="34">
        <f t="shared" si="3"/>
        <v>0</v>
      </c>
      <c r="AL12" s="34" t="str">
        <f t="shared" si="4"/>
        <v>Corea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H17" workbookViewId="0">
      <selection activeCell="S22" sqref="S22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06" t="s">
        <v>69</v>
      </c>
      <c r="C2" s="107"/>
      <c r="D2" s="108"/>
    </row>
    <row r="3" spans="2:19" ht="15" thickBot="1" x14ac:dyDescent="0.4"/>
    <row r="4" spans="2:19" ht="15" thickBot="1" x14ac:dyDescent="0.4">
      <c r="G4" s="106" t="s">
        <v>59</v>
      </c>
      <c r="H4" s="107"/>
      <c r="I4" s="108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3</v>
      </c>
      <c r="D6" s="61"/>
    </row>
    <row r="7" spans="2:19" ht="15" thickBot="1" x14ac:dyDescent="0.4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2</v>
      </c>
      <c r="I8" s="61">
        <v>1</v>
      </c>
      <c r="L8" s="106" t="s">
        <v>60</v>
      </c>
      <c r="M8" s="107"/>
      <c r="N8" s="108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>
        <v>2</v>
      </c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Australia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3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Croacia</v>
      </c>
      <c r="M13" s="63">
        <v>0</v>
      </c>
      <c r="N13" s="64"/>
      <c r="O13" s="65"/>
    </row>
    <row r="14" spans="2:19" ht="15" thickBot="1" x14ac:dyDescent="0.4">
      <c r="B14" s="59" t="str">
        <f>'GRUPO E'!C8</f>
        <v>Japon</v>
      </c>
      <c r="C14" s="60">
        <v>1</v>
      </c>
      <c r="D14" s="61">
        <v>0</v>
      </c>
      <c r="J14" s="66"/>
      <c r="O14" s="66"/>
    </row>
    <row r="15" spans="2:19" ht="15" thickBot="1" x14ac:dyDescent="0.4">
      <c r="B15" s="62" t="str">
        <f>'GRUPO F'!C9</f>
        <v>Croacia</v>
      </c>
      <c r="C15" s="63">
        <v>1</v>
      </c>
      <c r="D15" s="64">
        <v>1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Croacia</v>
      </c>
      <c r="H16" s="60">
        <v>1</v>
      </c>
      <c r="I16" s="61">
        <v>2</v>
      </c>
      <c r="J16" s="69"/>
      <c r="O16" s="66"/>
      <c r="Q16" s="106" t="s">
        <v>63</v>
      </c>
      <c r="R16" s="107"/>
      <c r="S16" s="108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>
        <v>1</v>
      </c>
      <c r="O17" s="66"/>
    </row>
    <row r="18" spans="2:23" ht="15" thickBot="1" x14ac:dyDescent="0.4">
      <c r="B18" s="59" t="str">
        <f>'GRUPO G'!C8</f>
        <v>Brasil</v>
      </c>
      <c r="C18" s="60">
        <v>4</v>
      </c>
      <c r="D18" s="61"/>
      <c r="E18" s="69"/>
      <c r="O18" s="66"/>
    </row>
    <row r="19" spans="2:23" ht="15" thickBot="1" x14ac:dyDescent="0.4">
      <c r="B19" s="62" t="str">
        <f>'GRUPO H'!C9</f>
        <v>Corea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Argentina</v>
      </c>
      <c r="R20" s="60">
        <v>3</v>
      </c>
      <c r="S20" s="61">
        <v>1</v>
      </c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3</v>
      </c>
      <c r="S21" s="64">
        <v>0</v>
      </c>
    </row>
    <row r="22" spans="2:23" ht="15" thickBot="1" x14ac:dyDescent="0.4">
      <c r="B22" s="59" t="str">
        <f>'GRUPO B'!C8</f>
        <v>Inglaterra</v>
      </c>
      <c r="C22" s="60">
        <v>3</v>
      </c>
      <c r="D22" s="61"/>
      <c r="O22" s="66"/>
    </row>
    <row r="23" spans="2:23" ht="15" thickBot="1" x14ac:dyDescent="0.4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5" thickBot="1" x14ac:dyDescent="0.4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Croacia</v>
      </c>
    </row>
    <row r="27" spans="2:23" ht="15" thickBot="1" x14ac:dyDescent="0.4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Marruecos</v>
      </c>
      <c r="M29" s="63">
        <v>0</v>
      </c>
      <c r="N29" s="64"/>
      <c r="Q29" s="59" t="str">
        <f>IF(Q20=L12,L13,IF(Q20=L13,L12,""))</f>
        <v>Croacia</v>
      </c>
      <c r="R29" s="60">
        <v>2</v>
      </c>
      <c r="S29" s="61"/>
    </row>
    <row r="30" spans="2:23" ht="15" thickBot="1" x14ac:dyDescent="0.4">
      <c r="B30" s="59" t="str">
        <f>'GRUPO F'!C8</f>
        <v>Marruecos</v>
      </c>
      <c r="C30" s="60">
        <v>0</v>
      </c>
      <c r="D30" s="61">
        <v>1</v>
      </c>
      <c r="J30" s="66"/>
      <c r="Q30" s="62" t="str">
        <f>IF(Q21=L28,L29,IF(Q21=L29,L28,""))</f>
        <v>Marruecos</v>
      </c>
      <c r="R30" s="63">
        <v>1</v>
      </c>
      <c r="S30" s="64"/>
    </row>
    <row r="31" spans="2:23" ht="15" thickBot="1" x14ac:dyDescent="0.4">
      <c r="B31" s="62" t="str">
        <f>'GRUPO E'!C9</f>
        <v>España</v>
      </c>
      <c r="C31" s="63">
        <v>0</v>
      </c>
      <c r="D31" s="64">
        <v>0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Marruecos</v>
      </c>
      <c r="H32" s="60">
        <v>1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0</v>
      </c>
      <c r="I33" s="64"/>
    </row>
    <row r="34" spans="2:9" x14ac:dyDescent="0.35">
      <c r="B34" s="59" t="str">
        <f>'GRUPO H'!C8</f>
        <v>Portugal</v>
      </c>
      <c r="C34" s="60">
        <v>6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Vial</cp:lastModifiedBy>
  <dcterms:created xsi:type="dcterms:W3CDTF">2022-11-02T00:22:23Z</dcterms:created>
  <dcterms:modified xsi:type="dcterms:W3CDTF">2022-12-18T18:06:31Z</dcterms:modified>
</cp:coreProperties>
</file>