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ia Jara\Desktop\"/>
    </mc:Choice>
  </mc:AlternateContent>
  <xr:revisionPtr revIDLastSave="0" documentId="8_{9A19C7AE-0F07-4F6B-9D9F-EE14A633FD28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Z10" i="11" s="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3" l="1"/>
  <c r="AP10" i="13"/>
  <c r="AZ10" i="13" s="1"/>
  <c r="AZ7" i="12"/>
  <c r="AZ9" i="12"/>
  <c r="AZ10" i="12"/>
  <c r="AZ9" i="11"/>
  <c r="AZ9" i="2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8" i="12"/>
  <c r="AX8" i="12" s="1"/>
  <c r="AY8" i="12" s="1"/>
  <c r="BA8" i="12" s="1"/>
  <c r="BB8" i="12" s="1"/>
  <c r="AW9" i="12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E8" i="11"/>
  <c r="G10" i="11"/>
  <c r="G8" i="11"/>
  <c r="D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<sst xmlns="http://schemas.openxmlformats.org/spreadsheetml/2006/main" count="454" uniqueCount="79">
  <si>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</si>
  <si>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</si>
  <si>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</si>
  <si>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</si>
  <si>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</si>
  <si>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</si>
  <si>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</si>
  <si>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</si>
  <si>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</si>
  <si>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</si>
  <si>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</si>
  <si>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</si>
  <si>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</si>
  <si>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</si>
  <si>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</si>
  <si>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</si>
  <si>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</si>
  <si>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</si>
  <si>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</si>
  <si>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</si>
  <si>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</si>
  <si>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</si>
  <si>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</si>
  <si>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</si>
  <si>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</si>
  <si>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</si>
  <si>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</si>
  <si>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</si>
  <si>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</si>
  <si>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</si>
  <si>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</si>
  <si>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</si>
  <si>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</si>
  <si>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</si>
  <si>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</si>
  <si>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</si>
  <si>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</si>
  <si>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</si>
  <si>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</si>
  <si>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</si>
  <si>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</si>
  <si>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</si>
  <si>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</si>
  <si>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</si>
  <si>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</si>
  <si>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</si>
  <si>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</si>
  <si>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</si>
  <si>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</si>
  <si>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</si>
  <si>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</si>
  <si>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</si>
  <si>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</si>
  <si>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</si>
  <si>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</si>
  <si>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</si>
  <si>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</si>
  <si>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</si>
  <si>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</si>
  <si>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</si>
  <si>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</si>
  <si>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</si>
  <si>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</si>
  <si>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</si>
  <si>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</si>
  <si>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</si>
  <si>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</si>
  <si>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</si>
  <si>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</si>
  <si>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</si>
  <si>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</si>
  <si>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</si>
  <si>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</si>
  <si>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</si>
  <si>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</si>
  <si>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</si>
  <si>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</si>
  <si>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jose tomas jara</t>
  </si>
  <si>
    <t>Jtjarad@gmail.com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</si>
</sst>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4" fillId="0" borderId="33" xfId="1" quotePrefix="1" applyFont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tjara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F6" sqref="F6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4" t="s">
        <v>74</v>
      </c>
      <c r="C2" s="85"/>
      <c r="D2" s="86"/>
    </row>
    <row r="3" spans="2:4" x14ac:dyDescent="0.25">
      <c r="B3" s="76" t="s">
        <v>75</v>
      </c>
      <c r="C3" s="87" t="s">
        <v>77</v>
      </c>
      <c r="D3" s="88"/>
    </row>
    <row r="4" spans="2:4" ht="15.75" thickBot="1" x14ac:dyDescent="0.3">
      <c r="B4" s="77" t="s">
        <v>76</v>
      </c>
      <c r="C4" s="89" t="s">
        <v>78</v>
      </c>
      <c r="D4" s="90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50DE8485-D8D5-4023-BAC6-F551102AC8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0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39900</v>
      </c>
      <c r="BA7" s="34">
        <f>AZ7-AY7*10</f>
        <v>39890</v>
      </c>
      <c r="BB7" s="34">
        <f>BA7+N23</f>
        <v>39891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-90050708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3</v>
      </c>
      <c r="F9" s="13">
        <f t="shared" si="3"/>
        <v>3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-39990200</v>
      </c>
      <c r="BA10" s="34">
        <f t="shared" si="10"/>
        <v>-39990210</v>
      </c>
      <c r="BB10" s="34">
        <f>BA10+N26</f>
        <v>-39990206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14</v>
      </c>
      <c r="K23" s="110"/>
      <c r="L23" s="111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13</v>
      </c>
      <c r="K24" s="92"/>
      <c r="L24" s="93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12</v>
      </c>
      <c r="K25" s="92"/>
      <c r="L25" s="93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11</v>
      </c>
      <c r="K26" s="95"/>
      <c r="L26" s="96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3" sqref="L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29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83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-29990200</v>
      </c>
      <c r="BA10" s="34">
        <f t="shared" si="10"/>
        <v>-29990210</v>
      </c>
      <c r="BB10" s="34">
        <f>BA10+N26</f>
        <v>-29990206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31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32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33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34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-39990400</v>
      </c>
      <c r="BA8" s="34">
        <f t="shared" ref="BA8:BA10" si="10">AZ8-AY8*10</f>
        <v>-39990410</v>
      </c>
      <c r="BB8" s="34">
        <f>BA8+N24</f>
        <v>-39990408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35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36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37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38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39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39893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41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42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43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70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-90030500</v>
      </c>
      <c r="BA7" s="34">
        <f>AZ7-AY7*10</f>
        <v>-90030510</v>
      </c>
      <c r="BB7" s="34">
        <f>BA7+N23</f>
        <v>-90030509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-60020300</v>
      </c>
      <c r="BA8" s="34">
        <f t="shared" ref="BA8:BA10" si="10">AZ8-AY8*10</f>
        <v>-60020310</v>
      </c>
      <c r="BB8" s="34">
        <f>BA8+N24</f>
        <v>-60020308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0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44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45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46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47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71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48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49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50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51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72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14</v>
      </c>
      <c r="J8" s="19">
        <v>44889</v>
      </c>
      <c r="K8" s="20" t="s">
        <v>10</v>
      </c>
      <c r="L8" s="21">
        <v>2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10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52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53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54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7" t="s">
        <v>73</v>
      </c>
      <c r="C3" s="98"/>
      <c r="D3" s="98"/>
      <c r="E3" s="98"/>
      <c r="F3" s="98"/>
      <c r="G3" s="99"/>
    </row>
    <row r="4" spans="2:54" ht="15.75" thickBot="1" x14ac:dyDescent="0.3">
      <c r="B4" s="100"/>
      <c r="C4" s="101"/>
      <c r="D4" s="101"/>
      <c r="E4" s="101"/>
      <c r="F4" s="101"/>
      <c r="G4" s="102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3" t="s">
        <v>1</v>
      </c>
      <c r="C6" s="104"/>
      <c r="D6" s="104"/>
      <c r="E6" s="104"/>
      <c r="F6" s="104"/>
      <c r="G6" s="105"/>
      <c r="J6" s="15" t="s">
        <v>8</v>
      </c>
      <c r="K6" s="106" t="s">
        <v>9</v>
      </c>
      <c r="L6" s="107"/>
      <c r="M6" s="107"/>
      <c r="N6" s="108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-9980300</v>
      </c>
      <c r="BA9" s="34">
        <f t="shared" si="10"/>
        <v>-9980310</v>
      </c>
      <c r="BB9" s="34">
        <f>BA9+N25</f>
        <v>-9980307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4" t="s">
        <v>23</v>
      </c>
      <c r="K22" s="85"/>
      <c r="L22" s="85"/>
      <c r="M22" s="86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9" t="s">
        <v>57</v>
      </c>
      <c r="K23" s="110"/>
      <c r="L23" s="111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1" t="s">
        <v>55</v>
      </c>
      <c r="K24" s="92"/>
      <c r="L24" s="93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1" t="s">
        <v>56</v>
      </c>
      <c r="K25" s="92"/>
      <c r="L25" s="93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4" t="s">
        <v>58</v>
      </c>
      <c r="K26" s="95"/>
      <c r="L26" s="96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K9" workbookViewId="0">
      <selection activeCell="Z9" sqref="Z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2" t="s">
        <v>69</v>
      </c>
      <c r="C2" s="113"/>
      <c r="D2" s="114"/>
    </row>
    <row r="3" spans="2:19" ht="15.75" thickBot="1" x14ac:dyDescent="0.3"/>
    <row r="4" spans="2:19" ht="15.75" thickBot="1" x14ac:dyDescent="0.3">
      <c r="G4" s="112" t="s">
        <v>59</v>
      </c>
      <c r="H4" s="113"/>
      <c r="I4" s="114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2" t="s">
        <v>60</v>
      </c>
      <c r="M8" s="113"/>
      <c r="N8" s="114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2" t="s">
        <v>63</v>
      </c>
      <c r="R16" s="113"/>
      <c r="S16" s="114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5" t="s">
        <v>64</v>
      </c>
      <c r="W23" s="108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2" t="s">
        <v>66</v>
      </c>
      <c r="R25" s="113"/>
      <c r="S25" s="114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1</v>
      </c>
      <c r="N29" s="64"/>
      <c r="Q29" s="59" t="str">
        <f>IF(Q20=L12,L13,IF(Q20=L13,L12,""))</f>
        <v>Brasil</v>
      </c>
      <c r="R29" s="60">
        <v>3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Belgica</v>
      </c>
      <c r="R30" s="63">
        <v>1</v>
      </c>
      <c r="S30" s="64"/>
    </row>
    <row r="31" spans="2:23" ht="15.75" thickBot="1" x14ac:dyDescent="0.3">
      <c r="B31" s="62" t="str">
        <f>'GRUPO E'!C9</f>
        <v>Alemania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0</v>
      </c>
      <c r="I33" s="64"/>
    </row>
    <row r="34" spans="2:9" x14ac:dyDescent="0.25">
      <c r="B34" s="59" t="str">
        <f>'GRUPO H'!C8</f>
        <v>Portugal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Familia Jara</cp:lastModifiedBy>
  <dcterms:created xsi:type="dcterms:W3CDTF">2022-11-02T00:22:23Z</dcterms:created>
  <dcterms:modified xsi:type="dcterms:W3CDTF">2022-11-19T19:37:02Z</dcterms:modified>
</cp:coreProperties>
</file>