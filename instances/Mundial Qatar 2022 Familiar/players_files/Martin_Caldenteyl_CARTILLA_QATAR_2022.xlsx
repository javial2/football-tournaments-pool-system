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caldenteyl/Desktop/"/>
    </mc:Choice>
  </mc:AlternateContent>
  <xr:revisionPtr revIDLastSave="0" documentId="8_{9F6C31E7-2BF8-5649-82B6-703E74FEF08D}" xr6:coauthVersionLast="47" xr6:coauthVersionMax="47" xr10:uidLastSave="{00000000-0000-0000-0000-000000000000}"/>
  <bookViews>
    <workbookView xWindow="0" yWindow="0" windowWidth="28800" windowHeight="1800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Z10" i="11" s="1"/>
  <c r="AP9" i="2"/>
  <c r="AZ9" i="2" s="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10" i="12"/>
  <c r="AP9" i="12"/>
  <c r="AZ9" i="12" s="1"/>
  <c r="AW9" i="12" s="1"/>
  <c r="AP9" i="11"/>
  <c r="AZ9" i="11" s="1"/>
  <c r="AW8" i="11" s="1"/>
  <c r="AX8" i="11" s="1"/>
  <c r="AY8" i="11" s="1"/>
  <c r="BA8" i="11" s="1"/>
  <c r="BB8" i="11" s="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C8" i="12"/>
  <c r="B14" i="16" s="1"/>
  <c r="D8" i="12"/>
  <c r="G8" i="12"/>
  <c r="G11" i="11"/>
  <c r="G10" i="11"/>
  <c r="F10" i="11"/>
  <c r="E8" i="11"/>
  <c r="G8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<sst xmlns="http://schemas.openxmlformats.org/spreadsheetml/2006/main" count="454" uniqueCount="79">
  <si>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</si>
  <si>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</si>
  <si>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</si>
  <si>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</si>
  <si>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</si>
  <si>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</si>
  <si>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</si>
  <si>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</si>
  <si>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</si>
  <si>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</si>
  <si>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</si>
  <si>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</si>
  <si>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</si>
  <si>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</si>
  <si>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</si>
  <si>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</si>
  <si>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</si>
  <si>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</si>
  <si>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</si>
  <si>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</si>
  <si>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</si>
  <si>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</si>
  <si>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</si>
  <si>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</si>
  <si>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</si>
  <si>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</si>
  <si>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</si>
  <si>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</si>
  <si>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</si>
  <si>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</si>
  <si>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</si>
  <si>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</si>
  <si>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</si>
  <si>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</si>
  <si>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</si>
  <si>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</si>
  <si>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</si>
  <si>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</si>
  <si>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</si>
  <si>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</si>
  <si>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</si>
  <si>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</si>
  <si>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</si>
  <si>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</si>
  <si>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</si>
  <si>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</si>
  <si>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</si>
  <si>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</si>
  <si>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</si>
  <si>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</si>
  <si>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</si>
  <si>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</si>
  <si>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</si>
  <si>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</si>
  <si>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</si>
  <si>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</si>
  <si>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</si>
  <si>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</si>
  <si>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</si>
  <si>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</si>
  <si>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</si>
  <si>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</si>
  <si>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</si>
  <si>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</si>
  <si>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</si>
  <si>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</si>
  <si>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</si>
  <si>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</si>
  <si>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</si>
  <si>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</si>
  <si>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</si>
  <si>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</si>
  <si>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</si>
  <si>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</si>
  <si>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</si>
  <si>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</si>
  <si>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</si>
  <si>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Martín Caldentey</t>
  </si>
  <si>
    <t>martincaldenteyl@uc.cl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</si>
</sst>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caldenteyl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zoomScale="175" workbookViewId="0">
      <selection activeCell="C4" sqref="C4:D4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78" t="s">
        <v>74</v>
      </c>
      <c r="C2" s="79"/>
      <c r="D2" s="80"/>
    </row>
    <row r="3" spans="2:4" x14ac:dyDescent="0.2">
      <c r="B3" s="76" t="s">
        <v>75</v>
      </c>
      <c r="C3" s="81" t="s">
        <v>77</v>
      </c>
      <c r="D3" s="82"/>
    </row>
    <row r="4" spans="2:4" ht="16" thickBot="1" x14ac:dyDescent="0.2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556E25FD-6139-844F-B379-FAE734D879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2" zoomScale="125" workbookViewId="0">
      <selection activeCell="O23" sqref="O23"/>
    </sheetView>
  </sheetViews>
  <sheetFormatPr baseColWidth="10" defaultColWidth="11.5" defaultRowHeight="15" x14ac:dyDescent="0.2"/>
  <cols>
    <col min="1" max="14" width="10.83203125" customWidth="1"/>
    <col min="15" max="34" width="11.5" style="34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2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39800</v>
      </c>
      <c r="BA7" s="34">
        <f>AZ7-AY7*10</f>
        <v>39790</v>
      </c>
      <c r="BB7" s="34">
        <f>BA7+N23</f>
        <v>39794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-40000408</v>
      </c>
    </row>
    <row r="10" spans="2:54" x14ac:dyDescent="0.2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-39990207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6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2</v>
      </c>
      <c r="N25" s="35">
        <f>IF(J25="",0,M25)</f>
        <v>2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2" zoomScale="113" workbookViewId="0">
      <selection activeCell="M25" sqref="M25"/>
    </sheetView>
  </sheetViews>
  <sheetFormatPr baseColWidth="10" defaultColWidth="11.5" defaultRowHeight="15" x14ac:dyDescent="0.2"/>
  <cols>
    <col min="1" max="14" width="10.832031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29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-39990400</v>
      </c>
      <c r="BA8" s="34">
        <f t="shared" ref="BA8:BA10" si="10">AZ8-AY8*10</f>
        <v>-39990410</v>
      </c>
      <c r="BB8" s="34">
        <f>BA8+N24</f>
        <v>-39990407</v>
      </c>
    </row>
    <row r="9" spans="2:54" x14ac:dyDescent="0.2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-40000408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2</v>
      </c>
      <c r="N26" s="35">
        <f>IF(J26="",0,M26)</f>
        <v>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F7" zoomScale="125" workbookViewId="0">
      <selection activeCell="O22" sqref="O2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34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3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-70060900</v>
      </c>
      <c r="BA7" s="34">
        <f>AZ7-AY7*10</f>
        <v>-70060910</v>
      </c>
      <c r="BB7" s="34">
        <f>BA7+N23</f>
        <v>-70060909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-9960300</v>
      </c>
      <c r="BA8" s="34">
        <f t="shared" ref="BA8:BA10" si="10">AZ8-AY8*10</f>
        <v>-9960310</v>
      </c>
      <c r="BB8" s="34">
        <f>BA8+N24</f>
        <v>-9960307</v>
      </c>
    </row>
    <row r="9" spans="2:54" x14ac:dyDescent="0.2">
      <c r="B9" s="11">
        <v>2</v>
      </c>
      <c r="C9" s="12" t="str">
        <f t="shared" si="0"/>
        <v>Polonia</v>
      </c>
      <c r="D9" s="13">
        <f t="shared" si="0"/>
        <v>7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3</v>
      </c>
      <c r="AR9" s="34">
        <f t="shared" si="5"/>
        <v>7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-70030700</v>
      </c>
      <c r="BA9" s="34">
        <f t="shared" si="10"/>
        <v>-70030710</v>
      </c>
      <c r="BB9" s="34">
        <f>BA9+N25</f>
        <v>-70030708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3</v>
      </c>
      <c r="F10" s="50">
        <f t="shared" si="0"/>
        <v>7</v>
      </c>
      <c r="G10" s="51">
        <f t="shared" si="0"/>
        <v>-4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-9950200</v>
      </c>
      <c r="BA10" s="34">
        <f t="shared" si="10"/>
        <v>-9950210</v>
      </c>
      <c r="BB10" s="34">
        <f>BA10+N26</f>
        <v>-9950206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zoomScale="86" workbookViewId="0">
      <selection activeCell="M25" sqref="M2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10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-90091000</v>
      </c>
      <c r="BA7" s="34">
        <f>AZ7-AY7*10</f>
        <v>-90091010</v>
      </c>
      <c r="BB7" s="34">
        <f>BA7+N23</f>
        <v>-90091009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10</v>
      </c>
      <c r="F8" s="9">
        <f t="shared" si="0"/>
        <v>1</v>
      </c>
      <c r="G8" s="10">
        <f t="shared" si="0"/>
        <v>9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-60010600</v>
      </c>
      <c r="BA8" s="34">
        <f t="shared" ref="BA8:BA10" si="10">AZ8-AY8*10</f>
        <v>-60010610</v>
      </c>
      <c r="BB8" s="34">
        <f>BA8+N24</f>
        <v>-60010608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-9950200</v>
      </c>
      <c r="BA9" s="34">
        <f t="shared" si="10"/>
        <v>-9950200</v>
      </c>
      <c r="BB9" s="34">
        <f>BA9+N25</f>
        <v>-9950196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2</v>
      </c>
      <c r="F10" s="50">
        <f t="shared" si="0"/>
        <v>7</v>
      </c>
      <c r="G10" s="51">
        <f t="shared" si="0"/>
        <v>-5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Australia</v>
      </c>
      <c r="AW10" s="34" t="str">
        <f>IF(AZ10=AZ7,AV7,IF(AZ10=AZ8,AV8,IF(AZ10=AZ9,AV9,"")))</f>
        <v>Tunez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-9950200</v>
      </c>
      <c r="BA10" s="34">
        <f t="shared" si="10"/>
        <v>-9950200</v>
      </c>
      <c r="BB10" s="34">
        <f>BA10+N26</f>
        <v>-9950197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4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zoomScale="110" workbookViewId="0">
      <selection activeCell="I29" sqref="I29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4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-39990400</v>
      </c>
      <c r="BA7" s="34">
        <f>AZ7-AY7*10</f>
        <v>-39990410</v>
      </c>
      <c r="BB7" s="34">
        <f>BA7+N23</f>
        <v>-39990408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-90050609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-29990307</v>
      </c>
    </row>
    <row r="11" spans="2:54" ht="16" thickBot="1" x14ac:dyDescent="0.25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zoomScale="118" workbookViewId="0">
      <selection activeCell="H16" sqref="H1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71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-70040700</v>
      </c>
      <c r="BA7" s="34">
        <f>AZ7-AY7*10</f>
        <v>-70040710</v>
      </c>
      <c r="BB7" s="34">
        <f>BA7+N23</f>
        <v>-70040709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3" zoomScale="125" workbookViewId="0">
      <selection activeCell="M24" sqref="M2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72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2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-29970200</v>
      </c>
      <c r="BA8" s="34">
        <f t="shared" ref="BA8:BA10" si="10">AZ8-AY8*10</f>
        <v>-29970210</v>
      </c>
      <c r="BB8" s="34">
        <f>BA8+N24</f>
        <v>-29970207</v>
      </c>
    </row>
    <row r="9" spans="2:54" x14ac:dyDescent="0.2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-60010508</v>
      </c>
    </row>
    <row r="10" spans="2:54" x14ac:dyDescent="0.2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3" zoomScale="125" workbookViewId="0">
      <selection activeCell="M12" sqref="M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73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-70030500</v>
      </c>
      <c r="BA7" s="34">
        <f>AZ7-AY7*10</f>
        <v>-70030500</v>
      </c>
      <c r="BB7" s="34">
        <f>BA7+N23</f>
        <v>-70030499</v>
      </c>
    </row>
    <row r="8" spans="2:54" x14ac:dyDescent="0.2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>Portugal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-70030500</v>
      </c>
      <c r="BA8" s="34">
        <f t="shared" ref="BA8:BA10" si="10">AZ8-AY8*10</f>
        <v>-70030500</v>
      </c>
      <c r="BB8" s="34">
        <f>BA8+N24</f>
        <v>-70030498</v>
      </c>
    </row>
    <row r="9" spans="2:54" x14ac:dyDescent="0.2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A2" zoomScale="85" workbookViewId="0">
      <selection activeCell="R33" sqref="R33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06" t="s">
        <v>69</v>
      </c>
      <c r="C2" s="107"/>
      <c r="D2" s="108"/>
    </row>
    <row r="3" spans="2:19" ht="16" thickBot="1" x14ac:dyDescent="0.25"/>
    <row r="4" spans="2:19" ht="16" thickBot="1" x14ac:dyDescent="0.25">
      <c r="G4" s="106" t="s">
        <v>59</v>
      </c>
      <c r="H4" s="107"/>
      <c r="I4" s="108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>
        <v>2</v>
      </c>
      <c r="L8" s="106" t="s">
        <v>60</v>
      </c>
      <c r="M8" s="107"/>
      <c r="N8" s="108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>
        <v>4</v>
      </c>
      <c r="J9" s="65"/>
    </row>
    <row r="10" spans="2:19" ht="16" thickBot="1" x14ac:dyDescent="0.25">
      <c r="B10" s="59" t="str">
        <f>'GRUPO C'!C8</f>
        <v>Argentina</v>
      </c>
      <c r="C10" s="60">
        <v>3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>
        <v>5</v>
      </c>
      <c r="J14" s="66"/>
      <c r="O14" s="66"/>
    </row>
    <row r="15" spans="2:19" ht="16" thickBot="1" x14ac:dyDescent="0.25">
      <c r="B15" s="62" t="str">
        <f>'GRUPO F'!C9</f>
        <v>Croacia</v>
      </c>
      <c r="C15" s="63">
        <v>2</v>
      </c>
      <c r="D15" s="64">
        <v>4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06" t="s">
        <v>63</v>
      </c>
      <c r="R16" s="107"/>
      <c r="S16" s="108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2</v>
      </c>
      <c r="D18" s="61"/>
      <c r="E18" s="69"/>
      <c r="O18" s="66"/>
    </row>
    <row r="19" spans="2:23" ht="16" thickBot="1" x14ac:dyDescent="0.25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3</v>
      </c>
      <c r="D22" s="61"/>
      <c r="O22" s="66"/>
    </row>
    <row r="23" spans="2:23" ht="16" thickBot="1" x14ac:dyDescent="0.25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6" thickBot="1" x14ac:dyDescent="0.25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1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3</v>
      </c>
      <c r="D30" s="61"/>
      <c r="J30" s="66"/>
      <c r="Q30" s="62" t="str">
        <f>IF(Q21=L28,L29,IF(Q21=L29,L28,""))</f>
        <v>Belgica</v>
      </c>
      <c r="R30" s="63">
        <v>0</v>
      </c>
      <c r="S30" s="64"/>
    </row>
    <row r="31" spans="2:23" ht="16" thickBot="1" x14ac:dyDescent="0.25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0</v>
      </c>
      <c r="I33" s="64"/>
    </row>
    <row r="34" spans="2:9" x14ac:dyDescent="0.2">
      <c r="B34" s="59" t="str">
        <f>'GRUPO H'!C8</f>
        <v>Portugal</v>
      </c>
      <c r="C34" s="60">
        <v>3</v>
      </c>
      <c r="D34" s="61"/>
      <c r="E34" s="69"/>
    </row>
    <row r="35" spans="2:9" ht="16" thickBot="1" x14ac:dyDescent="0.25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2022-11-02T00:22:23Z</dcterms:created>
  <dcterms:modified xsi:type="dcterms:W3CDTF">2022-11-17T01:22:44Z</dcterms:modified>
</cp:coreProperties>
</file>