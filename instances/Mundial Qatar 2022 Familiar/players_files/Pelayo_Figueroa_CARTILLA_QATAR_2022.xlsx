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igueroa\Downloads\"/>
    </mc:Choice>
  </mc:AlternateContent>
  <xr:revisionPtr revIDLastSave="0" documentId="13_ncr:1_{86B8DD6E-B48F-48FE-AEF6-4CC6AB4BA7F5}" xr6:coauthVersionLast="47" xr6:coauthVersionMax="47" xr10:uidLastSave="{00000000-0000-0000-0000-000000000000}"/>
  <bookViews>
    <workbookView xWindow="-110" yWindow="-110" windowWidth="19420" windowHeight="1056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2" i="1" l="1"/>
  <c r="AK12" i="1" s="1"/>
  <c r="AL12" i="1" s="1"/>
  <c r="AJ12" i="2"/>
  <c r="AI12" i="15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P9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3" l="1"/>
  <c r="AP8" i="12"/>
  <c r="AZ8" i="12" s="1"/>
  <c r="AZ7" i="12"/>
  <c r="AP8" i="14"/>
  <c r="AZ8" i="14" s="1"/>
  <c r="AZ10" i="12"/>
  <c r="AZ10" i="11"/>
  <c r="AP9" i="11"/>
  <c r="AZ9" i="11" s="1"/>
  <c r="AW9" i="11" s="1"/>
  <c r="AX9" i="11" s="1"/>
  <c r="AY9" i="11" s="1"/>
  <c r="BA9" i="11" s="1"/>
  <c r="BB9" i="11" s="1"/>
  <c r="AZ8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10" i="12" l="1"/>
  <c r="AX10" i="12" s="1"/>
  <c r="AY10" i="12" s="1"/>
  <c r="BA10" i="12" s="1"/>
  <c r="BB10" i="12" s="1"/>
  <c r="AW7" i="14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N9" i="12" s="1"/>
  <c r="AW8" i="12"/>
  <c r="AX8" i="12" s="1"/>
  <c r="AY8" i="12" s="1"/>
  <c r="BA8" i="12" s="1"/>
  <c r="BB8" i="12" s="1"/>
  <c r="AW8" i="11"/>
  <c r="AX8" i="11" s="1"/>
  <c r="AY8" i="11" s="1"/>
  <c r="BA8" i="11" s="1"/>
  <c r="BB8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F8" i="12"/>
  <c r="D8" i="12"/>
  <c r="E10" i="11"/>
  <c r="G10" i="11"/>
  <c r="F10" i="11"/>
  <c r="E8" i="11"/>
  <c r="G11" i="11"/>
  <c r="G8" i="11"/>
  <c r="D8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G32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G25" i="16" l="1"/>
  <c r="D10" i="1"/>
  <c r="F9" i="1"/>
  <c r="D9" i="1"/>
  <c r="E9" i="1"/>
  <c r="C9" i="1"/>
  <c r="B23" i="16" s="1"/>
  <c r="G24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L28" i="16" l="1"/>
  <c r="Q21" i="16" s="1"/>
  <c r="W25" i="16" s="1"/>
  <c r="Q30" i="16" l="1"/>
  <c r="W26" i="16" s="1"/>
</calcChain>
</file>

<file path=xl/sharedStrings.xml><?xml version="1.0" encoding="utf-8"?>
<sst xmlns="http://schemas.openxmlformats.org/spreadsheetml/2006/main" count="458" uniqueCount="80">
  <si>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</si>
  <si>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</si>
  <si>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</si>
  <si>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</si>
  <si>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</si>
  <si>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</si>
  <si>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</si>
  <si>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</si>
  <si>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</si>
  <si>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</si>
  <si>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</si>
  <si>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</si>
  <si>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</si>
  <si>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</si>
  <si>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</si>
  <si>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</si>
  <si>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</si>
  <si>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</si>
  <si>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</si>
  <si>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</si>
  <si>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</si>
  <si>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</si>
  <si>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</si>
  <si>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</si>
  <si>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</si>
  <si>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</si>
  <si>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</si>
  <si>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</si>
  <si>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</si>
  <si>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</si>
  <si>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</si>
  <si>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</si>
  <si>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</si>
  <si>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</si>
  <si>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</si>
  <si>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</si>
  <si>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</si>
  <si>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</si>
  <si>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</si>
  <si>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</si>
  <si>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</si>
  <si>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</si>
  <si>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</si>
  <si>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</si>
  <si>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</si>
  <si>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</si>
  <si>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</si>
  <si>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</si>
  <si>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</si>
  <si>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</si>
  <si>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</si>
  <si>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</si>
  <si>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</si>
  <si>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</si>
  <si>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</si>
  <si>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</si>
  <si>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</si>
  <si>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</si>
  <si>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</si>
  <si>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</si>
  <si>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</si>
  <si>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</si>
  <si>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</si>
  <si>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</si>
  <si>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</si>
  <si>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</si>
  <si>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</si>
  <si>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</si>
  <si>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</si>
  <si>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</si>
  <si>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</si>
  <si>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</si>
  <si>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</si>
  <si>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</si>
  <si>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</si>
  <si>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</si>
  <si>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</si>
  <si>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Pelayo Papá Figueroa</t>
  </si>
  <si>
    <t>pelayofigueroa@gmail.com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</si>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</sst>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4" fillId="0" borderId="58" xfId="1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layofiguero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E14" sqref="E14"/>
    </sheetView>
  </sheetViews>
  <sheetFormatPr baseColWidth="10" defaultRowHeight="14.5" x14ac:dyDescent="0.35"/>
  <sheetData>
    <row r="1" spans="2:4" ht="15" thickBot="1" x14ac:dyDescent="0.4"/>
    <row r="2" spans="2:4" ht="15" thickBot="1" x14ac:dyDescent="0.4">
      <c r="B2" s="84" t="s">
        <v>74</v>
      </c>
      <c r="C2" s="85"/>
      <c r="D2" s="86"/>
    </row>
    <row r="3" spans="2:4" x14ac:dyDescent="0.35">
      <c r="B3" s="76" t="s">
        <v>75</v>
      </c>
      <c r="C3" s="87" t="s">
        <v>77</v>
      </c>
      <c r="D3" s="88"/>
    </row>
    <row r="4" spans="2:4" ht="15" thickBot="1" x14ac:dyDescent="0.4">
      <c r="B4" s="77" t="s">
        <v>76</v>
      </c>
      <c r="C4" s="89" t="s">
        <v>78</v>
      </c>
      <c r="D4" s="90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1E0C8586-5715-43C7-AEAF-63D3AE865C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A7" workbookViewId="0">
      <selection activeCell="O24" sqref="O24"/>
    </sheetView>
  </sheetViews>
  <sheetFormatPr baseColWidth="10" defaultColWidth="11.453125" defaultRowHeight="14.5" x14ac:dyDescent="0.35"/>
  <cols>
    <col min="1" max="14" width="10.81640625" customWidth="1"/>
    <col min="15" max="34" width="11.453125" style="82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16384" width="11.453125" style="34"/>
  </cols>
  <sheetData>
    <row r="2" spans="2:54" ht="15" thickBot="1" x14ac:dyDescent="0.4"/>
    <row r="3" spans="2:54" x14ac:dyDescent="0.35">
      <c r="B3" s="97" t="s">
        <v>0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3</v>
      </c>
      <c r="N7" s="16" t="s">
        <v>13</v>
      </c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2</v>
      </c>
      <c r="AO7" s="34" t="s">
        <v>14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3</v>
      </c>
      <c r="AS7" s="34">
        <f>SUMIF($K$7:$K$12,AO7,$M$7:$M$12) + SUMIF($N$7:$N$12,AO7,$L$7:$L$12)</f>
        <v>2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-50010300</v>
      </c>
      <c r="BA7" s="34">
        <f>AZ7-AY7*10</f>
        <v>-50010310</v>
      </c>
      <c r="BB7" s="34">
        <f>BA7+N23</f>
        <v>-50010308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6</v>
      </c>
      <c r="F8" s="9">
        <f t="shared" si="3"/>
        <v>2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0</v>
      </c>
      <c r="N8" s="18" t="s">
        <v>11</v>
      </c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2" t="str">
        <f t="shared" si="0"/>
        <v>Qatar_Ecuador</v>
      </c>
      <c r="AJ8" s="34">
        <f t="shared" si="1"/>
        <v>3</v>
      </c>
      <c r="AK8" s="34">
        <f t="shared" ref="AK8:AK12" si="4">IF(AJ8=3,0,IF(AJ8=1,1,3))</f>
        <v>0</v>
      </c>
      <c r="AL8" s="34" t="str">
        <f t="shared" si="2"/>
        <v>Qatar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4</v>
      </c>
      <c r="AR8" s="34">
        <f>SUMIF($K$7:$K$12,AO8,$L$7:$L$12) + SUMIF($N$7:$N$12,AO8,$M$7:$M$12)</f>
        <v>6</v>
      </c>
      <c r="AS8" s="34">
        <f>SUMIF($K$7:$K$12,AO8,$M$7:$M$12) + SUMIF($N$7:$N$12,AO8,$L$7:$L$12)</f>
        <v>2</v>
      </c>
      <c r="AV8" s="34" t="str">
        <f t="shared" ref="AV8:AV10" si="5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6">IF(AX8="",1,IF(AX8=AV8,1,0))</f>
        <v>1</v>
      </c>
      <c r="AZ8" s="34">
        <f t="shared" ref="AZ8:AZ10" si="7">-AP8*10000000 - AQ8*10000 - AR8*100</f>
        <v>-70040600</v>
      </c>
      <c r="BA8" s="34">
        <f t="shared" ref="BA8:BA10" si="8">AZ8-AY8*10</f>
        <v>-70040610</v>
      </c>
      <c r="BB8" s="34">
        <f>BA8+N24</f>
        <v>-70040609</v>
      </c>
    </row>
    <row r="9" spans="2:54" x14ac:dyDescent="0.35">
      <c r="B9" s="11">
        <v>2</v>
      </c>
      <c r="C9" s="12" t="str">
        <f t="shared" si="3"/>
        <v>Qatar</v>
      </c>
      <c r="D9" s="13">
        <f t="shared" si="3"/>
        <v>5</v>
      </c>
      <c r="E9" s="13">
        <f t="shared" si="3"/>
        <v>3</v>
      </c>
      <c r="F9" s="13">
        <f t="shared" si="3"/>
        <v>2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9">AR9-AS9</f>
        <v>-1</v>
      </c>
      <c r="AR9" s="34">
        <f>SUMIF($K$7:$K$12,AO9,$L$7:$L$12) + SUMIF($N$7:$N$12,AO9,$M$7:$M$12)</f>
        <v>4</v>
      </c>
      <c r="AS9" s="34">
        <f>SUMIF($K$7:$K$12,AO9,$M$7:$M$12) + SUMIF($N$7:$N$12,AO9,$L$7:$L$12)</f>
        <v>5</v>
      </c>
      <c r="AV9" s="34" t="str">
        <f t="shared" si="5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6"/>
        <v>1</v>
      </c>
      <c r="AZ9" s="34">
        <f t="shared" si="7"/>
        <v>-39990400</v>
      </c>
      <c r="BA9" s="34">
        <f t="shared" si="8"/>
        <v>-39990410</v>
      </c>
      <c r="BB9" s="34">
        <f>BA9+N25</f>
        <v>-39990407</v>
      </c>
    </row>
    <row r="10" spans="2:54" x14ac:dyDescent="0.35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4</v>
      </c>
      <c r="F10" s="50">
        <f t="shared" si="3"/>
        <v>5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4</v>
      </c>
      <c r="AO10" s="34" t="s">
        <v>11</v>
      </c>
      <c r="AP10" s="34">
        <f>SUMIF($K$7:$K$12,AO10,$AJ$7:$AJ$12) + SUMIF($N$7:$N$12,AO10,$AK$7:$AK$12)</f>
        <v>0</v>
      </c>
      <c r="AQ10" s="34">
        <f t="shared" si="9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5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6"/>
        <v>1</v>
      </c>
      <c r="AZ10" s="34">
        <f t="shared" si="7"/>
        <v>39900</v>
      </c>
      <c r="BA10" s="34">
        <f t="shared" si="8"/>
        <v>39890</v>
      </c>
      <c r="BB10" s="34">
        <f>BA10+N26</f>
        <v>39894</v>
      </c>
    </row>
    <row r="11" spans="2:54" ht="15" thickBot="1" x14ac:dyDescent="0.4">
      <c r="B11" s="52">
        <v>4</v>
      </c>
      <c r="C11" s="53" t="str">
        <f t="shared" si="3"/>
        <v>Ecuador</v>
      </c>
      <c r="D11" s="54">
        <f t="shared" si="3"/>
        <v>0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81">
        <v>1</v>
      </c>
      <c r="M12" s="33">
        <v>1</v>
      </c>
      <c r="N12" s="26" t="s">
        <v>14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2" t="str">
        <f t="shared" si="0"/>
        <v>Holanda_Qatar</v>
      </c>
      <c r="AJ12" s="34">
        <f t="shared" si="1"/>
        <v>1</v>
      </c>
      <c r="AK12" s="34">
        <f t="shared" si="4"/>
        <v>1</v>
      </c>
      <c r="AL12" s="34" t="str">
        <f t="shared" si="2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14</v>
      </c>
      <c r="K23" s="110"/>
      <c r="L23" s="111"/>
      <c r="M23" s="42">
        <v>2</v>
      </c>
      <c r="N23" s="35">
        <f>IF(J23="",0,M23)</f>
        <v>2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0">IF(J24="",0,1)</f>
        <v>1</v>
      </c>
      <c r="J24" s="91" t="s">
        <v>13</v>
      </c>
      <c r="K24" s="92"/>
      <c r="L24" s="93"/>
      <c r="M24" s="43">
        <v>1</v>
      </c>
      <c r="N24" s="35">
        <f>IF(J24="",0,M24)</f>
        <v>1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0"/>
        <v>1</v>
      </c>
      <c r="J25" s="91" t="s">
        <v>12</v>
      </c>
      <c r="K25" s="92"/>
      <c r="L25" s="93"/>
      <c r="M25" s="43">
        <v>3</v>
      </c>
      <c r="N25" s="35">
        <f>IF(J25="",0,M25)</f>
        <v>3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0"/>
        <v>1</v>
      </c>
      <c r="J26" s="94" t="s">
        <v>11</v>
      </c>
      <c r="K26" s="95"/>
      <c r="L26" s="96"/>
      <c r="M26" s="44">
        <v>4</v>
      </c>
      <c r="N26" s="35">
        <f>IF(J26="",0,M26)</f>
        <v>4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M7:M12 L7:L11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A7" workbookViewId="0">
      <selection activeCell="M25" sqref="M25"/>
    </sheetView>
  </sheetViews>
  <sheetFormatPr baseColWidth="10" defaultColWidth="11.453125" defaultRowHeight="14.5" x14ac:dyDescent="0.35"/>
  <cols>
    <col min="1" max="14" width="10.81640625" customWidth="1"/>
    <col min="15" max="34" width="11.453125" style="82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16384" width="11.453125" style="34"/>
  </cols>
  <sheetData>
    <row r="2" spans="2:54" ht="15" thickBot="1" x14ac:dyDescent="0.4"/>
    <row r="3" spans="2:54" x14ac:dyDescent="0.35">
      <c r="B3" s="97" t="s">
        <v>29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2" t="str">
        <f t="shared" ref="AI8:AI12" si="1">CONCATENATE(K8,"_",N8)</f>
        <v>USA_Gales</v>
      </c>
      <c r="AJ8" s="34">
        <f t="shared" ref="AJ8:AJ11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-60010300</v>
      </c>
      <c r="BA8" s="34">
        <f t="shared" ref="BA8:BA10" si="10">AZ8-AY8*10</f>
        <v>-60010310</v>
      </c>
      <c r="BB8" s="34">
        <f>BA8+N24</f>
        <v>-60010308</v>
      </c>
    </row>
    <row r="9" spans="2:54" x14ac:dyDescent="0.35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-9970206</v>
      </c>
    </row>
    <row r="10" spans="2:54" x14ac:dyDescent="0.35">
      <c r="B10" s="48">
        <v>3</v>
      </c>
      <c r="C10" s="49" t="str">
        <f t="shared" si="0"/>
        <v>Gales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0</v>
      </c>
      <c r="N10" s="18" t="s">
        <v>31</v>
      </c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-9980307</v>
      </c>
    </row>
    <row r="11" spans="2:54" ht="15" thickBot="1" x14ac:dyDescent="0.4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2" t="str">
        <f t="shared" si="1"/>
        <v>Iran_USA</v>
      </c>
      <c r="AJ12" s="34">
        <f>IF(L12&gt;M12,3,IF(L12&lt;M12,0,1))</f>
        <v>0</v>
      </c>
      <c r="AK12" s="34">
        <f t="shared" si="3"/>
        <v>3</v>
      </c>
      <c r="AL12" s="34" t="str">
        <f t="shared" si="4"/>
        <v>USA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30</v>
      </c>
      <c r="K23" s="110"/>
      <c r="L23" s="111"/>
      <c r="M23" s="42">
        <v>1</v>
      </c>
      <c r="N23" s="35">
        <f>IF(J23="",0,M23)</f>
        <v>1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31</v>
      </c>
      <c r="K24" s="92"/>
      <c r="L24" s="93"/>
      <c r="M24" s="43">
        <v>2</v>
      </c>
      <c r="N24" s="35">
        <f>IF(J24="",0,M24)</f>
        <v>2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32</v>
      </c>
      <c r="K25" s="92"/>
      <c r="L25" s="93"/>
      <c r="M25" s="43">
        <v>4</v>
      </c>
      <c r="N25" s="35">
        <f>IF(J25="",0,M25)</f>
        <v>4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33</v>
      </c>
      <c r="K26" s="95"/>
      <c r="L26" s="96"/>
      <c r="M26" s="44">
        <v>3</v>
      </c>
      <c r="N26" s="35">
        <f>IF(J26="",0,M26)</f>
        <v>3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9" workbookViewId="0">
      <selection activeCell="M26" sqref="M26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34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0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2</v>
      </c>
      <c r="AO7" s="34" t="s">
        <v>35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-60020400</v>
      </c>
      <c r="BA7" s="34">
        <f>AZ7-AY7*10</f>
        <v>-60020410</v>
      </c>
      <c r="BB7" s="34">
        <f>BA7+N23</f>
        <v>-60020408</v>
      </c>
    </row>
    <row r="8" spans="2:54" x14ac:dyDescent="0.35">
      <c r="B8" s="7">
        <v>1</v>
      </c>
      <c r="C8" s="8" t="str">
        <f t="shared" ref="C8:G11" si="0">IFERROR(VLOOKUP($B8,$AN$7:$AS$11,C$5,FALSE),"")</f>
        <v>Mexico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1</v>
      </c>
      <c r="AO8" s="34" t="s">
        <v>36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-70020300</v>
      </c>
      <c r="BA8" s="34">
        <f t="shared" ref="BA8:BA10" si="10">AZ8-AY8*10</f>
        <v>-70020310</v>
      </c>
      <c r="BB8" s="34">
        <f>BA8+N24</f>
        <v>-70020309</v>
      </c>
    </row>
    <row r="9" spans="2:54" x14ac:dyDescent="0.35">
      <c r="B9" s="11">
        <v>2</v>
      </c>
      <c r="C9" s="12" t="str">
        <f t="shared" si="0"/>
        <v>Argentina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-40000207</v>
      </c>
    </row>
    <row r="10" spans="2:54" x14ac:dyDescent="0.35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2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0</v>
      </c>
      <c r="AK10" s="34">
        <f t="shared" si="3"/>
        <v>3</v>
      </c>
      <c r="AL10" s="34" t="str">
        <f t="shared" si="4"/>
        <v>Mexico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39900</v>
      </c>
      <c r="BA10" s="34">
        <f t="shared" si="10"/>
        <v>39890</v>
      </c>
      <c r="BB10" s="34">
        <f>BA10+N26</f>
        <v>39894</v>
      </c>
    </row>
    <row r="11" spans="2:54" ht="15" thickBot="1" x14ac:dyDescent="0.4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35</v>
      </c>
      <c r="K23" s="110"/>
      <c r="L23" s="111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36</v>
      </c>
      <c r="K24" s="92"/>
      <c r="L24" s="93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37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38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A8" workbookViewId="0">
      <selection activeCell="K28" sqref="J28:K28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39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3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-40000200</v>
      </c>
      <c r="BA8" s="34">
        <f t="shared" ref="BA8:BA10" si="10">AZ8-AY8*10</f>
        <v>-40000210</v>
      </c>
      <c r="BB8" s="34">
        <f>BA8+N24</f>
        <v>-40000208</v>
      </c>
    </row>
    <row r="9" spans="2:54" x14ac:dyDescent="0.35">
      <c r="B9" s="11">
        <v>2</v>
      </c>
      <c r="C9" s="12" t="str">
        <f t="shared" si="0"/>
        <v>Dinamarca</v>
      </c>
      <c r="D9" s="13">
        <f t="shared" si="0"/>
        <v>4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-9970106</v>
      </c>
    </row>
    <row r="10" spans="2:54" x14ac:dyDescent="0.35">
      <c r="B10" s="48">
        <v>3</v>
      </c>
      <c r="C10" s="49" t="str">
        <f t="shared" si="0"/>
        <v>Australia</v>
      </c>
      <c r="D10" s="50">
        <f t="shared" si="0"/>
        <v>2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-19980100</v>
      </c>
      <c r="BA10" s="34">
        <f t="shared" si="10"/>
        <v>-19980110</v>
      </c>
      <c r="BB10" s="34">
        <f>BA10+N26</f>
        <v>-19980107</v>
      </c>
    </row>
    <row r="11" spans="2:54" ht="15" thickBot="1" x14ac:dyDescent="0.4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0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40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41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42</v>
      </c>
      <c r="K25" s="92"/>
      <c r="L25" s="93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43</v>
      </c>
      <c r="K26" s="95"/>
      <c r="L26" s="96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A7" workbookViewId="0">
      <selection activeCell="M28" sqref="M28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70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35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-70030600</v>
      </c>
      <c r="BA8" s="34">
        <f t="shared" ref="BA8:BA10" si="10">AZ8-AY8*10</f>
        <v>-70030610</v>
      </c>
      <c r="BB8" s="34">
        <f>BA8+N24</f>
        <v>-70030608</v>
      </c>
    </row>
    <row r="9" spans="2:54" x14ac:dyDescent="0.35">
      <c r="B9" s="11">
        <v>2</v>
      </c>
      <c r="C9" s="12" t="str">
        <f t="shared" si="0"/>
        <v>Alemania</v>
      </c>
      <c r="D9" s="13">
        <f t="shared" si="0"/>
        <v>7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3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" thickBot="1" x14ac:dyDescent="0.4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44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45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46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47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A7" workbookViewId="0">
      <selection activeCell="M14" sqref="M14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71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-70020400</v>
      </c>
      <c r="BA7" s="34">
        <f>AZ7-AY7*10</f>
        <v>-70020410</v>
      </c>
      <c r="BB7" s="34">
        <f>BA7+N23</f>
        <v>-70020409</v>
      </c>
    </row>
    <row r="8" spans="2:54" x14ac:dyDescent="0.3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-50010400</v>
      </c>
      <c r="BA8" s="34">
        <f t="shared" ref="BA8:BA10" si="10">AZ8-AY8*10</f>
        <v>-50010410</v>
      </c>
      <c r="BB8" s="34">
        <f>BA8+N24</f>
        <v>-50010408</v>
      </c>
    </row>
    <row r="9" spans="2:54" x14ac:dyDescent="0.35">
      <c r="B9" s="11">
        <v>2</v>
      </c>
      <c r="C9" s="12" t="str">
        <f t="shared" si="0"/>
        <v>Croacia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-40000206</v>
      </c>
    </row>
    <row r="10" spans="2:54" x14ac:dyDescent="0.35">
      <c r="B10" s="48">
        <v>3</v>
      </c>
      <c r="C10" s="49" t="str">
        <f t="shared" si="0"/>
        <v>Marruecos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29800</v>
      </c>
      <c r="BA10" s="34">
        <f t="shared" si="10"/>
        <v>29790</v>
      </c>
      <c r="BB10" s="34">
        <f>BA10+N26</f>
        <v>29793</v>
      </c>
    </row>
    <row r="11" spans="2:54" ht="15" thickBot="1" x14ac:dyDescent="0.4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48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49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50</v>
      </c>
      <c r="K25" s="92"/>
      <c r="L25" s="93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51</v>
      </c>
      <c r="K26" s="95"/>
      <c r="L26" s="96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A7" workbookViewId="0">
      <selection activeCell="L14" sqref="L14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72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9</v>
      </c>
      <c r="AR7" s="34">
        <f>SUMIF($K$7:$K$12,AO7,$L$7:$L$12) + SUMIF($N$7:$N$12,AO7,$M$7:$M$12)</f>
        <v>9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-90090900</v>
      </c>
      <c r="BA7" s="34">
        <f>AZ7-AY7*10</f>
        <v>-90090910</v>
      </c>
      <c r="BB7" s="34">
        <f>BA7+N23</f>
        <v>-90090909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0</v>
      </c>
      <c r="G8" s="10">
        <f t="shared" si="0"/>
        <v>9</v>
      </c>
      <c r="I8" s="18">
        <v>14</v>
      </c>
      <c r="J8" s="19">
        <v>44889</v>
      </c>
      <c r="K8" s="20" t="s">
        <v>10</v>
      </c>
      <c r="L8" s="21">
        <v>4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-39990200</v>
      </c>
      <c r="BA8" s="34">
        <f t="shared" ref="BA8:BA10" si="10">AZ8-AY8*10</f>
        <v>-39990210</v>
      </c>
      <c r="BB8" s="34">
        <f>BA8+N24</f>
        <v>-39990207</v>
      </c>
    </row>
    <row r="9" spans="2:54" x14ac:dyDescent="0.3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2</v>
      </c>
      <c r="F9" s="13">
        <f t="shared" si="0"/>
        <v>3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-39970300</v>
      </c>
      <c r="BA9" s="34">
        <f t="shared" si="10"/>
        <v>-39970310</v>
      </c>
      <c r="BB9" s="34">
        <f>BA9+N25</f>
        <v>-39970308</v>
      </c>
    </row>
    <row r="10" spans="2:54" x14ac:dyDescent="0.35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" thickBot="1" x14ac:dyDescent="0.4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10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52</v>
      </c>
      <c r="K24" s="92"/>
      <c r="L24" s="93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53</v>
      </c>
      <c r="K25" s="92"/>
      <c r="L25" s="93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54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A7" workbookViewId="0">
      <selection activeCell="M13" sqref="M13"/>
    </sheetView>
  </sheetViews>
  <sheetFormatPr baseColWidth="10" defaultColWidth="11.453125" defaultRowHeight="14.5" x14ac:dyDescent="0.35"/>
  <cols>
    <col min="1" max="2" width="10.81640625" customWidth="1"/>
    <col min="3" max="3" width="13.7265625" bestFit="1" customWidth="1"/>
    <col min="4" max="10" width="10.81640625"/>
    <col min="11" max="11" width="13.7265625" bestFit="1" customWidth="1"/>
    <col min="12" max="13" width="10.8164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7" t="s">
        <v>73</v>
      </c>
      <c r="C3" s="98"/>
      <c r="D3" s="98"/>
      <c r="E3" s="98"/>
      <c r="F3" s="98"/>
      <c r="G3" s="99"/>
    </row>
    <row r="4" spans="2:54" ht="15" thickBot="1" x14ac:dyDescent="0.4">
      <c r="B4" s="100"/>
      <c r="C4" s="101"/>
      <c r="D4" s="101"/>
      <c r="E4" s="101"/>
      <c r="F4" s="101"/>
      <c r="G4" s="102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-70030600</v>
      </c>
      <c r="BA7" s="34">
        <f>AZ7-AY7*10</f>
        <v>-70030610</v>
      </c>
      <c r="BB7" s="34">
        <f>BA7+N23</f>
        <v>-70030608</v>
      </c>
    </row>
    <row r="8" spans="2:54" x14ac:dyDescent="0.3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3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-70020509</v>
      </c>
    </row>
    <row r="9" spans="2:54" x14ac:dyDescent="0.35">
      <c r="B9" s="11">
        <v>2</v>
      </c>
      <c r="C9" s="12" t="str">
        <f t="shared" si="0"/>
        <v>Uruguay</v>
      </c>
      <c r="D9" s="13">
        <f t="shared" si="0"/>
        <v>7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-9980106</v>
      </c>
    </row>
    <row r="10" spans="2:54" x14ac:dyDescent="0.35">
      <c r="B10" s="48">
        <v>3</v>
      </c>
      <c r="C10" s="49" t="str">
        <f t="shared" si="0"/>
        <v>Corea</v>
      </c>
      <c r="D10" s="50">
        <f t="shared" si="0"/>
        <v>1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-9970307</v>
      </c>
    </row>
    <row r="11" spans="2:54" ht="15" thickBot="1" x14ac:dyDescent="0.4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57</v>
      </c>
      <c r="K23" s="110"/>
      <c r="L23" s="111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55</v>
      </c>
      <c r="K24" s="92"/>
      <c r="L24" s="93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56</v>
      </c>
      <c r="K25" s="92"/>
      <c r="L25" s="93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58</v>
      </c>
      <c r="K26" s="95"/>
      <c r="L26" s="96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I7" workbookViewId="0">
      <selection activeCell="R12" sqref="R12"/>
    </sheetView>
  </sheetViews>
  <sheetFormatPr baseColWidth="10" defaultRowHeight="14.5" x14ac:dyDescent="0.35"/>
  <cols>
    <col min="3" max="3" width="11.26953125" bestFit="1" customWidth="1"/>
    <col min="4" max="4" width="9.1796875" bestFit="1" customWidth="1"/>
    <col min="9" max="9" width="9.1796875" bestFit="1" customWidth="1"/>
    <col min="14" max="14" width="9.1796875" bestFit="1" customWidth="1"/>
  </cols>
  <sheetData>
    <row r="1" spans="2:19" ht="15" thickBot="1" x14ac:dyDescent="0.4"/>
    <row r="2" spans="2:19" ht="15" thickBot="1" x14ac:dyDescent="0.4">
      <c r="B2" s="112" t="s">
        <v>69</v>
      </c>
      <c r="C2" s="113"/>
      <c r="D2" s="114"/>
    </row>
    <row r="3" spans="2:19" ht="15" thickBot="1" x14ac:dyDescent="0.4"/>
    <row r="4" spans="2:19" ht="15" thickBot="1" x14ac:dyDescent="0.4">
      <c r="G4" s="112" t="s">
        <v>59</v>
      </c>
      <c r="H4" s="113"/>
      <c r="I4" s="114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1</v>
      </c>
      <c r="D6" s="61" t="s">
        <v>79</v>
      </c>
    </row>
    <row r="7" spans="2:19" ht="15" thickBot="1" x14ac:dyDescent="0.4">
      <c r="B7" s="62" t="str">
        <f>'GRUPO B'!C9</f>
        <v>USA</v>
      </c>
      <c r="C7" s="63">
        <v>0</v>
      </c>
      <c r="D7" s="64" t="s">
        <v>79</v>
      </c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1</v>
      </c>
      <c r="I8" s="61">
        <v>5</v>
      </c>
      <c r="L8" s="112" t="s">
        <v>60</v>
      </c>
      <c r="M8" s="113"/>
      <c r="N8" s="114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Mexico</v>
      </c>
      <c r="H9" s="63">
        <v>1</v>
      </c>
      <c r="I9" s="64">
        <v>4</v>
      </c>
      <c r="J9" s="65"/>
    </row>
    <row r="10" spans="2:19" ht="15" thickBot="1" x14ac:dyDescent="0.4">
      <c r="B10" s="59" t="str">
        <f>'GRUPO C'!C8</f>
        <v>Mexico</v>
      </c>
      <c r="C10" s="60">
        <v>1</v>
      </c>
      <c r="D10" s="61">
        <v>5</v>
      </c>
      <c r="E10" s="69"/>
      <c r="J10" s="66"/>
    </row>
    <row r="11" spans="2:19" ht="15" thickBot="1" x14ac:dyDescent="0.4">
      <c r="B11" s="62" t="str">
        <f>'GRUPO D'!C9</f>
        <v>Dinamarca</v>
      </c>
      <c r="C11" s="63">
        <v>1</v>
      </c>
      <c r="D11" s="64">
        <v>4</v>
      </c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Holanda</v>
      </c>
      <c r="M12" s="60">
        <v>0</v>
      </c>
      <c r="N12" s="61" t="s">
        <v>79</v>
      </c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 t="s">
        <v>79</v>
      </c>
      <c r="O13" s="65"/>
    </row>
    <row r="14" spans="2:19" ht="15" thickBot="1" x14ac:dyDescent="0.4">
      <c r="B14" s="59" t="str">
        <f>'GRUPO E'!C8</f>
        <v>España</v>
      </c>
      <c r="C14" s="60">
        <v>2</v>
      </c>
      <c r="D14" s="61"/>
      <c r="J14" s="66"/>
      <c r="O14" s="66"/>
    </row>
    <row r="15" spans="2:19" ht="15" thickBot="1" x14ac:dyDescent="0.4">
      <c r="B15" s="62" t="str">
        <f>'GRUPO F'!C9</f>
        <v>Croacia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España</v>
      </c>
      <c r="H16" s="60">
        <v>2</v>
      </c>
      <c r="I16" s="61">
        <v>4</v>
      </c>
      <c r="J16" s="69"/>
      <c r="O16" s="66"/>
      <c r="Q16" s="112" t="s">
        <v>63</v>
      </c>
      <c r="R16" s="113"/>
      <c r="S16" s="114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>
        <v>5</v>
      </c>
      <c r="O17" s="66"/>
    </row>
    <row r="18" spans="2:23" ht="15" thickBot="1" x14ac:dyDescent="0.4">
      <c r="B18" s="59" t="str">
        <f>'GRUPO G'!C8</f>
        <v>Brasil</v>
      </c>
      <c r="C18" s="60">
        <v>2</v>
      </c>
      <c r="D18" s="61"/>
      <c r="E18" s="69"/>
      <c r="O18" s="66"/>
    </row>
    <row r="19" spans="2:23" ht="15" thickBot="1" x14ac:dyDescent="0.4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Argentina</v>
      </c>
      <c r="R21" s="63">
        <v>1</v>
      </c>
      <c r="S21" s="64"/>
    </row>
    <row r="22" spans="2:23" ht="15" thickBot="1" x14ac:dyDescent="0.4">
      <c r="B22" s="59" t="str">
        <f>'GRUPO B'!C8</f>
        <v>Inglaterra</v>
      </c>
      <c r="C22" s="60">
        <v>2</v>
      </c>
      <c r="D22" s="61"/>
      <c r="O22" s="66"/>
    </row>
    <row r="23" spans="2:23" ht="15" thickBot="1" x14ac:dyDescent="0.4">
      <c r="B23" s="62" t="str">
        <f>'GRUPO A'!C9</f>
        <v>Qatar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5" t="s">
        <v>64</v>
      </c>
      <c r="W23" s="108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0</v>
      </c>
      <c r="I24" s="61">
        <v>5</v>
      </c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Argentina</v>
      </c>
      <c r="H25" s="63">
        <v>1</v>
      </c>
      <c r="I25" s="64">
        <v>6</v>
      </c>
      <c r="J25" s="65"/>
      <c r="O25" s="66"/>
      <c r="Q25" s="112" t="s">
        <v>66</v>
      </c>
      <c r="R25" s="113"/>
      <c r="S25" s="114"/>
      <c r="V25" s="72" t="s">
        <v>67</v>
      </c>
      <c r="W25" s="73" t="str">
        <f>IF(W24=Q20,Q21,IF(W24=Q21,Q20,""))</f>
        <v>Argentina</v>
      </c>
    </row>
    <row r="26" spans="2:23" ht="15" thickBot="1" x14ac:dyDescent="0.4">
      <c r="B26" s="59" t="str">
        <f>'GRUPO D'!C8</f>
        <v>Francia</v>
      </c>
      <c r="C26" s="60">
        <v>1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Alemania</v>
      </c>
    </row>
    <row r="27" spans="2:23" ht="15" thickBot="1" x14ac:dyDescent="0.4">
      <c r="B27" s="62" t="str">
        <f>'GRUPO C'!C9</f>
        <v>Argentina</v>
      </c>
      <c r="C27" s="63">
        <v>2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Argentina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Alemania</v>
      </c>
      <c r="M29" s="63">
        <v>0</v>
      </c>
      <c r="N29" s="64"/>
      <c r="Q29" s="59" t="str">
        <f>IF(Q20=L12,L13,IF(Q20=L13,L12,""))</f>
        <v>Holanda</v>
      </c>
      <c r="R29" s="60">
        <v>1</v>
      </c>
      <c r="S29" s="61">
        <v>4</v>
      </c>
    </row>
    <row r="30" spans="2:23" ht="15" thickBot="1" x14ac:dyDescent="0.4">
      <c r="B30" s="59" t="str">
        <f>'GRUPO F'!C8</f>
        <v>Belgica</v>
      </c>
      <c r="C30" s="60">
        <v>1</v>
      </c>
      <c r="D30" s="61">
        <v>4</v>
      </c>
      <c r="J30" s="66"/>
      <c r="Q30" s="62" t="str">
        <f>IF(Q21=L28,L29,IF(Q21=L29,L28,""))</f>
        <v>Alemania</v>
      </c>
      <c r="R30" s="63">
        <v>1</v>
      </c>
      <c r="S30" s="64">
        <v>5</v>
      </c>
    </row>
    <row r="31" spans="2:23" ht="15" thickBot="1" x14ac:dyDescent="0.4">
      <c r="B31" s="62" t="str">
        <f>'GRUPO E'!C9</f>
        <v>Alemania</v>
      </c>
      <c r="C31" s="63">
        <v>1</v>
      </c>
      <c r="D31" s="64">
        <v>5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Alemania</v>
      </c>
      <c r="H32" s="60">
        <v>2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35">
      <c r="B34" s="59" t="str">
        <f>'GRUPO H'!C8</f>
        <v>Portugal</v>
      </c>
      <c r="C34" s="60">
        <v>2</v>
      </c>
      <c r="D34" s="61"/>
      <c r="E34" s="69"/>
    </row>
    <row r="35" spans="2:9" ht="15" thickBot="1" x14ac:dyDescent="0.4">
      <c r="B35" s="62" t="str">
        <f>'GRUPO G'!C9</f>
        <v>Suiza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FIGUEROA ROZAS PELAYO</cp:lastModifiedBy>
  <dcterms:created xsi:type="dcterms:W3CDTF">2022-11-02T00:22:23Z</dcterms:created>
  <dcterms:modified xsi:type="dcterms:W3CDTF">2022-11-13T11:20:36Z</dcterms:modified>
</cp:coreProperties>
</file>