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j7EAOpPh/F44fkR2IPzrI0x1p4Eg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<sst xmlns="http://schemas.openxmlformats.org/spreadsheetml/2006/main" count="454" uniqueCount="79">
  <si>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</si>
  <si>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</si>
  <si>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Teresita Varas</t>
  </si>
  <si>
    <t>Mail</t>
  </si>
  <si>
    <t>terevaras25@gmail.com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</si>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</sst>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u/>
      <sz val="11.0"/>
      <color theme="10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Border="1" applyFont="1"/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Border="1" applyFont="1"/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Border="1" applyFont="1"/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24" fillId="0" fontId="1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0.0</v>
      </c>
      <c r="M7" s="32">
        <v>3.0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3</v>
      </c>
      <c r="AO7" s="10" t="s">
        <v>24</v>
      </c>
      <c r="AP7" s="10">
        <f t="shared" ref="AP7:AP10" si="7">SUMIF($K$7:$K$12,AO7,$AJ$7:$AJ$12) + SUMIF($N$7:$N$12,AO7,$AK$7:$AK$12)</f>
        <v>1</v>
      </c>
      <c r="AQ7" s="10">
        <f t="shared" ref="AQ7:AQ10" si="8">AR7-AS7</f>
        <v>-2</v>
      </c>
      <c r="AR7" s="10">
        <f t="shared" ref="AR7:AR10" si="9">SUMIF($K$7:$K$12,AO7,$L$7:$L$12) + SUMIF($N$7:$N$12,AO7,$M$7:$M$12)</f>
        <v>3</v>
      </c>
      <c r="AS7" s="10">
        <f t="shared" ref="AS7:AS10" si="10">SUMIF($K$7:$K$12,AO7,$M$7:$M$12) + SUMIF($N$7:$N$12,AO7,$L$7:$L$12)</f>
        <v>5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-9980300</v>
      </c>
      <c r="BA7" s="10">
        <f t="shared" ref="BA7:BA10" si="15">AZ7-AY7*10</f>
        <v>-9980310</v>
      </c>
      <c r="BB7" s="10">
        <f t="shared" ref="BB7:BB10" si="16">BA7+N23</f>
        <v>-9980308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9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2.0</v>
      </c>
      <c r="J8" s="38">
        <v>44886.0</v>
      </c>
      <c r="K8" s="39" t="s">
        <v>24</v>
      </c>
      <c r="L8" s="40">
        <v>1.0</v>
      </c>
      <c r="M8" s="41">
        <v>2.0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1</v>
      </c>
      <c r="AO8" s="10" t="s">
        <v>23</v>
      </c>
      <c r="AP8" s="10">
        <f t="shared" si="7"/>
        <v>9</v>
      </c>
      <c r="AQ8" s="10">
        <f t="shared" si="8"/>
        <v>5</v>
      </c>
      <c r="AR8" s="10">
        <f t="shared" si="9"/>
        <v>7</v>
      </c>
      <c r="AS8" s="10">
        <f t="shared" si="10"/>
        <v>2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-90050700</v>
      </c>
      <c r="BA8" s="10">
        <f t="shared" si="15"/>
        <v>-90050710</v>
      </c>
      <c r="BB8" s="10">
        <f t="shared" si="16"/>
        <v>-90050709</v>
      </c>
    </row>
    <row r="9">
      <c r="B9" s="42">
        <v>2.0</v>
      </c>
      <c r="C9" s="43" t="str">
        <f t="shared" ref="C9:G9" si="17">IFERROR(VLOOKUP($B9,$AN$7:$AS$11,C$5,FALSE),"")</f>
        <v>Ecuador</v>
      </c>
      <c r="D9" s="44">
        <f t="shared" si="17"/>
        <v>6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17</v>
      </c>
      <c r="J9" s="47">
        <v>44890.0</v>
      </c>
      <c r="K9" s="48" t="s">
        <v>24</v>
      </c>
      <c r="L9" s="40">
        <v>1.0</v>
      </c>
      <c r="M9" s="41">
        <v>1.0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4</v>
      </c>
      <c r="AO9" s="10" t="s">
        <v>22</v>
      </c>
      <c r="AP9" s="10">
        <f t="shared" si="7"/>
        <v>1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-9960100</v>
      </c>
      <c r="BA9" s="10">
        <f t="shared" si="15"/>
        <v>-9960110</v>
      </c>
      <c r="BB9" s="10">
        <f t="shared" si="16"/>
        <v>-9960106</v>
      </c>
    </row>
    <row r="10">
      <c r="B10" s="49">
        <v>3.0</v>
      </c>
      <c r="C10" s="40" t="str">
        <f t="shared" ref="C10:G10" si="18">IFERROR(VLOOKUP($B10,$AN$7:$AS$11,C$5,FALSE),"")</f>
        <v>Qatar</v>
      </c>
      <c r="D10" s="50">
        <f t="shared" si="18"/>
        <v>1</v>
      </c>
      <c r="E10" s="50">
        <f t="shared" si="18"/>
        <v>3</v>
      </c>
      <c r="F10" s="50">
        <f t="shared" si="18"/>
        <v>5</v>
      </c>
      <c r="G10" s="41">
        <f t="shared" si="18"/>
        <v>-2</v>
      </c>
      <c r="I10" s="37">
        <f t="shared" si="19"/>
        <v>18</v>
      </c>
      <c r="J10" s="38">
        <v>44890.0</v>
      </c>
      <c r="K10" s="39" t="s">
        <v>23</v>
      </c>
      <c r="L10" s="40">
        <v>2.0</v>
      </c>
      <c r="M10" s="41">
        <v>1.0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2</v>
      </c>
      <c r="AO10" s="10" t="s">
        <v>25</v>
      </c>
      <c r="AP10" s="10">
        <f t="shared" si="7"/>
        <v>6</v>
      </c>
      <c r="AQ10" s="10">
        <f t="shared" si="8"/>
        <v>1</v>
      </c>
      <c r="AR10" s="10">
        <f t="shared" si="9"/>
        <v>4</v>
      </c>
      <c r="AS10" s="10">
        <f t="shared" si="10"/>
        <v>3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-60010400</v>
      </c>
      <c r="BA10" s="10">
        <f t="shared" si="15"/>
        <v>-60010410</v>
      </c>
      <c r="BB10" s="10">
        <f t="shared" si="16"/>
        <v>-60010407</v>
      </c>
    </row>
    <row r="11">
      <c r="B11" s="51">
        <v>4.0</v>
      </c>
      <c r="C11" s="52" t="str">
        <f t="shared" ref="C11:G11" si="20">IFERROR(VLOOKUP($B11,$AN$7:$AS$11,C$5,FALSE),"")</f>
        <v>Senegal</v>
      </c>
      <c r="D11" s="53">
        <f t="shared" si="20"/>
        <v>1</v>
      </c>
      <c r="E11" s="53">
        <f t="shared" si="20"/>
        <v>1</v>
      </c>
      <c r="F11" s="53">
        <f t="shared" si="20"/>
        <v>5</v>
      </c>
      <c r="G11" s="54">
        <f t="shared" si="20"/>
        <v>-4</v>
      </c>
      <c r="I11" s="46">
        <f t="shared" si="19"/>
        <v>33</v>
      </c>
      <c r="J11" s="47">
        <v>44894.0</v>
      </c>
      <c r="K11" s="48" t="s">
        <v>25</v>
      </c>
      <c r="L11" s="40">
        <v>1.0</v>
      </c>
      <c r="M11" s="41">
        <v>0.0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3</v>
      </c>
      <c r="AK11" s="10">
        <f t="shared" si="4"/>
        <v>0</v>
      </c>
      <c r="AL11" s="10" t="str">
        <f t="shared" si="5"/>
        <v>Ecuador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34</v>
      </c>
      <c r="J12" s="56">
        <v>44894.0</v>
      </c>
      <c r="K12" s="57" t="s">
        <v>23</v>
      </c>
      <c r="L12" s="52">
        <v>2.0</v>
      </c>
      <c r="M12" s="54">
        <v>1.0</v>
      </c>
      <c r="N12" s="55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24</v>
      </c>
      <c r="K23" s="65"/>
      <c r="L23" s="6"/>
      <c r="M23" s="66">
        <v>2.0</v>
      </c>
      <c r="N23" s="67">
        <f t="shared" ref="N23:N27" si="22">IF(J23="",0,M23)</f>
        <v>2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23</v>
      </c>
      <c r="K24" s="69"/>
      <c r="L24" s="70"/>
      <c r="M24" s="71">
        <v>1.0</v>
      </c>
      <c r="N24" s="67">
        <f t="shared" si="22"/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22</v>
      </c>
      <c r="K25" s="69"/>
      <c r="L25" s="70"/>
      <c r="M25" s="71">
        <v>4.0</v>
      </c>
      <c r="N25" s="67">
        <f t="shared" si="22"/>
        <v>4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25</v>
      </c>
      <c r="K26" s="73"/>
      <c r="L26" s="9"/>
      <c r="M26" s="74">
        <v>3.0</v>
      </c>
      <c r="N26" s="67">
        <f t="shared" si="22"/>
        <v>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1.0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-70030700</v>
      </c>
      <c r="BA7" s="10">
        <f t="shared" ref="BA7:BA10" si="15">AZ7-AY7*10</f>
        <v>-70030710</v>
      </c>
      <c r="BB7" s="10">
        <f t="shared" ref="BB7:BB10" si="16">BA7+N23</f>
        <v>-70030709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7</v>
      </c>
      <c r="E8" s="35">
        <f t="shared" si="1"/>
        <v>7</v>
      </c>
      <c r="F8" s="35">
        <f t="shared" si="1"/>
        <v>4</v>
      </c>
      <c r="G8" s="36">
        <f t="shared" si="1"/>
        <v>3</v>
      </c>
      <c r="I8" s="37">
        <v>4.0</v>
      </c>
      <c r="J8" s="38">
        <v>44886.0</v>
      </c>
      <c r="K8" s="39" t="s">
        <v>36</v>
      </c>
      <c r="L8" s="40">
        <v>1.0</v>
      </c>
      <c r="M8" s="41">
        <v>2.0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0</v>
      </c>
      <c r="AK8" s="10">
        <f t="shared" si="4"/>
        <v>3</v>
      </c>
      <c r="AL8" s="10" t="str">
        <f t="shared" si="5"/>
        <v>Gales</v>
      </c>
      <c r="AM8" s="10"/>
      <c r="AN8" s="10">
        <f t="shared" si="6"/>
        <v>3</v>
      </c>
      <c r="AO8" s="10" t="s">
        <v>36</v>
      </c>
      <c r="AP8" s="10">
        <f t="shared" si="7"/>
        <v>3</v>
      </c>
      <c r="AQ8" s="10">
        <f t="shared" si="8"/>
        <v>-1</v>
      </c>
      <c r="AR8" s="10">
        <f t="shared" si="9"/>
        <v>4</v>
      </c>
      <c r="AS8" s="10">
        <f t="shared" si="10"/>
        <v>5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-29990400</v>
      </c>
      <c r="BA8" s="10">
        <f t="shared" si="15"/>
        <v>-29990410</v>
      </c>
      <c r="BB8" s="10">
        <f t="shared" si="16"/>
        <v>-29990408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5</v>
      </c>
      <c r="E9" s="44">
        <f t="shared" si="17"/>
        <v>5</v>
      </c>
      <c r="F9" s="44">
        <f t="shared" si="17"/>
        <v>4</v>
      </c>
      <c r="G9" s="45">
        <f t="shared" si="17"/>
        <v>1</v>
      </c>
      <c r="I9" s="46">
        <f t="shared" ref="I9:I12" si="19">I7+16</f>
        <v>19</v>
      </c>
      <c r="J9" s="47">
        <v>44890.0</v>
      </c>
      <c r="K9" s="48" t="s">
        <v>37</v>
      </c>
      <c r="L9" s="40">
        <v>1.0</v>
      </c>
      <c r="M9" s="41">
        <v>1.0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4</v>
      </c>
      <c r="AO9" s="10" t="s">
        <v>35</v>
      </c>
      <c r="AP9" s="10">
        <f t="shared" si="7"/>
        <v>1</v>
      </c>
      <c r="AQ9" s="10">
        <f t="shared" si="8"/>
        <v>-3</v>
      </c>
      <c r="AR9" s="10">
        <f t="shared" si="9"/>
        <v>3</v>
      </c>
      <c r="AS9" s="10">
        <f t="shared" si="10"/>
        <v>6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-9970300</v>
      </c>
      <c r="BA9" s="10">
        <f t="shared" si="15"/>
        <v>-9970310</v>
      </c>
      <c r="BB9" s="10">
        <f t="shared" si="16"/>
        <v>-9970306</v>
      </c>
    </row>
    <row r="10">
      <c r="B10" s="49">
        <v>3.0</v>
      </c>
      <c r="C10" s="40" t="str">
        <f t="shared" ref="C10:G10" si="18">IFERROR(VLOOKUP($B10,$AN$7:$AS$11,C$5,FALSE),"")</f>
        <v>USA</v>
      </c>
      <c r="D10" s="50">
        <f t="shared" si="18"/>
        <v>3</v>
      </c>
      <c r="E10" s="50">
        <f t="shared" si="18"/>
        <v>4</v>
      </c>
      <c r="F10" s="50">
        <f t="shared" si="18"/>
        <v>5</v>
      </c>
      <c r="G10" s="41">
        <f t="shared" si="18"/>
        <v>-1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5</v>
      </c>
      <c r="AQ10" s="10">
        <f t="shared" si="8"/>
        <v>1</v>
      </c>
      <c r="AR10" s="10">
        <f t="shared" si="9"/>
        <v>5</v>
      </c>
      <c r="AS10" s="10">
        <f t="shared" si="10"/>
        <v>4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-50010500</v>
      </c>
      <c r="BA10" s="10">
        <f t="shared" si="15"/>
        <v>-50010510</v>
      </c>
      <c r="BB10" s="10">
        <f t="shared" si="16"/>
        <v>-50010507</v>
      </c>
    </row>
    <row r="11">
      <c r="B11" s="51">
        <v>4.0</v>
      </c>
      <c r="C11" s="52" t="str">
        <f t="shared" ref="C11:G11" si="20">IFERROR(VLOOKUP($B11,$AN$7:$AS$11,C$5,FALSE),"")</f>
        <v>Iran</v>
      </c>
      <c r="D11" s="53">
        <f t="shared" si="20"/>
        <v>1</v>
      </c>
      <c r="E11" s="53">
        <f t="shared" si="20"/>
        <v>3</v>
      </c>
      <c r="F11" s="53">
        <f t="shared" si="20"/>
        <v>6</v>
      </c>
      <c r="G11" s="54">
        <f t="shared" si="20"/>
        <v>-3</v>
      </c>
      <c r="I11" s="46">
        <f t="shared" si="19"/>
        <v>35</v>
      </c>
      <c r="J11" s="47">
        <v>44894.0</v>
      </c>
      <c r="K11" s="48" t="s">
        <v>37</v>
      </c>
      <c r="L11" s="40">
        <v>2.0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36</v>
      </c>
      <c r="J12" s="56">
        <v>44894.0</v>
      </c>
      <c r="K12" s="57" t="s">
        <v>35</v>
      </c>
      <c r="L12" s="52">
        <v>1.0</v>
      </c>
      <c r="M12" s="54">
        <v>2.0</v>
      </c>
      <c r="N12" s="55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34</v>
      </c>
      <c r="K23" s="65"/>
      <c r="L23" s="6"/>
      <c r="M23" s="66">
        <v>1.0</v>
      </c>
      <c r="N23" s="67">
        <f t="shared" ref="N23:N27" si="22">IF(J23="",0,M23)</f>
        <v>1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36</v>
      </c>
      <c r="K24" s="69"/>
      <c r="L24" s="70"/>
      <c r="M24" s="71">
        <v>2.0</v>
      </c>
      <c r="N24" s="67">
        <f t="shared" si="22"/>
        <v>2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35</v>
      </c>
      <c r="K25" s="69"/>
      <c r="L25" s="70"/>
      <c r="M25" s="71">
        <v>4.0</v>
      </c>
      <c r="N25" s="67">
        <f t="shared" si="22"/>
        <v>4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37</v>
      </c>
      <c r="K26" s="73"/>
      <c r="L26" s="9"/>
      <c r="M26" s="74">
        <v>3.0</v>
      </c>
      <c r="N26" s="67">
        <f t="shared" si="22"/>
        <v>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2.0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Polonia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5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-70050700</v>
      </c>
      <c r="BA7" s="10">
        <f t="shared" ref="BA7:BA10" si="15">AZ7-AY7*10</f>
        <v>-70050710</v>
      </c>
      <c r="BB7" s="10">
        <f t="shared" ref="BB7:BB10" si="16">BA7+N23</f>
        <v>-70050708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7</v>
      </c>
      <c r="E8" s="35">
        <f t="shared" si="1"/>
        <v>7</v>
      </c>
      <c r="F8" s="35">
        <f t="shared" si="1"/>
        <v>2</v>
      </c>
      <c r="G8" s="36">
        <f t="shared" si="1"/>
        <v>5</v>
      </c>
      <c r="I8" s="37">
        <v>6.0</v>
      </c>
      <c r="J8" s="38">
        <v>44887.0</v>
      </c>
      <c r="K8" s="39" t="s">
        <v>41</v>
      </c>
      <c r="L8" s="40">
        <v>3.0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3</v>
      </c>
      <c r="AQ8" s="10">
        <f t="shared" si="8"/>
        <v>-2</v>
      </c>
      <c r="AR8" s="10">
        <f t="shared" si="9"/>
        <v>3</v>
      </c>
      <c r="AS8" s="10">
        <f t="shared" si="10"/>
        <v>5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-29980300</v>
      </c>
      <c r="BA8" s="10">
        <f t="shared" si="15"/>
        <v>-29980310</v>
      </c>
      <c r="BB8" s="10">
        <f t="shared" si="16"/>
        <v>-29980307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7</v>
      </c>
      <c r="E9" s="44">
        <f t="shared" si="17"/>
        <v>6</v>
      </c>
      <c r="F9" s="44">
        <f t="shared" si="17"/>
        <v>3</v>
      </c>
      <c r="G9" s="45">
        <f t="shared" si="17"/>
        <v>3</v>
      </c>
      <c r="I9" s="46">
        <f t="shared" ref="I9:I12" si="19">I7+16</f>
        <v>21</v>
      </c>
      <c r="J9" s="47">
        <v>44891.0</v>
      </c>
      <c r="K9" s="48" t="s">
        <v>40</v>
      </c>
      <c r="L9" s="40">
        <v>2.0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7</v>
      </c>
      <c r="AQ9" s="10">
        <f t="shared" si="8"/>
        <v>3</v>
      </c>
      <c r="AR9" s="10">
        <f t="shared" si="9"/>
        <v>6</v>
      </c>
      <c r="AS9" s="10">
        <f t="shared" si="10"/>
        <v>3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-70030600</v>
      </c>
      <c r="BA9" s="10">
        <f t="shared" si="15"/>
        <v>-70030610</v>
      </c>
      <c r="BB9" s="10">
        <f t="shared" si="16"/>
        <v>-70030609</v>
      </c>
    </row>
    <row r="10">
      <c r="B10" s="49">
        <v>3.0</v>
      </c>
      <c r="C10" s="40" t="str">
        <f t="shared" ref="C10:G10" si="18">IFERROR(VLOOKUP($B10,$AN$7:$AS$11,C$5,FALSE),"")</f>
        <v>Mexico</v>
      </c>
      <c r="D10" s="50">
        <f t="shared" si="18"/>
        <v>3</v>
      </c>
      <c r="E10" s="50">
        <f t="shared" si="18"/>
        <v>3</v>
      </c>
      <c r="F10" s="50">
        <f t="shared" si="18"/>
        <v>5</v>
      </c>
      <c r="G10" s="41">
        <f t="shared" si="18"/>
        <v>-2</v>
      </c>
      <c r="I10" s="37">
        <f t="shared" si="19"/>
        <v>22</v>
      </c>
      <c r="J10" s="38">
        <v>44891.0</v>
      </c>
      <c r="K10" s="39" t="s">
        <v>41</v>
      </c>
      <c r="L10" s="40">
        <v>2.0</v>
      </c>
      <c r="M10" s="41">
        <v>0.0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-6</v>
      </c>
      <c r="AR10" s="10">
        <f t="shared" si="9"/>
        <v>1</v>
      </c>
      <c r="AS10" s="10">
        <f t="shared" si="10"/>
        <v>7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59900</v>
      </c>
      <c r="BA10" s="10">
        <f t="shared" si="15"/>
        <v>59890</v>
      </c>
      <c r="BB10" s="10">
        <f t="shared" si="16"/>
        <v>59894</v>
      </c>
    </row>
    <row r="11">
      <c r="B11" s="51">
        <v>4.0</v>
      </c>
      <c r="C11" s="52" t="str">
        <f t="shared" ref="C11:G11" si="20">IFERROR(VLOOKUP($B11,$AN$7:$AS$11,C$5,FALSE),"")</f>
        <v>Arabia Saudita</v>
      </c>
      <c r="D11" s="53">
        <f t="shared" si="20"/>
        <v>0</v>
      </c>
      <c r="E11" s="53">
        <f t="shared" si="20"/>
        <v>1</v>
      </c>
      <c r="F11" s="53">
        <f t="shared" si="20"/>
        <v>7</v>
      </c>
      <c r="G11" s="54">
        <f t="shared" si="20"/>
        <v>-6</v>
      </c>
      <c r="I11" s="46">
        <f t="shared" si="19"/>
        <v>37</v>
      </c>
      <c r="J11" s="47">
        <v>44895.0</v>
      </c>
      <c r="K11" s="48" t="s">
        <v>40</v>
      </c>
      <c r="L11" s="40">
        <v>2.0</v>
      </c>
      <c r="M11" s="41">
        <v>2.0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38</v>
      </c>
      <c r="J12" s="56">
        <v>44895.0</v>
      </c>
      <c r="K12" s="57" t="s">
        <v>42</v>
      </c>
      <c r="L12" s="52">
        <v>1.0</v>
      </c>
      <c r="M12" s="54">
        <v>2.0</v>
      </c>
      <c r="N12" s="55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41</v>
      </c>
      <c r="K23" s="65"/>
      <c r="L23" s="6"/>
      <c r="M23" s="66">
        <v>2.0</v>
      </c>
      <c r="N23" s="67">
        <f t="shared" ref="N23:N27" si="22">IF(J23="",0,M23)</f>
        <v>2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39</v>
      </c>
      <c r="K24" s="69"/>
      <c r="L24" s="70"/>
      <c r="M24" s="71">
        <v>3.0</v>
      </c>
      <c r="N24" s="67">
        <f t="shared" si="22"/>
        <v>3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40</v>
      </c>
      <c r="K25" s="69"/>
      <c r="L25" s="70"/>
      <c r="M25" s="71">
        <v>1.0</v>
      </c>
      <c r="N25" s="67">
        <f t="shared" si="22"/>
        <v>1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42</v>
      </c>
      <c r="K26" s="73"/>
      <c r="L26" s="9"/>
      <c r="M26" s="74">
        <v>4.0</v>
      </c>
      <c r="N26" s="67">
        <f t="shared" si="22"/>
        <v>4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0.0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4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-90040600</v>
      </c>
      <c r="BA7" s="10">
        <f t="shared" ref="BA7:BA10" si="15">AZ7-AY7*10</f>
        <v>-90040610</v>
      </c>
      <c r="BB7" s="10">
        <f t="shared" ref="BB7:BB10" si="16">BA7+N23</f>
        <v>-90040609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9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8.0</v>
      </c>
      <c r="J8" s="38">
        <v>44887.0</v>
      </c>
      <c r="K8" s="39" t="s">
        <v>46</v>
      </c>
      <c r="L8" s="40">
        <v>2.0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2</v>
      </c>
      <c r="AO8" s="10" t="s">
        <v>44</v>
      </c>
      <c r="AP8" s="10">
        <f t="shared" si="7"/>
        <v>4</v>
      </c>
      <c r="AQ8" s="10">
        <f t="shared" si="8"/>
        <v>1</v>
      </c>
      <c r="AR8" s="10">
        <f t="shared" si="9"/>
        <v>4</v>
      </c>
      <c r="AS8" s="10">
        <f t="shared" si="10"/>
        <v>3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-40010400</v>
      </c>
      <c r="BA8" s="10">
        <f t="shared" si="15"/>
        <v>-40010410</v>
      </c>
      <c r="BB8" s="10">
        <f t="shared" si="16"/>
        <v>-40010408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4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23</v>
      </c>
      <c r="J9" s="47">
        <v>44891.0</v>
      </c>
      <c r="K9" s="48" t="s">
        <v>45</v>
      </c>
      <c r="L9" s="40">
        <v>1.0</v>
      </c>
      <c r="M9" s="41">
        <v>2.0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-5</v>
      </c>
      <c r="AR9" s="10">
        <f t="shared" si="9"/>
        <v>1</v>
      </c>
      <c r="AS9" s="10">
        <f t="shared" si="10"/>
        <v>6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49900</v>
      </c>
      <c r="BA9" s="10">
        <f t="shared" si="15"/>
        <v>49890</v>
      </c>
      <c r="BB9" s="10">
        <f t="shared" si="16"/>
        <v>49894</v>
      </c>
    </row>
    <row r="10">
      <c r="B10" s="49">
        <v>3.0</v>
      </c>
      <c r="C10" s="40" t="str">
        <f t="shared" ref="C10:G10" si="18">IFERROR(VLOOKUP($B10,$AN$7:$AS$11,C$5,FALSE),"")</f>
        <v>Australia</v>
      </c>
      <c r="D10" s="50">
        <f t="shared" si="18"/>
        <v>4</v>
      </c>
      <c r="E10" s="50">
        <f t="shared" si="18"/>
        <v>4</v>
      </c>
      <c r="F10" s="50">
        <f t="shared" si="18"/>
        <v>4</v>
      </c>
      <c r="G10" s="41">
        <f t="shared" si="18"/>
        <v>0</v>
      </c>
      <c r="I10" s="37">
        <f t="shared" si="19"/>
        <v>24</v>
      </c>
      <c r="J10" s="38">
        <v>44891.0</v>
      </c>
      <c r="K10" s="39" t="s">
        <v>46</v>
      </c>
      <c r="L10" s="40">
        <v>2.0</v>
      </c>
      <c r="M10" s="41">
        <v>1.0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3</v>
      </c>
      <c r="AO10" s="10" t="s">
        <v>47</v>
      </c>
      <c r="AP10" s="10">
        <f t="shared" si="7"/>
        <v>4</v>
      </c>
      <c r="AQ10" s="10">
        <f t="shared" si="8"/>
        <v>0</v>
      </c>
      <c r="AR10" s="10">
        <f t="shared" si="9"/>
        <v>4</v>
      </c>
      <c r="AS10" s="10">
        <f t="shared" si="10"/>
        <v>4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-40000400</v>
      </c>
      <c r="BA10" s="10">
        <f t="shared" si="15"/>
        <v>-40000410</v>
      </c>
      <c r="BB10" s="10">
        <f t="shared" si="16"/>
        <v>-40000407</v>
      </c>
    </row>
    <row r="11">
      <c r="B11" s="51">
        <v>4.0</v>
      </c>
      <c r="C11" s="52" t="str">
        <f t="shared" ref="C11:G11" si="20">IFERROR(VLOOKUP($B11,$AN$7:$AS$11,C$5,FALSE),"")</f>
        <v>Tunez</v>
      </c>
      <c r="D11" s="53">
        <f t="shared" si="20"/>
        <v>0</v>
      </c>
      <c r="E11" s="53">
        <f t="shared" si="20"/>
        <v>1</v>
      </c>
      <c r="F11" s="53">
        <f t="shared" si="20"/>
        <v>6</v>
      </c>
      <c r="G11" s="54">
        <f t="shared" si="20"/>
        <v>-5</v>
      </c>
      <c r="I11" s="46">
        <f t="shared" si="19"/>
        <v>39</v>
      </c>
      <c r="J11" s="47">
        <v>44895.0</v>
      </c>
      <c r="K11" s="48" t="s">
        <v>45</v>
      </c>
      <c r="L11" s="40">
        <v>0.0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40</v>
      </c>
      <c r="J12" s="56">
        <v>44895.0</v>
      </c>
      <c r="K12" s="57" t="s">
        <v>47</v>
      </c>
      <c r="L12" s="52">
        <v>1.0</v>
      </c>
      <c r="M12" s="54">
        <v>1.0</v>
      </c>
      <c r="N12" s="55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46</v>
      </c>
      <c r="K23" s="65"/>
      <c r="L23" s="6"/>
      <c r="M23" s="66">
        <v>1.0</v>
      </c>
      <c r="N23" s="67">
        <f t="shared" ref="N23:N27" si="22">IF(J23="",0,M23)</f>
        <v>1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44</v>
      </c>
      <c r="K24" s="69"/>
      <c r="L24" s="70"/>
      <c r="M24" s="71">
        <v>2.0</v>
      </c>
      <c r="N24" s="67">
        <f t="shared" si="22"/>
        <v>2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45</v>
      </c>
      <c r="K25" s="69"/>
      <c r="L25" s="70"/>
      <c r="M25" s="71">
        <v>4.0</v>
      </c>
      <c r="N25" s="67">
        <f t="shared" si="22"/>
        <v>4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47</v>
      </c>
      <c r="K26" s="73"/>
      <c r="L26" s="9"/>
      <c r="M26" s="74">
        <v>3.0</v>
      </c>
      <c r="N26" s="67">
        <f t="shared" si="22"/>
        <v>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1</v>
      </c>
      <c r="AO7" s="10" t="s">
        <v>51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4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-70040700</v>
      </c>
      <c r="BA7" s="10">
        <f t="shared" ref="BA7:BA10" si="15">AZ7-AY7*10</f>
        <v>-70040710</v>
      </c>
      <c r="BB7" s="10">
        <f t="shared" ref="BB7:BB10" si="16">BA7+N23</f>
        <v>-70040708</v>
      </c>
    </row>
    <row r="8">
      <c r="B8" s="33">
        <v>1.0</v>
      </c>
      <c r="C8" s="34" t="str">
        <f t="shared" ref="C8:G8" si="1">IFERROR(VLOOKUP($B8,$AN$7:$AS$11,C$5,FALSE),"")</f>
        <v>España</v>
      </c>
      <c r="D8" s="35">
        <f t="shared" si="1"/>
        <v>7</v>
      </c>
      <c r="E8" s="35">
        <f t="shared" si="1"/>
        <v>7</v>
      </c>
      <c r="F8" s="35">
        <f t="shared" si="1"/>
        <v>3</v>
      </c>
      <c r="G8" s="36">
        <f t="shared" si="1"/>
        <v>4</v>
      </c>
      <c r="I8" s="37">
        <v>10.0</v>
      </c>
      <c r="J8" s="38">
        <v>44888.0</v>
      </c>
      <c r="K8" s="39" t="s">
        <v>51</v>
      </c>
      <c r="L8" s="40">
        <v>3.0</v>
      </c>
      <c r="M8" s="41">
        <v>1.0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2</v>
      </c>
      <c r="AO8" s="10" t="s">
        <v>49</v>
      </c>
      <c r="AP8" s="10">
        <f t="shared" si="7"/>
        <v>7</v>
      </c>
      <c r="AQ8" s="10">
        <f t="shared" si="8"/>
        <v>3</v>
      </c>
      <c r="AR8" s="10">
        <f t="shared" si="9"/>
        <v>7</v>
      </c>
      <c r="AS8" s="10">
        <f t="shared" si="10"/>
        <v>4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-70030700</v>
      </c>
      <c r="BA8" s="10">
        <f t="shared" si="15"/>
        <v>-70030710</v>
      </c>
      <c r="BB8" s="10">
        <f t="shared" si="16"/>
        <v>-70030709</v>
      </c>
    </row>
    <row r="9">
      <c r="B9" s="42">
        <v>2.0</v>
      </c>
      <c r="C9" s="43" t="str">
        <f t="shared" ref="C9:G9" si="17">IFERROR(VLOOKUP($B9,$AN$7:$AS$11,C$5,FALSE),"")</f>
        <v>Alemania</v>
      </c>
      <c r="D9" s="44">
        <f t="shared" si="17"/>
        <v>7</v>
      </c>
      <c r="E9" s="44">
        <f t="shared" si="17"/>
        <v>7</v>
      </c>
      <c r="F9" s="44">
        <f t="shared" si="17"/>
        <v>4</v>
      </c>
      <c r="G9" s="45">
        <f t="shared" si="17"/>
        <v>3</v>
      </c>
      <c r="I9" s="46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1.0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4</v>
      </c>
      <c r="AO9" s="10" t="s">
        <v>50</v>
      </c>
      <c r="AP9" s="10">
        <f t="shared" si="7"/>
        <v>1</v>
      </c>
      <c r="AQ9" s="10">
        <f t="shared" si="8"/>
        <v>-4</v>
      </c>
      <c r="AR9" s="10">
        <f t="shared" si="9"/>
        <v>2</v>
      </c>
      <c r="AS9" s="10">
        <f t="shared" si="10"/>
        <v>6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-9960200</v>
      </c>
      <c r="BA9" s="10">
        <f t="shared" si="15"/>
        <v>-9960210</v>
      </c>
      <c r="BB9" s="10">
        <f t="shared" si="16"/>
        <v>-9960206</v>
      </c>
    </row>
    <row r="10">
      <c r="B10" s="49">
        <v>3.0</v>
      </c>
      <c r="C10" s="40" t="str">
        <f t="shared" ref="C10:G10" si="18">IFERROR(VLOOKUP($B10,$AN$7:$AS$11,C$5,FALSE),"")</f>
        <v>Costa Rica</v>
      </c>
      <c r="D10" s="50">
        <f t="shared" si="18"/>
        <v>1</v>
      </c>
      <c r="E10" s="50">
        <f t="shared" si="18"/>
        <v>3</v>
      </c>
      <c r="F10" s="50">
        <f t="shared" si="18"/>
        <v>6</v>
      </c>
      <c r="G10" s="41">
        <f t="shared" si="18"/>
        <v>-3</v>
      </c>
      <c r="I10" s="37">
        <f t="shared" si="19"/>
        <v>26</v>
      </c>
      <c r="J10" s="38">
        <v>44892.0</v>
      </c>
      <c r="K10" s="39" t="s">
        <v>51</v>
      </c>
      <c r="L10" s="40">
        <v>2.0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3</v>
      </c>
      <c r="AO10" s="10" t="s">
        <v>52</v>
      </c>
      <c r="AP10" s="10">
        <f t="shared" si="7"/>
        <v>1</v>
      </c>
      <c r="AQ10" s="10">
        <f t="shared" si="8"/>
        <v>-3</v>
      </c>
      <c r="AR10" s="10">
        <f t="shared" si="9"/>
        <v>3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-9970300</v>
      </c>
      <c r="BA10" s="10">
        <f t="shared" si="15"/>
        <v>-9970310</v>
      </c>
      <c r="BB10" s="10">
        <f t="shared" si="16"/>
        <v>-9970307</v>
      </c>
    </row>
    <row r="11">
      <c r="B11" s="51">
        <v>4.0</v>
      </c>
      <c r="C11" s="52" t="str">
        <f t="shared" ref="C11:G11" si="20">IFERROR(VLOOKUP($B11,$AN$7:$AS$11,C$5,FALSE),"")</f>
        <v>Japon</v>
      </c>
      <c r="D11" s="53">
        <f t="shared" si="20"/>
        <v>1</v>
      </c>
      <c r="E11" s="53">
        <f t="shared" si="20"/>
        <v>2</v>
      </c>
      <c r="F11" s="53">
        <f t="shared" si="20"/>
        <v>6</v>
      </c>
      <c r="G11" s="54">
        <f t="shared" si="20"/>
        <v>-4</v>
      </c>
      <c r="I11" s="46">
        <f t="shared" si="19"/>
        <v>41</v>
      </c>
      <c r="J11" s="47">
        <v>44896.0</v>
      </c>
      <c r="K11" s="48" t="s">
        <v>50</v>
      </c>
      <c r="L11" s="40">
        <v>0.0</v>
      </c>
      <c r="M11" s="41">
        <v>2.0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42</v>
      </c>
      <c r="J12" s="56">
        <v>44896.0</v>
      </c>
      <c r="K12" s="57" t="s">
        <v>52</v>
      </c>
      <c r="L12" s="52">
        <v>1.0</v>
      </c>
      <c r="M12" s="54">
        <v>2.0</v>
      </c>
      <c r="N12" s="55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51</v>
      </c>
      <c r="K23" s="65"/>
      <c r="L23" s="6"/>
      <c r="M23" s="66">
        <v>2.0</v>
      </c>
      <c r="N23" s="67">
        <f t="shared" ref="N23:N27" si="22">IF(J23="",0,M23)</f>
        <v>2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49</v>
      </c>
      <c r="K24" s="69"/>
      <c r="L24" s="70"/>
      <c r="M24" s="71">
        <v>1.0</v>
      </c>
      <c r="N24" s="67">
        <f t="shared" si="22"/>
        <v>1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50</v>
      </c>
      <c r="K25" s="69"/>
      <c r="L25" s="70"/>
      <c r="M25" s="71">
        <v>4.0</v>
      </c>
      <c r="N25" s="67">
        <f t="shared" si="22"/>
        <v>4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52</v>
      </c>
      <c r="K26" s="73"/>
      <c r="L26" s="9"/>
      <c r="M26" s="74">
        <v>3.0</v>
      </c>
      <c r="N26" s="67">
        <f t="shared" si="22"/>
        <v>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0.0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2</v>
      </c>
      <c r="AO7" s="10" t="s">
        <v>56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2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-70020600</v>
      </c>
      <c r="BA7" s="10">
        <f t="shared" ref="BA7:BA10" si="15">AZ7-AY7*10</f>
        <v>-70020610</v>
      </c>
      <c r="BB7" s="10">
        <f t="shared" ref="BB7:BB10" si="16">BA7+N23</f>
        <v>-70020608</v>
      </c>
    </row>
    <row r="8">
      <c r="B8" s="33">
        <v>1.0</v>
      </c>
      <c r="C8" s="34" t="str">
        <f t="shared" ref="C8:G8" si="1">IFERROR(VLOOKUP($B8,$AN$7:$AS$11,C$5,FALSE),"")</f>
        <v>Croacia</v>
      </c>
      <c r="D8" s="35">
        <f t="shared" si="1"/>
        <v>7</v>
      </c>
      <c r="E8" s="35">
        <f t="shared" si="1"/>
        <v>6</v>
      </c>
      <c r="F8" s="35">
        <f t="shared" si="1"/>
        <v>2</v>
      </c>
      <c r="G8" s="36">
        <f t="shared" si="1"/>
        <v>4</v>
      </c>
      <c r="I8" s="37">
        <v>12.0</v>
      </c>
      <c r="J8" s="38">
        <v>44888.0</v>
      </c>
      <c r="K8" s="39" t="s">
        <v>56</v>
      </c>
      <c r="L8" s="40">
        <v>2.0</v>
      </c>
      <c r="M8" s="41">
        <v>1.0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1</v>
      </c>
      <c r="AO8" s="10" t="s">
        <v>55</v>
      </c>
      <c r="AP8" s="10">
        <f t="shared" si="7"/>
        <v>7</v>
      </c>
      <c r="AQ8" s="10">
        <f t="shared" si="8"/>
        <v>4</v>
      </c>
      <c r="AR8" s="10">
        <f t="shared" si="9"/>
        <v>6</v>
      </c>
      <c r="AS8" s="10">
        <f t="shared" si="10"/>
        <v>2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-70040600</v>
      </c>
      <c r="BA8" s="10">
        <f t="shared" si="15"/>
        <v>-70040610</v>
      </c>
      <c r="BB8" s="10">
        <f t="shared" si="16"/>
        <v>-70040609</v>
      </c>
    </row>
    <row r="9">
      <c r="B9" s="42">
        <v>2.0</v>
      </c>
      <c r="C9" s="43" t="str">
        <f t="shared" ref="C9:G9" si="17">IFERROR(VLOOKUP($B9,$AN$7:$AS$11,C$5,FALSE),"")</f>
        <v>Belgica</v>
      </c>
      <c r="D9" s="44">
        <f t="shared" si="17"/>
        <v>7</v>
      </c>
      <c r="E9" s="44">
        <f t="shared" si="17"/>
        <v>6</v>
      </c>
      <c r="F9" s="44">
        <f t="shared" si="17"/>
        <v>4</v>
      </c>
      <c r="G9" s="45">
        <f t="shared" si="17"/>
        <v>2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4</v>
      </c>
      <c r="AO9" s="10" t="s">
        <v>54</v>
      </c>
      <c r="AP9" s="10">
        <f t="shared" si="7"/>
        <v>0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39900</v>
      </c>
      <c r="BA9" s="10">
        <f t="shared" si="15"/>
        <v>39890</v>
      </c>
      <c r="BB9" s="10">
        <f t="shared" si="16"/>
        <v>39894</v>
      </c>
    </row>
    <row r="10">
      <c r="B10" s="49">
        <v>3.0</v>
      </c>
      <c r="C10" s="40" t="str">
        <f t="shared" ref="C10:G10" si="18">IFERROR(VLOOKUP($B10,$AN$7:$AS$11,C$5,FALSE),"")</f>
        <v>Canada</v>
      </c>
      <c r="D10" s="50">
        <f t="shared" si="18"/>
        <v>3</v>
      </c>
      <c r="E10" s="50">
        <f t="shared" si="18"/>
        <v>2</v>
      </c>
      <c r="F10" s="50">
        <f t="shared" si="18"/>
        <v>4</v>
      </c>
      <c r="G10" s="41">
        <f t="shared" si="18"/>
        <v>-2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0.0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3</v>
      </c>
      <c r="AO10" s="10" t="s">
        <v>57</v>
      </c>
      <c r="AP10" s="10">
        <f t="shared" si="7"/>
        <v>3</v>
      </c>
      <c r="AQ10" s="10">
        <f t="shared" si="8"/>
        <v>-2</v>
      </c>
      <c r="AR10" s="10">
        <f t="shared" si="9"/>
        <v>2</v>
      </c>
      <c r="AS10" s="10">
        <f t="shared" si="10"/>
        <v>4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-29980200</v>
      </c>
      <c r="BA10" s="10">
        <f t="shared" si="15"/>
        <v>-29980210</v>
      </c>
      <c r="BB10" s="10">
        <f t="shared" si="16"/>
        <v>-29980207</v>
      </c>
    </row>
    <row r="11">
      <c r="B11" s="51">
        <v>4.0</v>
      </c>
      <c r="C11" s="52" t="str">
        <f t="shared" ref="C11:G11" si="20">IFERROR(VLOOKUP($B11,$AN$7:$AS$11,C$5,FALSE),"")</f>
        <v>Marruecos</v>
      </c>
      <c r="D11" s="53">
        <f t="shared" si="20"/>
        <v>0</v>
      </c>
      <c r="E11" s="53">
        <f t="shared" si="20"/>
        <v>1</v>
      </c>
      <c r="F11" s="53">
        <f t="shared" si="20"/>
        <v>5</v>
      </c>
      <c r="G11" s="54">
        <f t="shared" si="20"/>
        <v>-4</v>
      </c>
      <c r="I11" s="46">
        <f t="shared" si="19"/>
        <v>43</v>
      </c>
      <c r="J11" s="47">
        <v>44896.0</v>
      </c>
      <c r="K11" s="48" t="s">
        <v>55</v>
      </c>
      <c r="L11" s="40">
        <v>2.0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44</v>
      </c>
      <c r="J12" s="56">
        <v>44896.0</v>
      </c>
      <c r="K12" s="57" t="s">
        <v>57</v>
      </c>
      <c r="L12" s="52">
        <v>1.0</v>
      </c>
      <c r="M12" s="54">
        <v>0.0</v>
      </c>
      <c r="N12" s="55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3</v>
      </c>
      <c r="AK12" s="10">
        <f t="shared" si="4"/>
        <v>0</v>
      </c>
      <c r="AL12" s="10" t="str">
        <f t="shared" si="5"/>
        <v>Canada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56</v>
      </c>
      <c r="K23" s="65"/>
      <c r="L23" s="6"/>
      <c r="M23" s="66">
        <v>2.0</v>
      </c>
      <c r="N23" s="67">
        <f t="shared" ref="N23:N27" si="22">IF(J23="",0,M23)</f>
        <v>2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55</v>
      </c>
      <c r="K24" s="69"/>
      <c r="L24" s="70"/>
      <c r="M24" s="71">
        <v>1.0</v>
      </c>
      <c r="N24" s="67">
        <f t="shared" si="22"/>
        <v>1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54</v>
      </c>
      <c r="K25" s="69"/>
      <c r="L25" s="70"/>
      <c r="M25" s="71">
        <v>4.0</v>
      </c>
      <c r="N25" s="67">
        <f t="shared" si="22"/>
        <v>4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57</v>
      </c>
      <c r="K26" s="73"/>
      <c r="L26" s="9"/>
      <c r="M26" s="74">
        <v>3.0</v>
      </c>
      <c r="N26" s="67">
        <f t="shared" si="22"/>
        <v>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2.0</v>
      </c>
      <c r="M7" s="32">
        <v>0.0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-90050600</v>
      </c>
      <c r="BA7" s="10">
        <f t="shared" ref="BA7:BA10" si="15">AZ7-AY7*10</f>
        <v>-90050610</v>
      </c>
      <c r="BB7" s="10">
        <f t="shared" ref="BB7:BB10" si="16">BA7+N23</f>
        <v>-90050609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6</v>
      </c>
      <c r="F8" s="35">
        <f t="shared" si="1"/>
        <v>1</v>
      </c>
      <c r="G8" s="36">
        <f t="shared" si="1"/>
        <v>5</v>
      </c>
      <c r="I8" s="37">
        <v>14.0</v>
      </c>
      <c r="J8" s="38">
        <v>44889.0</v>
      </c>
      <c r="K8" s="39" t="s">
        <v>61</v>
      </c>
      <c r="L8" s="40">
        <v>2.0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2</v>
      </c>
      <c r="AO8" s="10" t="s">
        <v>59</v>
      </c>
      <c r="AP8" s="10">
        <f t="shared" si="7"/>
        <v>4</v>
      </c>
      <c r="AQ8" s="10">
        <f t="shared" si="8"/>
        <v>1</v>
      </c>
      <c r="AR8" s="10">
        <f t="shared" si="9"/>
        <v>4</v>
      </c>
      <c r="AS8" s="10">
        <f t="shared" si="10"/>
        <v>3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-40010400</v>
      </c>
      <c r="BA8" s="10">
        <f t="shared" si="15"/>
        <v>-40010410</v>
      </c>
      <c r="BB8" s="10">
        <f t="shared" si="16"/>
        <v>-40010408</v>
      </c>
    </row>
    <row r="9">
      <c r="B9" s="42">
        <v>2.0</v>
      </c>
      <c r="C9" s="43" t="str">
        <f t="shared" ref="C9:G9" si="17">IFERROR(VLOOKUP($B9,$AN$7:$AS$11,C$5,FALSE),"")</f>
        <v>Suiza</v>
      </c>
      <c r="D9" s="44">
        <f t="shared" si="17"/>
        <v>4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29</v>
      </c>
      <c r="J9" s="47">
        <v>44893.0</v>
      </c>
      <c r="K9" s="48" t="s">
        <v>60</v>
      </c>
      <c r="L9" s="40">
        <v>1.0</v>
      </c>
      <c r="M9" s="41">
        <v>2.0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3</v>
      </c>
      <c r="AO9" s="10" t="s">
        <v>62</v>
      </c>
      <c r="AP9" s="10">
        <f t="shared" si="7"/>
        <v>4</v>
      </c>
      <c r="AQ9" s="10">
        <f t="shared" si="8"/>
        <v>-1</v>
      </c>
      <c r="AR9" s="10">
        <f t="shared" si="9"/>
        <v>3</v>
      </c>
      <c r="AS9" s="10">
        <f t="shared" si="10"/>
        <v>4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-39990300</v>
      </c>
      <c r="BA9" s="10">
        <f t="shared" si="15"/>
        <v>-39990310</v>
      </c>
      <c r="BB9" s="10">
        <f t="shared" si="16"/>
        <v>-39990307</v>
      </c>
    </row>
    <row r="10">
      <c r="B10" s="49">
        <v>3.0</v>
      </c>
      <c r="C10" s="40" t="str">
        <f t="shared" ref="C10:G10" si="18">IFERROR(VLOOKUP($B10,$AN$7:$AS$11,C$5,FALSE),"")</f>
        <v>Serbia</v>
      </c>
      <c r="D10" s="50">
        <f t="shared" si="18"/>
        <v>4</v>
      </c>
      <c r="E10" s="50">
        <f t="shared" si="18"/>
        <v>3</v>
      </c>
      <c r="F10" s="50">
        <f t="shared" si="18"/>
        <v>4</v>
      </c>
      <c r="G10" s="41">
        <f t="shared" si="18"/>
        <v>-1</v>
      </c>
      <c r="I10" s="37">
        <f t="shared" si="19"/>
        <v>30</v>
      </c>
      <c r="J10" s="38">
        <v>44893.0</v>
      </c>
      <c r="K10" s="39" t="s">
        <v>61</v>
      </c>
      <c r="L10" s="40">
        <v>2.0</v>
      </c>
      <c r="M10" s="41">
        <v>1.0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0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49900</v>
      </c>
      <c r="BA10" s="10">
        <f t="shared" si="15"/>
        <v>49890</v>
      </c>
      <c r="BB10" s="10">
        <f t="shared" si="16"/>
        <v>49894</v>
      </c>
    </row>
    <row r="11">
      <c r="B11" s="51">
        <v>4.0</v>
      </c>
      <c r="C11" s="52" t="str">
        <f t="shared" ref="C11:G11" si="20">IFERROR(VLOOKUP($B11,$AN$7:$AS$11,C$5,FALSE),"")</f>
        <v>Camerun</v>
      </c>
      <c r="D11" s="53">
        <f t="shared" si="20"/>
        <v>0</v>
      </c>
      <c r="E11" s="53">
        <f t="shared" si="20"/>
        <v>1</v>
      </c>
      <c r="F11" s="53">
        <f t="shared" si="20"/>
        <v>6</v>
      </c>
      <c r="G11" s="54">
        <f t="shared" si="20"/>
        <v>-5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1.0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46</v>
      </c>
      <c r="J12" s="56">
        <v>44897.0</v>
      </c>
      <c r="K12" s="57" t="s">
        <v>60</v>
      </c>
      <c r="L12" s="52">
        <v>0.0</v>
      </c>
      <c r="M12" s="54">
        <v>2.0</v>
      </c>
      <c r="N12" s="55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61</v>
      </c>
      <c r="K23" s="65"/>
      <c r="L23" s="6"/>
      <c r="M23" s="66">
        <v>1.0</v>
      </c>
      <c r="N23" s="67">
        <f t="shared" ref="N23:N27" si="22">IF(J23="",0,M23)</f>
        <v>1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59</v>
      </c>
      <c r="K24" s="69"/>
      <c r="L24" s="70"/>
      <c r="M24" s="71">
        <v>2.0</v>
      </c>
      <c r="N24" s="67">
        <f t="shared" si="22"/>
        <v>2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62</v>
      </c>
      <c r="K25" s="69"/>
      <c r="L25" s="70"/>
      <c r="M25" s="71">
        <v>3.0</v>
      </c>
      <c r="N25" s="67">
        <f t="shared" si="22"/>
        <v>3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60</v>
      </c>
      <c r="K26" s="73"/>
      <c r="L26" s="9"/>
      <c r="M26" s="74">
        <v>4.0</v>
      </c>
      <c r="N26" s="67">
        <f t="shared" si="22"/>
        <v>4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2.0</v>
      </c>
      <c r="M7" s="32">
        <v>1.0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1</v>
      </c>
      <c r="AO7" s="10" t="s">
        <v>66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6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>Uruguay</v>
      </c>
      <c r="AX7" s="10" t="str">
        <f t="shared" ref="AX7:AX10" si="12">IF(AW7="","",IFERROR(VLOOKUP(CONCATENATE(AV7,"_",AW7),$AI$7:$AL$16,4,FALSE),VLOOKUP(CONCATENATE(AW7,"_",AV7),$AI$7:$AL$16,4,FALSE)))</f>
        <v>SIN GANADOR</v>
      </c>
      <c r="AY7" s="10">
        <f t="shared" ref="AY7:AY10" si="13">IF(AX7="",1,IF(AX7=AV7,1,0))</f>
        <v>0</v>
      </c>
      <c r="AZ7" s="10">
        <f t="shared" ref="AZ7:AZ10" si="14">-AP7*10000000 - AQ7*10000 - AR7*100</f>
        <v>-70030600</v>
      </c>
      <c r="BA7" s="10">
        <f t="shared" ref="BA7:BA10" si="15">AZ7-AY7*10</f>
        <v>-70030600</v>
      </c>
      <c r="BB7" s="10">
        <f t="shared" ref="BB7:BB10" si="16">BA7+N23</f>
        <v>-70030599</v>
      </c>
    </row>
    <row r="8">
      <c r="B8" s="33">
        <v>1.0</v>
      </c>
      <c r="C8" s="34" t="str">
        <f t="shared" ref="C8:G8" si="1">IFERROR(VLOOKUP($B8,$AN$7:$AS$11,C$5,FALSE),"")</f>
        <v>Portugal</v>
      </c>
      <c r="D8" s="35">
        <f t="shared" si="1"/>
        <v>7</v>
      </c>
      <c r="E8" s="35">
        <f t="shared" si="1"/>
        <v>6</v>
      </c>
      <c r="F8" s="35">
        <f t="shared" si="1"/>
        <v>3</v>
      </c>
      <c r="G8" s="36">
        <f t="shared" si="1"/>
        <v>3</v>
      </c>
      <c r="I8" s="37">
        <v>16.0</v>
      </c>
      <c r="J8" s="38">
        <v>44889.0</v>
      </c>
      <c r="K8" s="39" t="s">
        <v>66</v>
      </c>
      <c r="L8" s="40">
        <v>2.0</v>
      </c>
      <c r="M8" s="41">
        <v>0.0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2</v>
      </c>
      <c r="AO8" s="10" t="s">
        <v>64</v>
      </c>
      <c r="AP8" s="10">
        <f t="shared" si="7"/>
        <v>7</v>
      </c>
      <c r="AQ8" s="10">
        <f t="shared" si="8"/>
        <v>3</v>
      </c>
      <c r="AR8" s="10">
        <f t="shared" si="9"/>
        <v>6</v>
      </c>
      <c r="AS8" s="10">
        <f t="shared" si="10"/>
        <v>3</v>
      </c>
      <c r="AT8" s="10"/>
      <c r="AU8" s="10"/>
      <c r="AV8" s="10" t="str">
        <f t="shared" si="11"/>
        <v>Uruguay</v>
      </c>
      <c r="AW8" s="10" t="str">
        <f>IF(AZ8=AZ9,AV9,IF(AZ8=AZ10,AV10,IF(AZ8=AZ7,AV7,"")))</f>
        <v>Portugal</v>
      </c>
      <c r="AX8" s="10" t="str">
        <f t="shared" si="12"/>
        <v>SIN GANADOR</v>
      </c>
      <c r="AY8" s="10">
        <f t="shared" si="13"/>
        <v>0</v>
      </c>
      <c r="AZ8" s="10">
        <f t="shared" si="14"/>
        <v>-70030600</v>
      </c>
      <c r="BA8" s="10">
        <f t="shared" si="15"/>
        <v>-70030600</v>
      </c>
      <c r="BB8" s="10">
        <f t="shared" si="16"/>
        <v>-70030598</v>
      </c>
    </row>
    <row r="9">
      <c r="B9" s="42">
        <v>2.0</v>
      </c>
      <c r="C9" s="43" t="str">
        <f t="shared" ref="C9:G9" si="17">IFERROR(VLOOKUP($B9,$AN$7:$AS$11,C$5,FALSE),"")</f>
        <v>Uruguay</v>
      </c>
      <c r="D9" s="44">
        <f t="shared" si="17"/>
        <v>7</v>
      </c>
      <c r="E9" s="44">
        <f t="shared" si="17"/>
        <v>6</v>
      </c>
      <c r="F9" s="44">
        <f t="shared" si="17"/>
        <v>3</v>
      </c>
      <c r="G9" s="45">
        <f t="shared" si="17"/>
        <v>3</v>
      </c>
      <c r="I9" s="46">
        <f t="shared" ref="I9:I12" si="19">I7+16</f>
        <v>31</v>
      </c>
      <c r="J9" s="47">
        <v>44893.0</v>
      </c>
      <c r="K9" s="48" t="s">
        <v>65</v>
      </c>
      <c r="L9" s="40">
        <v>2.0</v>
      </c>
      <c r="M9" s="41">
        <v>2.0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65</v>
      </c>
      <c r="AP9" s="10">
        <f t="shared" si="7"/>
        <v>1</v>
      </c>
      <c r="AQ9" s="10">
        <f t="shared" si="8"/>
        <v>-2</v>
      </c>
      <c r="AR9" s="10">
        <f t="shared" si="9"/>
        <v>4</v>
      </c>
      <c r="AS9" s="10">
        <f t="shared" si="10"/>
        <v>6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-9980400</v>
      </c>
      <c r="BA9" s="10">
        <f t="shared" si="15"/>
        <v>-9980410</v>
      </c>
      <c r="BB9" s="10">
        <f t="shared" si="16"/>
        <v>-9980406</v>
      </c>
    </row>
    <row r="10">
      <c r="B10" s="49">
        <v>3.0</v>
      </c>
      <c r="C10" s="40" t="str">
        <f t="shared" ref="C10:G10" si="18">IFERROR(VLOOKUP($B10,$AN$7:$AS$11,C$5,FALSE),"")</f>
        <v>Corea</v>
      </c>
      <c r="D10" s="50">
        <f t="shared" si="18"/>
        <v>1</v>
      </c>
      <c r="E10" s="50">
        <f t="shared" si="18"/>
        <v>4</v>
      </c>
      <c r="F10" s="50">
        <f t="shared" si="18"/>
        <v>6</v>
      </c>
      <c r="G10" s="41">
        <f t="shared" si="18"/>
        <v>-2</v>
      </c>
      <c r="I10" s="37">
        <f t="shared" si="19"/>
        <v>32</v>
      </c>
      <c r="J10" s="38">
        <v>44893.0</v>
      </c>
      <c r="K10" s="39" t="s">
        <v>66</v>
      </c>
      <c r="L10" s="40">
        <v>2.0</v>
      </c>
      <c r="M10" s="41">
        <v>2.0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1</v>
      </c>
      <c r="AK10" s="10">
        <f t="shared" si="4"/>
        <v>1</v>
      </c>
      <c r="AL10" s="10" t="str">
        <f t="shared" si="5"/>
        <v>SIN GANADOR</v>
      </c>
      <c r="AM10" s="10"/>
      <c r="AN10" s="10">
        <f t="shared" si="6"/>
        <v>4</v>
      </c>
      <c r="AO10" s="10" t="s">
        <v>67</v>
      </c>
      <c r="AP10" s="10">
        <f t="shared" si="7"/>
        <v>1</v>
      </c>
      <c r="AQ10" s="10">
        <f t="shared" si="8"/>
        <v>-4</v>
      </c>
      <c r="AR10" s="10">
        <f t="shared" si="9"/>
        <v>2</v>
      </c>
      <c r="AS10" s="10">
        <f t="shared" si="10"/>
        <v>6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-9960200</v>
      </c>
      <c r="BA10" s="10">
        <f t="shared" si="15"/>
        <v>-9960210</v>
      </c>
      <c r="BB10" s="10">
        <f t="shared" si="16"/>
        <v>-9960207</v>
      </c>
    </row>
    <row r="11">
      <c r="B11" s="51">
        <v>4.0</v>
      </c>
      <c r="C11" s="52" t="str">
        <f t="shared" ref="C11:G11" si="20">IFERROR(VLOOKUP($B11,$AN$7:$AS$11,C$5,FALSE),"")</f>
        <v>Gana</v>
      </c>
      <c r="D11" s="53">
        <f t="shared" si="20"/>
        <v>1</v>
      </c>
      <c r="E11" s="53">
        <f t="shared" si="20"/>
        <v>2</v>
      </c>
      <c r="F11" s="53">
        <f t="shared" si="20"/>
        <v>6</v>
      </c>
      <c r="G11" s="54">
        <f t="shared" si="20"/>
        <v>-4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2.0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5">
        <f t="shared" si="19"/>
        <v>48</v>
      </c>
      <c r="J12" s="56">
        <v>44897.0</v>
      </c>
      <c r="K12" s="57" t="s">
        <v>65</v>
      </c>
      <c r="L12" s="52">
        <v>1.0</v>
      </c>
      <c r="M12" s="54">
        <v>2.0</v>
      </c>
      <c r="N12" s="55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58" t="s">
        <v>26</v>
      </c>
      <c r="C22" s="59"/>
      <c r="D22" s="59"/>
      <c r="E22" s="59"/>
      <c r="F22" s="59"/>
      <c r="G22" s="59"/>
      <c r="H22" s="60"/>
      <c r="I22" s="10">
        <v>1.0</v>
      </c>
      <c r="J22" s="1" t="s">
        <v>27</v>
      </c>
      <c r="K22" s="2"/>
      <c r="L22" s="2"/>
      <c r="M22" s="3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1" t="s">
        <v>28</v>
      </c>
      <c r="C23" s="62"/>
      <c r="D23" s="62"/>
      <c r="E23" s="62"/>
      <c r="F23" s="62"/>
      <c r="G23" s="62"/>
      <c r="H23" s="63"/>
      <c r="I23" s="10">
        <f t="shared" ref="I23:I26" si="21">IF(J23="",0,1)</f>
        <v>1</v>
      </c>
      <c r="J23" s="64" t="s">
        <v>66</v>
      </c>
      <c r="K23" s="65"/>
      <c r="L23" s="6"/>
      <c r="M23" s="66">
        <v>1.0</v>
      </c>
      <c r="N23" s="67">
        <f t="shared" ref="N23:N27" si="22">IF(J23="",0,M23)</f>
        <v>1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1" t="s">
        <v>29</v>
      </c>
      <c r="C24" s="62"/>
      <c r="D24" s="62"/>
      <c r="E24" s="62"/>
      <c r="F24" s="62"/>
      <c r="G24" s="62"/>
      <c r="H24" s="63"/>
      <c r="I24" s="10">
        <f t="shared" si="21"/>
        <v>1</v>
      </c>
      <c r="J24" s="68" t="s">
        <v>64</v>
      </c>
      <c r="K24" s="69"/>
      <c r="L24" s="70"/>
      <c r="M24" s="71">
        <v>2.0</v>
      </c>
      <c r="N24" s="67">
        <f t="shared" si="22"/>
        <v>2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1" t="s">
        <v>30</v>
      </c>
      <c r="C25" s="62"/>
      <c r="D25" s="62"/>
      <c r="E25" s="62"/>
      <c r="F25" s="62"/>
      <c r="G25" s="62"/>
      <c r="H25" s="63"/>
      <c r="I25" s="10">
        <f t="shared" si="21"/>
        <v>1</v>
      </c>
      <c r="J25" s="68" t="s">
        <v>65</v>
      </c>
      <c r="K25" s="69"/>
      <c r="L25" s="70"/>
      <c r="M25" s="71">
        <v>4.0</v>
      </c>
      <c r="N25" s="67">
        <f t="shared" si="22"/>
        <v>4</v>
      </c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1" t="s">
        <v>31</v>
      </c>
      <c r="C26" s="62"/>
      <c r="D26" s="62"/>
      <c r="E26" s="62"/>
      <c r="F26" s="62"/>
      <c r="G26" s="62"/>
      <c r="H26" s="63"/>
      <c r="I26" s="10">
        <f t="shared" si="21"/>
        <v>1</v>
      </c>
      <c r="J26" s="72" t="s">
        <v>67</v>
      </c>
      <c r="K26" s="73"/>
      <c r="L26" s="9"/>
      <c r="M26" s="74">
        <v>3.0</v>
      </c>
      <c r="N26" s="67">
        <f t="shared" si="22"/>
        <v>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1" t="s">
        <v>32</v>
      </c>
      <c r="C27" s="62"/>
      <c r="D27" s="62"/>
      <c r="E27" s="62"/>
      <c r="F27" s="62"/>
      <c r="G27" s="62"/>
      <c r="H27" s="63"/>
      <c r="I27" s="10"/>
      <c r="N27" s="67">
        <f t="shared" si="22"/>
        <v>0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5"/>
      <c r="C28" s="76"/>
      <c r="D28" s="76"/>
      <c r="E28" s="76"/>
      <c r="F28" s="76"/>
      <c r="G28" s="76"/>
      <c r="H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  <c r="AD538" s="67"/>
      <c r="AE538" s="67"/>
      <c r="AF538" s="67"/>
      <c r="AG538" s="67"/>
      <c r="AH538" s="67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  <c r="AD539" s="67"/>
      <c r="AE539" s="67"/>
      <c r="AF539" s="67"/>
      <c r="AG539" s="67"/>
      <c r="AH539" s="67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  <c r="AD540" s="67"/>
      <c r="AE540" s="67"/>
      <c r="AF540" s="67"/>
      <c r="AG540" s="67"/>
      <c r="AH540" s="67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  <c r="AD541" s="67"/>
      <c r="AE541" s="67"/>
      <c r="AF541" s="67"/>
      <c r="AG541" s="67"/>
      <c r="AH541" s="67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  <c r="AD542" s="67"/>
      <c r="AE542" s="67"/>
      <c r="AF542" s="67"/>
      <c r="AG542" s="67"/>
      <c r="AH542" s="67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  <c r="AD544" s="67"/>
      <c r="AE544" s="67"/>
      <c r="AF544" s="67"/>
      <c r="AG544" s="67"/>
      <c r="AH544" s="67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  <c r="AD545" s="67"/>
      <c r="AE545" s="67"/>
      <c r="AF545" s="67"/>
      <c r="AG545" s="67"/>
      <c r="AH545" s="67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  <c r="AD546" s="67"/>
      <c r="AE546" s="67"/>
      <c r="AF546" s="67"/>
      <c r="AG546" s="67"/>
      <c r="AH546" s="67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  <c r="AD547" s="67"/>
      <c r="AE547" s="67"/>
      <c r="AF547" s="67"/>
      <c r="AG547" s="67"/>
      <c r="AH547" s="67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  <c r="AD548" s="67"/>
      <c r="AE548" s="67"/>
      <c r="AF548" s="67"/>
      <c r="AG548" s="67"/>
      <c r="AH548" s="67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  <c r="AD549" s="67"/>
      <c r="AE549" s="67"/>
      <c r="AF549" s="67"/>
      <c r="AG549" s="67"/>
      <c r="AH549" s="67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  <c r="AD550" s="67"/>
      <c r="AE550" s="67"/>
      <c r="AF550" s="67"/>
      <c r="AG550" s="67"/>
      <c r="AH550" s="67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  <c r="AD551" s="67"/>
      <c r="AE551" s="67"/>
      <c r="AF551" s="67"/>
      <c r="AG551" s="67"/>
      <c r="AH551" s="67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  <c r="AD552" s="67"/>
      <c r="AE552" s="67"/>
      <c r="AF552" s="67"/>
      <c r="AG552" s="67"/>
      <c r="AH552" s="67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  <c r="AD553" s="67"/>
      <c r="AE553" s="67"/>
      <c r="AF553" s="67"/>
      <c r="AG553" s="67"/>
      <c r="AH553" s="67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  <c r="AD555" s="67"/>
      <c r="AE555" s="67"/>
      <c r="AF555" s="67"/>
      <c r="AG555" s="67"/>
      <c r="AH555" s="67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  <c r="AD556" s="67"/>
      <c r="AE556" s="67"/>
      <c r="AF556" s="67"/>
      <c r="AG556" s="67"/>
      <c r="AH556" s="67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  <c r="AD557" s="67"/>
      <c r="AE557" s="67"/>
      <c r="AF557" s="67"/>
      <c r="AG557" s="67"/>
      <c r="AH557" s="67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  <c r="AD558" s="67"/>
      <c r="AE558" s="67"/>
      <c r="AF558" s="67"/>
      <c r="AG558" s="67"/>
      <c r="AH558" s="67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  <c r="AD560" s="67"/>
      <c r="AE560" s="67"/>
      <c r="AF560" s="67"/>
      <c r="AG560" s="67"/>
      <c r="AH560" s="67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  <c r="AD561" s="67"/>
      <c r="AE561" s="67"/>
      <c r="AF561" s="67"/>
      <c r="AG561" s="67"/>
      <c r="AH561" s="67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  <c r="AD563" s="67"/>
      <c r="AE563" s="67"/>
      <c r="AF563" s="67"/>
      <c r="AG563" s="67"/>
      <c r="AH563" s="67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  <c r="AD564" s="67"/>
      <c r="AE564" s="67"/>
      <c r="AF564" s="67"/>
      <c r="AG564" s="67"/>
      <c r="AH564" s="67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  <c r="AD566" s="67"/>
      <c r="AE566" s="67"/>
      <c r="AF566" s="67"/>
      <c r="AG566" s="67"/>
      <c r="AH566" s="67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  <c r="AD567" s="67"/>
      <c r="AE567" s="67"/>
      <c r="AF567" s="67"/>
      <c r="AG567" s="67"/>
      <c r="AH567" s="67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  <c r="AD568" s="67"/>
      <c r="AE568" s="67"/>
      <c r="AF568" s="67"/>
      <c r="AG568" s="67"/>
      <c r="AH568" s="67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  <c r="AD569" s="67"/>
      <c r="AE569" s="67"/>
      <c r="AF569" s="67"/>
      <c r="AG569" s="67"/>
      <c r="AH569" s="67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  <c r="AD570" s="67"/>
      <c r="AE570" s="67"/>
      <c r="AF570" s="67"/>
      <c r="AG570" s="67"/>
      <c r="AH570" s="67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7"/>
      <c r="AE571" s="67"/>
      <c r="AF571" s="67"/>
      <c r="AG571" s="67"/>
      <c r="AH571" s="67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  <c r="AD572" s="67"/>
      <c r="AE572" s="67"/>
      <c r="AF572" s="67"/>
      <c r="AG572" s="67"/>
      <c r="AH572" s="67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  <c r="AD573" s="67"/>
      <c r="AE573" s="67"/>
      <c r="AF573" s="67"/>
      <c r="AG573" s="67"/>
      <c r="AH573" s="67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  <c r="AD574" s="67"/>
      <c r="AE574" s="67"/>
      <c r="AF574" s="67"/>
      <c r="AG574" s="67"/>
      <c r="AH574" s="67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  <c r="AD575" s="67"/>
      <c r="AE575" s="67"/>
      <c r="AF575" s="67"/>
      <c r="AG575" s="67"/>
      <c r="AH575" s="67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  <c r="AD576" s="67"/>
      <c r="AE576" s="67"/>
      <c r="AF576" s="67"/>
      <c r="AG576" s="67"/>
      <c r="AH576" s="67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  <c r="AD577" s="67"/>
      <c r="AE577" s="67"/>
      <c r="AF577" s="67"/>
      <c r="AG577" s="67"/>
      <c r="AH577" s="67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  <c r="AD578" s="67"/>
      <c r="AE578" s="67"/>
      <c r="AF578" s="67"/>
      <c r="AG578" s="67"/>
      <c r="AH578" s="67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  <c r="AD579" s="67"/>
      <c r="AE579" s="67"/>
      <c r="AF579" s="67"/>
      <c r="AG579" s="67"/>
      <c r="AH579" s="67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  <c r="AD580" s="67"/>
      <c r="AE580" s="67"/>
      <c r="AF580" s="67"/>
      <c r="AG580" s="67"/>
      <c r="AH580" s="67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  <c r="AD581" s="67"/>
      <c r="AE581" s="67"/>
      <c r="AF581" s="67"/>
      <c r="AG581" s="67"/>
      <c r="AH581" s="67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  <c r="AD582" s="67"/>
      <c r="AE582" s="67"/>
      <c r="AF582" s="67"/>
      <c r="AG582" s="67"/>
      <c r="AH582" s="67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  <c r="AD583" s="67"/>
      <c r="AE583" s="67"/>
      <c r="AF583" s="67"/>
      <c r="AG583" s="67"/>
      <c r="AH583" s="67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  <c r="AD584" s="67"/>
      <c r="AE584" s="67"/>
      <c r="AF584" s="67"/>
      <c r="AG584" s="67"/>
      <c r="AH584" s="67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  <c r="AD585" s="67"/>
      <c r="AE585" s="67"/>
      <c r="AF585" s="67"/>
      <c r="AG585" s="67"/>
      <c r="AH585" s="67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  <c r="AD586" s="67"/>
      <c r="AE586" s="67"/>
      <c r="AF586" s="67"/>
      <c r="AG586" s="67"/>
      <c r="AH586" s="67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  <c r="AD587" s="67"/>
      <c r="AE587" s="67"/>
      <c r="AF587" s="67"/>
      <c r="AG587" s="67"/>
      <c r="AH587" s="67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  <c r="AD588" s="67"/>
      <c r="AE588" s="67"/>
      <c r="AF588" s="67"/>
      <c r="AG588" s="67"/>
      <c r="AH588" s="67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  <c r="AD589" s="67"/>
      <c r="AE589" s="67"/>
      <c r="AF589" s="67"/>
      <c r="AG589" s="67"/>
      <c r="AH589" s="67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  <c r="AD590" s="67"/>
      <c r="AE590" s="67"/>
      <c r="AF590" s="67"/>
      <c r="AG590" s="67"/>
      <c r="AH590" s="67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  <c r="AD591" s="67"/>
      <c r="AE591" s="67"/>
      <c r="AF591" s="67"/>
      <c r="AG591" s="67"/>
      <c r="AH591" s="67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  <c r="AD592" s="67"/>
      <c r="AE592" s="67"/>
      <c r="AF592" s="67"/>
      <c r="AG592" s="67"/>
      <c r="AH592" s="67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  <c r="AD593" s="67"/>
      <c r="AE593" s="67"/>
      <c r="AF593" s="67"/>
      <c r="AG593" s="67"/>
      <c r="AH593" s="67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  <c r="AD594" s="67"/>
      <c r="AE594" s="67"/>
      <c r="AF594" s="67"/>
      <c r="AG594" s="67"/>
      <c r="AH594" s="67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  <c r="AD595" s="67"/>
      <c r="AE595" s="67"/>
      <c r="AF595" s="67"/>
      <c r="AG595" s="67"/>
      <c r="AH595" s="67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  <c r="AD596" s="67"/>
      <c r="AE596" s="67"/>
      <c r="AF596" s="67"/>
      <c r="AG596" s="67"/>
      <c r="AH596" s="67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  <c r="AD597" s="67"/>
      <c r="AE597" s="67"/>
      <c r="AF597" s="67"/>
      <c r="AG597" s="67"/>
      <c r="AH597" s="67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  <c r="AD598" s="67"/>
      <c r="AE598" s="67"/>
      <c r="AF598" s="67"/>
      <c r="AG598" s="67"/>
      <c r="AH598" s="67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  <c r="AD599" s="67"/>
      <c r="AE599" s="67"/>
      <c r="AF599" s="67"/>
      <c r="AG599" s="67"/>
      <c r="AH599" s="67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  <c r="AD600" s="67"/>
      <c r="AE600" s="67"/>
      <c r="AF600" s="67"/>
      <c r="AG600" s="67"/>
      <c r="AH600" s="67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  <c r="AD601" s="67"/>
      <c r="AE601" s="67"/>
      <c r="AF601" s="67"/>
      <c r="AG601" s="67"/>
      <c r="AH601" s="67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  <c r="AD602" s="67"/>
      <c r="AE602" s="67"/>
      <c r="AF602" s="67"/>
      <c r="AG602" s="67"/>
      <c r="AH602" s="67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  <c r="AD603" s="67"/>
      <c r="AE603" s="67"/>
      <c r="AF603" s="67"/>
      <c r="AG603" s="67"/>
      <c r="AH603" s="67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  <c r="AD604" s="67"/>
      <c r="AE604" s="67"/>
      <c r="AF604" s="67"/>
      <c r="AG604" s="67"/>
      <c r="AH604" s="67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  <c r="AD605" s="67"/>
      <c r="AE605" s="67"/>
      <c r="AF605" s="67"/>
      <c r="AG605" s="67"/>
      <c r="AH605" s="67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  <c r="AD606" s="67"/>
      <c r="AE606" s="67"/>
      <c r="AF606" s="67"/>
      <c r="AG606" s="67"/>
      <c r="AH606" s="67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  <c r="AD607" s="67"/>
      <c r="AE607" s="67"/>
      <c r="AF607" s="67"/>
      <c r="AG607" s="67"/>
      <c r="AH607" s="67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  <c r="AD608" s="67"/>
      <c r="AE608" s="67"/>
      <c r="AF608" s="67"/>
      <c r="AG608" s="67"/>
      <c r="AH608" s="67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  <c r="AD609" s="67"/>
      <c r="AE609" s="67"/>
      <c r="AF609" s="67"/>
      <c r="AG609" s="67"/>
      <c r="AH609" s="67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  <c r="AD610" s="67"/>
      <c r="AE610" s="67"/>
      <c r="AF610" s="67"/>
      <c r="AG610" s="67"/>
      <c r="AH610" s="67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  <c r="AD611" s="67"/>
      <c r="AE611" s="67"/>
      <c r="AF611" s="67"/>
      <c r="AG611" s="67"/>
      <c r="AH611" s="67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  <c r="AD612" s="67"/>
      <c r="AE612" s="67"/>
      <c r="AF612" s="67"/>
      <c r="AG612" s="67"/>
      <c r="AH612" s="67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  <c r="AD613" s="67"/>
      <c r="AE613" s="67"/>
      <c r="AF613" s="67"/>
      <c r="AG613" s="67"/>
      <c r="AH613" s="67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  <c r="AD614" s="67"/>
      <c r="AE614" s="67"/>
      <c r="AF614" s="67"/>
      <c r="AG614" s="67"/>
      <c r="AH614" s="67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  <c r="AD615" s="67"/>
      <c r="AE615" s="67"/>
      <c r="AF615" s="67"/>
      <c r="AG615" s="67"/>
      <c r="AH615" s="67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  <c r="AD616" s="67"/>
      <c r="AE616" s="67"/>
      <c r="AF616" s="67"/>
      <c r="AG616" s="67"/>
      <c r="AH616" s="67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  <c r="AD617" s="67"/>
      <c r="AE617" s="67"/>
      <c r="AF617" s="67"/>
      <c r="AG617" s="67"/>
      <c r="AH617" s="67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  <c r="AD619" s="67"/>
      <c r="AE619" s="67"/>
      <c r="AF619" s="67"/>
      <c r="AG619" s="67"/>
      <c r="AH619" s="67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  <c r="AD620" s="67"/>
      <c r="AE620" s="67"/>
      <c r="AF620" s="67"/>
      <c r="AG620" s="67"/>
      <c r="AH620" s="67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  <c r="AD621" s="67"/>
      <c r="AE621" s="67"/>
      <c r="AF621" s="67"/>
      <c r="AG621" s="67"/>
      <c r="AH621" s="67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  <c r="AD622" s="67"/>
      <c r="AE622" s="67"/>
      <c r="AF622" s="67"/>
      <c r="AG622" s="67"/>
      <c r="AH622" s="67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  <c r="AD623" s="67"/>
      <c r="AE623" s="67"/>
      <c r="AF623" s="67"/>
      <c r="AG623" s="67"/>
      <c r="AH623" s="67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  <c r="AD624" s="67"/>
      <c r="AE624" s="67"/>
      <c r="AF624" s="67"/>
      <c r="AG624" s="67"/>
      <c r="AH624" s="67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  <c r="AD625" s="67"/>
      <c r="AE625" s="67"/>
      <c r="AF625" s="67"/>
      <c r="AG625" s="67"/>
      <c r="AH625" s="67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  <c r="AD626" s="67"/>
      <c r="AE626" s="67"/>
      <c r="AF626" s="67"/>
      <c r="AG626" s="67"/>
      <c r="AH626" s="67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  <c r="AD627" s="67"/>
      <c r="AE627" s="67"/>
      <c r="AF627" s="67"/>
      <c r="AG627" s="67"/>
      <c r="AH627" s="67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  <c r="AD628" s="67"/>
      <c r="AE628" s="67"/>
      <c r="AF628" s="67"/>
      <c r="AG628" s="67"/>
      <c r="AH628" s="67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  <c r="AD629" s="67"/>
      <c r="AE629" s="67"/>
      <c r="AF629" s="67"/>
      <c r="AG629" s="67"/>
      <c r="AH629" s="67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  <c r="AD630" s="67"/>
      <c r="AE630" s="67"/>
      <c r="AF630" s="67"/>
      <c r="AG630" s="67"/>
      <c r="AH630" s="67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  <c r="AD631" s="67"/>
      <c r="AE631" s="67"/>
      <c r="AF631" s="67"/>
      <c r="AG631" s="67"/>
      <c r="AH631" s="67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  <c r="AD632" s="67"/>
      <c r="AE632" s="67"/>
      <c r="AF632" s="67"/>
      <c r="AG632" s="67"/>
      <c r="AH632" s="67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  <c r="AD633" s="67"/>
      <c r="AE633" s="67"/>
      <c r="AF633" s="67"/>
      <c r="AG633" s="67"/>
      <c r="AH633" s="67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  <c r="AD634" s="67"/>
      <c r="AE634" s="67"/>
      <c r="AF634" s="67"/>
      <c r="AG634" s="67"/>
      <c r="AH634" s="67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  <c r="AD635" s="67"/>
      <c r="AE635" s="67"/>
      <c r="AF635" s="67"/>
      <c r="AG635" s="67"/>
      <c r="AH635" s="67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  <c r="AD636" s="67"/>
      <c r="AE636" s="67"/>
      <c r="AF636" s="67"/>
      <c r="AG636" s="67"/>
      <c r="AH636" s="67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  <c r="AD637" s="67"/>
      <c r="AE637" s="67"/>
      <c r="AF637" s="67"/>
      <c r="AG637" s="67"/>
      <c r="AH637" s="67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  <c r="AD638" s="67"/>
      <c r="AE638" s="67"/>
      <c r="AF638" s="67"/>
      <c r="AG638" s="67"/>
      <c r="AH638" s="67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  <c r="AD639" s="67"/>
      <c r="AE639" s="67"/>
      <c r="AF639" s="67"/>
      <c r="AG639" s="67"/>
      <c r="AH639" s="67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  <c r="AD640" s="67"/>
      <c r="AE640" s="67"/>
      <c r="AF640" s="67"/>
      <c r="AG640" s="67"/>
      <c r="AH640" s="67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  <c r="AD641" s="67"/>
      <c r="AE641" s="67"/>
      <c r="AF641" s="67"/>
      <c r="AG641" s="67"/>
      <c r="AH641" s="67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  <c r="AD642" s="67"/>
      <c r="AE642" s="67"/>
      <c r="AF642" s="67"/>
      <c r="AG642" s="67"/>
      <c r="AH642" s="67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  <c r="AD643" s="67"/>
      <c r="AE643" s="67"/>
      <c r="AF643" s="67"/>
      <c r="AG643" s="67"/>
      <c r="AH643" s="67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  <c r="AD644" s="67"/>
      <c r="AE644" s="67"/>
      <c r="AF644" s="67"/>
      <c r="AG644" s="67"/>
      <c r="AH644" s="67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  <c r="AD645" s="67"/>
      <c r="AE645" s="67"/>
      <c r="AF645" s="67"/>
      <c r="AG645" s="67"/>
      <c r="AH645" s="67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  <c r="AD646" s="67"/>
      <c r="AE646" s="67"/>
      <c r="AF646" s="67"/>
      <c r="AG646" s="67"/>
      <c r="AH646" s="67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  <c r="AD647" s="67"/>
      <c r="AE647" s="67"/>
      <c r="AF647" s="67"/>
      <c r="AG647" s="67"/>
      <c r="AH647" s="67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  <c r="AD648" s="67"/>
      <c r="AE648" s="67"/>
      <c r="AF648" s="67"/>
      <c r="AG648" s="67"/>
      <c r="AH648" s="67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  <c r="AD649" s="67"/>
      <c r="AE649" s="67"/>
      <c r="AF649" s="67"/>
      <c r="AG649" s="67"/>
      <c r="AH649" s="67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  <c r="AD650" s="67"/>
      <c r="AE650" s="67"/>
      <c r="AF650" s="67"/>
      <c r="AG650" s="67"/>
      <c r="AH650" s="67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  <c r="AD651" s="67"/>
      <c r="AE651" s="67"/>
      <c r="AF651" s="67"/>
      <c r="AG651" s="67"/>
      <c r="AH651" s="67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  <c r="AD652" s="67"/>
      <c r="AE652" s="67"/>
      <c r="AF652" s="67"/>
      <c r="AG652" s="67"/>
      <c r="AH652" s="67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  <c r="AD653" s="67"/>
      <c r="AE653" s="67"/>
      <c r="AF653" s="67"/>
      <c r="AG653" s="67"/>
      <c r="AH653" s="67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  <c r="AD654" s="67"/>
      <c r="AE654" s="67"/>
      <c r="AF654" s="67"/>
      <c r="AG654" s="67"/>
      <c r="AH654" s="67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  <c r="AD655" s="67"/>
      <c r="AE655" s="67"/>
      <c r="AF655" s="67"/>
      <c r="AG655" s="67"/>
      <c r="AH655" s="67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  <c r="AD656" s="67"/>
      <c r="AE656" s="67"/>
      <c r="AF656" s="67"/>
      <c r="AG656" s="67"/>
      <c r="AH656" s="67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  <c r="AD657" s="67"/>
      <c r="AE657" s="67"/>
      <c r="AF657" s="67"/>
      <c r="AG657" s="67"/>
      <c r="AH657" s="67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  <c r="AD658" s="67"/>
      <c r="AE658" s="67"/>
      <c r="AF658" s="67"/>
      <c r="AG658" s="67"/>
      <c r="AH658" s="67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  <c r="AD659" s="67"/>
      <c r="AE659" s="67"/>
      <c r="AF659" s="67"/>
      <c r="AG659" s="67"/>
      <c r="AH659" s="67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  <c r="AD660" s="67"/>
      <c r="AE660" s="67"/>
      <c r="AF660" s="67"/>
      <c r="AG660" s="67"/>
      <c r="AH660" s="67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  <c r="AD661" s="67"/>
      <c r="AE661" s="67"/>
      <c r="AF661" s="67"/>
      <c r="AG661" s="67"/>
      <c r="AH661" s="67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  <c r="AD662" s="67"/>
      <c r="AE662" s="67"/>
      <c r="AF662" s="67"/>
      <c r="AG662" s="67"/>
      <c r="AH662" s="67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  <c r="AD663" s="67"/>
      <c r="AE663" s="67"/>
      <c r="AF663" s="67"/>
      <c r="AG663" s="67"/>
      <c r="AH663" s="67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  <c r="AD664" s="67"/>
      <c r="AE664" s="67"/>
      <c r="AF664" s="67"/>
      <c r="AG664" s="67"/>
      <c r="AH664" s="67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  <c r="AD665" s="67"/>
      <c r="AE665" s="67"/>
      <c r="AF665" s="67"/>
      <c r="AG665" s="67"/>
      <c r="AH665" s="67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  <c r="AD666" s="67"/>
      <c r="AE666" s="67"/>
      <c r="AF666" s="67"/>
      <c r="AG666" s="67"/>
      <c r="AH666" s="67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  <c r="AD667" s="67"/>
      <c r="AE667" s="67"/>
      <c r="AF667" s="67"/>
      <c r="AG667" s="67"/>
      <c r="AH667" s="67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  <c r="AD668" s="67"/>
      <c r="AE668" s="67"/>
      <c r="AF668" s="67"/>
      <c r="AG668" s="67"/>
      <c r="AH668" s="67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  <c r="AD669" s="67"/>
      <c r="AE669" s="67"/>
      <c r="AF669" s="67"/>
      <c r="AG669" s="67"/>
      <c r="AH669" s="67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  <c r="AD670" s="67"/>
      <c r="AE670" s="67"/>
      <c r="AF670" s="67"/>
      <c r="AG670" s="67"/>
      <c r="AH670" s="67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  <c r="AD672" s="67"/>
      <c r="AE672" s="67"/>
      <c r="AF672" s="67"/>
      <c r="AG672" s="67"/>
      <c r="AH672" s="67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  <c r="AD673" s="67"/>
      <c r="AE673" s="67"/>
      <c r="AF673" s="67"/>
      <c r="AG673" s="67"/>
      <c r="AH673" s="67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  <c r="AD674" s="67"/>
      <c r="AE674" s="67"/>
      <c r="AF674" s="67"/>
      <c r="AG674" s="67"/>
      <c r="AH674" s="67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  <c r="AD675" s="67"/>
      <c r="AE675" s="67"/>
      <c r="AF675" s="67"/>
      <c r="AG675" s="67"/>
      <c r="AH675" s="67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  <c r="AD676" s="67"/>
      <c r="AE676" s="67"/>
      <c r="AF676" s="67"/>
      <c r="AG676" s="67"/>
      <c r="AH676" s="67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  <c r="AD677" s="67"/>
      <c r="AE677" s="67"/>
      <c r="AF677" s="67"/>
      <c r="AG677" s="67"/>
      <c r="AH677" s="67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  <c r="AD678" s="67"/>
      <c r="AE678" s="67"/>
      <c r="AF678" s="67"/>
      <c r="AG678" s="67"/>
      <c r="AH678" s="67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  <c r="AD679" s="67"/>
      <c r="AE679" s="67"/>
      <c r="AF679" s="67"/>
      <c r="AG679" s="67"/>
      <c r="AH679" s="67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  <c r="AD680" s="67"/>
      <c r="AE680" s="67"/>
      <c r="AF680" s="67"/>
      <c r="AG680" s="67"/>
      <c r="AH680" s="67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  <c r="AD681" s="67"/>
      <c r="AE681" s="67"/>
      <c r="AF681" s="67"/>
      <c r="AG681" s="67"/>
      <c r="AH681" s="67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  <c r="AD682" s="67"/>
      <c r="AE682" s="67"/>
      <c r="AF682" s="67"/>
      <c r="AG682" s="67"/>
      <c r="AH682" s="67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  <c r="AD683" s="67"/>
      <c r="AE683" s="67"/>
      <c r="AF683" s="67"/>
      <c r="AG683" s="67"/>
      <c r="AH683" s="67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  <c r="AD684" s="67"/>
      <c r="AE684" s="67"/>
      <c r="AF684" s="67"/>
      <c r="AG684" s="67"/>
      <c r="AH684" s="67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  <c r="AD685" s="67"/>
      <c r="AE685" s="67"/>
      <c r="AF685" s="67"/>
      <c r="AG685" s="67"/>
      <c r="AH685" s="67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  <c r="AD686" s="67"/>
      <c r="AE686" s="67"/>
      <c r="AF686" s="67"/>
      <c r="AG686" s="67"/>
      <c r="AH686" s="67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  <c r="AD687" s="67"/>
      <c r="AE687" s="67"/>
      <c r="AF687" s="67"/>
      <c r="AG687" s="67"/>
      <c r="AH687" s="67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  <c r="AD688" s="67"/>
      <c r="AE688" s="67"/>
      <c r="AF688" s="67"/>
      <c r="AG688" s="67"/>
      <c r="AH688" s="67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  <c r="AD689" s="67"/>
      <c r="AE689" s="67"/>
      <c r="AF689" s="67"/>
      <c r="AG689" s="67"/>
      <c r="AH689" s="67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  <c r="AD690" s="67"/>
      <c r="AE690" s="67"/>
      <c r="AF690" s="67"/>
      <c r="AG690" s="67"/>
      <c r="AH690" s="67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  <c r="AD691" s="67"/>
      <c r="AE691" s="67"/>
      <c r="AF691" s="67"/>
      <c r="AG691" s="67"/>
      <c r="AH691" s="67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  <c r="AD692" s="67"/>
      <c r="AE692" s="67"/>
      <c r="AF692" s="67"/>
      <c r="AG692" s="67"/>
      <c r="AH692" s="67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  <c r="AD693" s="67"/>
      <c r="AE693" s="67"/>
      <c r="AF693" s="67"/>
      <c r="AG693" s="67"/>
      <c r="AH693" s="67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  <c r="AD694" s="67"/>
      <c r="AE694" s="67"/>
      <c r="AF694" s="67"/>
      <c r="AG694" s="67"/>
      <c r="AH694" s="67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  <c r="AD695" s="67"/>
      <c r="AE695" s="67"/>
      <c r="AF695" s="67"/>
      <c r="AG695" s="67"/>
      <c r="AH695" s="67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  <c r="AD696" s="67"/>
      <c r="AE696" s="67"/>
      <c r="AF696" s="67"/>
      <c r="AG696" s="67"/>
      <c r="AH696" s="67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  <c r="AD697" s="67"/>
      <c r="AE697" s="67"/>
      <c r="AF697" s="67"/>
      <c r="AG697" s="67"/>
      <c r="AH697" s="67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  <c r="AD698" s="67"/>
      <c r="AE698" s="67"/>
      <c r="AF698" s="67"/>
      <c r="AG698" s="67"/>
      <c r="AH698" s="67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  <c r="AD699" s="67"/>
      <c r="AE699" s="67"/>
      <c r="AF699" s="67"/>
      <c r="AG699" s="67"/>
      <c r="AH699" s="67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  <c r="AD700" s="67"/>
      <c r="AE700" s="67"/>
      <c r="AF700" s="67"/>
      <c r="AG700" s="67"/>
      <c r="AH700" s="67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  <c r="AD701" s="67"/>
      <c r="AE701" s="67"/>
      <c r="AF701" s="67"/>
      <c r="AG701" s="67"/>
      <c r="AH701" s="67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  <c r="AD702" s="67"/>
      <c r="AE702" s="67"/>
      <c r="AF702" s="67"/>
      <c r="AG702" s="67"/>
      <c r="AH702" s="67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  <c r="AD703" s="67"/>
      <c r="AE703" s="67"/>
      <c r="AF703" s="67"/>
      <c r="AG703" s="67"/>
      <c r="AH703" s="67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  <c r="AD704" s="67"/>
      <c r="AE704" s="67"/>
      <c r="AF704" s="67"/>
      <c r="AG704" s="67"/>
      <c r="AH704" s="67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  <c r="AD705" s="67"/>
      <c r="AE705" s="67"/>
      <c r="AF705" s="67"/>
      <c r="AG705" s="67"/>
      <c r="AH705" s="67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  <c r="AD706" s="67"/>
      <c r="AE706" s="67"/>
      <c r="AF706" s="67"/>
      <c r="AG706" s="67"/>
      <c r="AH706" s="67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  <c r="AD707" s="67"/>
      <c r="AE707" s="67"/>
      <c r="AF707" s="67"/>
      <c r="AG707" s="67"/>
      <c r="AH707" s="67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  <c r="AD708" s="67"/>
      <c r="AE708" s="67"/>
      <c r="AF708" s="67"/>
      <c r="AG708" s="67"/>
      <c r="AH708" s="67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  <c r="AD709" s="67"/>
      <c r="AE709" s="67"/>
      <c r="AF709" s="67"/>
      <c r="AG709" s="67"/>
      <c r="AH709" s="67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  <c r="AD710" s="67"/>
      <c r="AE710" s="67"/>
      <c r="AF710" s="67"/>
      <c r="AG710" s="67"/>
      <c r="AH710" s="67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  <c r="AD711" s="67"/>
      <c r="AE711" s="67"/>
      <c r="AF711" s="67"/>
      <c r="AG711" s="67"/>
      <c r="AH711" s="67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  <c r="AD712" s="67"/>
      <c r="AE712" s="67"/>
      <c r="AF712" s="67"/>
      <c r="AG712" s="67"/>
      <c r="AH712" s="67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  <c r="AD713" s="67"/>
      <c r="AE713" s="67"/>
      <c r="AF713" s="67"/>
      <c r="AG713" s="67"/>
      <c r="AH713" s="67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  <c r="AD714" s="67"/>
      <c r="AE714" s="67"/>
      <c r="AF714" s="67"/>
      <c r="AG714" s="67"/>
      <c r="AH714" s="67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  <c r="AD715" s="67"/>
      <c r="AE715" s="67"/>
      <c r="AF715" s="67"/>
      <c r="AG715" s="67"/>
      <c r="AH715" s="67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  <c r="AD716" s="67"/>
      <c r="AE716" s="67"/>
      <c r="AF716" s="67"/>
      <c r="AG716" s="67"/>
      <c r="AH716" s="67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  <c r="AD717" s="67"/>
      <c r="AE717" s="67"/>
      <c r="AF717" s="67"/>
      <c r="AG717" s="67"/>
      <c r="AH717" s="67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  <c r="AD718" s="67"/>
      <c r="AE718" s="67"/>
      <c r="AF718" s="67"/>
      <c r="AG718" s="67"/>
      <c r="AH718" s="67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  <c r="AD719" s="67"/>
      <c r="AE719" s="67"/>
      <c r="AF719" s="67"/>
      <c r="AG719" s="67"/>
      <c r="AH719" s="67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  <c r="AD720" s="67"/>
      <c r="AE720" s="67"/>
      <c r="AF720" s="67"/>
      <c r="AG720" s="67"/>
      <c r="AH720" s="67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  <c r="AD721" s="67"/>
      <c r="AE721" s="67"/>
      <c r="AF721" s="67"/>
      <c r="AG721" s="67"/>
      <c r="AH721" s="67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  <c r="AD722" s="67"/>
      <c r="AE722" s="67"/>
      <c r="AF722" s="67"/>
      <c r="AG722" s="67"/>
      <c r="AH722" s="67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  <c r="AD723" s="67"/>
      <c r="AE723" s="67"/>
      <c r="AF723" s="67"/>
      <c r="AG723" s="67"/>
      <c r="AH723" s="67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  <c r="AD725" s="67"/>
      <c r="AE725" s="67"/>
      <c r="AF725" s="67"/>
      <c r="AG725" s="67"/>
      <c r="AH725" s="67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  <c r="AD726" s="67"/>
      <c r="AE726" s="67"/>
      <c r="AF726" s="67"/>
      <c r="AG726" s="67"/>
      <c r="AH726" s="67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  <c r="AD727" s="67"/>
      <c r="AE727" s="67"/>
      <c r="AF727" s="67"/>
      <c r="AG727" s="67"/>
      <c r="AH727" s="67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  <c r="AD730" s="67"/>
      <c r="AE730" s="67"/>
      <c r="AF730" s="67"/>
      <c r="AG730" s="67"/>
      <c r="AH730" s="67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  <c r="AD731" s="67"/>
      <c r="AE731" s="67"/>
      <c r="AF731" s="67"/>
      <c r="AG731" s="67"/>
      <c r="AH731" s="67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  <c r="AD732" s="67"/>
      <c r="AE732" s="67"/>
      <c r="AF732" s="67"/>
      <c r="AG732" s="67"/>
      <c r="AH732" s="67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  <c r="AD733" s="67"/>
      <c r="AE733" s="67"/>
      <c r="AF733" s="67"/>
      <c r="AG733" s="67"/>
      <c r="AH733" s="67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  <c r="AD734" s="67"/>
      <c r="AE734" s="67"/>
      <c r="AF734" s="67"/>
      <c r="AG734" s="67"/>
      <c r="AH734" s="67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  <c r="AD735" s="67"/>
      <c r="AE735" s="67"/>
      <c r="AF735" s="67"/>
      <c r="AG735" s="67"/>
      <c r="AH735" s="67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  <c r="AD736" s="67"/>
      <c r="AE736" s="67"/>
      <c r="AF736" s="67"/>
      <c r="AG736" s="67"/>
      <c r="AH736" s="67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  <c r="AD737" s="67"/>
      <c r="AE737" s="67"/>
      <c r="AF737" s="67"/>
      <c r="AG737" s="67"/>
      <c r="AH737" s="67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  <c r="AD738" s="67"/>
      <c r="AE738" s="67"/>
      <c r="AF738" s="67"/>
      <c r="AG738" s="67"/>
      <c r="AH738" s="67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  <c r="AD739" s="67"/>
      <c r="AE739" s="67"/>
      <c r="AF739" s="67"/>
      <c r="AG739" s="67"/>
      <c r="AH739" s="67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  <c r="AD740" s="67"/>
      <c r="AE740" s="67"/>
      <c r="AF740" s="67"/>
      <c r="AG740" s="67"/>
      <c r="AH740" s="67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  <c r="AD741" s="67"/>
      <c r="AE741" s="67"/>
      <c r="AF741" s="67"/>
      <c r="AG741" s="67"/>
      <c r="AH741" s="67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  <c r="AD742" s="67"/>
      <c r="AE742" s="67"/>
      <c r="AF742" s="67"/>
      <c r="AG742" s="67"/>
      <c r="AH742" s="67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  <c r="AD743" s="67"/>
      <c r="AE743" s="67"/>
      <c r="AF743" s="67"/>
      <c r="AG743" s="67"/>
      <c r="AH743" s="67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  <c r="AD744" s="67"/>
      <c r="AE744" s="67"/>
      <c r="AF744" s="67"/>
      <c r="AG744" s="67"/>
      <c r="AH744" s="67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  <c r="AD745" s="67"/>
      <c r="AE745" s="67"/>
      <c r="AF745" s="67"/>
      <c r="AG745" s="67"/>
      <c r="AH745" s="67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  <c r="AD746" s="67"/>
      <c r="AE746" s="67"/>
      <c r="AF746" s="67"/>
      <c r="AG746" s="67"/>
      <c r="AH746" s="67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  <c r="AD747" s="67"/>
      <c r="AE747" s="67"/>
      <c r="AF747" s="67"/>
      <c r="AG747" s="67"/>
      <c r="AH747" s="67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  <c r="AD748" s="67"/>
      <c r="AE748" s="67"/>
      <c r="AF748" s="67"/>
      <c r="AG748" s="67"/>
      <c r="AH748" s="67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  <c r="AD749" s="67"/>
      <c r="AE749" s="67"/>
      <c r="AF749" s="67"/>
      <c r="AG749" s="67"/>
      <c r="AH749" s="67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  <c r="AD750" s="67"/>
      <c r="AE750" s="67"/>
      <c r="AF750" s="67"/>
      <c r="AG750" s="67"/>
      <c r="AH750" s="67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  <c r="AD751" s="67"/>
      <c r="AE751" s="67"/>
      <c r="AF751" s="67"/>
      <c r="AG751" s="67"/>
      <c r="AH751" s="67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  <c r="AD752" s="67"/>
      <c r="AE752" s="67"/>
      <c r="AF752" s="67"/>
      <c r="AG752" s="67"/>
      <c r="AH752" s="67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  <c r="AD753" s="67"/>
      <c r="AE753" s="67"/>
      <c r="AF753" s="67"/>
      <c r="AG753" s="67"/>
      <c r="AH753" s="67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  <c r="AD754" s="67"/>
      <c r="AE754" s="67"/>
      <c r="AF754" s="67"/>
      <c r="AG754" s="67"/>
      <c r="AH754" s="67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  <c r="AD755" s="67"/>
      <c r="AE755" s="67"/>
      <c r="AF755" s="67"/>
      <c r="AG755" s="67"/>
      <c r="AH755" s="67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  <c r="AD756" s="67"/>
      <c r="AE756" s="67"/>
      <c r="AF756" s="67"/>
      <c r="AG756" s="67"/>
      <c r="AH756" s="67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  <c r="AD760" s="67"/>
      <c r="AE760" s="67"/>
      <c r="AF760" s="67"/>
      <c r="AG760" s="67"/>
      <c r="AH760" s="67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  <c r="AD761" s="67"/>
      <c r="AE761" s="67"/>
      <c r="AF761" s="67"/>
      <c r="AG761" s="67"/>
      <c r="AH761" s="67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  <c r="AD762" s="67"/>
      <c r="AE762" s="67"/>
      <c r="AF762" s="67"/>
      <c r="AG762" s="67"/>
      <c r="AH762" s="67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  <c r="AD763" s="67"/>
      <c r="AE763" s="67"/>
      <c r="AF763" s="67"/>
      <c r="AG763" s="67"/>
      <c r="AH763" s="67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  <c r="AD764" s="67"/>
      <c r="AE764" s="67"/>
      <c r="AF764" s="67"/>
      <c r="AG764" s="67"/>
      <c r="AH764" s="67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  <c r="AD765" s="67"/>
      <c r="AE765" s="67"/>
      <c r="AF765" s="67"/>
      <c r="AG765" s="67"/>
      <c r="AH765" s="67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  <c r="AD766" s="67"/>
      <c r="AE766" s="67"/>
      <c r="AF766" s="67"/>
      <c r="AG766" s="67"/>
      <c r="AH766" s="67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  <c r="AD767" s="67"/>
      <c r="AE767" s="67"/>
      <c r="AF767" s="67"/>
      <c r="AG767" s="67"/>
      <c r="AH767" s="67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  <c r="AD768" s="67"/>
      <c r="AE768" s="67"/>
      <c r="AF768" s="67"/>
      <c r="AG768" s="67"/>
      <c r="AH768" s="67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  <c r="AD769" s="67"/>
      <c r="AE769" s="67"/>
      <c r="AF769" s="67"/>
      <c r="AG769" s="67"/>
      <c r="AH769" s="67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  <c r="AD770" s="67"/>
      <c r="AE770" s="67"/>
      <c r="AF770" s="67"/>
      <c r="AG770" s="67"/>
      <c r="AH770" s="67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  <c r="AD771" s="67"/>
      <c r="AE771" s="67"/>
      <c r="AF771" s="67"/>
      <c r="AG771" s="67"/>
      <c r="AH771" s="67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  <c r="AD772" s="67"/>
      <c r="AE772" s="67"/>
      <c r="AF772" s="67"/>
      <c r="AG772" s="67"/>
      <c r="AH772" s="67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  <c r="AD773" s="67"/>
      <c r="AE773" s="67"/>
      <c r="AF773" s="67"/>
      <c r="AG773" s="67"/>
      <c r="AH773" s="67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  <c r="AD774" s="67"/>
      <c r="AE774" s="67"/>
      <c r="AF774" s="67"/>
      <c r="AG774" s="67"/>
      <c r="AH774" s="67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  <c r="AD775" s="67"/>
      <c r="AE775" s="67"/>
      <c r="AF775" s="67"/>
      <c r="AG775" s="67"/>
      <c r="AH775" s="67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  <c r="AD776" s="67"/>
      <c r="AE776" s="67"/>
      <c r="AF776" s="67"/>
      <c r="AG776" s="67"/>
      <c r="AH776" s="67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  <c r="AD778" s="67"/>
      <c r="AE778" s="67"/>
      <c r="AF778" s="67"/>
      <c r="AG778" s="67"/>
      <c r="AH778" s="67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  <c r="AD779" s="67"/>
      <c r="AE779" s="67"/>
      <c r="AF779" s="67"/>
      <c r="AG779" s="67"/>
      <c r="AH779" s="67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  <c r="AD780" s="67"/>
      <c r="AE780" s="67"/>
      <c r="AF780" s="67"/>
      <c r="AG780" s="67"/>
      <c r="AH780" s="67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  <c r="AD781" s="67"/>
      <c r="AE781" s="67"/>
      <c r="AF781" s="67"/>
      <c r="AG781" s="67"/>
      <c r="AH781" s="67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  <c r="AD782" s="67"/>
      <c r="AE782" s="67"/>
      <c r="AF782" s="67"/>
      <c r="AG782" s="67"/>
      <c r="AH782" s="67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  <c r="AD783" s="67"/>
      <c r="AE783" s="67"/>
      <c r="AF783" s="67"/>
      <c r="AG783" s="67"/>
      <c r="AH783" s="67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  <c r="AD784" s="67"/>
      <c r="AE784" s="67"/>
      <c r="AF784" s="67"/>
      <c r="AG784" s="67"/>
      <c r="AH784" s="67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  <c r="AD785" s="67"/>
      <c r="AE785" s="67"/>
      <c r="AF785" s="67"/>
      <c r="AG785" s="67"/>
      <c r="AH785" s="67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  <c r="AD786" s="67"/>
      <c r="AE786" s="67"/>
      <c r="AF786" s="67"/>
      <c r="AG786" s="67"/>
      <c r="AH786" s="67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  <c r="AD787" s="67"/>
      <c r="AE787" s="67"/>
      <c r="AF787" s="67"/>
      <c r="AG787" s="67"/>
      <c r="AH787" s="67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  <c r="AD788" s="67"/>
      <c r="AE788" s="67"/>
      <c r="AF788" s="67"/>
      <c r="AG788" s="67"/>
      <c r="AH788" s="67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  <c r="AD789" s="67"/>
      <c r="AE789" s="67"/>
      <c r="AF789" s="67"/>
      <c r="AG789" s="67"/>
      <c r="AH789" s="67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  <c r="AD790" s="67"/>
      <c r="AE790" s="67"/>
      <c r="AF790" s="67"/>
      <c r="AG790" s="67"/>
      <c r="AH790" s="67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  <c r="AD791" s="67"/>
      <c r="AE791" s="67"/>
      <c r="AF791" s="67"/>
      <c r="AG791" s="67"/>
      <c r="AH791" s="67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  <c r="AD792" s="67"/>
      <c r="AE792" s="67"/>
      <c r="AF792" s="67"/>
      <c r="AG792" s="67"/>
      <c r="AH792" s="67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  <c r="AD793" s="67"/>
      <c r="AE793" s="67"/>
      <c r="AF793" s="67"/>
      <c r="AG793" s="67"/>
      <c r="AH793" s="67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  <c r="AD794" s="67"/>
      <c r="AE794" s="67"/>
      <c r="AF794" s="67"/>
      <c r="AG794" s="67"/>
      <c r="AH794" s="67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  <c r="AD795" s="67"/>
      <c r="AE795" s="67"/>
      <c r="AF795" s="67"/>
      <c r="AG795" s="67"/>
      <c r="AH795" s="67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  <c r="AD796" s="67"/>
      <c r="AE796" s="67"/>
      <c r="AF796" s="67"/>
      <c r="AG796" s="67"/>
      <c r="AH796" s="67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  <c r="AD797" s="67"/>
      <c r="AE797" s="67"/>
      <c r="AF797" s="67"/>
      <c r="AG797" s="67"/>
      <c r="AH797" s="67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  <c r="AD798" s="67"/>
      <c r="AE798" s="67"/>
      <c r="AF798" s="67"/>
      <c r="AG798" s="67"/>
      <c r="AH798" s="67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  <c r="AD799" s="67"/>
      <c r="AE799" s="67"/>
      <c r="AF799" s="67"/>
      <c r="AG799" s="67"/>
      <c r="AH799" s="67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  <c r="AD800" s="67"/>
      <c r="AE800" s="67"/>
      <c r="AF800" s="67"/>
      <c r="AG800" s="67"/>
      <c r="AH800" s="67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  <c r="AD801" s="67"/>
      <c r="AE801" s="67"/>
      <c r="AF801" s="67"/>
      <c r="AG801" s="67"/>
      <c r="AH801" s="67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  <c r="AD802" s="67"/>
      <c r="AE802" s="67"/>
      <c r="AF802" s="67"/>
      <c r="AG802" s="67"/>
      <c r="AH802" s="67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  <c r="AD803" s="67"/>
      <c r="AE803" s="67"/>
      <c r="AF803" s="67"/>
      <c r="AG803" s="67"/>
      <c r="AH803" s="67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  <c r="AD804" s="67"/>
      <c r="AE804" s="67"/>
      <c r="AF804" s="67"/>
      <c r="AG804" s="67"/>
      <c r="AH804" s="67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  <c r="AD805" s="67"/>
      <c r="AE805" s="67"/>
      <c r="AF805" s="67"/>
      <c r="AG805" s="67"/>
      <c r="AH805" s="67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  <c r="AD806" s="67"/>
      <c r="AE806" s="67"/>
      <c r="AF806" s="67"/>
      <c r="AG806" s="67"/>
      <c r="AH806" s="67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  <c r="AD807" s="67"/>
      <c r="AE807" s="67"/>
      <c r="AF807" s="67"/>
      <c r="AG807" s="67"/>
      <c r="AH807" s="67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  <c r="AD808" s="67"/>
      <c r="AE808" s="67"/>
      <c r="AF808" s="67"/>
      <c r="AG808" s="67"/>
      <c r="AH808" s="67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  <c r="AD809" s="67"/>
      <c r="AE809" s="67"/>
      <c r="AF809" s="67"/>
      <c r="AG809" s="67"/>
      <c r="AH809" s="67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  <c r="AD810" s="67"/>
      <c r="AE810" s="67"/>
      <c r="AF810" s="67"/>
      <c r="AG810" s="67"/>
      <c r="AH810" s="67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  <c r="AD811" s="67"/>
      <c r="AE811" s="67"/>
      <c r="AF811" s="67"/>
      <c r="AG811" s="67"/>
      <c r="AH811" s="67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  <c r="AD812" s="67"/>
      <c r="AE812" s="67"/>
      <c r="AF812" s="67"/>
      <c r="AG812" s="67"/>
      <c r="AH812" s="67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  <c r="AD813" s="67"/>
      <c r="AE813" s="67"/>
      <c r="AF813" s="67"/>
      <c r="AG813" s="67"/>
      <c r="AH813" s="67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  <c r="AD814" s="67"/>
      <c r="AE814" s="67"/>
      <c r="AF814" s="67"/>
      <c r="AG814" s="67"/>
      <c r="AH814" s="67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  <c r="AD815" s="67"/>
      <c r="AE815" s="67"/>
      <c r="AF815" s="67"/>
      <c r="AG815" s="67"/>
      <c r="AH815" s="67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  <c r="AD816" s="67"/>
      <c r="AE816" s="67"/>
      <c r="AF816" s="67"/>
      <c r="AG816" s="67"/>
      <c r="AH816" s="67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  <c r="AD817" s="67"/>
      <c r="AE817" s="67"/>
      <c r="AF817" s="67"/>
      <c r="AG817" s="67"/>
      <c r="AH817" s="67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  <c r="AD818" s="67"/>
      <c r="AE818" s="67"/>
      <c r="AF818" s="67"/>
      <c r="AG818" s="67"/>
      <c r="AH818" s="67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  <c r="AD819" s="67"/>
      <c r="AE819" s="67"/>
      <c r="AF819" s="67"/>
      <c r="AG819" s="67"/>
      <c r="AH819" s="67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  <c r="AD820" s="67"/>
      <c r="AE820" s="67"/>
      <c r="AF820" s="67"/>
      <c r="AG820" s="67"/>
      <c r="AH820" s="67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  <c r="AD821" s="67"/>
      <c r="AE821" s="67"/>
      <c r="AF821" s="67"/>
      <c r="AG821" s="67"/>
      <c r="AH821" s="67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  <c r="AD822" s="67"/>
      <c r="AE822" s="67"/>
      <c r="AF822" s="67"/>
      <c r="AG822" s="67"/>
      <c r="AH822" s="67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  <c r="AD823" s="67"/>
      <c r="AE823" s="67"/>
      <c r="AF823" s="67"/>
      <c r="AG823" s="67"/>
      <c r="AH823" s="67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  <c r="AD824" s="67"/>
      <c r="AE824" s="67"/>
      <c r="AF824" s="67"/>
      <c r="AG824" s="67"/>
      <c r="AH824" s="67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  <c r="AD825" s="67"/>
      <c r="AE825" s="67"/>
      <c r="AF825" s="67"/>
      <c r="AG825" s="67"/>
      <c r="AH825" s="67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  <c r="AD826" s="67"/>
      <c r="AE826" s="67"/>
      <c r="AF826" s="67"/>
      <c r="AG826" s="67"/>
      <c r="AH826" s="67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  <c r="AD827" s="67"/>
      <c r="AE827" s="67"/>
      <c r="AF827" s="67"/>
      <c r="AG827" s="67"/>
      <c r="AH827" s="67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  <c r="AD828" s="67"/>
      <c r="AE828" s="67"/>
      <c r="AF828" s="67"/>
      <c r="AG828" s="67"/>
      <c r="AH828" s="67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  <c r="AD829" s="67"/>
      <c r="AE829" s="67"/>
      <c r="AF829" s="67"/>
      <c r="AG829" s="67"/>
      <c r="AH829" s="67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  <c r="AD831" s="67"/>
      <c r="AE831" s="67"/>
      <c r="AF831" s="67"/>
      <c r="AG831" s="67"/>
      <c r="AH831" s="67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  <c r="AD832" s="67"/>
      <c r="AE832" s="67"/>
      <c r="AF832" s="67"/>
      <c r="AG832" s="67"/>
      <c r="AH832" s="67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  <c r="AD833" s="67"/>
      <c r="AE833" s="67"/>
      <c r="AF833" s="67"/>
      <c r="AG833" s="67"/>
      <c r="AH833" s="67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  <c r="AD834" s="67"/>
      <c r="AE834" s="67"/>
      <c r="AF834" s="67"/>
      <c r="AG834" s="67"/>
      <c r="AH834" s="67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  <c r="AD835" s="67"/>
      <c r="AE835" s="67"/>
      <c r="AF835" s="67"/>
      <c r="AG835" s="67"/>
      <c r="AH835" s="67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  <c r="AD836" s="67"/>
      <c r="AE836" s="67"/>
      <c r="AF836" s="67"/>
      <c r="AG836" s="67"/>
      <c r="AH836" s="67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  <c r="AD837" s="67"/>
      <c r="AE837" s="67"/>
      <c r="AF837" s="67"/>
      <c r="AG837" s="67"/>
      <c r="AH837" s="67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  <c r="AD838" s="67"/>
      <c r="AE838" s="67"/>
      <c r="AF838" s="67"/>
      <c r="AG838" s="67"/>
      <c r="AH838" s="67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  <c r="AD839" s="67"/>
      <c r="AE839" s="67"/>
      <c r="AF839" s="67"/>
      <c r="AG839" s="67"/>
      <c r="AH839" s="67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  <c r="AD840" s="67"/>
      <c r="AE840" s="67"/>
      <c r="AF840" s="67"/>
      <c r="AG840" s="67"/>
      <c r="AH840" s="67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  <c r="AD841" s="67"/>
      <c r="AE841" s="67"/>
      <c r="AF841" s="67"/>
      <c r="AG841" s="67"/>
      <c r="AH841" s="67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  <c r="AD842" s="67"/>
      <c r="AE842" s="67"/>
      <c r="AF842" s="67"/>
      <c r="AG842" s="67"/>
      <c r="AH842" s="67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  <c r="AD843" s="67"/>
      <c r="AE843" s="67"/>
      <c r="AF843" s="67"/>
      <c r="AG843" s="67"/>
      <c r="AH843" s="67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  <c r="AD844" s="67"/>
      <c r="AE844" s="67"/>
      <c r="AF844" s="67"/>
      <c r="AG844" s="67"/>
      <c r="AH844" s="67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  <c r="AD845" s="67"/>
      <c r="AE845" s="67"/>
      <c r="AF845" s="67"/>
      <c r="AG845" s="67"/>
      <c r="AH845" s="67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  <c r="AD846" s="67"/>
      <c r="AE846" s="67"/>
      <c r="AF846" s="67"/>
      <c r="AG846" s="67"/>
      <c r="AH846" s="67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  <c r="AD847" s="67"/>
      <c r="AE847" s="67"/>
      <c r="AF847" s="67"/>
      <c r="AG847" s="67"/>
      <c r="AH847" s="67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  <c r="AD848" s="67"/>
      <c r="AE848" s="67"/>
      <c r="AF848" s="67"/>
      <c r="AG848" s="67"/>
      <c r="AH848" s="67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  <c r="AD849" s="67"/>
      <c r="AE849" s="67"/>
      <c r="AF849" s="67"/>
      <c r="AG849" s="67"/>
      <c r="AH849" s="67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  <c r="AD850" s="67"/>
      <c r="AE850" s="67"/>
      <c r="AF850" s="67"/>
      <c r="AG850" s="67"/>
      <c r="AH850" s="67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  <c r="AD851" s="67"/>
      <c r="AE851" s="67"/>
      <c r="AF851" s="67"/>
      <c r="AG851" s="67"/>
      <c r="AH851" s="67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  <c r="AD852" s="67"/>
      <c r="AE852" s="67"/>
      <c r="AF852" s="67"/>
      <c r="AG852" s="67"/>
      <c r="AH852" s="67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  <c r="AD853" s="67"/>
      <c r="AE853" s="67"/>
      <c r="AF853" s="67"/>
      <c r="AG853" s="67"/>
      <c r="AH853" s="67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  <c r="AD854" s="67"/>
      <c r="AE854" s="67"/>
      <c r="AF854" s="67"/>
      <c r="AG854" s="67"/>
      <c r="AH854" s="67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  <c r="AD855" s="67"/>
      <c r="AE855" s="67"/>
      <c r="AF855" s="67"/>
      <c r="AG855" s="67"/>
      <c r="AH855" s="67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  <c r="AD856" s="67"/>
      <c r="AE856" s="67"/>
      <c r="AF856" s="67"/>
      <c r="AG856" s="67"/>
      <c r="AH856" s="67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  <c r="AD857" s="67"/>
      <c r="AE857" s="67"/>
      <c r="AF857" s="67"/>
      <c r="AG857" s="67"/>
      <c r="AH857" s="67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  <c r="AD858" s="67"/>
      <c r="AE858" s="67"/>
      <c r="AF858" s="67"/>
      <c r="AG858" s="67"/>
      <c r="AH858" s="67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  <c r="AD859" s="67"/>
      <c r="AE859" s="67"/>
      <c r="AF859" s="67"/>
      <c r="AG859" s="67"/>
      <c r="AH859" s="67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  <c r="AD860" s="67"/>
      <c r="AE860" s="67"/>
      <c r="AF860" s="67"/>
      <c r="AG860" s="67"/>
      <c r="AH860" s="67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  <c r="AD861" s="67"/>
      <c r="AE861" s="67"/>
      <c r="AF861" s="67"/>
      <c r="AG861" s="67"/>
      <c r="AH861" s="67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  <c r="AD862" s="67"/>
      <c r="AE862" s="67"/>
      <c r="AF862" s="67"/>
      <c r="AG862" s="67"/>
      <c r="AH862" s="67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  <c r="AD863" s="67"/>
      <c r="AE863" s="67"/>
      <c r="AF863" s="67"/>
      <c r="AG863" s="67"/>
      <c r="AH863" s="67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  <c r="AD864" s="67"/>
      <c r="AE864" s="67"/>
      <c r="AF864" s="67"/>
      <c r="AG864" s="67"/>
      <c r="AH864" s="67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  <c r="AD865" s="67"/>
      <c r="AE865" s="67"/>
      <c r="AF865" s="67"/>
      <c r="AG865" s="67"/>
      <c r="AH865" s="67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  <c r="AD866" s="67"/>
      <c r="AE866" s="67"/>
      <c r="AF866" s="67"/>
      <c r="AG866" s="67"/>
      <c r="AH866" s="67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  <c r="AD867" s="67"/>
      <c r="AE867" s="67"/>
      <c r="AF867" s="67"/>
      <c r="AG867" s="67"/>
      <c r="AH867" s="67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  <c r="AD868" s="67"/>
      <c r="AE868" s="67"/>
      <c r="AF868" s="67"/>
      <c r="AG868" s="67"/>
      <c r="AH868" s="67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  <c r="AD869" s="67"/>
      <c r="AE869" s="67"/>
      <c r="AF869" s="67"/>
      <c r="AG869" s="67"/>
      <c r="AH869" s="67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  <c r="AD870" s="67"/>
      <c r="AE870" s="67"/>
      <c r="AF870" s="67"/>
      <c r="AG870" s="67"/>
      <c r="AH870" s="67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  <c r="AD871" s="67"/>
      <c r="AE871" s="67"/>
      <c r="AF871" s="67"/>
      <c r="AG871" s="67"/>
      <c r="AH871" s="67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  <c r="AD872" s="67"/>
      <c r="AE872" s="67"/>
      <c r="AF872" s="67"/>
      <c r="AG872" s="67"/>
      <c r="AH872" s="67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  <c r="AD873" s="67"/>
      <c r="AE873" s="67"/>
      <c r="AF873" s="67"/>
      <c r="AG873" s="67"/>
      <c r="AH873" s="67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  <c r="AD874" s="67"/>
      <c r="AE874" s="67"/>
      <c r="AF874" s="67"/>
      <c r="AG874" s="67"/>
      <c r="AH874" s="67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  <c r="AD875" s="67"/>
      <c r="AE875" s="67"/>
      <c r="AF875" s="67"/>
      <c r="AG875" s="67"/>
      <c r="AH875" s="67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  <c r="AD876" s="67"/>
      <c r="AE876" s="67"/>
      <c r="AF876" s="67"/>
      <c r="AG876" s="67"/>
      <c r="AH876" s="67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  <c r="AD877" s="67"/>
      <c r="AE877" s="67"/>
      <c r="AF877" s="67"/>
      <c r="AG877" s="67"/>
      <c r="AH877" s="67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  <c r="AD878" s="67"/>
      <c r="AE878" s="67"/>
      <c r="AF878" s="67"/>
      <c r="AG878" s="67"/>
      <c r="AH878" s="67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  <c r="AD879" s="67"/>
      <c r="AE879" s="67"/>
      <c r="AF879" s="67"/>
      <c r="AG879" s="67"/>
      <c r="AH879" s="67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  <c r="AD880" s="67"/>
      <c r="AE880" s="67"/>
      <c r="AF880" s="67"/>
      <c r="AG880" s="67"/>
      <c r="AH880" s="67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  <c r="AD881" s="67"/>
      <c r="AE881" s="67"/>
      <c r="AF881" s="67"/>
      <c r="AG881" s="67"/>
      <c r="AH881" s="67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  <c r="AD882" s="67"/>
      <c r="AE882" s="67"/>
      <c r="AF882" s="67"/>
      <c r="AG882" s="67"/>
      <c r="AH882" s="67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  <c r="AD884" s="67"/>
      <c r="AE884" s="67"/>
      <c r="AF884" s="67"/>
      <c r="AG884" s="67"/>
      <c r="AH884" s="67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  <c r="AD885" s="67"/>
      <c r="AE885" s="67"/>
      <c r="AF885" s="67"/>
      <c r="AG885" s="67"/>
      <c r="AH885" s="67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  <c r="AD886" s="67"/>
      <c r="AE886" s="67"/>
      <c r="AF886" s="67"/>
      <c r="AG886" s="67"/>
      <c r="AH886" s="67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  <c r="AD887" s="67"/>
      <c r="AE887" s="67"/>
      <c r="AF887" s="67"/>
      <c r="AG887" s="67"/>
      <c r="AH887" s="67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  <c r="AD888" s="67"/>
      <c r="AE888" s="67"/>
      <c r="AF888" s="67"/>
      <c r="AG888" s="67"/>
      <c r="AH888" s="67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  <c r="AD889" s="67"/>
      <c r="AE889" s="67"/>
      <c r="AF889" s="67"/>
      <c r="AG889" s="67"/>
      <c r="AH889" s="67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  <c r="AD890" s="67"/>
      <c r="AE890" s="67"/>
      <c r="AF890" s="67"/>
      <c r="AG890" s="67"/>
      <c r="AH890" s="67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  <c r="AD891" s="67"/>
      <c r="AE891" s="67"/>
      <c r="AF891" s="67"/>
      <c r="AG891" s="67"/>
      <c r="AH891" s="67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  <c r="AD892" s="67"/>
      <c r="AE892" s="67"/>
      <c r="AF892" s="67"/>
      <c r="AG892" s="67"/>
      <c r="AH892" s="67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  <c r="AD893" s="67"/>
      <c r="AE893" s="67"/>
      <c r="AF893" s="67"/>
      <c r="AG893" s="67"/>
      <c r="AH893" s="67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  <c r="AD894" s="67"/>
      <c r="AE894" s="67"/>
      <c r="AF894" s="67"/>
      <c r="AG894" s="67"/>
      <c r="AH894" s="67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  <c r="AD895" s="67"/>
      <c r="AE895" s="67"/>
      <c r="AF895" s="67"/>
      <c r="AG895" s="67"/>
      <c r="AH895" s="67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  <c r="AD896" s="67"/>
      <c r="AE896" s="67"/>
      <c r="AF896" s="67"/>
      <c r="AG896" s="67"/>
      <c r="AH896" s="67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  <c r="AD897" s="67"/>
      <c r="AE897" s="67"/>
      <c r="AF897" s="67"/>
      <c r="AG897" s="67"/>
      <c r="AH897" s="67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  <c r="AD898" s="67"/>
      <c r="AE898" s="67"/>
      <c r="AF898" s="67"/>
      <c r="AG898" s="67"/>
      <c r="AH898" s="67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  <c r="AD899" s="67"/>
      <c r="AE899" s="67"/>
      <c r="AF899" s="67"/>
      <c r="AG899" s="67"/>
      <c r="AH899" s="67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  <c r="AD900" s="67"/>
      <c r="AE900" s="67"/>
      <c r="AF900" s="67"/>
      <c r="AG900" s="67"/>
      <c r="AH900" s="67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  <c r="AD901" s="67"/>
      <c r="AE901" s="67"/>
      <c r="AF901" s="67"/>
      <c r="AG901" s="67"/>
      <c r="AH901" s="67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  <c r="AD902" s="67"/>
      <c r="AE902" s="67"/>
      <c r="AF902" s="67"/>
      <c r="AG902" s="67"/>
      <c r="AH902" s="67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  <c r="AD903" s="67"/>
      <c r="AE903" s="67"/>
      <c r="AF903" s="67"/>
      <c r="AG903" s="67"/>
      <c r="AH903" s="67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  <c r="AD904" s="67"/>
      <c r="AE904" s="67"/>
      <c r="AF904" s="67"/>
      <c r="AG904" s="67"/>
      <c r="AH904" s="67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  <c r="AD905" s="67"/>
      <c r="AE905" s="67"/>
      <c r="AF905" s="67"/>
      <c r="AG905" s="67"/>
      <c r="AH905" s="67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  <c r="AD906" s="67"/>
      <c r="AE906" s="67"/>
      <c r="AF906" s="67"/>
      <c r="AG906" s="67"/>
      <c r="AH906" s="67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  <c r="AD907" s="67"/>
      <c r="AE907" s="67"/>
      <c r="AF907" s="67"/>
      <c r="AG907" s="67"/>
      <c r="AH907" s="67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  <c r="AD908" s="67"/>
      <c r="AE908" s="67"/>
      <c r="AF908" s="67"/>
      <c r="AG908" s="67"/>
      <c r="AH908" s="67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  <c r="AD909" s="67"/>
      <c r="AE909" s="67"/>
      <c r="AF909" s="67"/>
      <c r="AG909" s="67"/>
      <c r="AH909" s="67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  <c r="AD910" s="67"/>
      <c r="AE910" s="67"/>
      <c r="AF910" s="67"/>
      <c r="AG910" s="67"/>
      <c r="AH910" s="67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  <c r="AD911" s="67"/>
      <c r="AE911" s="67"/>
      <c r="AF911" s="67"/>
      <c r="AG911" s="67"/>
      <c r="AH911" s="67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  <c r="AD912" s="67"/>
      <c r="AE912" s="67"/>
      <c r="AF912" s="67"/>
      <c r="AG912" s="67"/>
      <c r="AH912" s="67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  <c r="AD913" s="67"/>
      <c r="AE913" s="67"/>
      <c r="AF913" s="67"/>
      <c r="AG913" s="67"/>
      <c r="AH913" s="67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  <c r="AD914" s="67"/>
      <c r="AE914" s="67"/>
      <c r="AF914" s="67"/>
      <c r="AG914" s="67"/>
      <c r="AH914" s="67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  <c r="AD915" s="67"/>
      <c r="AE915" s="67"/>
      <c r="AF915" s="67"/>
      <c r="AG915" s="67"/>
      <c r="AH915" s="67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  <c r="AD916" s="67"/>
      <c r="AE916" s="67"/>
      <c r="AF916" s="67"/>
      <c r="AG916" s="67"/>
      <c r="AH916" s="67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  <c r="AD917" s="67"/>
      <c r="AE917" s="67"/>
      <c r="AF917" s="67"/>
      <c r="AG917" s="67"/>
      <c r="AH917" s="67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  <c r="AD918" s="67"/>
      <c r="AE918" s="67"/>
      <c r="AF918" s="67"/>
      <c r="AG918" s="67"/>
      <c r="AH918" s="67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  <c r="AD919" s="67"/>
      <c r="AE919" s="67"/>
      <c r="AF919" s="67"/>
      <c r="AG919" s="67"/>
      <c r="AH919" s="67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  <c r="AD920" s="67"/>
      <c r="AE920" s="67"/>
      <c r="AF920" s="67"/>
      <c r="AG920" s="67"/>
      <c r="AH920" s="67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  <c r="AD921" s="67"/>
      <c r="AE921" s="67"/>
      <c r="AF921" s="67"/>
      <c r="AG921" s="67"/>
      <c r="AH921" s="67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  <c r="AD922" s="67"/>
      <c r="AE922" s="67"/>
      <c r="AF922" s="67"/>
      <c r="AG922" s="67"/>
      <c r="AH922" s="67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  <c r="AD923" s="67"/>
      <c r="AE923" s="67"/>
      <c r="AF923" s="67"/>
      <c r="AG923" s="67"/>
      <c r="AH923" s="67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  <c r="AD924" s="67"/>
      <c r="AE924" s="67"/>
      <c r="AF924" s="67"/>
      <c r="AG924" s="67"/>
      <c r="AH924" s="67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  <c r="AD925" s="67"/>
      <c r="AE925" s="67"/>
      <c r="AF925" s="67"/>
      <c r="AG925" s="67"/>
      <c r="AH925" s="67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  <c r="AD926" s="67"/>
      <c r="AE926" s="67"/>
      <c r="AF926" s="67"/>
      <c r="AG926" s="67"/>
      <c r="AH926" s="67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  <c r="AD927" s="67"/>
      <c r="AE927" s="67"/>
      <c r="AF927" s="67"/>
      <c r="AG927" s="67"/>
      <c r="AH927" s="67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  <c r="AD928" s="67"/>
      <c r="AE928" s="67"/>
      <c r="AF928" s="67"/>
      <c r="AG928" s="67"/>
      <c r="AH928" s="67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  <c r="AD929" s="67"/>
      <c r="AE929" s="67"/>
      <c r="AF929" s="67"/>
      <c r="AG929" s="67"/>
      <c r="AH929" s="67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  <c r="AD930" s="67"/>
      <c r="AE930" s="67"/>
      <c r="AF930" s="67"/>
      <c r="AG930" s="67"/>
      <c r="AH930" s="67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  <c r="AD931" s="67"/>
      <c r="AE931" s="67"/>
      <c r="AF931" s="67"/>
      <c r="AG931" s="67"/>
      <c r="AH931" s="67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  <c r="AD932" s="67"/>
      <c r="AE932" s="67"/>
      <c r="AF932" s="67"/>
      <c r="AG932" s="67"/>
      <c r="AH932" s="67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  <c r="AD933" s="67"/>
      <c r="AE933" s="67"/>
      <c r="AF933" s="67"/>
      <c r="AG933" s="67"/>
      <c r="AH933" s="67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  <c r="AD934" s="67"/>
      <c r="AE934" s="67"/>
      <c r="AF934" s="67"/>
      <c r="AG934" s="67"/>
      <c r="AH934" s="67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  <c r="AD935" s="67"/>
      <c r="AE935" s="67"/>
      <c r="AF935" s="67"/>
      <c r="AG935" s="67"/>
      <c r="AH935" s="67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  <c r="AD937" s="67"/>
      <c r="AE937" s="67"/>
      <c r="AF937" s="67"/>
      <c r="AG937" s="67"/>
      <c r="AH937" s="67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  <c r="AD938" s="67"/>
      <c r="AE938" s="67"/>
      <c r="AF938" s="67"/>
      <c r="AG938" s="67"/>
      <c r="AH938" s="67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  <c r="AD939" s="67"/>
      <c r="AE939" s="67"/>
      <c r="AF939" s="67"/>
      <c r="AG939" s="67"/>
      <c r="AH939" s="67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  <c r="AD940" s="67"/>
      <c r="AE940" s="67"/>
      <c r="AF940" s="67"/>
      <c r="AG940" s="67"/>
      <c r="AH940" s="67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  <c r="AD941" s="67"/>
      <c r="AE941" s="67"/>
      <c r="AF941" s="67"/>
      <c r="AG941" s="67"/>
      <c r="AH941" s="67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  <c r="AD942" s="67"/>
      <c r="AE942" s="67"/>
      <c r="AF942" s="67"/>
      <c r="AG942" s="67"/>
      <c r="AH942" s="67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  <c r="AD943" s="67"/>
      <c r="AE943" s="67"/>
      <c r="AF943" s="67"/>
      <c r="AG943" s="67"/>
      <c r="AH943" s="67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  <c r="AD944" s="67"/>
      <c r="AE944" s="67"/>
      <c r="AF944" s="67"/>
      <c r="AG944" s="67"/>
      <c r="AH944" s="67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  <c r="AD945" s="67"/>
      <c r="AE945" s="67"/>
      <c r="AF945" s="67"/>
      <c r="AG945" s="67"/>
      <c r="AH945" s="67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  <c r="AD946" s="67"/>
      <c r="AE946" s="67"/>
      <c r="AF946" s="67"/>
      <c r="AG946" s="67"/>
      <c r="AH946" s="67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  <c r="AD947" s="67"/>
      <c r="AE947" s="67"/>
      <c r="AF947" s="67"/>
      <c r="AG947" s="67"/>
      <c r="AH947" s="67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  <c r="AD948" s="67"/>
      <c r="AE948" s="67"/>
      <c r="AF948" s="67"/>
      <c r="AG948" s="67"/>
      <c r="AH948" s="67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  <c r="AD949" s="67"/>
      <c r="AE949" s="67"/>
      <c r="AF949" s="67"/>
      <c r="AG949" s="67"/>
      <c r="AH949" s="67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  <c r="AD950" s="67"/>
      <c r="AE950" s="67"/>
      <c r="AF950" s="67"/>
      <c r="AG950" s="67"/>
      <c r="AH950" s="67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  <c r="AD951" s="67"/>
      <c r="AE951" s="67"/>
      <c r="AF951" s="67"/>
      <c r="AG951" s="67"/>
      <c r="AH951" s="67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  <c r="AD952" s="67"/>
      <c r="AE952" s="67"/>
      <c r="AF952" s="67"/>
      <c r="AG952" s="67"/>
      <c r="AH952" s="67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  <c r="AD953" s="67"/>
      <c r="AE953" s="67"/>
      <c r="AF953" s="67"/>
      <c r="AG953" s="67"/>
      <c r="AH953" s="67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  <c r="AD954" s="67"/>
      <c r="AE954" s="67"/>
      <c r="AF954" s="67"/>
      <c r="AG954" s="67"/>
      <c r="AH954" s="67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  <c r="AD955" s="67"/>
      <c r="AE955" s="67"/>
      <c r="AF955" s="67"/>
      <c r="AG955" s="67"/>
      <c r="AH955" s="67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  <c r="AD956" s="67"/>
      <c r="AE956" s="67"/>
      <c r="AF956" s="67"/>
      <c r="AG956" s="67"/>
      <c r="AH956" s="67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  <c r="AD957" s="67"/>
      <c r="AE957" s="67"/>
      <c r="AF957" s="67"/>
      <c r="AG957" s="67"/>
      <c r="AH957" s="67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  <c r="AD958" s="67"/>
      <c r="AE958" s="67"/>
      <c r="AF958" s="67"/>
      <c r="AG958" s="67"/>
      <c r="AH958" s="67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  <c r="AC959" s="67"/>
      <c r="AD959" s="67"/>
      <c r="AE959" s="67"/>
      <c r="AF959" s="67"/>
      <c r="AG959" s="67"/>
      <c r="AH959" s="67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  <c r="AC960" s="67"/>
      <c r="AD960" s="67"/>
      <c r="AE960" s="67"/>
      <c r="AF960" s="67"/>
      <c r="AG960" s="67"/>
      <c r="AH960" s="67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  <c r="AC961" s="67"/>
      <c r="AD961" s="67"/>
      <c r="AE961" s="67"/>
      <c r="AF961" s="67"/>
      <c r="AG961" s="67"/>
      <c r="AH961" s="67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  <c r="AC962" s="67"/>
      <c r="AD962" s="67"/>
      <c r="AE962" s="67"/>
      <c r="AF962" s="67"/>
      <c r="AG962" s="67"/>
      <c r="AH962" s="67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  <c r="AC963" s="67"/>
      <c r="AD963" s="67"/>
      <c r="AE963" s="67"/>
      <c r="AF963" s="67"/>
      <c r="AG963" s="67"/>
      <c r="AH963" s="67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  <c r="AC964" s="67"/>
      <c r="AD964" s="67"/>
      <c r="AE964" s="67"/>
      <c r="AF964" s="67"/>
      <c r="AG964" s="67"/>
      <c r="AH964" s="67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  <c r="AC965" s="67"/>
      <c r="AD965" s="67"/>
      <c r="AE965" s="67"/>
      <c r="AF965" s="67"/>
      <c r="AG965" s="67"/>
      <c r="AH965" s="67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  <c r="AC966" s="67"/>
      <c r="AD966" s="67"/>
      <c r="AE966" s="67"/>
      <c r="AF966" s="67"/>
      <c r="AG966" s="67"/>
      <c r="AH966" s="67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  <c r="AC967" s="67"/>
      <c r="AD967" s="67"/>
      <c r="AE967" s="67"/>
      <c r="AF967" s="67"/>
      <c r="AG967" s="67"/>
      <c r="AH967" s="67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  <c r="AC968" s="67"/>
      <c r="AD968" s="67"/>
      <c r="AE968" s="67"/>
      <c r="AF968" s="67"/>
      <c r="AG968" s="67"/>
      <c r="AH968" s="67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  <c r="AC969" s="67"/>
      <c r="AD969" s="67"/>
      <c r="AE969" s="67"/>
      <c r="AF969" s="67"/>
      <c r="AG969" s="67"/>
      <c r="AH969" s="67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  <c r="AC970" s="67"/>
      <c r="AD970" s="67"/>
      <c r="AE970" s="67"/>
      <c r="AF970" s="67"/>
      <c r="AG970" s="67"/>
      <c r="AH970" s="67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  <c r="AC971" s="67"/>
      <c r="AD971" s="67"/>
      <c r="AE971" s="67"/>
      <c r="AF971" s="67"/>
      <c r="AG971" s="67"/>
      <c r="AH971" s="67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  <c r="AC972" s="67"/>
      <c r="AD972" s="67"/>
      <c r="AE972" s="67"/>
      <c r="AF972" s="67"/>
      <c r="AG972" s="67"/>
      <c r="AH972" s="67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  <c r="AC973" s="67"/>
      <c r="AD973" s="67"/>
      <c r="AE973" s="67"/>
      <c r="AF973" s="67"/>
      <c r="AG973" s="67"/>
      <c r="AH973" s="67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  <c r="AC974" s="67"/>
      <c r="AD974" s="67"/>
      <c r="AE974" s="67"/>
      <c r="AF974" s="67"/>
      <c r="AG974" s="67"/>
      <c r="AH974" s="67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  <c r="AC975" s="67"/>
      <c r="AD975" s="67"/>
      <c r="AE975" s="67"/>
      <c r="AF975" s="67"/>
      <c r="AG975" s="67"/>
      <c r="AH975" s="67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  <c r="AC976" s="67"/>
      <c r="AD976" s="67"/>
      <c r="AE976" s="67"/>
      <c r="AF976" s="67"/>
      <c r="AG976" s="67"/>
      <c r="AH976" s="67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  <c r="AC977" s="67"/>
      <c r="AD977" s="67"/>
      <c r="AE977" s="67"/>
      <c r="AF977" s="67"/>
      <c r="AG977" s="67"/>
      <c r="AH977" s="67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  <c r="AC978" s="67"/>
      <c r="AD978" s="67"/>
      <c r="AE978" s="67"/>
      <c r="AF978" s="67"/>
      <c r="AG978" s="67"/>
      <c r="AH978" s="67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  <c r="AC979" s="67"/>
      <c r="AD979" s="67"/>
      <c r="AE979" s="67"/>
      <c r="AF979" s="67"/>
      <c r="AG979" s="67"/>
      <c r="AH979" s="67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  <c r="AC980" s="67"/>
      <c r="AD980" s="67"/>
      <c r="AE980" s="67"/>
      <c r="AF980" s="67"/>
      <c r="AG980" s="67"/>
      <c r="AH980" s="67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  <c r="AC981" s="67"/>
      <c r="AD981" s="67"/>
      <c r="AE981" s="67"/>
      <c r="AF981" s="67"/>
      <c r="AG981" s="67"/>
      <c r="AH981" s="67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  <c r="AC982" s="67"/>
      <c r="AD982" s="67"/>
      <c r="AE982" s="67"/>
      <c r="AF982" s="67"/>
      <c r="AG982" s="67"/>
      <c r="AH982" s="67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  <c r="AC983" s="67"/>
      <c r="AD983" s="67"/>
      <c r="AE983" s="67"/>
      <c r="AF983" s="67"/>
      <c r="AG983" s="67"/>
      <c r="AH983" s="67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  <c r="AC984" s="67"/>
      <c r="AD984" s="67"/>
      <c r="AE984" s="67"/>
      <c r="AF984" s="67"/>
      <c r="AG984" s="67"/>
      <c r="AH984" s="67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  <c r="AC985" s="67"/>
      <c r="AD985" s="67"/>
      <c r="AE985" s="67"/>
      <c r="AF985" s="67"/>
      <c r="AG985" s="67"/>
      <c r="AH985" s="67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  <c r="AC986" s="67"/>
      <c r="AD986" s="67"/>
      <c r="AE986" s="67"/>
      <c r="AF986" s="67"/>
      <c r="AG986" s="67"/>
      <c r="AH986" s="67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  <c r="AC987" s="67"/>
      <c r="AD987" s="67"/>
      <c r="AE987" s="67"/>
      <c r="AF987" s="67"/>
      <c r="AG987" s="67"/>
      <c r="AH987" s="67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  <c r="AC988" s="67"/>
      <c r="AD988" s="67"/>
      <c r="AE988" s="67"/>
      <c r="AF988" s="67"/>
      <c r="AG988" s="67"/>
      <c r="AH988" s="67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  <c r="AC990" s="67"/>
      <c r="AD990" s="67"/>
      <c r="AE990" s="67"/>
      <c r="AF990" s="67"/>
      <c r="AG990" s="67"/>
      <c r="AH990" s="67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  <c r="AC991" s="67"/>
      <c r="AD991" s="67"/>
      <c r="AE991" s="67"/>
      <c r="AF991" s="67"/>
      <c r="AG991" s="67"/>
      <c r="AH991" s="67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  <c r="AC992" s="67"/>
      <c r="AD992" s="67"/>
      <c r="AE992" s="67"/>
      <c r="AF992" s="67"/>
      <c r="AG992" s="67"/>
      <c r="AH992" s="67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  <c r="AC993" s="67"/>
      <c r="AD993" s="67"/>
      <c r="AE993" s="67"/>
      <c r="AF993" s="67"/>
      <c r="AG993" s="67"/>
      <c r="AH993" s="67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  <c r="AC994" s="67"/>
      <c r="AD994" s="67"/>
      <c r="AE994" s="67"/>
      <c r="AF994" s="67"/>
      <c r="AG994" s="67"/>
      <c r="AH994" s="67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  <c r="AC995" s="67"/>
      <c r="AD995" s="67"/>
      <c r="AE995" s="67"/>
      <c r="AF995" s="67"/>
      <c r="AG995" s="67"/>
      <c r="AH995" s="67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  <c r="AC996" s="67"/>
      <c r="AD996" s="67"/>
      <c r="AE996" s="67"/>
      <c r="AF996" s="67"/>
      <c r="AG996" s="67"/>
      <c r="AH996" s="67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  <c r="AC997" s="67"/>
      <c r="AD997" s="67"/>
      <c r="AE997" s="67"/>
      <c r="AF997" s="67"/>
      <c r="AG997" s="67"/>
      <c r="AH997" s="67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  <c r="AC998" s="67"/>
      <c r="AD998" s="67"/>
      <c r="AE998" s="67"/>
      <c r="AF998" s="67"/>
      <c r="AG998" s="67"/>
      <c r="AH998" s="67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  <c r="AC999" s="67"/>
      <c r="AD999" s="67"/>
      <c r="AE999" s="67"/>
      <c r="AF999" s="67"/>
      <c r="AG999" s="67"/>
      <c r="AH999" s="67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  <c r="AC1000" s="67"/>
      <c r="AD1000" s="67"/>
      <c r="AE1000" s="67"/>
      <c r="AF1000" s="67"/>
      <c r="AG1000" s="67"/>
      <c r="AH1000" s="67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78">
        <v>49.0</v>
      </c>
      <c r="C5" s="79" t="s">
        <v>70</v>
      </c>
      <c r="D5" s="80" t="s">
        <v>71</v>
      </c>
    </row>
    <row r="6">
      <c r="B6" s="81" t="str">
        <f>'GRUPO A'!C8</f>
        <v>Holanda</v>
      </c>
      <c r="C6" s="82">
        <v>2.0</v>
      </c>
      <c r="D6" s="83"/>
    </row>
    <row r="7">
      <c r="B7" s="84" t="str">
        <f>'GRUPO B'!C9</f>
        <v>Gales</v>
      </c>
      <c r="C7" s="85">
        <v>1.0</v>
      </c>
      <c r="D7" s="86"/>
      <c r="E7" s="87"/>
      <c r="G7" s="78">
        <v>57.0</v>
      </c>
      <c r="H7" s="79" t="s">
        <v>70</v>
      </c>
      <c r="I7" s="80" t="s">
        <v>71</v>
      </c>
    </row>
    <row r="8">
      <c r="E8" s="88"/>
      <c r="G8" s="81" t="str">
        <f>IF(C7&gt;C6,B7,IF(C6&gt;C7,B6,IF(D7&gt;D6,B7,IF(D6&gt;D7,B6,""))))</f>
        <v>Holanda</v>
      </c>
      <c r="H8" s="82">
        <v>1.0</v>
      </c>
      <c r="I8" s="83"/>
      <c r="L8" s="19" t="s">
        <v>72</v>
      </c>
      <c r="M8" s="20"/>
      <c r="N8" s="21"/>
    </row>
    <row r="9">
      <c r="B9" s="78">
        <v>50.0</v>
      </c>
      <c r="C9" s="79" t="s">
        <v>70</v>
      </c>
      <c r="D9" s="80" t="s">
        <v>71</v>
      </c>
      <c r="E9" s="89"/>
      <c r="F9" s="90"/>
      <c r="G9" s="84" t="str">
        <f>IF(C11&gt;C10,B11,IF(C10&gt;C11,B10,IF(D11&gt;D10,B11,IF(D10&gt;D11,B10,""))))</f>
        <v>Argentina</v>
      </c>
      <c r="H9" s="85">
        <v>2.0</v>
      </c>
      <c r="I9" s="86"/>
      <c r="J9" s="87"/>
    </row>
    <row r="10">
      <c r="B10" s="81" t="str">
        <f>'GRUPO C'!C8</f>
        <v>Argentina</v>
      </c>
      <c r="C10" s="82">
        <v>2.0</v>
      </c>
      <c r="D10" s="83"/>
      <c r="E10" s="91"/>
      <c r="J10" s="88"/>
    </row>
    <row r="11">
      <c r="B11" s="84" t="str">
        <f>'GRUPO D'!C9</f>
        <v>Dinamarca</v>
      </c>
      <c r="C11" s="85">
        <v>1.0</v>
      </c>
      <c r="D11" s="86"/>
      <c r="E11" s="92"/>
      <c r="J11" s="88"/>
      <c r="L11" s="78">
        <v>61.0</v>
      </c>
      <c r="M11" s="79" t="s">
        <v>70</v>
      </c>
      <c r="N11" s="80" t="s">
        <v>71</v>
      </c>
    </row>
    <row r="12">
      <c r="J12" s="88"/>
      <c r="L12" s="81" t="str">
        <f>IF(H9&gt;H8,G9,IF(H8&gt;H9,G8,IF(I9&gt;I8,G9,IF(I8&gt;I9,G8,""))))</f>
        <v>Argentina</v>
      </c>
      <c r="M12" s="93">
        <v>0.0</v>
      </c>
      <c r="N12" s="83"/>
    </row>
    <row r="13">
      <c r="B13" s="78">
        <v>53.0</v>
      </c>
      <c r="C13" s="79" t="s">
        <v>70</v>
      </c>
      <c r="D13" s="80" t="s">
        <v>71</v>
      </c>
      <c r="J13" s="88"/>
      <c r="K13" s="90"/>
      <c r="L13" s="84" t="str">
        <f>IF(H17&gt;H16,G17,IF(H16&gt;H17,G16,IF(I17&gt;I16,G17,IF(I16&gt;I17,G16,""))))</f>
        <v>España</v>
      </c>
      <c r="M13" s="94">
        <v>1.0</v>
      </c>
      <c r="N13" s="86"/>
      <c r="O13" s="87"/>
    </row>
    <row r="14">
      <c r="B14" s="81" t="str">
        <f>'GRUPO E'!C8</f>
        <v>España</v>
      </c>
      <c r="C14" s="82">
        <v>1.0</v>
      </c>
      <c r="D14" s="83"/>
      <c r="J14" s="88"/>
      <c r="O14" s="88"/>
    </row>
    <row r="15">
      <c r="B15" s="84" t="str">
        <f>'GRUPO F'!C9</f>
        <v>Belgica</v>
      </c>
      <c r="C15" s="85">
        <v>0.0</v>
      </c>
      <c r="D15" s="86"/>
      <c r="E15" s="87"/>
      <c r="G15" s="78">
        <v>58.0</v>
      </c>
      <c r="H15" s="79" t="s">
        <v>70</v>
      </c>
      <c r="I15" s="80" t="s">
        <v>71</v>
      </c>
      <c r="J15" s="88"/>
      <c r="O15" s="88"/>
    </row>
    <row r="16">
      <c r="E16" s="88"/>
      <c r="G16" s="81" t="str">
        <f>IF(C15&gt;C14,B15,IF(C14&gt;C15,B14,IF(D15&gt;D14,B15,IF(D14&gt;D15,B14,""))))</f>
        <v>España</v>
      </c>
      <c r="H16" s="82">
        <v>2.0</v>
      </c>
      <c r="I16" s="83"/>
      <c r="J16" s="91"/>
      <c r="O16" s="88"/>
      <c r="Q16" s="19" t="s">
        <v>73</v>
      </c>
      <c r="R16" s="20"/>
      <c r="S16" s="21"/>
    </row>
    <row r="17">
      <c r="B17" s="78">
        <v>54.0</v>
      </c>
      <c r="C17" s="79" t="s">
        <v>70</v>
      </c>
      <c r="D17" s="80" t="s">
        <v>71</v>
      </c>
      <c r="E17" s="89"/>
      <c r="F17" s="90"/>
      <c r="G17" s="84" t="str">
        <f>IF(C19&gt;C18,B19,IF(C18&gt;C19,B18,IF(D19&gt;D18,B19,IF(D18&gt;D19,B18,""))))</f>
        <v>Brasil</v>
      </c>
      <c r="H17" s="85">
        <v>1.0</v>
      </c>
      <c r="I17" s="86"/>
      <c r="O17" s="88"/>
    </row>
    <row r="18">
      <c r="B18" s="81" t="str">
        <f>'GRUPO G'!C8</f>
        <v>Brasil</v>
      </c>
      <c r="C18" s="82">
        <v>2.0</v>
      </c>
      <c r="D18" s="83"/>
      <c r="E18" s="91"/>
      <c r="O18" s="88"/>
    </row>
    <row r="19">
      <c r="B19" s="84" t="str">
        <f>'GRUPO H'!C9</f>
        <v>Uruguay</v>
      </c>
      <c r="C19" s="85">
        <v>1.0</v>
      </c>
      <c r="D19" s="86"/>
      <c r="E19" s="92"/>
      <c r="O19" s="88"/>
      <c r="Q19" s="78">
        <v>64.0</v>
      </c>
      <c r="R19" s="79" t="s">
        <v>70</v>
      </c>
      <c r="S19" s="80" t="s">
        <v>71</v>
      </c>
    </row>
    <row r="20">
      <c r="O20" s="88"/>
      <c r="Q20" s="81" t="str">
        <f>IF(M13&gt;M12,L13,IF(M12&gt;M13,L12,IF(N13&gt;N12,L13,IF(N12&gt;N13,L12,""))))</f>
        <v>España</v>
      </c>
      <c r="R20" s="93">
        <v>0.0</v>
      </c>
      <c r="S20" s="83"/>
    </row>
    <row r="21" ht="15.75" customHeight="1">
      <c r="B21" s="78">
        <v>51.0</v>
      </c>
      <c r="C21" s="79" t="s">
        <v>70</v>
      </c>
      <c r="D21" s="80" t="s">
        <v>71</v>
      </c>
      <c r="O21" s="88"/>
      <c r="P21" s="95"/>
      <c r="Q21" s="84" t="str">
        <f>IF(M29&gt;M28,L29,IF(M28&gt;M29,L28,IF(N29&gt;N28,L29,IF(N28&gt;N29,L28,""))))</f>
        <v>Francia</v>
      </c>
      <c r="R21" s="94">
        <v>2.0</v>
      </c>
      <c r="S21" s="86"/>
    </row>
    <row r="22" ht="15.75" customHeight="1">
      <c r="B22" s="81" t="str">
        <f>'GRUPO B'!C8</f>
        <v>Inglaterra</v>
      </c>
      <c r="C22" s="82">
        <v>2.0</v>
      </c>
      <c r="D22" s="83"/>
      <c r="O22" s="88"/>
    </row>
    <row r="23" ht="15.75" customHeight="1">
      <c r="B23" s="84" t="str">
        <f>'GRUPO A'!C9</f>
        <v>Ecuador</v>
      </c>
      <c r="C23" s="85">
        <v>0.0</v>
      </c>
      <c r="D23" s="86"/>
      <c r="E23" s="87"/>
      <c r="G23" s="78">
        <v>59.0</v>
      </c>
      <c r="H23" s="79" t="s">
        <v>70</v>
      </c>
      <c r="I23" s="80" t="s">
        <v>71</v>
      </c>
      <c r="O23" s="88"/>
      <c r="V23" s="19" t="s">
        <v>74</v>
      </c>
      <c r="W23" s="21"/>
    </row>
    <row r="24" ht="15.75" customHeight="1">
      <c r="E24" s="88"/>
      <c r="G24" s="81" t="str">
        <f>IF(C23&gt;C22,B23,IF(C22&gt;C23,B22,IF(D23&gt;D22,B23,IF(D22&gt;D23,B22,""))))</f>
        <v>Inglaterra</v>
      </c>
      <c r="H24" s="93">
        <v>0.0</v>
      </c>
      <c r="I24" s="83"/>
      <c r="O24" s="88"/>
      <c r="V24" s="81" t="s">
        <v>75</v>
      </c>
      <c r="W24" s="96" t="str">
        <f>IF(R20&gt;R21,Q20,IF(R21&gt;R20,Q21,IF(S20&gt;S21,Q20,IF(S21&gt;S20,Q21,""))))</f>
        <v>Francia</v>
      </c>
    </row>
    <row r="25" ht="15.75" customHeight="1">
      <c r="B25" s="78">
        <v>52.0</v>
      </c>
      <c r="C25" s="79" t="s">
        <v>70</v>
      </c>
      <c r="D25" s="80" t="s">
        <v>71</v>
      </c>
      <c r="E25" s="89"/>
      <c r="F25" s="90"/>
      <c r="G25" s="84" t="str">
        <f>IF(C27&gt;C26,B27,IF(C26&gt;C27,B26,IF(D27&gt;D26,B27,IF(D26&gt;D27,B26,""))))</f>
        <v>Francia</v>
      </c>
      <c r="H25" s="94">
        <v>1.0</v>
      </c>
      <c r="I25" s="86"/>
      <c r="J25" s="87"/>
      <c r="O25" s="88"/>
      <c r="Q25" s="19" t="s">
        <v>76</v>
      </c>
      <c r="R25" s="20"/>
      <c r="S25" s="21"/>
      <c r="V25" s="97" t="s">
        <v>77</v>
      </c>
      <c r="W25" s="98" t="str">
        <f>IF(W24=Q20,Q21,IF(W24=Q21,Q20,""))</f>
        <v>España</v>
      </c>
    </row>
    <row r="26" ht="15.75" customHeight="1">
      <c r="B26" s="81" t="str">
        <f>'GRUPO D'!C8</f>
        <v>Francia</v>
      </c>
      <c r="C26" s="82">
        <v>2.0</v>
      </c>
      <c r="D26" s="83"/>
      <c r="E26" s="91"/>
      <c r="J26" s="88"/>
      <c r="O26" s="88"/>
      <c r="V26" s="84" t="s">
        <v>78</v>
      </c>
      <c r="W26" s="99" t="str">
        <f>IF(R29&gt;R30,Q29,IF(R30&gt;R29,Q30,IF(S29&gt;S30,Q29,IF(S30&gt;S29,Q30,""))))</f>
        <v>Alemania</v>
      </c>
    </row>
    <row r="27" ht="15.75" customHeight="1">
      <c r="B27" s="84" t="str">
        <f>'GRUPO C'!C9</f>
        <v>Polonia</v>
      </c>
      <c r="C27" s="85">
        <v>1.0</v>
      </c>
      <c r="D27" s="86"/>
      <c r="E27" s="92"/>
      <c r="J27" s="88"/>
      <c r="L27" s="78">
        <v>62.0</v>
      </c>
      <c r="M27" s="79" t="s">
        <v>70</v>
      </c>
      <c r="N27" s="80" t="s">
        <v>71</v>
      </c>
      <c r="O27" s="88"/>
    </row>
    <row r="28" ht="15.75" customHeight="1">
      <c r="J28" s="88"/>
      <c r="L28" s="81" t="str">
        <f>IF(H25&gt;H24,G25,IF(H24&gt;H25,G24,IF(I25&gt;I24,G25,IF(I24&gt;I25,G24,""))))</f>
        <v>Francia</v>
      </c>
      <c r="M28" s="93">
        <v>2.0</v>
      </c>
      <c r="N28" s="83"/>
      <c r="O28" s="91"/>
      <c r="Q28" s="78">
        <v>63.0</v>
      </c>
      <c r="R28" s="79" t="s">
        <v>70</v>
      </c>
      <c r="S28" s="80" t="s">
        <v>71</v>
      </c>
    </row>
    <row r="29" ht="15.75" customHeight="1">
      <c r="B29" s="78">
        <v>55.0</v>
      </c>
      <c r="C29" s="79" t="s">
        <v>70</v>
      </c>
      <c r="D29" s="80" t="s">
        <v>71</v>
      </c>
      <c r="J29" s="88"/>
      <c r="K29" s="90"/>
      <c r="L29" s="84" t="str">
        <f>IF(H33&gt;H32,G33,IF(H32&gt;H33,G32,IF(I33&gt;I32,G33,IF(I32&gt;I33,G32,""))))</f>
        <v>Alemania</v>
      </c>
      <c r="M29" s="94">
        <v>1.0</v>
      </c>
      <c r="N29" s="86"/>
      <c r="Q29" s="81" t="str">
        <f>IF(Q20=L12,L13,IF(Q20=L13,L12,""))</f>
        <v>Argentina</v>
      </c>
      <c r="R29" s="93">
        <v>1.0</v>
      </c>
      <c r="S29" s="83"/>
    </row>
    <row r="30" ht="15.75" customHeight="1">
      <c r="B30" s="81" t="str">
        <f>'GRUPO F'!C8</f>
        <v>Croacia</v>
      </c>
      <c r="C30" s="82">
        <v>1.0</v>
      </c>
      <c r="D30" s="83"/>
      <c r="J30" s="88"/>
      <c r="Q30" s="84" t="str">
        <f>IF(Q21=L28,L29,IF(Q21=L29,L28,""))</f>
        <v>Alemania</v>
      </c>
      <c r="R30" s="94">
        <v>2.0</v>
      </c>
      <c r="S30" s="86"/>
    </row>
    <row r="31" ht="15.75" customHeight="1">
      <c r="B31" s="84" t="str">
        <f>'GRUPO E'!C9</f>
        <v>Alemania</v>
      </c>
      <c r="C31" s="85">
        <v>2.0</v>
      </c>
      <c r="D31" s="86"/>
      <c r="E31" s="87"/>
      <c r="G31" s="78">
        <v>60.0</v>
      </c>
      <c r="H31" s="79" t="s">
        <v>70</v>
      </c>
      <c r="I31" s="80" t="s">
        <v>71</v>
      </c>
      <c r="J31" s="88"/>
    </row>
    <row r="32" ht="15.75" customHeight="1">
      <c r="E32" s="88"/>
      <c r="G32" s="81" t="str">
        <f>IF(C31&gt;C30,B31,IF(C30&gt;C31,B30,IF(D31&gt;D30,B31,IF(D30&gt;D31,B30,""))))</f>
        <v>Alemania</v>
      </c>
      <c r="H32" s="82">
        <v>2.0</v>
      </c>
      <c r="I32" s="83"/>
      <c r="J32" s="91"/>
    </row>
    <row r="33" ht="15.75" customHeight="1">
      <c r="B33" s="78">
        <v>56.0</v>
      </c>
      <c r="C33" s="79" t="s">
        <v>70</v>
      </c>
      <c r="D33" s="80" t="s">
        <v>71</v>
      </c>
      <c r="E33" s="89"/>
      <c r="F33" s="90"/>
      <c r="G33" s="84" t="str">
        <f>IF(C35&gt;C34,B35,IF(C34&gt;C35,B34,IF(D35&gt;D34,B35,IF(D34&gt;D35,B34,""))))</f>
        <v>Portugal</v>
      </c>
      <c r="H33" s="85">
        <v>1.0</v>
      </c>
      <c r="I33" s="86"/>
    </row>
    <row r="34" ht="15.75" customHeight="1">
      <c r="B34" s="81" t="str">
        <f>'GRUPO H'!C8</f>
        <v>Portugal</v>
      </c>
      <c r="C34" s="82">
        <v>2.0</v>
      </c>
      <c r="D34" s="83"/>
      <c r="E34" s="91"/>
    </row>
    <row r="35" ht="15.75" customHeight="1">
      <c r="B35" s="84" t="str">
        <f>'GRUPO G'!C9</f>
        <v>Suiza</v>
      </c>
      <c r="C35" s="85">
        <v>0.0</v>
      </c>
      <c r="D35" s="86"/>
      <c r="E35" s="9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