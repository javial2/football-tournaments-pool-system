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figueroa\Desktop\basura\"/>
    </mc:Choice>
  </mc:AlternateContent>
  <xr:revisionPtr revIDLastSave="0" documentId="13_ncr:1_{CCCBC046-C01F-4C47-A512-4049337E8DA0}" xr6:coauthVersionLast="47" xr6:coauthVersionMax="47" xr10:uidLastSave="{00000000-0000-0000-0000-000000000000}"/>
  <bookViews>
    <workbookView xWindow="-110" yWindow="-110" windowWidth="19420" windowHeight="10560" firstSheet="3" activeTab="10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Hoja1" sheetId="19" r:id="rId8"/>
    <sheet name="GRUPO G" sheetId="14" r:id="rId9"/>
    <sheet name="GRUPO H" sheetId="15" r:id="rId10"/>
    <sheet name="Play-Off" sheetId="1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10" i="12" l="1"/>
  <c r="AW10" i="12" s="1"/>
  <c r="AX10" i="12" s="1"/>
  <c r="AY10" i="12" s="1"/>
  <c r="BA10" i="12" s="1"/>
  <c r="BB10" i="12" s="1"/>
  <c r="AZ10" i="11"/>
  <c r="AZ8" i="1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8" i="12"/>
  <c r="AX8" i="12" s="1"/>
  <c r="AY8" i="12" s="1"/>
  <c r="BA8" i="12" s="1"/>
  <c r="BB8" i="12" s="1"/>
  <c r="AW7" i="12"/>
  <c r="AX7" i="12" s="1"/>
  <c r="AY7" i="12" s="1"/>
  <c r="BA7" i="12" s="1"/>
  <c r="BB7" i="12" s="1"/>
  <c r="AW9" i="12"/>
  <c r="AX9" i="12" s="1"/>
  <c r="AY9" i="12" s="1"/>
  <c r="BA9" i="12" s="1"/>
  <c r="BB9" i="12" s="1"/>
  <c r="AW7" i="11"/>
  <c r="AX7" i="11" s="1"/>
  <c r="AY7" i="11" s="1"/>
  <c r="BA7" i="11" s="1"/>
  <c r="BB7" i="11" s="1"/>
  <c r="AW10" i="11"/>
  <c r="AX10" i="11" s="1"/>
  <c r="AY10" i="11" s="1"/>
  <c r="BA10" i="11" s="1"/>
  <c r="BB10" i="11" s="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G8" i="12" l="1"/>
  <c r="F8" i="12"/>
  <c r="D8" i="12"/>
  <c r="G10" i="11"/>
  <c r="G11" i="11"/>
  <c r="E8" i="11"/>
  <c r="E10" i="11"/>
  <c r="G8" i="11"/>
  <c r="D8" i="11"/>
  <c r="F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G33" i="16" s="1"/>
  <c r="L29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W24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<sst xmlns="http://schemas.openxmlformats.org/spreadsheetml/2006/main" count="454" uniqueCount="79">
  <si>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</si>
  <si>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</si>
  <si>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</si>
  <si>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</si>
  <si>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</si>
  <si>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</si>
  <si>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</si>
  <si>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</si>
  <si>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</si>
  <si>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</si>
  <si>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</si>
  <si>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</si>
  <si>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</si>
  <si>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</si>
  <si>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</si>
  <si>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</si>
  <si>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</si>
  <si>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</si>
  <si>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</si>
  <si>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</si>
  <si>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</si>
  <si>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</si>
  <si>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</si>
  <si>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</si>
  <si>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</si>
  <si>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</si>
  <si>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</si>
  <si>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</si>
  <si>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</si>
  <si>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</si>
  <si>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</si>
  <si>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</si>
  <si>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</si>
  <si>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</si>
  <si>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</si>
  <si>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</si>
  <si>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</si>
  <si>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</si>
  <si>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</si>
  <si>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</si>
  <si>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</si>
  <si>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</si>
  <si>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</si>
  <si>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</si>
  <si>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</si>
  <si>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</si>
  <si>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</si>
  <si>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</si>
  <si>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</si>
  <si>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</si>
  <si>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</si>
  <si>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</si>
  <si>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</si>
  <si>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</si>
  <si>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</si>
  <si>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</si>
  <si>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</si>
  <si>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</si>
  <si>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</si>
  <si>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</si>
  <si>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</si>
  <si>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</si>
  <si>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</si>
  <si>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</si>
  <si>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</si>
  <si>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</si>
  <si>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</si>
  <si>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</si>
  <si>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</si>
  <si>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</si>
  <si>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</si>
  <si>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</si>
  <si>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</si>
  <si>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</si>
  <si>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</si>
  <si>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</si>
  <si>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</si>
  <si>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Maria Jesús Figueroa</t>
  </si>
  <si>
    <t>maria.figueroa@alumnos.mtn.cl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</si>
</sst>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ia.figueroa@alumnos.mtn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12" sqref="C12"/>
    </sheetView>
  </sheetViews>
  <sheetFormatPr baseColWidth="10" defaultRowHeight="14.5" x14ac:dyDescent="0.35"/>
  <sheetData>
    <row r="1" spans="2:4" ht="15" thickBot="1" x14ac:dyDescent="0.4"/>
    <row r="2" spans="2:4" ht="15" thickBot="1" x14ac:dyDescent="0.4">
      <c r="B2" s="83" t="s">
        <v>74</v>
      </c>
      <c r="C2" s="84"/>
      <c r="D2" s="85"/>
    </row>
    <row r="3" spans="2:4" x14ac:dyDescent="0.35">
      <c r="B3" s="76" t="s">
        <v>75</v>
      </c>
      <c r="C3" s="86" t="s">
        <v>77</v>
      </c>
      <c r="D3" s="87"/>
    </row>
    <row r="4" spans="2:4" ht="15" thickBot="1" x14ac:dyDescent="0.4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8922BD27-140A-43A7-9AAD-582CC489AA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topLeftCell="A13" workbookViewId="0">
      <selection activeCell="N34" sqref="N34"/>
    </sheetView>
  </sheetViews>
  <sheetFormatPr baseColWidth="10" defaultColWidth="11.453125" defaultRowHeight="14.5" x14ac:dyDescent="0.35"/>
  <cols>
    <col min="1" max="14" width="10.90625" customWidth="1"/>
    <col min="15" max="34" width="11.453125" style="8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0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1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-3</v>
      </c>
      <c r="AR7" s="34">
        <f>SUMIF($K$7:$K$12,AO7,$L$7:$L$12) + SUMIF($N$7:$N$12,AO7,$M$7:$M$12)</f>
        <v>0</v>
      </c>
      <c r="AS7" s="34">
        <f>SUMIF($K$7:$K$12,AO7,$M$7:$M$12) + SUMIF($N$7:$N$12,AO7,$L$7:$L$12)</f>
        <v>3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30000</v>
      </c>
      <c r="BA7" s="34">
        <f>AZ7-AY7*10</f>
        <v>29990</v>
      </c>
      <c r="BB7" s="34">
        <f>BA7+N23</f>
        <v>29994</v>
      </c>
    </row>
    <row r="8" spans="2:54" x14ac:dyDescent="0.3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3</v>
      </c>
      <c r="F8" s="9">
        <f t="shared" si="3"/>
        <v>0</v>
      </c>
      <c r="G8" s="10">
        <f t="shared" si="3"/>
        <v>3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3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-90030300</v>
      </c>
      <c r="BA8" s="34">
        <f t="shared" ref="BA8:BA10" si="10">AZ8-AY8*10</f>
        <v>-90030310</v>
      </c>
      <c r="BB8" s="34">
        <f>BA8+N24</f>
        <v>-90030309</v>
      </c>
    </row>
    <row r="9" spans="2:54" x14ac:dyDescent="0.35">
      <c r="B9" s="11">
        <v>2</v>
      </c>
      <c r="C9" s="12" t="str">
        <f t="shared" si="3"/>
        <v>Senegal</v>
      </c>
      <c r="D9" s="13">
        <f t="shared" si="3"/>
        <v>6</v>
      </c>
      <c r="E9" s="13">
        <f t="shared" si="3"/>
        <v>2</v>
      </c>
      <c r="F9" s="13">
        <f t="shared" si="3"/>
        <v>1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2</v>
      </c>
      <c r="AS9" s="34">
        <f t="shared" si="6"/>
        <v>1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-60010200</v>
      </c>
      <c r="BA9" s="34">
        <f t="shared" si="10"/>
        <v>-60010210</v>
      </c>
      <c r="BB9" s="34">
        <f>BA9+N25</f>
        <v>-60010208</v>
      </c>
    </row>
    <row r="10" spans="2:54" x14ac:dyDescent="0.35">
      <c r="B10" s="48">
        <v>3</v>
      </c>
      <c r="C10" s="49" t="str">
        <f t="shared" si="3"/>
        <v>Ecuador</v>
      </c>
      <c r="D10" s="50">
        <f t="shared" si="3"/>
        <v>3</v>
      </c>
      <c r="E10" s="50">
        <f t="shared" si="3"/>
        <v>1</v>
      </c>
      <c r="F10" s="50">
        <f t="shared" si="3"/>
        <v>2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1</v>
      </c>
      <c r="AS10" s="34">
        <f>SUMIF($K$7:$K$12,AO10,$M$7:$M$12) + SUMIF($N$7:$N$12,AO10,$L$7:$L$12)</f>
        <v>2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-29990100</v>
      </c>
      <c r="BA10" s="34">
        <f t="shared" si="10"/>
        <v>-29990110</v>
      </c>
      <c r="BB10" s="34">
        <f>BA10+N26</f>
        <v>-29990107</v>
      </c>
    </row>
    <row r="11" spans="2:54" ht="15" thickBot="1" x14ac:dyDescent="0.4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0</v>
      </c>
      <c r="F11" s="54">
        <f t="shared" si="3"/>
        <v>3</v>
      </c>
      <c r="G11" s="55">
        <f t="shared" si="3"/>
        <v>-3</v>
      </c>
      <c r="I11" s="23">
        <f>I9+16</f>
        <v>33</v>
      </c>
      <c r="J11" s="24">
        <v>44894</v>
      </c>
      <c r="K11" s="25" t="s">
        <v>11</v>
      </c>
      <c r="L11" s="21">
        <v>0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5" thickBot="1" x14ac:dyDescent="0.4">
      <c r="I12" s="26">
        <f>I10+16</f>
        <v>34</v>
      </c>
      <c r="J12" s="27">
        <v>44894</v>
      </c>
      <c r="K12" s="28" t="s">
        <v>13</v>
      </c>
      <c r="L12" s="32">
        <v>1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14" ht="15" thickBot="1" x14ac:dyDescent="0.4"/>
    <row r="22" spans="2:1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2</v>
      </c>
      <c r="N25" s="35">
        <f>IF(J25="",0,M25)</f>
        <v>2</v>
      </c>
    </row>
    <row r="26" spans="2:1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topLeftCell="B10" workbookViewId="0">
      <selection activeCell="H14" sqref="H14"/>
    </sheetView>
  </sheetViews>
  <sheetFormatPr baseColWidth="10" defaultColWidth="11.453125" defaultRowHeight="14.5" x14ac:dyDescent="0.35"/>
  <cols>
    <col min="1" max="14" width="10.90625" customWidth="1"/>
    <col min="15" max="34" width="11.453125" style="78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29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-90040500</v>
      </c>
      <c r="BA7" s="34">
        <f>AZ7-AY7*10</f>
        <v>-90040510</v>
      </c>
      <c r="BB7" s="34">
        <f>BA7+N23</f>
        <v>-90040509</v>
      </c>
    </row>
    <row r="8" spans="2:54" x14ac:dyDescent="0.3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2</v>
      </c>
      <c r="AQ8" s="34">
        <f>AR8-AS8</f>
        <v>-1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>Gales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-19990200</v>
      </c>
      <c r="BA8" s="34">
        <f t="shared" ref="BA8:BA10" si="10">AZ8-AY8*10</f>
        <v>-19990200</v>
      </c>
      <c r="BB8" s="34">
        <f>BA8+N24</f>
        <v>-19990197</v>
      </c>
    </row>
    <row r="9" spans="2:54" x14ac:dyDescent="0.35">
      <c r="B9" s="11">
        <v>2</v>
      </c>
      <c r="C9" s="12" t="str">
        <f t="shared" si="0"/>
        <v>Gales</v>
      </c>
      <c r="D9" s="13">
        <f t="shared" si="0"/>
        <v>2</v>
      </c>
      <c r="E9" s="13">
        <f t="shared" si="0"/>
        <v>2</v>
      </c>
      <c r="F9" s="13">
        <f t="shared" si="0"/>
        <v>3</v>
      </c>
      <c r="G9" s="14">
        <f t="shared" si="0"/>
        <v>-1</v>
      </c>
      <c r="I9" s="23">
        <f>I7+16</f>
        <v>19</v>
      </c>
      <c r="J9" s="24">
        <v>44890</v>
      </c>
      <c r="K9" s="25" t="s">
        <v>33</v>
      </c>
      <c r="L9" s="21">
        <v>0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2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-19980100</v>
      </c>
      <c r="BA9" s="34">
        <f t="shared" si="10"/>
        <v>-19980110</v>
      </c>
      <c r="BB9" s="34">
        <f>BA9+N25</f>
        <v>-19980106</v>
      </c>
    </row>
    <row r="10" spans="2:54" x14ac:dyDescent="0.35">
      <c r="B10" s="48">
        <v>3</v>
      </c>
      <c r="C10" s="49" t="str">
        <f t="shared" si="0"/>
        <v>USA</v>
      </c>
      <c r="D10" s="50">
        <f t="shared" si="0"/>
        <v>2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1</v>
      </c>
      <c r="M10" s="22">
        <v>0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2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>USA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-19990200</v>
      </c>
      <c r="BA10" s="34">
        <f t="shared" si="10"/>
        <v>-19990200</v>
      </c>
      <c r="BB10" s="34">
        <f>BA10+N26</f>
        <v>-19990198</v>
      </c>
    </row>
    <row r="11" spans="2:54" ht="15" thickBot="1" x14ac:dyDescent="0.4">
      <c r="B11" s="52">
        <v>4</v>
      </c>
      <c r="C11" s="53" t="str">
        <f t="shared" si="0"/>
        <v>Iran</v>
      </c>
      <c r="D11" s="54">
        <f t="shared" si="0"/>
        <v>2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" thickBot="1" x14ac:dyDescent="0.4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A22" workbookViewId="0">
      <selection activeCell="M30" sqref="M30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34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0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3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1</v>
      </c>
      <c r="AQ8" s="34">
        <f>AR8-AS8</f>
        <v>-3</v>
      </c>
      <c r="AR8" s="34">
        <f t="shared" ref="AR8:AR9" si="5">SUMIF($K$7:$K$12,AO8,$L$7:$L$12) + SUMIF($N$7:$N$12,AO8,$M$7:$M$12)</f>
        <v>0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-9970000</v>
      </c>
      <c r="BA8" s="34">
        <f t="shared" ref="BA8:BA10" si="10">AZ8-AY8*10</f>
        <v>-9970010</v>
      </c>
      <c r="BB8" s="34">
        <f>BA8+N24</f>
        <v>-9970007</v>
      </c>
    </row>
    <row r="9" spans="2:54" x14ac:dyDescent="0.35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-60010400</v>
      </c>
      <c r="BA9" s="34">
        <f t="shared" si="10"/>
        <v>-60010410</v>
      </c>
      <c r="BB9" s="34">
        <f>BA9+N25</f>
        <v>-60010408</v>
      </c>
    </row>
    <row r="10" spans="2:54" x14ac:dyDescent="0.35">
      <c r="B10" s="48">
        <v>3</v>
      </c>
      <c r="C10" s="49" t="str">
        <f t="shared" si="0"/>
        <v>Mexico</v>
      </c>
      <c r="D10" s="50">
        <f t="shared" si="0"/>
        <v>1</v>
      </c>
      <c r="E10" s="50">
        <f t="shared" si="0"/>
        <v>0</v>
      </c>
      <c r="F10" s="50">
        <f t="shared" si="0"/>
        <v>3</v>
      </c>
      <c r="G10" s="51">
        <f t="shared" si="0"/>
        <v>-3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0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-9950000</v>
      </c>
      <c r="BA10" s="34">
        <f t="shared" si="10"/>
        <v>-9950010</v>
      </c>
      <c r="BB10" s="34">
        <f>BA10+N26</f>
        <v>-9950006</v>
      </c>
    </row>
    <row r="11" spans="2:54" ht="15" thickBot="1" x14ac:dyDescent="0.4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3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" thickBot="1" x14ac:dyDescent="0.4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0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topLeftCell="A9" workbookViewId="0">
      <selection activeCell="M18" sqref="M18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39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9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-90080900</v>
      </c>
      <c r="BA7" s="34">
        <f>AZ7-AY7*10</f>
        <v>-90080910</v>
      </c>
      <c r="BB7" s="34">
        <f>BA7+N23</f>
        <v>-90080909</v>
      </c>
    </row>
    <row r="8" spans="2:54" x14ac:dyDescent="0.3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9</v>
      </c>
      <c r="F8" s="9">
        <f t="shared" si="0"/>
        <v>1</v>
      </c>
      <c r="G8" s="10">
        <f t="shared" si="0"/>
        <v>8</v>
      </c>
      <c r="I8" s="18">
        <v>8</v>
      </c>
      <c r="J8" s="19">
        <v>44887</v>
      </c>
      <c r="K8" s="20" t="s">
        <v>40</v>
      </c>
      <c r="L8" s="21">
        <v>3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4</v>
      </c>
      <c r="AQ8" s="34">
        <f>AR8-AS8</f>
        <v>-2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-39980100</v>
      </c>
      <c r="BA8" s="34">
        <f t="shared" ref="BA8:BA10" si="10">AZ8-AY8*10</f>
        <v>-39980110</v>
      </c>
      <c r="BB8" s="34">
        <f>BA8+N24</f>
        <v>-39980108</v>
      </c>
    </row>
    <row r="9" spans="2:54" x14ac:dyDescent="0.35">
      <c r="B9" s="11">
        <v>2</v>
      </c>
      <c r="C9" s="12" t="str">
        <f t="shared" si="0"/>
        <v>Dinamarca</v>
      </c>
      <c r="D9" s="13">
        <f t="shared" si="0"/>
        <v>4</v>
      </c>
      <c r="E9" s="13">
        <f t="shared" si="0"/>
        <v>1</v>
      </c>
      <c r="F9" s="13">
        <f t="shared" si="0"/>
        <v>3</v>
      </c>
      <c r="G9" s="14">
        <f t="shared" si="0"/>
        <v>-2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0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3</v>
      </c>
      <c r="AK9" s="34">
        <f t="shared" si="3"/>
        <v>0</v>
      </c>
      <c r="AL9" s="34" t="str">
        <f t="shared" si="4"/>
        <v>Tunez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-29980200</v>
      </c>
      <c r="BA9" s="34">
        <f t="shared" si="10"/>
        <v>-29980210</v>
      </c>
      <c r="BB9" s="34">
        <f>BA9+N25</f>
        <v>-29980207</v>
      </c>
    </row>
    <row r="10" spans="2:54" x14ac:dyDescent="0.35">
      <c r="B10" s="48">
        <v>3</v>
      </c>
      <c r="C10" s="49" t="str">
        <f t="shared" si="0"/>
        <v>Tunez</v>
      </c>
      <c r="D10" s="50">
        <f t="shared" si="0"/>
        <v>3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3</v>
      </c>
      <c r="M10" s="22">
        <v>0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-9960000</v>
      </c>
      <c r="BA10" s="34">
        <f t="shared" si="10"/>
        <v>-9960010</v>
      </c>
      <c r="BB10" s="34">
        <f>BA10+N26</f>
        <v>-9960006</v>
      </c>
    </row>
    <row r="11" spans="2:54" ht="15" thickBot="1" x14ac:dyDescent="0.4">
      <c r="B11" s="52">
        <v>4</v>
      </c>
      <c r="C11" s="53" t="str">
        <f t="shared" si="0"/>
        <v>Australia</v>
      </c>
      <c r="D11" s="54">
        <f t="shared" si="0"/>
        <v>1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1</v>
      </c>
      <c r="M11" s="22">
        <v>3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" thickBot="1" x14ac:dyDescent="0.4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0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topLeftCell="A9" workbookViewId="0">
      <selection activeCell="G31" sqref="G31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70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35">
      <c r="B8" s="7">
        <v>1</v>
      </c>
      <c r="C8" s="8" t="str">
        <f t="shared" ref="C8:G11" si="0">IFERROR(VLOOKUP($B8,$AN$7:$AS$11,C$5,FALSE),"")</f>
        <v>España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-60020400</v>
      </c>
      <c r="BA8" s="34">
        <f t="shared" ref="BA8:BA10" si="10">AZ8-AY8*10</f>
        <v>-60020410</v>
      </c>
      <c r="BB8" s="34">
        <f>BA8+N24</f>
        <v>-60020408</v>
      </c>
    </row>
    <row r="9" spans="2:54" x14ac:dyDescent="0.35">
      <c r="B9" s="11">
        <v>2</v>
      </c>
      <c r="C9" s="12" t="str">
        <f t="shared" si="0"/>
        <v>Alemania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0</v>
      </c>
      <c r="AK9" s="34">
        <f t="shared" si="3"/>
        <v>3</v>
      </c>
      <c r="AL9" s="34" t="str">
        <f t="shared" si="4"/>
        <v>Costa Rica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0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50000</v>
      </c>
      <c r="BA9" s="34">
        <f t="shared" si="10"/>
        <v>49990</v>
      </c>
      <c r="BB9" s="34">
        <f>BA9+N25</f>
        <v>49994</v>
      </c>
    </row>
    <row r="10" spans="2:54" x14ac:dyDescent="0.35">
      <c r="B10" s="48">
        <v>3</v>
      </c>
      <c r="C10" s="49" t="str">
        <f t="shared" si="0"/>
        <v>Costa Rica</v>
      </c>
      <c r="D10" s="50">
        <f t="shared" si="0"/>
        <v>3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1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3</v>
      </c>
      <c r="AK10" s="34">
        <f t="shared" si="3"/>
        <v>0</v>
      </c>
      <c r="AL10" s="34" t="str">
        <f t="shared" si="4"/>
        <v>España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1</v>
      </c>
      <c r="AS10" s="34">
        <f>SUMIF($K$7:$K$12,AO10,$M$7:$M$12) + SUMIF($N$7:$N$12,AO10,$L$7:$L$12)</f>
        <v>3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-29980100</v>
      </c>
      <c r="BA10" s="34">
        <f t="shared" si="10"/>
        <v>-29980110</v>
      </c>
      <c r="BB10" s="34">
        <f>BA10+N26</f>
        <v>-29980107</v>
      </c>
    </row>
    <row r="11" spans="2:54" ht="15" thickBot="1" x14ac:dyDescent="0.4">
      <c r="B11" s="52">
        <v>4</v>
      </c>
      <c r="C11" s="53" t="str">
        <f t="shared" si="0"/>
        <v>Japon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" thickBot="1" x14ac:dyDescent="0.4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1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topLeftCell="A12" workbookViewId="0">
      <selection activeCell="M27" sqref="M27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71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5</v>
      </c>
      <c r="AQ7" s="34">
        <f>AR7-AS7</f>
        <v>1</v>
      </c>
      <c r="AR7" s="34">
        <f>SUMIF($K$7:$K$12,AO7,$L$7:$L$12) + SUMIF($N$7:$N$12,AO7,$M$7:$M$12)</f>
        <v>3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-50010300</v>
      </c>
      <c r="BA7" s="34">
        <f>AZ7-AY7*10</f>
        <v>-50010310</v>
      </c>
      <c r="BB7" s="34">
        <f>BA7+N23</f>
        <v>-50010308</v>
      </c>
    </row>
    <row r="8" spans="2:54" x14ac:dyDescent="0.35">
      <c r="B8" s="7">
        <v>1</v>
      </c>
      <c r="C8" s="8" t="str">
        <f t="shared" ref="C8:G11" si="0">IFERROR(VLOOKUP($B8,$AN$7:$AS$11,C$5,FALSE),"")</f>
        <v>Croacia</v>
      </c>
      <c r="D8" s="9">
        <f t="shared" si="0"/>
        <v>7</v>
      </c>
      <c r="E8" s="9">
        <f t="shared" si="0"/>
        <v>3</v>
      </c>
      <c r="F8" s="9">
        <f t="shared" si="0"/>
        <v>1</v>
      </c>
      <c r="G8" s="10">
        <f t="shared" si="0"/>
        <v>2</v>
      </c>
      <c r="I8" s="18">
        <v>12</v>
      </c>
      <c r="J8" s="19">
        <v>44888</v>
      </c>
      <c r="K8" s="20" t="s">
        <v>48</v>
      </c>
      <c r="L8" s="21">
        <v>1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-70020300</v>
      </c>
      <c r="BA8" s="34">
        <f t="shared" ref="BA8:BA10" si="10">AZ8-AY8*10</f>
        <v>-70020310</v>
      </c>
      <c r="BB8" s="34">
        <f>BA8+N24</f>
        <v>-70020309</v>
      </c>
    </row>
    <row r="9" spans="2:54" x14ac:dyDescent="0.35">
      <c r="B9" s="11">
        <v>2</v>
      </c>
      <c r="C9" s="12" t="str">
        <f t="shared" si="0"/>
        <v>Belgica</v>
      </c>
      <c r="D9" s="13">
        <f t="shared" si="0"/>
        <v>5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1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1</v>
      </c>
      <c r="AS9" s="34">
        <f t="shared" si="6"/>
        <v>2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-19990100</v>
      </c>
      <c r="BA9" s="34">
        <f t="shared" si="10"/>
        <v>-19990110</v>
      </c>
      <c r="BB9" s="34">
        <f>BA9+N25</f>
        <v>-19990107</v>
      </c>
    </row>
    <row r="10" spans="2:54" x14ac:dyDescent="0.35">
      <c r="B10" s="48">
        <v>3</v>
      </c>
      <c r="C10" s="49" t="str">
        <f t="shared" si="0"/>
        <v>Marruecos</v>
      </c>
      <c r="D10" s="50">
        <f t="shared" si="0"/>
        <v>2</v>
      </c>
      <c r="E10" s="50">
        <f t="shared" si="0"/>
        <v>1</v>
      </c>
      <c r="F10" s="50">
        <f t="shared" si="0"/>
        <v>2</v>
      </c>
      <c r="G10" s="51">
        <f t="shared" si="0"/>
        <v>-1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0</v>
      </c>
      <c r="AS10" s="34">
        <f>SUMIF($K$7:$K$12,AO10,$M$7:$M$12) + SUMIF($N$7:$N$12,AO10,$L$7:$L$12)</f>
        <v>2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-9980000</v>
      </c>
      <c r="BA10" s="34">
        <f t="shared" si="10"/>
        <v>-9980010</v>
      </c>
      <c r="BB10" s="34">
        <f>BA10+N26</f>
        <v>-9980006</v>
      </c>
    </row>
    <row r="11" spans="2:54" ht="15" thickBot="1" x14ac:dyDescent="0.4">
      <c r="B11" s="52">
        <v>4</v>
      </c>
      <c r="C11" s="53" t="str">
        <f t="shared" si="0"/>
        <v>Canada</v>
      </c>
      <c r="D11" s="54">
        <f t="shared" si="0"/>
        <v>1</v>
      </c>
      <c r="E11" s="54">
        <f t="shared" si="0"/>
        <v>0</v>
      </c>
      <c r="F11" s="54">
        <f t="shared" si="0"/>
        <v>2</v>
      </c>
      <c r="G11" s="55">
        <f t="shared" si="0"/>
        <v>-2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0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49BF-3F62-47DC-A32B-0141A6226DA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E14" sqref="E14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72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7</v>
      </c>
      <c r="AS7" s="34">
        <f>SUMIF($K$7:$K$12,AO7,$M$7:$M$12) + SUMIF($N$7:$N$12,AO7,$L$7:$L$12)</f>
        <v>0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-90070700</v>
      </c>
      <c r="BA7" s="34">
        <f>AZ7-AY7*10</f>
        <v>-90070710</v>
      </c>
      <c r="BB7" s="34">
        <f>BA7+N23</f>
        <v>-90070709</v>
      </c>
    </row>
    <row r="8" spans="2:54" x14ac:dyDescent="0.3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7</v>
      </c>
      <c r="F8" s="9">
        <f t="shared" si="0"/>
        <v>0</v>
      </c>
      <c r="G8" s="10">
        <f t="shared" si="0"/>
        <v>7</v>
      </c>
      <c r="I8" s="18">
        <v>14</v>
      </c>
      <c r="J8" s="19">
        <v>44889</v>
      </c>
      <c r="K8" s="20" t="s">
        <v>10</v>
      </c>
      <c r="L8" s="21">
        <v>2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Suiza</v>
      </c>
      <c r="AW8" s="34" t="str">
        <f>IF(AZ8=AZ9,AV9,IF(AZ8=AZ10,AV10,IF(AZ8=AZ7,AV7,"")))</f>
        <v>Serbia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-39990200</v>
      </c>
      <c r="BA8" s="34">
        <f t="shared" ref="BA8:BA10" si="10">AZ8-AY8*10</f>
        <v>-39990200</v>
      </c>
      <c r="BB8" s="34">
        <f>BA8+N24</f>
        <v>-39990198</v>
      </c>
    </row>
    <row r="9" spans="2:54" x14ac:dyDescent="0.35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2</v>
      </c>
      <c r="F9" s="13">
        <f t="shared" si="0"/>
        <v>3</v>
      </c>
      <c r="G9" s="14">
        <f t="shared" si="0"/>
        <v>-1</v>
      </c>
      <c r="I9" s="23">
        <f>I7+16</f>
        <v>29</v>
      </c>
      <c r="J9" s="24">
        <v>44893</v>
      </c>
      <c r="K9" s="25" t="s">
        <v>54</v>
      </c>
      <c r="L9" s="21">
        <v>0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Serbia</v>
      </c>
      <c r="AW9" s="34" t="str">
        <f>IF(AZ9=AZ10,AV10,IF(AZ9=AZ7,AV7,IF(AZ9=AZ8,AV8,"")))</f>
        <v>Suiza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-39990200</v>
      </c>
      <c r="BA9" s="34">
        <f t="shared" si="10"/>
        <v>-39990200</v>
      </c>
      <c r="BB9" s="34">
        <f>BA9+N25</f>
        <v>-39990197</v>
      </c>
    </row>
    <row r="10" spans="2:54" x14ac:dyDescent="0.35">
      <c r="B10" s="48">
        <v>3</v>
      </c>
      <c r="C10" s="49" t="str">
        <f t="shared" si="0"/>
        <v>Serbia</v>
      </c>
      <c r="D10" s="50">
        <f t="shared" si="0"/>
        <v>4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5" thickBot="1" x14ac:dyDescent="0.4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L12" sqref="L12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73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9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-90070900</v>
      </c>
      <c r="BA7" s="34">
        <f>AZ7-AY7*10</f>
        <v>-90070910</v>
      </c>
      <c r="BB7" s="34">
        <f>BA7+N23</f>
        <v>-90070909</v>
      </c>
    </row>
    <row r="8" spans="2:54" x14ac:dyDescent="0.3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16</v>
      </c>
      <c r="J8" s="19">
        <v>44889</v>
      </c>
      <c r="K8" s="20" t="s">
        <v>57</v>
      </c>
      <c r="L8" s="21">
        <v>3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-60030600</v>
      </c>
      <c r="BA8" s="34">
        <f t="shared" ref="BA8:BA10" si="10">AZ8-AY8*10</f>
        <v>-60030610</v>
      </c>
      <c r="BB8" s="34">
        <f>BA8+N24</f>
        <v>-60030608</v>
      </c>
    </row>
    <row r="9" spans="2:54" x14ac:dyDescent="0.35">
      <c r="B9" s="11">
        <v>2</v>
      </c>
      <c r="C9" s="12" t="str">
        <f t="shared" si="0"/>
        <v>Uruguay</v>
      </c>
      <c r="D9" s="13">
        <f t="shared" si="0"/>
        <v>6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0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-29960100</v>
      </c>
      <c r="BA9" s="34">
        <f t="shared" si="10"/>
        <v>-29960110</v>
      </c>
      <c r="BB9" s="34">
        <f>BA9+N25</f>
        <v>-29960107</v>
      </c>
    </row>
    <row r="10" spans="2:54" x14ac:dyDescent="0.35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32</v>
      </c>
      <c r="J10" s="19">
        <v>44893</v>
      </c>
      <c r="K10" s="20" t="s">
        <v>57</v>
      </c>
      <c r="L10" s="21">
        <v>3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0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60000</v>
      </c>
      <c r="BA10" s="34">
        <f t="shared" si="10"/>
        <v>59990</v>
      </c>
      <c r="BB10" s="34">
        <f>BA10+N26</f>
        <v>59994</v>
      </c>
    </row>
    <row r="11" spans="2:54" ht="15" thickBot="1" x14ac:dyDescent="0.4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0</v>
      </c>
      <c r="F11" s="54">
        <f t="shared" si="0"/>
        <v>6</v>
      </c>
      <c r="G11" s="55">
        <f t="shared" si="0"/>
        <v>-6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" thickBot="1" x14ac:dyDescent="0.4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3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zoomScale="80" zoomScaleNormal="80" workbookViewId="0">
      <selection activeCell="F37" sqref="F37"/>
    </sheetView>
  </sheetViews>
  <sheetFormatPr baseColWidth="10" defaultRowHeight="14.5" x14ac:dyDescent="0.35"/>
  <cols>
    <col min="3" max="3" width="11.26953125" bestFit="1" customWidth="1"/>
    <col min="4" max="4" width="9.1796875" bestFit="1" customWidth="1"/>
    <col min="9" max="9" width="9.1796875" bestFit="1" customWidth="1"/>
    <col min="14" max="14" width="9.1796875" bestFit="1" customWidth="1"/>
  </cols>
  <sheetData>
    <row r="1" spans="2:19" ht="15" thickBot="1" x14ac:dyDescent="0.4"/>
    <row r="2" spans="2:19" ht="15" thickBot="1" x14ac:dyDescent="0.4">
      <c r="B2" s="111" t="s">
        <v>69</v>
      </c>
      <c r="C2" s="112"/>
      <c r="D2" s="113"/>
    </row>
    <row r="3" spans="2:19" ht="15" thickBot="1" x14ac:dyDescent="0.4"/>
    <row r="4" spans="2:19" ht="15" thickBot="1" x14ac:dyDescent="0.4">
      <c r="G4" s="111" t="s">
        <v>59</v>
      </c>
      <c r="H4" s="112"/>
      <c r="I4" s="113"/>
    </row>
    <row r="5" spans="2:19" ht="15" thickBot="1" x14ac:dyDescent="0.4">
      <c r="B5" s="56">
        <v>49</v>
      </c>
      <c r="C5" s="57" t="s">
        <v>61</v>
      </c>
      <c r="D5" s="58" t="s">
        <v>62</v>
      </c>
    </row>
    <row r="6" spans="2:19" ht="15" thickBot="1" x14ac:dyDescent="0.4">
      <c r="B6" s="59" t="str">
        <f>'GRUPO A'!C8</f>
        <v>Holanda</v>
      </c>
      <c r="C6" s="60">
        <v>1</v>
      </c>
      <c r="D6" s="61"/>
    </row>
    <row r="7" spans="2:19" ht="15" thickBot="1" x14ac:dyDescent="0.4">
      <c r="B7" s="62" t="str">
        <f>'GRUPO B'!C9</f>
        <v>Gales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" thickBot="1" x14ac:dyDescent="0.4">
      <c r="E8" s="66"/>
      <c r="G8" s="59" t="str">
        <f>IF(C7&gt;C6,B7,IF(C6&gt;C7,B6,IF(D7&gt;D6,B7,IF(D6&gt;D7,B6,""))))</f>
        <v>Holanda</v>
      </c>
      <c r="H8" s="60">
        <v>0</v>
      </c>
      <c r="I8" s="61"/>
      <c r="L8" s="111" t="s">
        <v>60</v>
      </c>
      <c r="M8" s="112"/>
      <c r="N8" s="113"/>
    </row>
    <row r="9" spans="2:19" ht="15" thickBot="1" x14ac:dyDescent="0.4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3</v>
      </c>
      <c r="I9" s="64"/>
      <c r="J9" s="65"/>
    </row>
    <row r="10" spans="2:19" ht="15" thickBot="1" x14ac:dyDescent="0.4">
      <c r="B10" s="59" t="str">
        <f>'GRUPO C'!C8</f>
        <v>Argentina</v>
      </c>
      <c r="C10" s="60">
        <v>2</v>
      </c>
      <c r="D10" s="61"/>
      <c r="E10" s="69"/>
      <c r="J10" s="66"/>
    </row>
    <row r="11" spans="2:19" ht="15" thickBot="1" x14ac:dyDescent="0.4">
      <c r="B11" s="62" t="str">
        <f>'GRUPO D'!C9</f>
        <v>Dinamarca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" thickBot="1" x14ac:dyDescent="0.4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" thickBot="1" x14ac:dyDescent="0.4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3</v>
      </c>
      <c r="N13" s="64"/>
      <c r="O13" s="65"/>
    </row>
    <row r="14" spans="2:19" ht="15" thickBot="1" x14ac:dyDescent="0.4">
      <c r="B14" s="59" t="str">
        <f>'GRUPO E'!C8</f>
        <v>España</v>
      </c>
      <c r="C14" s="60">
        <v>2</v>
      </c>
      <c r="D14" s="61"/>
      <c r="J14" s="66"/>
      <c r="O14" s="66"/>
    </row>
    <row r="15" spans="2:19" ht="15" thickBot="1" x14ac:dyDescent="0.4">
      <c r="B15" s="62" t="str">
        <f>'GRUPO F'!C9</f>
        <v>Belgica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" thickBot="1" x14ac:dyDescent="0.4">
      <c r="E16" s="66"/>
      <c r="G16" s="59" t="str">
        <f>IF(C15&gt;C14,B15,IF(C14&gt;C15,B14,IF(D15&gt;D14,B15,IF(D14&gt;D15,B14,""))))</f>
        <v>España</v>
      </c>
      <c r="H16" s="60">
        <v>0</v>
      </c>
      <c r="I16" s="61"/>
      <c r="J16" s="69"/>
      <c r="O16" s="66"/>
      <c r="Q16" s="111" t="s">
        <v>63</v>
      </c>
      <c r="R16" s="112"/>
      <c r="S16" s="113"/>
    </row>
    <row r="17" spans="2:23" ht="15" thickBot="1" x14ac:dyDescent="0.4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3</v>
      </c>
      <c r="I17" s="64"/>
      <c r="O17" s="66"/>
    </row>
    <row r="18" spans="2:23" ht="15" thickBot="1" x14ac:dyDescent="0.4">
      <c r="B18" s="59" t="str">
        <f>'GRUPO G'!C8</f>
        <v>Brasil</v>
      </c>
      <c r="C18" s="60">
        <v>3</v>
      </c>
      <c r="D18" s="61"/>
      <c r="E18" s="69"/>
      <c r="O18" s="66"/>
    </row>
    <row r="19" spans="2:23" ht="15" thickBot="1" x14ac:dyDescent="0.4">
      <c r="B19" s="62" t="str">
        <f>'GRUPO H'!C9</f>
        <v>Uruguay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" thickBot="1" x14ac:dyDescent="0.4">
      <c r="O20" s="66"/>
      <c r="Q20" s="59" t="str">
        <f>IF(M13&gt;M12,L13,IF(M12&gt;M13,L12,IF(N13&gt;N12,L13,IF(N12&gt;N13,L12,""))))</f>
        <v>Brasil</v>
      </c>
      <c r="R20" s="60">
        <v>3</v>
      </c>
      <c r="S20" s="61"/>
    </row>
    <row r="21" spans="2:23" ht="15" thickBot="1" x14ac:dyDescent="0.4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1</v>
      </c>
      <c r="S21" s="64"/>
    </row>
    <row r="22" spans="2:23" ht="15" thickBot="1" x14ac:dyDescent="0.4">
      <c r="B22" s="59" t="str">
        <f>'GRUPO B'!C8</f>
        <v>Inglaterra</v>
      </c>
      <c r="C22" s="60">
        <v>1</v>
      </c>
      <c r="D22" s="61"/>
      <c r="O22" s="66"/>
    </row>
    <row r="23" spans="2:23" ht="15" thickBot="1" x14ac:dyDescent="0.4">
      <c r="B23" s="62" t="str">
        <f>'GRUPO A'!C9</f>
        <v>Senegal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" thickBot="1" x14ac:dyDescent="0.4">
      <c r="E24" s="66"/>
      <c r="G24" s="59" t="str">
        <f>IF(C23&gt;C22,B23,IF(C22&gt;C23,B22,IF(D23&gt;D22,B23,IF(D22&gt;D23,B22,""))))</f>
        <v>Inglaterra</v>
      </c>
      <c r="H24" s="60">
        <v>0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" thickBot="1" x14ac:dyDescent="0.4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Francia</v>
      </c>
    </row>
    <row r="26" spans="2:23" ht="15" thickBot="1" x14ac:dyDescent="0.4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Portugal</v>
      </c>
    </row>
    <row r="27" spans="2:23" ht="15" thickBot="1" x14ac:dyDescent="0.4">
      <c r="B27" s="62" t="str">
        <f>'GRUPO C'!C9</f>
        <v>Polonia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" thickBot="1" x14ac:dyDescent="0.4">
      <c r="J28" s="66"/>
      <c r="L28" s="59" t="str">
        <f>IF(H25&gt;H24,G25,IF(H24&gt;H25,G24,IF(I25&gt;I24,G25,IF(I24&gt;I25,G24,""))))</f>
        <v>Francia</v>
      </c>
      <c r="M28" s="60">
        <v>2</v>
      </c>
      <c r="N28" s="61">
        <v>2</v>
      </c>
      <c r="O28" s="69"/>
      <c r="Q28" s="56">
        <v>63</v>
      </c>
      <c r="R28" s="57" t="s">
        <v>61</v>
      </c>
      <c r="S28" s="58" t="s">
        <v>62</v>
      </c>
    </row>
    <row r="29" spans="2:23" ht="15" thickBot="1" x14ac:dyDescent="0.4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Portugal</v>
      </c>
      <c r="M29" s="63">
        <v>2</v>
      </c>
      <c r="N29" s="64">
        <v>1</v>
      </c>
      <c r="Q29" s="59" t="str">
        <f>IF(Q20=L12,L13,IF(Q20=L13,L12,""))</f>
        <v>Argentina</v>
      </c>
      <c r="R29" s="60">
        <v>3</v>
      </c>
      <c r="S29" s="61">
        <v>4</v>
      </c>
    </row>
    <row r="30" spans="2:23" ht="15" thickBot="1" x14ac:dyDescent="0.4">
      <c r="B30" s="59" t="str">
        <f>'GRUPO F'!C8</f>
        <v>Croacia</v>
      </c>
      <c r="C30" s="60">
        <v>1</v>
      </c>
      <c r="D30" s="61"/>
      <c r="J30" s="66"/>
      <c r="Q30" s="62" t="str">
        <f>IF(Q21=L28,L29,IF(Q21=L29,L28,""))</f>
        <v>Portugal</v>
      </c>
      <c r="R30" s="63">
        <v>3</v>
      </c>
      <c r="S30" s="64">
        <v>5</v>
      </c>
    </row>
    <row r="31" spans="2:23" ht="15" thickBot="1" x14ac:dyDescent="0.4">
      <c r="B31" s="62" t="str">
        <f>'GRUPO E'!C9</f>
        <v>Alemania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" thickBot="1" x14ac:dyDescent="0.4">
      <c r="E32" s="66"/>
      <c r="G32" s="59" t="str">
        <f>IF(C31&gt;C30,B31,IF(C30&gt;C31,B30,IF(D31&gt;D30,B31,IF(D30&gt;D31,B30,""))))</f>
        <v>Alemania</v>
      </c>
      <c r="H32" s="60">
        <v>1</v>
      </c>
      <c r="I32" s="61"/>
      <c r="J32" s="69"/>
    </row>
    <row r="33" spans="2:9" ht="15" thickBot="1" x14ac:dyDescent="0.4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2</v>
      </c>
      <c r="I33" s="64"/>
    </row>
    <row r="34" spans="2:9" x14ac:dyDescent="0.35">
      <c r="B34" s="59" t="str">
        <f>'GRUPO H'!C8</f>
        <v>Portugal</v>
      </c>
      <c r="C34" s="60">
        <v>2</v>
      </c>
      <c r="D34" s="61"/>
      <c r="E34" s="69"/>
    </row>
    <row r="35" spans="2:9" ht="15" thickBot="1" x14ac:dyDescent="0.4">
      <c r="B35" s="62" t="str">
        <f>'GRUPO G'!C9</f>
        <v>Suiza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Hoja1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FIGUEROA ROZAS PELAYO</cp:lastModifiedBy>
  <dcterms:created xsi:type="dcterms:W3CDTF">2022-11-02T00:22:23Z</dcterms:created>
  <dcterms:modified xsi:type="dcterms:W3CDTF">2022-11-19T22:39:30Z</dcterms:modified>
</cp:coreProperties>
</file>