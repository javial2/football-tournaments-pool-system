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bal\Desktop\"/>
    </mc:Choice>
  </mc:AlternateContent>
  <xr:revisionPtr revIDLastSave="0" documentId="13_ncr:1_{52FEA625-E097-40F5-8E19-545BBDE4E5E7}" xr6:coauthVersionLast="47" xr6:coauthVersionMax="47" xr10:uidLastSave="{00000000-0000-0000-0000-000000000000}"/>
  <bookViews>
    <workbookView xWindow="-120" yWindow="-120" windowWidth="20730" windowHeight="1131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AZ9" i="2" s="1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10" i="11" l="1"/>
  <c r="AZ7" i="15"/>
  <c r="AP8" i="14"/>
  <c r="AZ8" i="14" s="1"/>
  <c r="AP10" i="13"/>
  <c r="AZ10" i="13" s="1"/>
  <c r="AZ9" i="12"/>
  <c r="AZ7" i="12"/>
  <c r="AZ10" i="12"/>
  <c r="AZ9" i="11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D8" i="12" l="1"/>
  <c r="F8" i="12"/>
  <c r="G8" i="12"/>
  <c r="E10" i="11"/>
  <c r="F10" i="11"/>
  <c r="E8" i="11"/>
  <c r="D8" i="11"/>
  <c r="G8" i="11"/>
  <c r="G10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G25" i="16" l="1"/>
  <c r="D10" i="1"/>
  <c r="F9" i="1"/>
  <c r="D9" i="1"/>
  <c r="E9" i="1"/>
  <c r="C9" i="1"/>
  <c r="B23" i="16" s="1"/>
  <c r="G24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L28" i="16" l="1"/>
  <c r="Q21" i="16" s="1"/>
  <c r="Q30" i="16" s="1"/>
  <c r="W26" i="16" s="1"/>
  <c r="W25" i="16" l="1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<sst xmlns="http://schemas.openxmlformats.org/spreadsheetml/2006/main" count="454" uniqueCount="79">
  <si>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</si>
  <si>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</si>
  <si>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</si>
  <si>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</si>
  <si>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</si>
  <si>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</si>
  <si>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</si>
  <si>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</si>
  <si>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</si>
  <si>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</si>
  <si>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</si>
  <si>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</si>
  <si>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</si>
  <si>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</si>
  <si>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</si>
  <si>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</si>
  <si>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</si>
  <si>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</si>
  <si>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</si>
  <si>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</si>
  <si>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</si>
  <si>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</si>
  <si>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</si>
  <si>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</si>
  <si>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</si>
  <si>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</si>
  <si>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</si>
  <si>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</si>
  <si>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</si>
  <si>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</si>
  <si>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</si>
  <si>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</si>
  <si>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</si>
  <si>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</si>
  <si>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</si>
  <si>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</si>
  <si>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</si>
  <si>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</si>
  <si>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</si>
  <si>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</si>
  <si>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</si>
  <si>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</si>
  <si>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</si>
  <si>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</si>
  <si>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</si>
  <si>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</si>
  <si>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</si>
  <si>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</si>
  <si>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</si>
  <si>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</si>
  <si>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</si>
  <si>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</si>
  <si>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</si>
  <si>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</si>
  <si>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</si>
  <si>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</si>
  <si>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</si>
  <si>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</si>
  <si>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</si>
  <si>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</si>
  <si>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</si>
  <si>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</si>
  <si>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</si>
  <si>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</si>
  <si>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</si>
  <si>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</si>
  <si>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</si>
  <si>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</si>
  <si>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</si>
  <si>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</si>
  <si>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</si>
  <si>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</si>
  <si>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</si>
  <si>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</si>
  <si>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</si>
  <si>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</si>
  <si>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</si>
  <si>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Aníbal Rodríguez</t>
  </si>
  <si>
    <t>anibalrodriguez97@gmail.com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</si>
</sst>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ibalrodriguez9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9" sqref="D9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984F1A87-0FBB-45E9-AA34-29B63FD198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G15" sqref="G15"/>
    </sheetView>
  </sheetViews>
  <sheetFormatPr baseColWidth="10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1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59900</v>
      </c>
      <c r="BA7" s="34">
        <f>AZ7-AY7*10</f>
        <v>59890</v>
      </c>
      <c r="BB7" s="34">
        <f>BA7+N23</f>
        <v>59891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2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-90060800</v>
      </c>
      <c r="BA8" s="34">
        <f t="shared" ref="BA8:BA10" si="10">AZ8-AY8*10</f>
        <v>-90060810</v>
      </c>
      <c r="BB8" s="34">
        <f>BA8+N24</f>
        <v>-90060808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3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4</v>
      </c>
      <c r="F10" s="50">
        <f t="shared" si="3"/>
        <v>5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-60010400</v>
      </c>
      <c r="BA10" s="34">
        <f t="shared" si="10"/>
        <v>-60010410</v>
      </c>
      <c r="BB10" s="34">
        <f>BA10+N26</f>
        <v>-60010406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7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0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15" sqref="L15"/>
    </sheetView>
  </sheetViews>
  <sheetFormatPr baseColWidth="10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8</v>
      </c>
      <c r="AS7" s="34">
        <f>SUMIF($K$7:$K$12,AO7,$M$7:$M$12) + SUMIF($N$7:$N$12,AO7,$L$7:$L$12)</f>
        <v>0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-90080800</v>
      </c>
      <c r="BA7" s="34">
        <f>AZ7-AY7*10</f>
        <v>-90080810</v>
      </c>
      <c r="BB7" s="34">
        <f>BA7+N23</f>
        <v>-90080809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8</v>
      </c>
      <c r="F8" s="9">
        <f t="shared" si="0"/>
        <v>0</v>
      </c>
      <c r="G8" s="10">
        <f t="shared" si="0"/>
        <v>8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-60000400</v>
      </c>
      <c r="BA8" s="34">
        <f t="shared" ref="BA8:BA10" si="10">AZ8-AY8*10</f>
        <v>-60000410</v>
      </c>
      <c r="BB8" s="34">
        <f>BA8+N24</f>
        <v>-60000408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1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0</v>
      </c>
      <c r="AK9" s="34">
        <f t="shared" si="3"/>
        <v>3</v>
      </c>
      <c r="AL9" s="34" t="str">
        <f t="shared" si="4"/>
        <v>Iran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-29960100</v>
      </c>
      <c r="BA9" s="34">
        <f t="shared" si="10"/>
        <v>-29960110</v>
      </c>
      <c r="BB9" s="34">
        <f>BA9+N25</f>
        <v>-29960107</v>
      </c>
    </row>
    <row r="10" spans="2:54" x14ac:dyDescent="0.25">
      <c r="B10" s="48">
        <v>3</v>
      </c>
      <c r="C10" s="49" t="str">
        <f t="shared" si="0"/>
        <v>Iran</v>
      </c>
      <c r="D10" s="50">
        <f t="shared" si="0"/>
        <v>3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4</v>
      </c>
      <c r="AO10" s="34" t="s">
        <v>33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39900</v>
      </c>
      <c r="BA10" s="34">
        <f t="shared" si="10"/>
        <v>39890</v>
      </c>
      <c r="BB10" s="34">
        <f>BA10+N26</f>
        <v>39894</v>
      </c>
    </row>
    <row r="11" spans="2:54" ht="15.75" thickBot="1" x14ac:dyDescent="0.3">
      <c r="B11" s="52">
        <v>4</v>
      </c>
      <c r="C11" s="53" t="str">
        <f t="shared" si="0"/>
        <v>Gales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5" sqref="L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0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4</v>
      </c>
      <c r="AO8" s="34" t="s">
        <v>36</v>
      </c>
      <c r="AP8" s="34">
        <f>SUMIF($K$7:$K$12,AO8,$AJ$7:$AJ$12) + SUMIF($N$7:$N$12,AO8,$AK$7:$AK$12)</f>
        <v>3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-29960100</v>
      </c>
      <c r="BA8" s="34">
        <f t="shared" ref="BA8:BA10" si="10">AZ8-AY8*10</f>
        <v>-29960110</v>
      </c>
      <c r="BB8" s="34">
        <f>BA8+N24</f>
        <v>-29960108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3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-30000300</v>
      </c>
      <c r="BA9" s="34">
        <f t="shared" si="10"/>
        <v>-30000310</v>
      </c>
      <c r="BB9" s="34">
        <f>BA9+N25</f>
        <v>-30000307</v>
      </c>
    </row>
    <row r="10" spans="2:54" x14ac:dyDescent="0.25">
      <c r="B10" s="48">
        <v>3</v>
      </c>
      <c r="C10" s="49" t="str">
        <f t="shared" si="0"/>
        <v>Arabia Saudita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0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3</v>
      </c>
      <c r="AO10" s="34" t="s">
        <v>38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-29980206</v>
      </c>
    </row>
    <row r="11" spans="2:54" ht="15.75" thickBot="1" x14ac:dyDescent="0.3">
      <c r="B11" s="52">
        <v>4</v>
      </c>
      <c r="C11" s="53" t="str">
        <f t="shared" si="0"/>
        <v>Mexico</v>
      </c>
      <c r="D11" s="54">
        <f t="shared" si="0"/>
        <v>3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2</v>
      </c>
      <c r="M12" s="33">
        <v>0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3</v>
      </c>
      <c r="AK12" s="34">
        <f t="shared" si="3"/>
        <v>0</v>
      </c>
      <c r="AL12" s="34" t="str">
        <f t="shared" si="4"/>
        <v>Arabia Saudita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K15" sqref="K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49893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-29960200</v>
      </c>
      <c r="BA10" s="34">
        <f t="shared" si="10"/>
        <v>-29960210</v>
      </c>
      <c r="BB10" s="34">
        <f>BA10+N26</f>
        <v>-29960206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6" sqref="L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2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8</v>
      </c>
      <c r="F8" s="9">
        <f t="shared" si="0"/>
        <v>4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-90040800</v>
      </c>
      <c r="BA8" s="34">
        <f t="shared" ref="BA8:BA10" si="10">AZ8-AY8*10</f>
        <v>-90040810</v>
      </c>
      <c r="BB8" s="34">
        <f>BA8+N24</f>
        <v>-90040808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-29980400</v>
      </c>
      <c r="BA9" s="34">
        <f t="shared" si="10"/>
        <v>-29980410</v>
      </c>
      <c r="BB9" s="34">
        <f>BA9+N25</f>
        <v>-29980407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3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6" sqref="L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-60000500</v>
      </c>
      <c r="BA8" s="34">
        <f t="shared" ref="BA8:BA10" si="10">AZ8-AY8*10</f>
        <v>-60000510</v>
      </c>
      <c r="BB8" s="34">
        <f>BA8+N24</f>
        <v>-60000508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0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-29970300</v>
      </c>
      <c r="BA9" s="34">
        <f t="shared" si="10"/>
        <v>-29970310</v>
      </c>
      <c r="BB9" s="34">
        <f>BA9+N25</f>
        <v>-29970307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3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K17" sqref="K1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10</v>
      </c>
      <c r="AR7" s="34">
        <f>SUMIF($K$7:$K$12,AO7,$L$7:$L$12) + SUMIF($N$7:$N$12,AO7,$M$7:$M$12)</f>
        <v>10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-90101000</v>
      </c>
      <c r="BA7" s="34">
        <f>AZ7-AY7*10</f>
        <v>-90101010</v>
      </c>
      <c r="BB7" s="34">
        <f>BA7+N23</f>
        <v>-90101009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0</v>
      </c>
      <c r="G8" s="10">
        <f t="shared" si="0"/>
        <v>10</v>
      </c>
      <c r="I8" s="18">
        <v>14</v>
      </c>
      <c r="J8" s="19">
        <v>44889</v>
      </c>
      <c r="K8" s="20" t="s">
        <v>10</v>
      </c>
      <c r="L8" s="21">
        <v>4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-29970300</v>
      </c>
      <c r="BA8" s="34">
        <f t="shared" ref="BA8:BA10" si="10">AZ8-AY8*10</f>
        <v>-29970310</v>
      </c>
      <c r="BB8" s="34">
        <f>BA8+N24</f>
        <v>-29970308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4</v>
      </c>
      <c r="F9" s="13">
        <f t="shared" si="0"/>
        <v>6</v>
      </c>
      <c r="G9" s="14">
        <f t="shared" si="0"/>
        <v>-2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-59980400</v>
      </c>
      <c r="BA9" s="34">
        <f t="shared" si="10"/>
        <v>-59980410</v>
      </c>
      <c r="BB9" s="34">
        <f>BA9+N25</f>
        <v>-59980407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J16" sqref="J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1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-60030600</v>
      </c>
      <c r="BA7" s="34">
        <f>AZ7-AY7*10</f>
        <v>-60030610</v>
      </c>
      <c r="BB7" s="34">
        <f>BA7+N23</f>
        <v>-60030609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9</v>
      </c>
      <c r="F8" s="9">
        <f t="shared" si="0"/>
        <v>5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-90040900</v>
      </c>
      <c r="BA8" s="34">
        <f t="shared" ref="BA8:BA10" si="10">AZ8-AY8*10</f>
        <v>-90040910</v>
      </c>
      <c r="BB8" s="34">
        <f>BA8+N24</f>
        <v>-90040908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49793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3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-29980400</v>
      </c>
      <c r="BA10" s="34">
        <f t="shared" si="10"/>
        <v>-29980410</v>
      </c>
      <c r="BB10" s="34">
        <f>BA10+N26</f>
        <v>-29980406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3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12" zoomScale="87" zoomScaleNormal="87" workbookViewId="0">
      <selection activeCell="F35" sqref="F35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Belgica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Belgica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3</v>
      </c>
      <c r="N29" s="64"/>
      <c r="Q29" s="59" t="str">
        <f>IF(Q20=L12,L13,IF(Q20=L13,L12,""))</f>
        <v>Argentina</v>
      </c>
      <c r="R29" s="60">
        <v>3</v>
      </c>
      <c r="S29" s="61"/>
    </row>
    <row r="30" spans="2:23" ht="15.75" thickBot="1" x14ac:dyDescent="0.3">
      <c r="B30" s="59" t="str">
        <f>'GRUPO F'!C8</f>
        <v>Belgica</v>
      </c>
      <c r="C30" s="60">
        <v>3</v>
      </c>
      <c r="D30" s="61"/>
      <c r="J30" s="66"/>
      <c r="Q30" s="62" t="str">
        <f>IF(Q21=L28,L29,IF(Q21=L29,L28,""))</f>
        <v>Francia</v>
      </c>
      <c r="R30" s="63">
        <v>2</v>
      </c>
      <c r="S30" s="64"/>
    </row>
    <row r="31" spans="2:23" ht="15.75" thickBot="1" x14ac:dyDescent="0.3">
      <c r="B31" s="62" t="str">
        <f>'GRUPO E'!C9</f>
        <v>España</v>
      </c>
      <c r="C31" s="63">
        <v>0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3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5">
      <c r="B34" s="59" t="str">
        <f>'GRUPO H'!C8</f>
        <v>Uruguay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Anibal</cp:lastModifiedBy>
  <dcterms:created xsi:type="dcterms:W3CDTF">2022-11-02T00:22:23Z</dcterms:created>
  <dcterms:modified xsi:type="dcterms:W3CDTF">2022-11-20T14:44:24Z</dcterms:modified>
</cp:coreProperties>
</file>