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EBEAB0EF-D53C-4194-925F-A8A6011217E0}" xr6:coauthVersionLast="47" xr6:coauthVersionMax="47" xr10:uidLastSave="{00000000-0000-0000-0000-000000000000}"/>
  <bookViews>
    <workbookView xWindow="20370" yWindow="-120" windowWidth="29040" windowHeight="15840" activeTab="9" xr2:uid="{00000000-000D-0000-FFFF-FFFF00000000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0" i="14"/>
  <c r="I12" i="14" s="1"/>
  <c r="I9" i="14"/>
  <c r="I11" i="14" s="1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10" i="11" l="1"/>
  <c r="AP10" i="12"/>
  <c r="AP9" i="2"/>
  <c r="AZ9" i="2" s="1"/>
  <c r="AQ10" i="14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9" i="11" l="1"/>
  <c r="AZ10" i="11"/>
  <c r="AZ10" i="12"/>
  <c r="AZ8" i="11"/>
  <c r="AZ8" i="13"/>
  <c r="AZ7" i="12"/>
  <c r="AW8" i="12" s="1"/>
  <c r="AX8" i="12" s="1"/>
  <c r="AY8" i="12" s="1"/>
  <c r="BA8" i="12" s="1"/>
  <c r="BB8" i="12" s="1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10" i="11" l="1"/>
  <c r="AX10" i="11" s="1"/>
  <c r="AY10" i="11" s="1"/>
  <c r="BA10" i="11" s="1"/>
  <c r="BB10" i="11" s="1"/>
  <c r="AW9" i="13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8" i="11"/>
  <c r="AX8" i="11" s="1"/>
  <c r="AY8" i="11" s="1"/>
  <c r="BA8" i="11" s="1"/>
  <c r="BB8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9" i="2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G8" i="12"/>
  <c r="E8" i="11"/>
  <c r="G11" i="11"/>
  <c r="F10" i="11"/>
  <c r="G8" i="11"/>
  <c r="D8" i="11"/>
  <c r="G10" i="11"/>
  <c r="F8" i="12"/>
  <c r="E10" i="11"/>
  <c r="D8" i="12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G32" i="16" s="1"/>
  <c r="L29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25" i="16" l="1"/>
  <c r="D10" i="1"/>
  <c r="F9" i="1"/>
  <c r="D9" i="1"/>
  <c r="E9" i="1"/>
  <c r="C9" i="1"/>
  <c r="B23" i="16" s="1"/>
  <c r="G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L28" i="16" l="1"/>
  <c r="Q21" i="16" s="1"/>
  <c r="Q30" i="16" s="1"/>
  <c r="W26" i="16" s="1"/>
  <c r="W25" i="16" l="1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<sst xmlns="http://schemas.openxmlformats.org/spreadsheetml/2006/main" count="453" uniqueCount="78">
  <si>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</si>
  <si>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</si>
  <si>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</si>
  <si>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</si>
  <si>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</si>
  <si>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</si>
  <si>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</si>
  <si>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</si>
  <si>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</si>
  <si>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</si>
  <si>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</si>
  <si>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</si>
  <si>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</si>
  <si>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</si>
  <si>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</si>
  <si>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</si>
  <si>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</si>
  <si>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</si>
  <si>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</si>
  <si>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</si>
  <si>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</si>
  <si>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</si>
  <si>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</si>
  <si>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</si>
  <si>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</si>
  <si>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</si>
  <si>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</si>
  <si>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</si>
  <si>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</si>
  <si>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</si>
  <si>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</si>
  <si>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</si>
  <si>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</si>
  <si>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</si>
  <si>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</si>
  <si>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</si>
  <si>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</si>
  <si>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</si>
  <si>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</si>
  <si>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</si>
  <si>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</si>
  <si>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</si>
  <si>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</si>
  <si>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</si>
  <si>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</si>
  <si>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</si>
  <si>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</si>
  <si>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</si>
  <si>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</si>
  <si>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</si>
  <si>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</si>
  <si>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</si>
  <si>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</si>
  <si>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</si>
  <si>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</si>
  <si>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</si>
  <si>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</si>
  <si>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</si>
  <si>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</si>
  <si>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</si>
  <si>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</si>
  <si>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</si>
  <si>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</si>
  <si>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</si>
  <si>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</si>
  <si>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</si>
  <si>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</si>
  <si>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</si>
  <si>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</si>
  <si>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</si>
  <si>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</si>
  <si>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</si>
  <si>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</si>
  <si>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</si>
  <si>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</si>
  <si>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</si>
  <si>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</si>
  <si>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Nicolás Figueroa Rozas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</si>
</sst>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28"/>
  <sheetViews>
    <sheetView topLeftCell="A5" workbookViewId="0">
      <selection activeCell="M11" sqref="M11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3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3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-40000300</v>
      </c>
      <c r="BA7" s="34">
        <f>AZ7-AY7*10</f>
        <v>-40000310</v>
      </c>
      <c r="BB7" s="34">
        <f>BA7+N23</f>
        <v>-40000309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2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0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3</v>
      </c>
      <c r="AK9" s="34">
        <f t="shared" si="4"/>
        <v>0</v>
      </c>
      <c r="AL9" s="34" t="str">
        <f t="shared" si="2"/>
        <v>Qatar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49893</v>
      </c>
    </row>
    <row r="10" spans="2:54" x14ac:dyDescent="0.25">
      <c r="B10" s="48">
        <v>3</v>
      </c>
      <c r="C10" s="49" t="str">
        <f t="shared" si="3"/>
        <v>Qatar</v>
      </c>
      <c r="D10" s="50">
        <f t="shared" si="3"/>
        <v>4</v>
      </c>
      <c r="E10" s="50">
        <f t="shared" si="3"/>
        <v>3</v>
      </c>
      <c r="F10" s="50">
        <f t="shared" si="3"/>
        <v>3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5.75" thickBot="1" x14ac:dyDescent="0.3">
      <c r="B11" s="52">
        <v>4</v>
      </c>
      <c r="C11" s="53" t="str">
        <f t="shared" si="3"/>
        <v>Senegal</v>
      </c>
      <c r="D11" s="54">
        <f t="shared" si="3"/>
        <v>0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B28"/>
  <sheetViews>
    <sheetView workbookViewId="0">
      <selection activeCell="L8" sqref="L8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-60030600</v>
      </c>
      <c r="BA7" s="34">
        <f>AZ7-AY7*10</f>
        <v>-60030610</v>
      </c>
      <c r="BB7" s="34">
        <f>BA7+N23</f>
        <v>-60030609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6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0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60000</v>
      </c>
      <c r="BA9" s="34">
        <f t="shared" si="10"/>
        <v>59990</v>
      </c>
      <c r="BB9" s="34">
        <f>BA9+N25</f>
        <v>59993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6</v>
      </c>
      <c r="E10" s="50">
        <f t="shared" si="0"/>
        <v>3</v>
      </c>
      <c r="F10" s="50">
        <f t="shared" si="0"/>
        <v>2</v>
      </c>
      <c r="G10" s="51">
        <f t="shared" si="0"/>
        <v>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-60020400</v>
      </c>
      <c r="BA10" s="34">
        <f t="shared" si="10"/>
        <v>-60020410</v>
      </c>
      <c r="BB10" s="34">
        <f>BA10+N26</f>
        <v>-60020406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2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3</v>
      </c>
      <c r="AK11" s="34">
        <f t="shared" si="3"/>
        <v>0</v>
      </c>
      <c r="AL11" s="34" t="str">
        <f t="shared" si="4"/>
        <v>Gales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B28"/>
  <sheetViews>
    <sheetView workbookViewId="0">
      <selection activeCell="L11" sqref="L1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6</v>
      </c>
      <c r="J8" s="19">
        <v>44887</v>
      </c>
      <c r="K8" s="20" t="s">
        <v>35</v>
      </c>
      <c r="L8" s="21">
        <v>5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-9970300</v>
      </c>
      <c r="BA8" s="34">
        <f t="shared" ref="BA8:BA10" si="10">AZ8-AY8*10</f>
        <v>-9970310</v>
      </c>
      <c r="BB8" s="34">
        <f>BA8+N24</f>
        <v>-9970308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-6</v>
      </c>
      <c r="AR10" s="34">
        <f>SUMIF($K$7:$K$12,AO10,$L$7:$L$12) + SUMIF($N$7:$N$12,AO10,$M$7:$M$12)</f>
        <v>2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-9940200</v>
      </c>
      <c r="BA10" s="34">
        <f t="shared" si="10"/>
        <v>-9940210</v>
      </c>
      <c r="BB10" s="34">
        <f>BA10+N26</f>
        <v>-9940206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2</v>
      </c>
      <c r="F11" s="54">
        <f t="shared" si="0"/>
        <v>8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28"/>
  <sheetViews>
    <sheetView workbookViewId="0">
      <selection activeCell="L11" sqref="L1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-60020400</v>
      </c>
      <c r="BA7" s="34">
        <f>AZ7-AY7*10</f>
        <v>-60020410</v>
      </c>
      <c r="BB7" s="34">
        <f>BA7+N23</f>
        <v>-60020409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-70020508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-9980200</v>
      </c>
      <c r="BA9" s="34">
        <f t="shared" si="10"/>
        <v>-9980210</v>
      </c>
      <c r="BB9" s="34">
        <f>BA9+N25</f>
        <v>-9980207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28"/>
  <sheetViews>
    <sheetView workbookViewId="0">
      <selection activeCell="L8" sqref="L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-70020300</v>
      </c>
      <c r="BA7" s="34">
        <f>AZ7-AY7*10</f>
        <v>-70020310</v>
      </c>
      <c r="BB7" s="34">
        <f>BA7+N23</f>
        <v>-70020309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0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-30000300</v>
      </c>
      <c r="BA8" s="34">
        <f t="shared" ref="BA8:BA10" si="10">AZ8-AY8*10</f>
        <v>-30000310</v>
      </c>
      <c r="BB8" s="34">
        <f>BA8+N24</f>
        <v>-30000308</v>
      </c>
    </row>
    <row r="9" spans="2:54" x14ac:dyDescent="0.25">
      <c r="B9" s="11">
        <v>2</v>
      </c>
      <c r="C9" s="12" t="str">
        <f t="shared" si="0"/>
        <v>Marruecos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5">
      <c r="B10" s="48">
        <v>3</v>
      </c>
      <c r="C10" s="49" t="str">
        <f t="shared" si="0"/>
        <v>Croacia</v>
      </c>
      <c r="D10" s="50">
        <f t="shared" si="0"/>
        <v>3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-9980306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B28"/>
  <sheetViews>
    <sheetView workbookViewId="0">
      <selection activeCell="M10" sqref="M1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11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-90091100</v>
      </c>
      <c r="BA7" s="34">
        <f>AZ7-AY7*10</f>
        <v>-90091110</v>
      </c>
      <c r="BB7" s="34">
        <f>BA7+N23</f>
        <v>-90091109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11</v>
      </c>
      <c r="F8" s="9">
        <f t="shared" si="0"/>
        <v>2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5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-9960100</v>
      </c>
      <c r="BA8" s="34">
        <f t="shared" ref="BA8:BA10" si="10">AZ8-AY8*10</f>
        <v>-9960110</v>
      </c>
      <c r="BB8" s="34">
        <f>BA8+N24</f>
        <v>-9960108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4</v>
      </c>
      <c r="F9" s="13">
        <f t="shared" si="0"/>
        <v>6</v>
      </c>
      <c r="G9" s="14">
        <f t="shared" si="0"/>
        <v>-2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-59980400</v>
      </c>
      <c r="BA9" s="34">
        <f t="shared" si="10"/>
        <v>-59980410</v>
      </c>
      <c r="BB9" s="34">
        <f>BA9+N25</f>
        <v>-59980407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0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Corea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>Uruguay</v>
      </c>
      <c r="AX7" s="34" t="str">
        <f>IF(AW7="","",IFERROR(VLOOKUP(CONCATENATE(AV7,"_",AW7),$AI$7:$AL$16,4,FALSE),VLOOKUP(CONCATENATE(AW7,"_",AV7),$AI$7:$AL$16,4,FALSE)))</f>
        <v>Uruguay</v>
      </c>
      <c r="AY7" s="34">
        <f>IF(AX7="",1,IF(AX7=AV7,1,0))</f>
        <v>0</v>
      </c>
      <c r="AZ7" s="34">
        <f>-AP7*10000000 - AQ7*10000 - AR7*100</f>
        <v>-60010300</v>
      </c>
      <c r="BA7" s="34">
        <f>AZ7-AY7*10</f>
        <v>-60010300</v>
      </c>
      <c r="BB7" s="34">
        <f>BA7+N23</f>
        <v>-60010299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6</v>
      </c>
      <c r="E8" s="9">
        <f t="shared" si="0"/>
        <v>3</v>
      </c>
      <c r="F8" s="9">
        <f t="shared" si="0"/>
        <v>2</v>
      </c>
      <c r="G8" s="10">
        <f t="shared" si="0"/>
        <v>1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3</v>
      </c>
      <c r="AO8" s="34" t="s">
        <v>55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>Corea</v>
      </c>
      <c r="AX8" s="34" t="str">
        <f>IF(AW8="","",IFERROR(VLOOKUP(CONCATENATE(AV8,"_",AW8),$AI$7:$AL$16,4,FALSE),VLOOKUP(CONCATENATE(AW8,"_",AV8),$AI$7:$AL$16,4,FALSE)))</f>
        <v>Corea</v>
      </c>
      <c r="AY8" s="34">
        <f t="shared" ref="AY8:AY10" si="8">IF(AX8="",1,IF(AX8=AV8,1,0))</f>
        <v>0</v>
      </c>
      <c r="AZ8" s="34">
        <f t="shared" ref="AZ8:AZ10" si="9">-AP8*10000000 - AQ8*10000 - AR8*100</f>
        <v>-60010300</v>
      </c>
      <c r="BA8" s="34">
        <f t="shared" ref="BA8:BA10" si="10">AZ8-AY8*10</f>
        <v>-60010300</v>
      </c>
      <c r="BB8" s="34">
        <f>BA8+N24</f>
        <v>-60010297</v>
      </c>
    </row>
    <row r="9" spans="2:54" x14ac:dyDescent="0.25">
      <c r="B9" s="11">
        <v>2</v>
      </c>
      <c r="C9" s="12" t="str">
        <f t="shared" si="0"/>
        <v>Corea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2</v>
      </c>
      <c r="AO9" s="34" t="s">
        <v>56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3</v>
      </c>
      <c r="AS9" s="34">
        <f t="shared" si="6"/>
        <v>2</v>
      </c>
      <c r="AV9" s="34" t="str">
        <f t="shared" si="7"/>
        <v>Corea</v>
      </c>
      <c r="AW9" s="34" t="str">
        <f>IF(AZ9=AZ10,AV10,IF(AZ9=AZ7,AV7,IF(AZ9=AZ8,AV8,"")))</f>
        <v>Portugal</v>
      </c>
      <c r="AX9" s="34" t="str">
        <f>IF(AW9="","",IFERROR(VLOOKUP(CONCATENATE(AV9,"_",AW9),$AI$7:$AL$16,4,FALSE),VLOOKUP(CONCATENATE(AW9,"_",AV9),$AI$7:$AL$16,4,FALSE)))</f>
        <v>Portugal</v>
      </c>
      <c r="AY9" s="34">
        <f t="shared" si="8"/>
        <v>0</v>
      </c>
      <c r="AZ9" s="34">
        <f t="shared" si="9"/>
        <v>-60010300</v>
      </c>
      <c r="BA9" s="34">
        <f t="shared" si="10"/>
        <v>-60010300</v>
      </c>
      <c r="BB9" s="34">
        <f>BA9+N25</f>
        <v>-60010298</v>
      </c>
    </row>
    <row r="10" spans="2:54" x14ac:dyDescent="0.25">
      <c r="B10" s="48">
        <v>3</v>
      </c>
      <c r="C10" s="49" t="str">
        <f t="shared" si="0"/>
        <v>Uruguay</v>
      </c>
      <c r="D10" s="50">
        <f t="shared" si="0"/>
        <v>6</v>
      </c>
      <c r="E10" s="50">
        <f t="shared" si="0"/>
        <v>3</v>
      </c>
      <c r="F10" s="50">
        <f t="shared" si="0"/>
        <v>2</v>
      </c>
      <c r="G10" s="51">
        <f t="shared" si="0"/>
        <v>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29900</v>
      </c>
      <c r="BA10" s="34">
        <f t="shared" si="10"/>
        <v>29890</v>
      </c>
      <c r="BB10" s="34">
        <f>BA10+N26</f>
        <v>29894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5"/>
  <sheetViews>
    <sheetView tabSelected="1" workbookViewId="0">
      <selection activeCell="R29" sqref="R29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0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Marruecos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2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Corea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>
        <v>1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Belgica</v>
      </c>
      <c r="R21" s="63">
        <v>2</v>
      </c>
      <c r="S21" s="64">
        <v>0</v>
      </c>
    </row>
    <row r="22" spans="2:23" ht="15.75" thickBot="1" x14ac:dyDescent="0.3">
      <c r="B22" s="59" t="str">
        <f>'GRUPO B'!C8</f>
        <v>Inglaterra</v>
      </c>
      <c r="C22" s="60">
        <v>0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Ecuador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Belgica</v>
      </c>
    </row>
    <row r="26" spans="2:23" ht="15.75" thickBot="1" x14ac:dyDescent="0.3">
      <c r="B26" s="59" t="str">
        <f>'GRUPO D'!C8</f>
        <v>Dinamarca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Dinamarca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2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Dinamarca</v>
      </c>
      <c r="R30" s="63">
        <v>2</v>
      </c>
      <c r="S30" s="64"/>
    </row>
    <row r="31" spans="2:23" ht="15.75" thickBot="1" x14ac:dyDescent="0.3">
      <c r="B31" s="62" t="str">
        <f>'GRUPO E'!C9</f>
        <v>Alemania</v>
      </c>
      <c r="C31" s="63">
        <v>0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5">
      <c r="B34" s="59" t="str">
        <f>'GRUPO H'!C8</f>
        <v>Portugal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2022-11-20T14:31:37Z</dcterms:modified>
</cp:coreProperties>
</file>