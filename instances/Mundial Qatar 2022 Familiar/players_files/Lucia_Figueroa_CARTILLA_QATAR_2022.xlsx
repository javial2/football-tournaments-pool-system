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igueroa\Downloads\"/>
    </mc:Choice>
  </mc:AlternateContent>
  <xr:revisionPtr revIDLastSave="0" documentId="13_ncr:1_{509B28B8-3F23-4D4B-A689-439E9E28F155}" xr6:coauthVersionLast="47" xr6:coauthVersionMax="47" xr10:uidLastSave="{00000000-0000-0000-0000-000000000000}"/>
  <bookViews>
    <workbookView xWindow="-110" yWindow="-110" windowWidth="19420" windowHeight="105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1" l="1"/>
  <c r="AK12" i="1" s="1"/>
  <c r="AL12" i="1" s="1"/>
  <c r="AJ12" i="2"/>
  <c r="AI12" i="15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P9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P8" i="14" l="1"/>
  <c r="AZ8" i="14" s="1"/>
  <c r="AZ10" i="12"/>
  <c r="AW10" i="12" s="1"/>
  <c r="AX10" i="12" s="1"/>
  <c r="AY10" i="12" s="1"/>
  <c r="BA10" i="12" s="1"/>
  <c r="BB10" i="12" s="1"/>
  <c r="AZ10" i="11"/>
  <c r="AP9" i="11"/>
  <c r="AZ9" i="11" s="1"/>
  <c r="AW9" i="11" s="1"/>
  <c r="AX9" i="11" s="1"/>
  <c r="AY9" i="11" s="1"/>
  <c r="BA9" i="11" s="1"/>
  <c r="BB9" i="11" s="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W8" i="12"/>
  <c r="AX8" i="12" s="1"/>
  <c r="AY8" i="12" s="1"/>
  <c r="BA8" i="12" s="1"/>
  <c r="BB8" i="12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E10" i="11"/>
  <c r="G10" i="11"/>
  <c r="F10" i="11"/>
  <c r="E8" i="11"/>
  <c r="G11" i="11"/>
  <c r="G8" i="11"/>
  <c r="D8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<sst xmlns="http://schemas.openxmlformats.org/spreadsheetml/2006/main" count="454" uniqueCount="79">
  <si>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</si>
  <si>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</si>
  <si>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</si>
  <si>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</si>
  <si>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</si>
  <si>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</si>
  <si>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</si>
  <si>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</si>
  <si>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</si>
  <si>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</si>
  <si>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</si>
  <si>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</si>
  <si>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</si>
  <si>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</si>
  <si>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</si>
  <si>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</si>
  <si>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</si>
  <si>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</si>
  <si>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</si>
  <si>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</si>
  <si>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</si>
  <si>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</si>
  <si>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</si>
  <si>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</si>
  <si>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</si>
  <si>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</si>
  <si>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</si>
  <si>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</si>
  <si>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</si>
  <si>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</si>
  <si>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</si>
  <si>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</si>
  <si>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</si>
  <si>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</si>
  <si>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</si>
  <si>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</si>
  <si>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</si>
  <si>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</si>
  <si>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</si>
  <si>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</si>
  <si>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</si>
  <si>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</si>
  <si>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</si>
  <si>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</si>
  <si>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</si>
  <si>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</si>
  <si>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</si>
  <si>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</si>
  <si>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</si>
  <si>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</si>
  <si>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</si>
  <si>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</si>
  <si>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</si>
  <si>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</si>
  <si>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</si>
  <si>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</si>
  <si>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</si>
  <si>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</si>
  <si>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</si>
  <si>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</si>
  <si>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</si>
  <si>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</si>
  <si>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</si>
  <si>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</si>
  <si>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</si>
  <si>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</si>
  <si>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</si>
  <si>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</si>
  <si>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</si>
  <si>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</si>
  <si>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</si>
  <si>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</si>
  <si>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</si>
  <si>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</si>
  <si>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</si>
  <si>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</si>
  <si>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</si>
  <si>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Lucía Figueroa</t>
  </si>
  <si>
    <t>lucia.figueroa@alumnos.mtn.cl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</si>
</sst>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4" fillId="0" borderId="58" xfId="1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cia.figueroa@alumnos.mtn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F6" sqref="F6"/>
    </sheetView>
  </sheetViews>
  <sheetFormatPr baseColWidth="10" defaultRowHeight="14.5" x14ac:dyDescent="0.35"/>
  <sheetData>
    <row r="1" spans="2:4" ht="15" thickBot="1" x14ac:dyDescent="0.4"/>
    <row r="2" spans="2:4" ht="15" thickBot="1" x14ac:dyDescent="0.4">
      <c r="B2" s="84" t="s">
        <v>74</v>
      </c>
      <c r="C2" s="85"/>
      <c r="D2" s="86"/>
    </row>
    <row r="3" spans="2:4" x14ac:dyDescent="0.35">
      <c r="B3" s="76" t="s">
        <v>75</v>
      </c>
      <c r="C3" s="87" t="s">
        <v>77</v>
      </c>
      <c r="D3" s="88"/>
    </row>
    <row r="4" spans="2:4" ht="15" thickBot="1" x14ac:dyDescent="0.4">
      <c r="B4" s="77" t="s">
        <v>76</v>
      </c>
      <c r="C4" s="89" t="s">
        <v>78</v>
      </c>
      <c r="D4" s="90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1E0C8586-5715-43C7-AEAF-63D3AE865C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/>
  </sheetViews>
  <sheetFormatPr baseColWidth="10" defaultColWidth="11.453125" defaultRowHeight="14.5" x14ac:dyDescent="0.35"/>
  <cols>
    <col min="1" max="14" width="10.81640625" customWidth="1"/>
    <col min="15" max="34" width="11.453125" style="82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16384" width="11.453125" style="34"/>
  </cols>
  <sheetData>
    <row r="2" spans="2:54" ht="15" thickBot="1" x14ac:dyDescent="0.4"/>
    <row r="3" spans="2:54" x14ac:dyDescent="0.35">
      <c r="B3" s="97" t="s">
        <v>0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-5</v>
      </c>
      <c r="AR7" s="34">
        <f>SUMIF($K$7:$K$12,AO7,$L$7:$L$12) + SUMIF($N$7:$N$12,AO7,$M$7:$M$12)</f>
        <v>1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49900</v>
      </c>
      <c r="BA7" s="34">
        <f>AZ7-AY7*10</f>
        <v>49890</v>
      </c>
      <c r="BB7" s="34">
        <f>BA7+N23</f>
        <v>49894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2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>SUMIF($K$7:$K$12,AO8,$L$7:$L$12) + SUMIF($N$7:$N$12,AO8,$M$7:$M$12)</f>
        <v>6</v>
      </c>
      <c r="AS8" s="34">
        <f>SUMIF($K$7:$K$12,AO8,$M$7:$M$12) + SUMIF($N$7:$N$12,AO8,$L$7:$L$12)</f>
        <v>2</v>
      </c>
      <c r="AV8" s="34" t="str">
        <f t="shared" ref="AV8:AV10" si="5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6">IF(AX8="",1,IF(AX8=AV8,1,0))</f>
        <v>1</v>
      </c>
      <c r="AZ8" s="34">
        <f t="shared" ref="AZ8:AZ10" si="7">-AP8*10000000 - AQ8*10000 - AR8*100</f>
        <v>-90040600</v>
      </c>
      <c r="BA8" s="34">
        <f t="shared" ref="BA8:BA10" si="8">AZ8-AY8*10</f>
        <v>-90040610</v>
      </c>
      <c r="BB8" s="34">
        <f>BA8+N24</f>
        <v>-90040609</v>
      </c>
    </row>
    <row r="9" spans="2:54" x14ac:dyDescent="0.3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5</v>
      </c>
      <c r="F9" s="13">
        <f t="shared" si="3"/>
        <v>3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9">AR9-AS9</f>
        <v>2</v>
      </c>
      <c r="AR9" s="34">
        <f>SUMIF($K$7:$K$12,AO9,$L$7:$L$12) + SUMIF($N$7:$N$12,AO9,$M$7:$M$12)</f>
        <v>5</v>
      </c>
      <c r="AS9" s="34">
        <f>SUMIF($K$7:$K$12,AO9,$M$7:$M$12) + SUMIF($N$7:$N$12,AO9,$L$7:$L$12)</f>
        <v>3</v>
      </c>
      <c r="AV9" s="34" t="str">
        <f t="shared" si="5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6"/>
        <v>1</v>
      </c>
      <c r="AZ9" s="34">
        <f t="shared" si="7"/>
        <v>-60020500</v>
      </c>
      <c r="BA9" s="34">
        <f t="shared" si="8"/>
        <v>-60020510</v>
      </c>
      <c r="BB9" s="34">
        <f>BA9+N25</f>
        <v>-60020508</v>
      </c>
    </row>
    <row r="10" spans="2:54" x14ac:dyDescent="0.3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4</v>
      </c>
      <c r="F10" s="50">
        <f t="shared" si="3"/>
        <v>5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9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5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6"/>
        <v>1</v>
      </c>
      <c r="AZ10" s="34">
        <f t="shared" si="7"/>
        <v>-29990400</v>
      </c>
      <c r="BA10" s="34">
        <f t="shared" si="8"/>
        <v>-29990410</v>
      </c>
      <c r="BB10" s="34">
        <f>BA10+N26</f>
        <v>-29990407</v>
      </c>
    </row>
    <row r="11" spans="2:54" ht="15" thickBot="1" x14ac:dyDescent="0.4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81">
        <v>2</v>
      </c>
      <c r="M12" s="33">
        <v>0</v>
      </c>
      <c r="N12" s="26" t="s">
        <v>14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14</v>
      </c>
      <c r="K23" s="110"/>
      <c r="L23" s="111"/>
      <c r="M23" s="42">
        <v>4</v>
      </c>
      <c r="N23" s="35">
        <f>IF(J23="",0,M23)</f>
        <v>4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0">IF(J24="",0,1)</f>
        <v>1</v>
      </c>
      <c r="J24" s="91" t="s">
        <v>13</v>
      </c>
      <c r="K24" s="92"/>
      <c r="L24" s="93"/>
      <c r="M24" s="43">
        <v>1</v>
      </c>
      <c r="N24" s="35">
        <f>IF(J24="",0,M24)</f>
        <v>1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0"/>
        <v>1</v>
      </c>
      <c r="J25" s="91" t="s">
        <v>12</v>
      </c>
      <c r="K25" s="92"/>
      <c r="L25" s="93"/>
      <c r="M25" s="43">
        <v>2</v>
      </c>
      <c r="N25" s="35">
        <f>IF(J25="",0,M25)</f>
        <v>2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0"/>
        <v>1</v>
      </c>
      <c r="J26" s="94" t="s">
        <v>11</v>
      </c>
      <c r="K26" s="95"/>
      <c r="L26" s="96"/>
      <c r="M26" s="44">
        <v>3</v>
      </c>
      <c r="N26" s="35">
        <f>IF(J26="",0,M26)</f>
        <v>3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M7:M12 L7:L11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A8" sqref="A8"/>
    </sheetView>
  </sheetViews>
  <sheetFormatPr baseColWidth="10" defaultColWidth="11.453125" defaultRowHeight="14.5" x14ac:dyDescent="0.35"/>
  <cols>
    <col min="1" max="14" width="10.81640625" customWidth="1"/>
    <col min="15" max="34" width="11.453125" style="82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16384" width="11.453125" style="34"/>
  </cols>
  <sheetData>
    <row r="2" spans="2:54" ht="15" thickBot="1" x14ac:dyDescent="0.4"/>
    <row r="3" spans="2:54" x14ac:dyDescent="0.35">
      <c r="B3" s="97" t="s">
        <v>29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2" t="str">
        <f t="shared" ref="AI8:AI12" si="1">CONCATENATE(K8,"_",N8)</f>
        <v>USA_Gales</v>
      </c>
      <c r="AJ8" s="34">
        <f t="shared" ref="AJ8:AJ11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-39990300</v>
      </c>
      <c r="BA8" s="34">
        <f t="shared" ref="BA8:BA10" si="10">AZ8-AY8*10</f>
        <v>-39990310</v>
      </c>
      <c r="BB8" s="34">
        <f>BA8+N24</f>
        <v>-39990307</v>
      </c>
    </row>
    <row r="9" spans="2:54" x14ac:dyDescent="0.35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39894</v>
      </c>
    </row>
    <row r="10" spans="2:54" x14ac:dyDescent="0.3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-40000408</v>
      </c>
    </row>
    <row r="11" spans="2:54" ht="15" thickBot="1" x14ac:dyDescent="0.4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2" t="str">
        <f t="shared" si="1"/>
        <v>Iran_USA</v>
      </c>
      <c r="AJ12" s="34">
        <f>IF(L12&gt;M12,3,IF(L12&lt;M12,0,1))</f>
        <v>0</v>
      </c>
      <c r="AK12" s="34">
        <f t="shared" si="3"/>
        <v>3</v>
      </c>
      <c r="AL12" s="34" t="str">
        <f t="shared" si="4"/>
        <v>USA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30</v>
      </c>
      <c r="K23" s="110"/>
      <c r="L23" s="111"/>
      <c r="M23" s="42">
        <v>1</v>
      </c>
      <c r="N23" s="35">
        <f>IF(J23="",0,M23)</f>
        <v>1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31</v>
      </c>
      <c r="K24" s="92"/>
      <c r="L24" s="93"/>
      <c r="M24" s="43">
        <v>3</v>
      </c>
      <c r="N24" s="35">
        <f>IF(J24="",0,M24)</f>
        <v>3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32</v>
      </c>
      <c r="K25" s="92"/>
      <c r="L25" s="93"/>
      <c r="M25" s="43">
        <v>4</v>
      </c>
      <c r="N25" s="35">
        <f>IF(J25="",0,M25)</f>
        <v>4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33</v>
      </c>
      <c r="K26" s="95"/>
      <c r="L26" s="96"/>
      <c r="M26" s="44">
        <v>2</v>
      </c>
      <c r="N26" s="35">
        <f>IF(J26="",0,M26)</f>
        <v>2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3" workbookViewId="0">
      <selection activeCell="M24" sqref="M24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34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>Arabia Saudita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-9960100</v>
      </c>
      <c r="BA8" s="34">
        <f t="shared" ref="BA8:BA10" si="10">AZ8-AY8*10</f>
        <v>-9960100</v>
      </c>
      <c r="BB8" s="34">
        <f>BA8+N24</f>
        <v>-9960097</v>
      </c>
    </row>
    <row r="9" spans="2:54" x14ac:dyDescent="0.3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4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-60020400</v>
      </c>
      <c r="BA9" s="34">
        <f t="shared" si="10"/>
        <v>-60020410</v>
      </c>
      <c r="BB9" s="34">
        <f>BA9+N25</f>
        <v>-60020408</v>
      </c>
    </row>
    <row r="10" spans="2:54" x14ac:dyDescent="0.35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>Mexico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-9960100</v>
      </c>
      <c r="BA10" s="34">
        <f t="shared" si="10"/>
        <v>-9960100</v>
      </c>
      <c r="BB10" s="34">
        <f>BA10+N26</f>
        <v>-9960096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0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35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36</v>
      </c>
      <c r="K24" s="92"/>
      <c r="L24" s="93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37</v>
      </c>
      <c r="K25" s="92"/>
      <c r="L25" s="93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38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2" workbookViewId="0">
      <selection activeCell="M25" sqref="M25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39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3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-60010300</v>
      </c>
      <c r="BA8" s="34">
        <f t="shared" ref="BA8:BA10" si="10">AZ8-AY8*10</f>
        <v>-60010310</v>
      </c>
      <c r="BB8" s="34">
        <f>BA8+N24</f>
        <v>-60010308</v>
      </c>
    </row>
    <row r="9" spans="2:54" x14ac:dyDescent="0.3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>Australia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-9960100</v>
      </c>
      <c r="BA9" s="34">
        <f t="shared" si="10"/>
        <v>-9960100</v>
      </c>
      <c r="BB9" s="34">
        <f>BA9+N25</f>
        <v>-9960097</v>
      </c>
    </row>
    <row r="10" spans="2:54" x14ac:dyDescent="0.35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>Tunez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-9960100</v>
      </c>
      <c r="BA10" s="34">
        <f t="shared" si="10"/>
        <v>-9960100</v>
      </c>
      <c r="BB10" s="34">
        <f>BA10+N26</f>
        <v>-9960096</v>
      </c>
    </row>
    <row r="11" spans="2:54" ht="15" thickBot="1" x14ac:dyDescent="0.4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40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41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42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43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25" sqref="M25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70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-60030508</v>
      </c>
    </row>
    <row r="8" spans="2:54" x14ac:dyDescent="0.3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3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39894</v>
      </c>
    </row>
    <row r="10" spans="2:54" x14ac:dyDescent="0.3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-29960100</v>
      </c>
      <c r="BA10" s="34">
        <f t="shared" si="10"/>
        <v>-29960110</v>
      </c>
      <c r="BB10" s="34">
        <f>BA10+N26</f>
        <v>-29960107</v>
      </c>
    </row>
    <row r="11" spans="2:54" ht="15" thickBot="1" x14ac:dyDescent="0.4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44</v>
      </c>
      <c r="K23" s="110"/>
      <c r="L23" s="111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45</v>
      </c>
      <c r="K24" s="92"/>
      <c r="L24" s="93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46</v>
      </c>
      <c r="K25" s="92"/>
      <c r="L25" s="93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47</v>
      </c>
      <c r="K26" s="95"/>
      <c r="L26" s="96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6" sqref="M26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71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-60000400</v>
      </c>
      <c r="BA8" s="34">
        <f t="shared" ref="BA8:BA10" si="10">AZ8-AY8*10</f>
        <v>-60000410</v>
      </c>
      <c r="BB8" s="34">
        <f>BA8+N24</f>
        <v>-60000408</v>
      </c>
    </row>
    <row r="9" spans="2:54" x14ac:dyDescent="0.3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-9970106</v>
      </c>
    </row>
    <row r="10" spans="2:54" x14ac:dyDescent="0.35">
      <c r="B10" s="48">
        <v>3</v>
      </c>
      <c r="C10" s="49" t="str">
        <f t="shared" si="0"/>
        <v>Canada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5" thickBot="1" x14ac:dyDescent="0.4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48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49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50</v>
      </c>
      <c r="K25" s="92"/>
      <c r="L25" s="93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51</v>
      </c>
      <c r="K26" s="95"/>
      <c r="L26" s="96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4" sqref="M24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72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7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-90070700</v>
      </c>
      <c r="BA7" s="34">
        <f>AZ7-AY7*10</f>
        <v>-90070710</v>
      </c>
      <c r="BB7" s="34">
        <f>BA7+N23</f>
        <v>-90070709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7</v>
      </c>
      <c r="F8" s="9">
        <f t="shared" si="0"/>
        <v>0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-39990207</v>
      </c>
    </row>
    <row r="9" spans="2:54" x14ac:dyDescent="0.3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-39990308</v>
      </c>
    </row>
    <row r="10" spans="2:54" x14ac:dyDescent="0.35">
      <c r="B10" s="48">
        <v>3</v>
      </c>
      <c r="C10" s="49" t="str">
        <f t="shared" si="0"/>
        <v>Suiza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" thickBot="1" x14ac:dyDescent="0.4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10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52</v>
      </c>
      <c r="K24" s="92"/>
      <c r="L24" s="93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53</v>
      </c>
      <c r="K25" s="92"/>
      <c r="L25" s="93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54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2" sqref="L12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73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-70040700</v>
      </c>
      <c r="BA7" s="34">
        <f>AZ7-AY7*10</f>
        <v>-70040700</v>
      </c>
      <c r="BB7" s="34">
        <f>BA7+N23</f>
        <v>-70040698</v>
      </c>
    </row>
    <row r="8" spans="2:54" x14ac:dyDescent="0.3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3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>Portugal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-70040700</v>
      </c>
      <c r="BA8" s="34">
        <f t="shared" ref="BA8:BA10" si="10">AZ8-AY8*10</f>
        <v>-70040700</v>
      </c>
      <c r="BB8" s="34">
        <f>BA8+N24</f>
        <v>-70040699</v>
      </c>
    </row>
    <row r="9" spans="2:54" x14ac:dyDescent="0.35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7</v>
      </c>
      <c r="F9" s="13">
        <f t="shared" si="0"/>
        <v>3</v>
      </c>
      <c r="G9" s="14">
        <f t="shared" si="0"/>
        <v>4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-9960106</v>
      </c>
    </row>
    <row r="10" spans="2:54" x14ac:dyDescent="0.35">
      <c r="B10" s="48">
        <v>3</v>
      </c>
      <c r="C10" s="49" t="str">
        <f t="shared" si="0"/>
        <v>Gana</v>
      </c>
      <c r="D10" s="50">
        <f t="shared" si="0"/>
        <v>1</v>
      </c>
      <c r="E10" s="50">
        <f t="shared" si="0"/>
        <v>3</v>
      </c>
      <c r="F10" s="50">
        <f t="shared" si="0"/>
        <v>7</v>
      </c>
      <c r="G10" s="51">
        <f t="shared" si="0"/>
        <v>-4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3</v>
      </c>
      <c r="AS10" s="34">
        <f>SUMIF($K$7:$K$12,AO10,$M$7:$M$12) + SUMIF($N$7:$N$12,AO10,$L$7:$L$12)</f>
        <v>7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-9960300</v>
      </c>
      <c r="BA10" s="34">
        <f t="shared" si="10"/>
        <v>-9960310</v>
      </c>
      <c r="BB10" s="34">
        <f>BA10+N26</f>
        <v>-9960307</v>
      </c>
    </row>
    <row r="11" spans="2:54" ht="15" thickBot="1" x14ac:dyDescent="0.4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3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57</v>
      </c>
      <c r="K23" s="110"/>
      <c r="L23" s="111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55</v>
      </c>
      <c r="K24" s="92"/>
      <c r="L24" s="93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56</v>
      </c>
      <c r="K25" s="92"/>
      <c r="L25" s="93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58</v>
      </c>
      <c r="K26" s="95"/>
      <c r="L26" s="96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N20" workbookViewId="0">
      <selection activeCell="R30" sqref="R30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12" t="s">
        <v>69</v>
      </c>
      <c r="C2" s="113"/>
      <c r="D2" s="114"/>
    </row>
    <row r="3" spans="2:19" ht="15" thickBot="1" x14ac:dyDescent="0.4"/>
    <row r="4" spans="2:19" ht="15" thickBot="1" x14ac:dyDescent="0.4">
      <c r="G4" s="112" t="s">
        <v>59</v>
      </c>
      <c r="H4" s="113"/>
      <c r="I4" s="114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2</v>
      </c>
      <c r="D6" s="61"/>
    </row>
    <row r="7" spans="2:19" ht="15" thickBot="1" x14ac:dyDescent="0.4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0</v>
      </c>
      <c r="I8" s="61"/>
      <c r="L8" s="112" t="s">
        <v>60</v>
      </c>
      <c r="M8" s="113"/>
      <c r="N8" s="114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" thickBot="1" x14ac:dyDescent="0.4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4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2</v>
      </c>
      <c r="N12" s="61">
        <v>6</v>
      </c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>
        <v>7</v>
      </c>
      <c r="O13" s="65"/>
    </row>
    <row r="14" spans="2:19" ht="15" thickBot="1" x14ac:dyDescent="0.4">
      <c r="B14" s="59" t="str">
        <f>'GRUPO E'!C8</f>
        <v>Alemania</v>
      </c>
      <c r="C14" s="60">
        <v>1</v>
      </c>
      <c r="D14" s="61"/>
      <c r="J14" s="66"/>
      <c r="O14" s="66"/>
    </row>
    <row r="15" spans="2:19" ht="15" thickBot="1" x14ac:dyDescent="0.4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2" t="s">
        <v>63</v>
      </c>
      <c r="R16" s="113"/>
      <c r="S16" s="114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" thickBot="1" x14ac:dyDescent="0.4">
      <c r="B18" s="59" t="str">
        <f>'GRUPO G'!C8</f>
        <v>Brasil</v>
      </c>
      <c r="C18" s="60">
        <v>2</v>
      </c>
      <c r="D18" s="61"/>
      <c r="E18" s="69"/>
      <c r="O18" s="66"/>
    </row>
    <row r="19" spans="2:23" ht="15" thickBot="1" x14ac:dyDescent="0.4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5" thickBot="1" x14ac:dyDescent="0.4">
      <c r="B22" s="59" t="str">
        <f>'GRUPO B'!C8</f>
        <v>Inglaterra</v>
      </c>
      <c r="C22" s="60">
        <v>3</v>
      </c>
      <c r="D22" s="61"/>
      <c r="O22" s="66"/>
    </row>
    <row r="23" spans="2:23" ht="15" thickBot="1" x14ac:dyDescent="0.4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5" t="s">
        <v>64</v>
      </c>
      <c r="W23" s="108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2</v>
      </c>
      <c r="I24" s="61">
        <v>5</v>
      </c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>
        <v>6</v>
      </c>
      <c r="J25" s="65"/>
      <c r="O25" s="66"/>
      <c r="Q25" s="112" t="s">
        <v>66</v>
      </c>
      <c r="R25" s="113"/>
      <c r="S25" s="114"/>
      <c r="V25" s="72" t="s">
        <v>67</v>
      </c>
      <c r="W25" s="73" t="str">
        <f>IF(W24=Q20,Q21,IF(W24=Q21,Q20,""))</f>
        <v>Francia</v>
      </c>
    </row>
    <row r="26" spans="2:23" ht="15" thickBot="1" x14ac:dyDescent="0.4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" thickBot="1" x14ac:dyDescent="0.4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Francia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/>
      <c r="Q29" s="59" t="str">
        <f>IF(Q20=L12,L13,IF(Q20=L13,L12,""))</f>
        <v>Argentina</v>
      </c>
      <c r="R29" s="60">
        <v>3</v>
      </c>
      <c r="S29" s="61"/>
    </row>
    <row r="30" spans="2:23" ht="15" thickBot="1" x14ac:dyDescent="0.4">
      <c r="B30" s="59" t="str">
        <f>'GRUPO F'!C8</f>
        <v>Belgica</v>
      </c>
      <c r="C30" s="60">
        <v>1</v>
      </c>
      <c r="D30" s="61">
        <v>5</v>
      </c>
      <c r="J30" s="66"/>
      <c r="Q30" s="62" t="str">
        <f>IF(Q21=L28,L29,IF(Q21=L29,L28,""))</f>
        <v>Uruguay</v>
      </c>
      <c r="R30" s="63">
        <v>1</v>
      </c>
      <c r="S30" s="64"/>
    </row>
    <row r="31" spans="2:23" ht="15" thickBot="1" x14ac:dyDescent="0.4">
      <c r="B31" s="62" t="str">
        <f>'GRUPO E'!C9</f>
        <v>España</v>
      </c>
      <c r="C31" s="63">
        <v>1</v>
      </c>
      <c r="D31" s="64">
        <v>4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Belgica</v>
      </c>
      <c r="H32" s="60">
        <v>0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35">
      <c r="B34" s="59" t="str">
        <f>'GRUPO H'!C8</f>
        <v>Uruguay</v>
      </c>
      <c r="C34" s="60">
        <v>2</v>
      </c>
      <c r="D34" s="61"/>
      <c r="E34" s="69"/>
    </row>
    <row r="35" spans="2:9" ht="15" thickBot="1" x14ac:dyDescent="0.4">
      <c r="B35" s="62" t="str">
        <f>'GRUPO G'!C9</f>
        <v>Serbia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FIGUEROA ROZAS PELAYO</cp:lastModifiedBy>
  <dcterms:created xsi:type="dcterms:W3CDTF">2022-11-02T00:22:23Z</dcterms:created>
  <dcterms:modified xsi:type="dcterms:W3CDTF">2022-11-12T18:55:17Z</dcterms:modified>
</cp:coreProperties>
</file>