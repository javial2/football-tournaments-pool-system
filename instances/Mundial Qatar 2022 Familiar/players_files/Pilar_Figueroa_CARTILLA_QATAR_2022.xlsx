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106"/>
  <workbookPr/>
  <mc:AlternateContent xmlns:mc="http://schemas.openxmlformats.org/markup-compatibility/2006">
    <mc:Choice Requires="x15">
      <x15ac:absPath xmlns:x15ac="http://schemas.microsoft.com/office/spreadsheetml/2010/11/ac" url="/Users/pilarfigueroa/Library/Containers/com.apple.mail/Data/Library/Mail Downloads/7EC94DEA-4637-489B-A72C-62C860EB0CDA/"/>
    </mc:Choice>
  </mc:AlternateContent>
  <bookViews>
    <workbookView xWindow="0" yWindow="460" windowWidth="28800" windowHeight="16480" activeTab="9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/>
  <c r="I9" i="15"/>
  <c r="I11" i="15"/>
  <c r="I11" i="14"/>
  <c r="I10" i="14"/>
  <c r="I12" i="14"/>
  <c r="I9" i="14"/>
  <c r="I10" i="13"/>
  <c r="I12" i="13"/>
  <c r="I9" i="13"/>
  <c r="I11" i="13"/>
  <c r="I10" i="12"/>
  <c r="I12" i="12"/>
  <c r="I9" i="12"/>
  <c r="I11" i="12"/>
  <c r="I10" i="11"/>
  <c r="I12" i="11"/>
  <c r="I9" i="11"/>
  <c r="I11" i="11"/>
  <c r="I10" i="10"/>
  <c r="I12" i="10"/>
  <c r="I9" i="10"/>
  <c r="I11" i="10"/>
  <c r="I10" i="2"/>
  <c r="I12" i="2"/>
  <c r="I9" i="2"/>
  <c r="I11" i="2"/>
  <c r="I10" i="1"/>
  <c r="I12" i="1"/>
  <c r="I9" i="1"/>
  <c r="I11" i="1"/>
  <c r="N23" i="15"/>
  <c r="BB7" i="15"/>
  <c r="N24" i="15"/>
  <c r="BB8" i="15"/>
  <c r="AN7" i="15"/>
  <c r="AN8" i="15"/>
  <c r="C8" i="15"/>
  <c r="B34" i="16"/>
  <c r="G33" i="16"/>
  <c r="L29" i="16"/>
  <c r="G32" i="16"/>
  <c r="G9" i="16"/>
  <c r="N27" i="15"/>
  <c r="N26" i="15"/>
  <c r="I26" i="15"/>
  <c r="N25" i="15"/>
  <c r="I25" i="15"/>
  <c r="I24" i="15"/>
  <c r="I23" i="15"/>
  <c r="AJ12" i="15"/>
  <c r="AK12" i="15"/>
  <c r="AJ8" i="15"/>
  <c r="AJ10" i="15"/>
  <c r="AP7" i="15"/>
  <c r="AJ11" i="15"/>
  <c r="AV10" i="15"/>
  <c r="AS10" i="15"/>
  <c r="AR10" i="15"/>
  <c r="AK10" i="15"/>
  <c r="AL10" i="15"/>
  <c r="AV9" i="15"/>
  <c r="AS9" i="15"/>
  <c r="AR9" i="15"/>
  <c r="AJ9" i="15"/>
  <c r="AV8" i="15"/>
  <c r="AS8" i="15"/>
  <c r="AR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/>
  <c r="AJ10" i="14"/>
  <c r="AV9" i="14"/>
  <c r="AS9" i="14"/>
  <c r="AR9" i="14"/>
  <c r="AJ9" i="14"/>
  <c r="AK9" i="14"/>
  <c r="AL9" i="14"/>
  <c r="AV8" i="14"/>
  <c r="AS8" i="14"/>
  <c r="AR8" i="14"/>
  <c r="AJ8" i="14"/>
  <c r="AK8" i="14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/>
  <c r="AL9" i="13"/>
  <c r="AV8" i="13"/>
  <c r="AS8" i="13"/>
  <c r="AR8" i="13"/>
  <c r="AJ8" i="13"/>
  <c r="AK8" i="13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8" i="12"/>
  <c r="AK8" i="12"/>
  <c r="AJ9" i="12"/>
  <c r="AK9" i="12"/>
  <c r="AP10" i="12"/>
  <c r="AJ11" i="12"/>
  <c r="AV10" i="12"/>
  <c r="AS10" i="12"/>
  <c r="AR10" i="12"/>
  <c r="AJ10" i="12"/>
  <c r="AV9" i="12"/>
  <c r="AS9" i="12"/>
  <c r="AR9" i="12"/>
  <c r="AV8" i="12"/>
  <c r="AS8" i="12"/>
  <c r="AR8" i="12"/>
  <c r="AL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8" i="11"/>
  <c r="AK8" i="11"/>
  <c r="AJ9" i="11"/>
  <c r="AK9" i="11"/>
  <c r="AP10" i="11"/>
  <c r="AJ11" i="11"/>
  <c r="AV10" i="11"/>
  <c r="AS10" i="11"/>
  <c r="AR10" i="11"/>
  <c r="AJ10" i="11"/>
  <c r="AK10" i="11"/>
  <c r="AL10" i="11"/>
  <c r="AV9" i="11"/>
  <c r="AS9" i="11"/>
  <c r="AR9" i="11"/>
  <c r="AL9" i="11"/>
  <c r="AV8" i="11"/>
  <c r="AS8" i="11"/>
  <c r="AR8" i="11"/>
  <c r="AL8" i="1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/>
  <c r="AL10" i="10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7" i="2"/>
  <c r="AK7" i="2"/>
  <c r="AJ9" i="2"/>
  <c r="AK9" i="2"/>
  <c r="AP9" i="2"/>
  <c r="AJ11" i="2"/>
  <c r="AV10" i="2"/>
  <c r="AS10" i="2"/>
  <c r="AR10" i="2"/>
  <c r="AJ10" i="2"/>
  <c r="AK10" i="2"/>
  <c r="AL10" i="2"/>
  <c r="AV9" i="2"/>
  <c r="AS9" i="2"/>
  <c r="AR9" i="2"/>
  <c r="AL9" i="2"/>
  <c r="AV8" i="2"/>
  <c r="AS8" i="2"/>
  <c r="AR8" i="2"/>
  <c r="AJ8" i="2"/>
  <c r="AV7" i="2"/>
  <c r="AS7" i="2"/>
  <c r="AR7" i="2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/>
  <c r="AJ12" i="1"/>
  <c r="AK12" i="1"/>
  <c r="AL12" i="1"/>
  <c r="AJ11" i="1"/>
  <c r="AK11" i="1"/>
  <c r="AL11" i="1"/>
  <c r="AV10" i="1"/>
  <c r="AJ10" i="1"/>
  <c r="AK10" i="1"/>
  <c r="AL10" i="1"/>
  <c r="AV9" i="1"/>
  <c r="AJ9" i="1"/>
  <c r="AK9" i="1"/>
  <c r="AL9" i="1"/>
  <c r="AV8" i="1"/>
  <c r="AJ8" i="1"/>
  <c r="AV7" i="1"/>
  <c r="W24" i="16"/>
  <c r="AQ8" i="15"/>
  <c r="AQ7" i="15"/>
  <c r="AZ7" i="15"/>
  <c r="AQ9" i="15"/>
  <c r="AQ10" i="15"/>
  <c r="AK11" i="15"/>
  <c r="AP8" i="15"/>
  <c r="AZ8" i="15"/>
  <c r="AK8" i="15"/>
  <c r="AL8" i="15"/>
  <c r="AL12" i="15"/>
  <c r="AK7" i="15"/>
  <c r="AK9" i="15"/>
  <c r="AL9" i="15"/>
  <c r="AQ9" i="14"/>
  <c r="AQ8" i="14"/>
  <c r="AQ7" i="14"/>
  <c r="AL8" i="14"/>
  <c r="AK10" i="14"/>
  <c r="AL10" i="14"/>
  <c r="AK7" i="14"/>
  <c r="AK11" i="14"/>
  <c r="AP8" i="14"/>
  <c r="AZ8" i="14"/>
  <c r="AK12" i="14"/>
  <c r="AP7" i="14"/>
  <c r="AZ7" i="14"/>
  <c r="AP9" i="14"/>
  <c r="AQ10" i="13"/>
  <c r="AQ8" i="13"/>
  <c r="AQ7" i="13"/>
  <c r="AQ9" i="13"/>
  <c r="AK10" i="13"/>
  <c r="AP10" i="13"/>
  <c r="AZ10" i="13"/>
  <c r="AL8" i="13"/>
  <c r="AL10" i="13"/>
  <c r="AK7" i="13"/>
  <c r="AK12" i="13"/>
  <c r="AP9" i="13"/>
  <c r="AP8" i="13"/>
  <c r="AZ8" i="13"/>
  <c r="AK11" i="13"/>
  <c r="AL11" i="13"/>
  <c r="AL12" i="13"/>
  <c r="AQ9" i="12"/>
  <c r="AQ8" i="12"/>
  <c r="AQ7" i="12"/>
  <c r="AK10" i="12"/>
  <c r="AL10" i="12"/>
  <c r="AQ10" i="12"/>
  <c r="AZ10" i="12"/>
  <c r="AK7" i="12"/>
  <c r="AP9" i="12"/>
  <c r="AZ9" i="12"/>
  <c r="AL9" i="12"/>
  <c r="AL7" i="12"/>
  <c r="AK11" i="12"/>
  <c r="AP7" i="12"/>
  <c r="AZ7" i="12"/>
  <c r="AK12" i="12"/>
  <c r="AP8" i="12"/>
  <c r="AZ8" i="12"/>
  <c r="AQ10" i="11"/>
  <c r="AQ8" i="11"/>
  <c r="AQ9" i="11"/>
  <c r="AQ7" i="11"/>
  <c r="AZ10" i="11"/>
  <c r="AK7" i="11"/>
  <c r="AL7" i="11"/>
  <c r="AK11" i="11"/>
  <c r="AP7" i="11"/>
  <c r="AK12" i="11"/>
  <c r="AP8" i="11"/>
  <c r="AZ8" i="11"/>
  <c r="AP9" i="11"/>
  <c r="AZ9" i="11"/>
  <c r="AQ10" i="10"/>
  <c r="AQ7" i="10"/>
  <c r="AQ9" i="10"/>
  <c r="AQ8" i="10"/>
  <c r="AK7" i="10"/>
  <c r="AL7" i="10"/>
  <c r="AK11" i="10"/>
  <c r="AL11" i="10"/>
  <c r="AK12" i="10"/>
  <c r="AP8" i="10"/>
  <c r="AZ8" i="10"/>
  <c r="AK8" i="10"/>
  <c r="AL8" i="10"/>
  <c r="AK9" i="10"/>
  <c r="AL9" i="10"/>
  <c r="AQ9" i="2"/>
  <c r="AQ8" i="2"/>
  <c r="AQ7" i="2"/>
  <c r="AQ10" i="2"/>
  <c r="AK12" i="2"/>
  <c r="AP8" i="2"/>
  <c r="AL7" i="2"/>
  <c r="AK8" i="2"/>
  <c r="AP10" i="2"/>
  <c r="AZ9" i="2"/>
  <c r="AK11" i="2"/>
  <c r="AL11" i="2"/>
  <c r="AP7" i="1"/>
  <c r="AP9" i="1"/>
  <c r="AP8" i="1"/>
  <c r="AQ7" i="1"/>
  <c r="AQ8" i="1"/>
  <c r="AQ10" i="1"/>
  <c r="AQ9" i="1"/>
  <c r="AK8" i="1"/>
  <c r="AP10" i="1"/>
  <c r="AP10" i="15"/>
  <c r="AZ10" i="15"/>
  <c r="AP7" i="13"/>
  <c r="AZ7" i="13"/>
  <c r="AZ7" i="11"/>
  <c r="AP10" i="10"/>
  <c r="AZ10" i="10"/>
  <c r="AZ8" i="2"/>
  <c r="AP7" i="2"/>
  <c r="AZ7" i="2"/>
  <c r="AZ10" i="2"/>
  <c r="AW7" i="2"/>
  <c r="AX7" i="2"/>
  <c r="AY7" i="2"/>
  <c r="BA7" i="2"/>
  <c r="BB7" i="2"/>
  <c r="AZ7" i="1"/>
  <c r="AP9" i="15"/>
  <c r="AZ9" i="15"/>
  <c r="AL11" i="15"/>
  <c r="AL7" i="15"/>
  <c r="AZ9" i="14"/>
  <c r="AL7" i="14"/>
  <c r="AP10" i="14"/>
  <c r="AZ10" i="14"/>
  <c r="AW7" i="14"/>
  <c r="AX7" i="14"/>
  <c r="AY7" i="14"/>
  <c r="BA7" i="14"/>
  <c r="BB7" i="14"/>
  <c r="AL12" i="14"/>
  <c r="AL11" i="14"/>
  <c r="AZ9" i="13"/>
  <c r="AW9" i="13"/>
  <c r="AX9" i="13"/>
  <c r="AY9" i="13"/>
  <c r="BA9" i="13"/>
  <c r="BB9" i="13"/>
  <c r="AL7" i="13"/>
  <c r="AW10" i="12"/>
  <c r="AX10" i="12"/>
  <c r="AY10" i="12"/>
  <c r="BA10" i="12"/>
  <c r="BB10" i="12"/>
  <c r="AW8" i="12"/>
  <c r="AX8" i="12"/>
  <c r="AY8" i="12"/>
  <c r="BA8" i="12"/>
  <c r="BB8" i="12"/>
  <c r="AW9" i="12"/>
  <c r="AW7" i="12"/>
  <c r="AX7" i="12"/>
  <c r="AY7" i="12"/>
  <c r="BA7" i="12"/>
  <c r="BB7" i="12"/>
  <c r="AL11" i="12"/>
  <c r="AL12" i="12"/>
  <c r="AW10" i="11"/>
  <c r="AX10" i="11"/>
  <c r="AY10" i="11"/>
  <c r="BA10" i="11"/>
  <c r="BB10" i="11"/>
  <c r="AW8" i="11"/>
  <c r="AX8" i="11"/>
  <c r="AY8" i="11"/>
  <c r="BA8" i="11"/>
  <c r="BB8" i="11"/>
  <c r="AL12" i="11"/>
  <c r="AW7" i="11"/>
  <c r="AL11" i="11"/>
  <c r="AW9" i="11"/>
  <c r="AX9" i="11"/>
  <c r="AY9" i="11"/>
  <c r="BA9" i="11"/>
  <c r="BB9" i="11"/>
  <c r="AP9" i="10"/>
  <c r="AZ9" i="10"/>
  <c r="AL12" i="10"/>
  <c r="AP7" i="10"/>
  <c r="AZ7" i="10"/>
  <c r="AW8" i="2"/>
  <c r="AW9" i="2"/>
  <c r="AL8" i="2"/>
  <c r="AL12" i="2"/>
  <c r="AZ10" i="1"/>
  <c r="AZ9" i="1"/>
  <c r="AL7" i="1"/>
  <c r="AZ8" i="1"/>
  <c r="AL8" i="1"/>
  <c r="AW10" i="15"/>
  <c r="AX10" i="15"/>
  <c r="AY10" i="15"/>
  <c r="BA10" i="15"/>
  <c r="BB10" i="15"/>
  <c r="AW10" i="2"/>
  <c r="AX10" i="2"/>
  <c r="AW9" i="1"/>
  <c r="AX9" i="1"/>
  <c r="AY9" i="1"/>
  <c r="BA9" i="1"/>
  <c r="BB9" i="1"/>
  <c r="AW10" i="1"/>
  <c r="AX10" i="1"/>
  <c r="AY10" i="1"/>
  <c r="BA10" i="1"/>
  <c r="BB10" i="1"/>
  <c r="AW8" i="1"/>
  <c r="AX8" i="1"/>
  <c r="AY8" i="1"/>
  <c r="BA8" i="1"/>
  <c r="BB8" i="1"/>
  <c r="AW7" i="1"/>
  <c r="AX7" i="1"/>
  <c r="AY7" i="1"/>
  <c r="AW7" i="15"/>
  <c r="AX7" i="15"/>
  <c r="AY7" i="15"/>
  <c r="BA7" i="15"/>
  <c r="AW9" i="15"/>
  <c r="AX9" i="15"/>
  <c r="AY9" i="15"/>
  <c r="BA9" i="15"/>
  <c r="BB9" i="15"/>
  <c r="AW8" i="15"/>
  <c r="AX8" i="15"/>
  <c r="AY8" i="15"/>
  <c r="BA8" i="15"/>
  <c r="AW9" i="14"/>
  <c r="AX9" i="14"/>
  <c r="AY9" i="14"/>
  <c r="BA9" i="14"/>
  <c r="BB9" i="14"/>
  <c r="AW8" i="14"/>
  <c r="AX8" i="14"/>
  <c r="AY8" i="14"/>
  <c r="BA8" i="14"/>
  <c r="BB8" i="14"/>
  <c r="AW10" i="14"/>
  <c r="AX10" i="14"/>
  <c r="AY10" i="14"/>
  <c r="BA10" i="14"/>
  <c r="BB10" i="14"/>
  <c r="AW10" i="13"/>
  <c r="AX10" i="13"/>
  <c r="AY10" i="13"/>
  <c r="BA10" i="13"/>
  <c r="BB10" i="13"/>
  <c r="AW8" i="13"/>
  <c r="AX8" i="13"/>
  <c r="AY8" i="13"/>
  <c r="BA8" i="13"/>
  <c r="BB8" i="13"/>
  <c r="AW7" i="13"/>
  <c r="AX7" i="13"/>
  <c r="AY7" i="13"/>
  <c r="BA7" i="13"/>
  <c r="BB7" i="13"/>
  <c r="AX9" i="12"/>
  <c r="AY9" i="12"/>
  <c r="BA9" i="12"/>
  <c r="BB9" i="12"/>
  <c r="AN9" i="12"/>
  <c r="AX7" i="11"/>
  <c r="AY7" i="11"/>
  <c r="BA7" i="11"/>
  <c r="BB7" i="11"/>
  <c r="AN9" i="11"/>
  <c r="AW7" i="10"/>
  <c r="AX7" i="10"/>
  <c r="AY7" i="10"/>
  <c r="BA7" i="10"/>
  <c r="BB7" i="10"/>
  <c r="AW9" i="10"/>
  <c r="AX9" i="10"/>
  <c r="AY9" i="10"/>
  <c r="BA9" i="10"/>
  <c r="BB9" i="10"/>
  <c r="AW10" i="10"/>
  <c r="AX10" i="10"/>
  <c r="AY10" i="10"/>
  <c r="BA10" i="10"/>
  <c r="BB10" i="10"/>
  <c r="AW8" i="10"/>
  <c r="AX8" i="10"/>
  <c r="AY8" i="10"/>
  <c r="BA8" i="10"/>
  <c r="BB8" i="10"/>
  <c r="AY10" i="2"/>
  <c r="BA10" i="2"/>
  <c r="BB10" i="2"/>
  <c r="AX8" i="2"/>
  <c r="AY8" i="2"/>
  <c r="BA8" i="2"/>
  <c r="BB8" i="2"/>
  <c r="AX9" i="2"/>
  <c r="AY9" i="2"/>
  <c r="BA9" i="2"/>
  <c r="BB9" i="2"/>
  <c r="AN9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/>
  <c r="B14" i="16"/>
  <c r="G8" i="12"/>
  <c r="D8" i="12"/>
  <c r="F8" i="12"/>
  <c r="AN10" i="11"/>
  <c r="AN8" i="11"/>
  <c r="AN7" i="11"/>
  <c r="E10" i="11"/>
  <c r="G11" i="11"/>
  <c r="G10" i="11"/>
  <c r="E8" i="11"/>
  <c r="F10" i="11"/>
  <c r="D8" i="11"/>
  <c r="G8" i="11"/>
  <c r="AN9" i="10"/>
  <c r="AN7" i="10"/>
  <c r="AN8" i="10"/>
  <c r="AN10" i="10"/>
  <c r="AN8" i="2"/>
  <c r="AN7" i="2"/>
  <c r="AN9" i="2"/>
  <c r="AN10" i="2"/>
  <c r="BA7" i="1"/>
  <c r="BB7" i="1"/>
  <c r="AN7" i="1"/>
  <c r="E8" i="12"/>
  <c r="F11" i="12"/>
  <c r="F8" i="11"/>
  <c r="C9" i="11"/>
  <c r="B11" i="16"/>
  <c r="D9" i="11"/>
  <c r="E9" i="11"/>
  <c r="C8" i="11"/>
  <c r="B26" i="16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F11" i="15"/>
  <c r="G10" i="15"/>
  <c r="C10" i="15"/>
  <c r="D9" i="15"/>
  <c r="E11" i="15"/>
  <c r="G9" i="15"/>
  <c r="C9" i="15"/>
  <c r="B19" i="16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/>
  <c r="G8" i="14"/>
  <c r="C8" i="14"/>
  <c r="B18" i="16"/>
  <c r="G17" i="16"/>
  <c r="L13" i="16"/>
  <c r="L12" i="16"/>
  <c r="Q20" i="16"/>
  <c r="G11" i="13"/>
  <c r="F9" i="13"/>
  <c r="D11" i="13"/>
  <c r="F10" i="13"/>
  <c r="C8" i="13"/>
  <c r="B30" i="16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/>
  <c r="G16" i="16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/>
  <c r="E10" i="12"/>
  <c r="F9" i="11"/>
  <c r="D11" i="10"/>
  <c r="E10" i="10"/>
  <c r="F9" i="10"/>
  <c r="G8" i="10"/>
  <c r="C8" i="10"/>
  <c r="B10" i="16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/>
  <c r="G25" i="16"/>
  <c r="F8" i="2"/>
  <c r="D11" i="2"/>
  <c r="G11" i="2"/>
  <c r="E8" i="2"/>
  <c r="F11" i="2"/>
  <c r="C9" i="2"/>
  <c r="B7" i="16"/>
  <c r="E11" i="2"/>
  <c r="F10" i="2"/>
  <c r="D8" i="2"/>
  <c r="E10" i="2"/>
  <c r="C8" i="2"/>
  <c r="B22" i="16"/>
  <c r="G10" i="2"/>
  <c r="C10" i="2"/>
  <c r="D10" i="2"/>
  <c r="G8" i="2"/>
  <c r="F9" i="2"/>
  <c r="D9" i="2"/>
  <c r="E9" i="2"/>
  <c r="G9" i="2"/>
  <c r="AN10" i="1"/>
  <c r="AN9" i="1"/>
  <c r="AN8" i="1"/>
  <c r="D10" i="1"/>
  <c r="F9" i="1"/>
  <c r="D9" i="1"/>
  <c r="E9" i="1"/>
  <c r="C9" i="1"/>
  <c r="B23" i="16"/>
  <c r="G24" i="16"/>
  <c r="L28" i="16"/>
  <c r="Q21" i="16"/>
  <c r="G9" i="1"/>
  <c r="C10" i="1"/>
  <c r="F11" i="1"/>
  <c r="C11" i="1"/>
  <c r="D11" i="1"/>
  <c r="G11" i="1"/>
  <c r="E8" i="1"/>
  <c r="E10" i="1"/>
  <c r="F8" i="1"/>
  <c r="C8" i="1"/>
  <c r="B6" i="16"/>
  <c r="G8" i="16"/>
  <c r="Q29" i="16"/>
  <c r="F10" i="1"/>
  <c r="G8" i="1"/>
  <c r="D8" i="1"/>
  <c r="E11" i="1"/>
  <c r="G10" i="1"/>
  <c r="Q30" i="16"/>
  <c r="W26" i="16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<sst xmlns="http://schemas.openxmlformats.org/spreadsheetml/2006/main" count="454" uniqueCount="79">
  <si>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</si>
  <si>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</si>
  <si>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</si>
  <si>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</si>
  <si>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</si>
  <si>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</si>
  <si>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</si>
  <si>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</si>
  <si>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</si>
  <si>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</si>
  <si>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</si>
  <si>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</si>
  <si>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</si>
  <si>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</si>
  <si>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</si>
  <si>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</si>
  <si>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</si>
  <si>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</si>
  <si>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</si>
  <si>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</si>
  <si>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</si>
  <si>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</si>
  <si>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</si>
  <si>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</si>
  <si>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</si>
  <si>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</si>
  <si>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</si>
  <si>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</si>
  <si>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</si>
  <si>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</si>
  <si>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</si>
  <si>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</si>
  <si>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</si>
  <si>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</si>
  <si>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</si>
  <si>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</si>
  <si>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</si>
  <si>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</si>
  <si>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</si>
  <si>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</si>
  <si>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</si>
  <si>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</si>
  <si>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</si>
  <si>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</si>
  <si>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</si>
  <si>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</si>
  <si>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</si>
  <si>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</si>
  <si>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</si>
  <si>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</si>
  <si>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</si>
  <si>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</si>
  <si>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</si>
  <si>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</si>
  <si>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</si>
  <si>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</si>
  <si>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</si>
  <si>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</si>
  <si>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</si>
  <si>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</si>
  <si>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</si>
  <si>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</si>
  <si>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</si>
  <si>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</si>
  <si>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</si>
  <si>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</si>
  <si>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</si>
  <si>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</si>
  <si>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</si>
  <si>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</si>
  <si>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</si>
  <si>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</si>
  <si>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</si>
  <si>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</si>
  <si>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</si>
  <si>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</si>
  <si>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</si>
  <si>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PILAR FIGUEROA</t>
  </si>
  <si>
    <t>pfigueroa.rozasgmail.com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</si>
</sst>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topLeftCell="A28" workbookViewId="0">
      <selection activeCell="C4" sqref="C4:D4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C6" zoomScale="150" workbookViewId="0">
      <selection activeCell="N13" sqref="N13"/>
    </sheetView>
  </sheetViews>
  <sheetFormatPr baseColWidth="10" defaultRowHeight="15" x14ac:dyDescent="0.2"/>
  <cols>
    <col min="15" max="34" width="10.83203125" style="81"/>
    <col min="35" max="35" width="20" style="34" bestFit="1" customWidth="1"/>
    <col min="36" max="46" width="10.8320312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0.83203125" style="34"/>
    <col min="55" max="16384" width="10.8320312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1</v>
      </c>
      <c r="AK7" s="34">
        <f>IF(AJ7=3,0,IF(AJ7=1,1,3))</f>
        <v>1</v>
      </c>
      <c r="AL7" s="34" t="str">
        <f t="shared" ref="AL7:AL12" si="2">IF(AJ7&gt;AK7,K7,IF(AK7&gt;AJ7,N7,"SIN GANADOR"))</f>
        <v>SIN GANADOR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-6</v>
      </c>
      <c r="AR7" s="34">
        <f>SUMIF($K$7:$K$12,AO7,$L$7:$L$12) + SUMIF($N$7:$N$12,AO7,$M$7:$M$12)</f>
        <v>0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60000</v>
      </c>
      <c r="BA7" s="34">
        <f>AZ7-AY7*10</f>
        <v>59990</v>
      </c>
      <c r="BB7" s="34">
        <f>BA7+N23</f>
        <v>59991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6</v>
      </c>
      <c r="F8" s="9">
        <f t="shared" si="3"/>
        <v>1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-70050600</v>
      </c>
      <c r="BA8" s="34">
        <f t="shared" ref="BA8:BA10" si="10">AZ8-AY8*10</f>
        <v>-70050610</v>
      </c>
      <c r="BB8" s="34">
        <f>BA8+N24</f>
        <v>-70050608</v>
      </c>
    </row>
    <row r="9" spans="2:54" x14ac:dyDescent="0.2">
      <c r="B9" s="11">
        <v>2</v>
      </c>
      <c r="C9" s="12" t="str">
        <f t="shared" si="3"/>
        <v>Senegal</v>
      </c>
      <c r="D9" s="13">
        <f t="shared" si="3"/>
        <v>7</v>
      </c>
      <c r="E9" s="13">
        <f t="shared" si="3"/>
        <v>5</v>
      </c>
      <c r="F9" s="13">
        <f t="shared" si="3"/>
        <v>1</v>
      </c>
      <c r="G9" s="14">
        <f t="shared" si="3"/>
        <v>4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7</v>
      </c>
      <c r="AQ9" s="34">
        <f t="shared" ref="AQ9:AQ10" si="11">AR9-AS9</f>
        <v>4</v>
      </c>
      <c r="AR9" s="34">
        <f t="shared" si="5"/>
        <v>5</v>
      </c>
      <c r="AS9" s="34">
        <f t="shared" si="6"/>
        <v>1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-70040500</v>
      </c>
      <c r="BA9" s="34">
        <f t="shared" si="10"/>
        <v>-70040510</v>
      </c>
      <c r="BB9" s="34">
        <f>BA9+N25</f>
        <v>-70040507</v>
      </c>
    </row>
    <row r="10" spans="2:54" x14ac:dyDescent="0.2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1</v>
      </c>
      <c r="F10" s="50">
        <f t="shared" si="3"/>
        <v>4</v>
      </c>
      <c r="G10" s="51">
        <f t="shared" si="3"/>
        <v>-3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-29970100</v>
      </c>
      <c r="BA10" s="34">
        <f t="shared" si="10"/>
        <v>-29970110</v>
      </c>
      <c r="BB10" s="34">
        <f>BA10+N26</f>
        <v>-29970106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0</v>
      </c>
      <c r="F11" s="54">
        <f t="shared" si="3"/>
        <v>6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2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B5" zoomScale="150" workbookViewId="0">
      <selection activeCell="K16" sqref="K16"/>
    </sheetView>
  </sheetViews>
  <sheetFormatPr baseColWidth="10" defaultRowHeight="15" x14ac:dyDescent="0.2"/>
  <cols>
    <col min="15" max="34" width="10.83203125" style="78"/>
    <col min="35" max="35" width="20" style="34" bestFit="1" customWidth="1"/>
    <col min="36" max="46" width="10.8320312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0.83203125" style="34"/>
    <col min="55" max="16384" width="10.8320312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1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2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0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60000</v>
      </c>
      <c r="BA9" s="34">
        <f t="shared" si="10"/>
        <v>59990</v>
      </c>
      <c r="BB9" s="34">
        <f>BA9+N25</f>
        <v>59993</v>
      </c>
    </row>
    <row r="10" spans="2:54" x14ac:dyDescent="0.2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3</v>
      </c>
      <c r="F10" s="50">
        <f t="shared" si="0"/>
        <v>2</v>
      </c>
      <c r="G10" s="51">
        <f t="shared" si="0"/>
        <v>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3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-40010300</v>
      </c>
      <c r="BA10" s="34">
        <f t="shared" si="10"/>
        <v>-40010310</v>
      </c>
      <c r="BB10" s="34">
        <f>BA10+N26</f>
        <v>-40010306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4" zoomScale="150" workbookViewId="0">
      <selection activeCell="N17" sqref="N17"/>
    </sheetView>
  </sheetViews>
  <sheetFormatPr baseColWidth="10" defaultRowHeight="15" x14ac:dyDescent="0.2"/>
  <cols>
    <col min="3" max="3" width="13.6640625" bestFit="1" customWidth="1"/>
    <col min="11" max="11" width="13.6640625" bestFit="1" customWidth="1"/>
    <col min="14" max="14" width="13.6640625" bestFit="1" customWidth="1"/>
    <col min="15" max="34" width="13.6640625" style="78" customWidth="1"/>
    <col min="35" max="35" width="20" style="34" bestFit="1" customWidth="1"/>
    <col min="36" max="46" width="10.8320312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0.83203125" style="34"/>
    <col min="55" max="16384" width="10.8320312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-29970200</v>
      </c>
      <c r="BA8" s="34">
        <f t="shared" ref="BA8:BA10" si="10">AZ8-AY8*10</f>
        <v>-29970210</v>
      </c>
      <c r="BB8" s="34">
        <f>BA8+N24</f>
        <v>-29970208</v>
      </c>
    </row>
    <row r="9" spans="2:54" x14ac:dyDescent="0.2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0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2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-9960000</v>
      </c>
      <c r="BA10" s="34">
        <f t="shared" si="10"/>
        <v>-9960010</v>
      </c>
      <c r="BB10" s="34">
        <f>BA10+N26</f>
        <v>-9960006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2" zoomScale="144" workbookViewId="0">
      <selection activeCell="M12" sqref="M12"/>
    </sheetView>
  </sheetViews>
  <sheetFormatPr baseColWidth="10" defaultRowHeight="15" x14ac:dyDescent="0.2"/>
  <cols>
    <col min="3" max="3" width="13.6640625" bestFit="1" customWidth="1"/>
    <col min="11" max="11" width="13.6640625" bestFit="1" customWidth="1"/>
    <col min="14" max="14" width="13.6640625" bestFit="1" customWidth="1"/>
    <col min="15" max="34" width="13.6640625" style="78" customWidth="1"/>
    <col min="35" max="35" width="20" style="34" bestFit="1" customWidth="1"/>
    <col min="36" max="46" width="10.8320312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0.83203125" style="34"/>
    <col min="55" max="16384" width="10.8320312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3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8</v>
      </c>
      <c r="F8" s="9">
        <f t="shared" si="0"/>
        <v>3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5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-70050800</v>
      </c>
      <c r="BA8" s="34">
        <f t="shared" ref="BA8:BA10" si="10">AZ8-AY8*10</f>
        <v>-70050810</v>
      </c>
      <c r="BB8" s="34">
        <f>BA8+N24</f>
        <v>-70050808</v>
      </c>
    </row>
    <row r="9" spans="2:54" x14ac:dyDescent="0.2">
      <c r="B9" s="11">
        <v>2</v>
      </c>
      <c r="C9" s="12" t="str">
        <f t="shared" si="0"/>
        <v>Francia</v>
      </c>
      <c r="D9" s="13">
        <f t="shared" si="0"/>
        <v>7</v>
      </c>
      <c r="E9" s="13">
        <f t="shared" si="0"/>
        <v>6</v>
      </c>
      <c r="F9" s="13">
        <f t="shared" si="0"/>
        <v>2</v>
      </c>
      <c r="G9" s="14">
        <f t="shared" si="0"/>
        <v>4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-9950000</v>
      </c>
      <c r="BA9" s="34">
        <f t="shared" si="10"/>
        <v>-9950010</v>
      </c>
      <c r="BB9" s="34">
        <f>BA9+N25</f>
        <v>-9950007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2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-9960106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3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C4" zoomScale="125" workbookViewId="0">
      <selection activeCell="M12" sqref="M12"/>
    </sheetView>
  </sheetViews>
  <sheetFormatPr baseColWidth="10" defaultRowHeight="15" x14ac:dyDescent="0.2"/>
  <cols>
    <col min="3" max="3" width="13.6640625" bestFit="1" customWidth="1"/>
    <col min="11" max="11" width="13.6640625" bestFit="1" customWidth="1"/>
    <col min="14" max="14" width="13.6640625" bestFit="1" customWidth="1"/>
    <col min="15" max="34" width="13.6640625" style="78" customWidth="1"/>
    <col min="35" max="35" width="20" style="34" bestFit="1" customWidth="1"/>
    <col min="36" max="46" width="10.8320312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0.83203125" style="34"/>
    <col min="55" max="16384" width="10.8320312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-60030700</v>
      </c>
      <c r="BA7" s="34">
        <f>AZ7-AY7*10</f>
        <v>-60030710</v>
      </c>
      <c r="BB7" s="34">
        <f>BA7+N23</f>
        <v>-60030709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9</v>
      </c>
      <c r="F8" s="9">
        <f t="shared" si="0"/>
        <v>3</v>
      </c>
      <c r="G8" s="10">
        <f t="shared" si="0"/>
        <v>6</v>
      </c>
      <c r="I8" s="18">
        <v>10</v>
      </c>
      <c r="J8" s="19">
        <v>44888</v>
      </c>
      <c r="K8" s="20" t="s">
        <v>44</v>
      </c>
      <c r="L8" s="21">
        <v>3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-90060900</v>
      </c>
      <c r="BA8" s="34">
        <f t="shared" ref="BA8:BA10" si="10">AZ8-AY8*10</f>
        <v>-90060910</v>
      </c>
      <c r="BB8" s="34">
        <f>BA8+N24</f>
        <v>-90060908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7</v>
      </c>
      <c r="F9" s="13">
        <f t="shared" si="0"/>
        <v>4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0</v>
      </c>
      <c r="AS9" s="34">
        <f t="shared" si="6"/>
        <v>6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60000</v>
      </c>
      <c r="BA9" s="34">
        <f t="shared" si="10"/>
        <v>59990</v>
      </c>
      <c r="BB9" s="34">
        <f>BA9+N25</f>
        <v>59993</v>
      </c>
    </row>
    <row r="10" spans="2:54" x14ac:dyDescent="0.2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-29970300</v>
      </c>
      <c r="BA10" s="34">
        <f t="shared" si="10"/>
        <v>-29970310</v>
      </c>
      <c r="BB10" s="34">
        <f>BA10+N26</f>
        <v>-29970306</v>
      </c>
    </row>
    <row r="11" spans="2:54" ht="16" thickBot="1" x14ac:dyDescent="0.25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topLeftCell="A5" zoomScale="132" workbookViewId="0">
      <selection activeCell="M16" sqref="M16"/>
    </sheetView>
  </sheetViews>
  <sheetFormatPr baseColWidth="10" defaultRowHeight="15" x14ac:dyDescent="0.2"/>
  <cols>
    <col min="3" max="3" width="13.6640625" bestFit="1" customWidth="1"/>
    <col min="11" max="11" width="13.6640625" bestFit="1" customWidth="1"/>
    <col min="14" max="14" width="13.6640625" bestFit="1" customWidth="1"/>
    <col min="15" max="34" width="13.6640625" style="78" customWidth="1"/>
    <col min="35" max="35" width="20" style="34" bestFit="1" customWidth="1"/>
    <col min="36" max="46" width="10.8320312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0.83203125" style="34"/>
    <col min="55" max="16384" width="10.8320312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-60020500</v>
      </c>
      <c r="BA8" s="34">
        <f t="shared" ref="BA8:BA10" si="10">AZ8-AY8*10</f>
        <v>-60020510</v>
      </c>
      <c r="BB8" s="34">
        <f>BA8+N24</f>
        <v>-60020508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49993</v>
      </c>
    </row>
    <row r="10" spans="2:54" x14ac:dyDescent="0.2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-29980206</v>
      </c>
    </row>
    <row r="11" spans="2:54" ht="16" thickBot="1" x14ac:dyDescent="0.25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zoomScale="119" workbookViewId="0">
      <selection activeCell="M9" sqref="M9"/>
    </sheetView>
  </sheetViews>
  <sheetFormatPr baseColWidth="10" defaultRowHeight="15" x14ac:dyDescent="0.2"/>
  <cols>
    <col min="3" max="3" width="13.6640625" bestFit="1" customWidth="1"/>
    <col min="11" max="11" width="13.6640625" bestFit="1" customWidth="1"/>
    <col min="14" max="14" width="13.6640625" bestFit="1" customWidth="1"/>
    <col min="15" max="34" width="13.6640625" style="78" customWidth="1"/>
    <col min="35" max="35" width="20" style="34" bestFit="1" customWidth="1"/>
    <col min="36" max="46" width="10.8320312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0.83203125" style="34"/>
    <col min="55" max="16384" width="10.8320312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9</v>
      </c>
      <c r="AR7" s="34">
        <f>SUMIF($K$7:$K$12,AO7,$L$7:$L$12) + SUMIF($N$7:$N$12,AO7,$M$7:$M$12)</f>
        <v>10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-90091000</v>
      </c>
      <c r="BA7" s="34">
        <f>AZ7-AY7*10</f>
        <v>-90091010</v>
      </c>
      <c r="BB7" s="34">
        <f>BA7+N23</f>
        <v>-90091009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10</v>
      </c>
      <c r="F8" s="9">
        <f t="shared" si="0"/>
        <v>1</v>
      </c>
      <c r="G8" s="10">
        <f t="shared" si="0"/>
        <v>9</v>
      </c>
      <c r="I8" s="18">
        <v>14</v>
      </c>
      <c r="J8" s="19">
        <v>44889</v>
      </c>
      <c r="K8" s="20" t="s">
        <v>10</v>
      </c>
      <c r="L8" s="21">
        <v>4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-29970300</v>
      </c>
      <c r="BA8" s="34">
        <f t="shared" ref="BA8:BA10" si="10">AZ8-AY8*10</f>
        <v>-29970310</v>
      </c>
      <c r="BB8" s="34">
        <f>BA8+N24</f>
        <v>-29970308</v>
      </c>
    </row>
    <row r="9" spans="2:54" x14ac:dyDescent="0.2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4</v>
      </c>
      <c r="F9" s="13">
        <f t="shared" si="0"/>
        <v>5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-59990400</v>
      </c>
      <c r="BA9" s="34">
        <f t="shared" si="10"/>
        <v>-59990410</v>
      </c>
      <c r="BB9" s="34">
        <f>BA9+N25</f>
        <v>-59990407</v>
      </c>
    </row>
    <row r="10" spans="2:54" x14ac:dyDescent="0.2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6" thickBot="1" x14ac:dyDescent="0.25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zoomScale="138" workbookViewId="0">
      <selection activeCell="M23" sqref="M23"/>
    </sheetView>
  </sheetViews>
  <sheetFormatPr baseColWidth="10" defaultRowHeight="15" x14ac:dyDescent="0.2"/>
  <cols>
    <col min="3" max="3" width="13.6640625" bestFit="1" customWidth="1"/>
    <col min="11" max="11" width="13.6640625" bestFit="1" customWidth="1"/>
    <col min="14" max="14" width="13.6640625" bestFit="1" customWidth="1"/>
    <col min="15" max="34" width="13.6640625" style="78" customWidth="1"/>
    <col min="35" max="35" width="20" style="34" bestFit="1" customWidth="1"/>
    <col min="36" max="46" width="10.8320312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0.83203125" style="34"/>
    <col min="55" max="16384" width="10.8320312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8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>Uruguay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-70050800</v>
      </c>
      <c r="BA7" s="34">
        <f>AZ7-AY7*10</f>
        <v>-70050800</v>
      </c>
      <c r="BB7" s="34">
        <f>BA7+N23</f>
        <v>-70050798</v>
      </c>
    </row>
    <row r="8" spans="2:54" x14ac:dyDescent="0.2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8</v>
      </c>
      <c r="F8" s="9">
        <f t="shared" si="0"/>
        <v>3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3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5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>Portugal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-70050800</v>
      </c>
      <c r="BA8" s="34">
        <f t="shared" ref="BA8:BA10" si="10">AZ8-AY8*10</f>
        <v>-70050800</v>
      </c>
      <c r="BB8" s="34">
        <f>BA8+N24</f>
        <v>-70050799</v>
      </c>
    </row>
    <row r="9" spans="2:54" x14ac:dyDescent="0.2">
      <c r="B9" s="11">
        <v>2</v>
      </c>
      <c r="C9" s="12" t="str">
        <f t="shared" si="0"/>
        <v>Portugal</v>
      </c>
      <c r="D9" s="13">
        <f t="shared" si="0"/>
        <v>7</v>
      </c>
      <c r="E9" s="13">
        <f t="shared" si="0"/>
        <v>8</v>
      </c>
      <c r="F9" s="13">
        <f t="shared" si="0"/>
        <v>3</v>
      </c>
      <c r="G9" s="14">
        <f t="shared" si="0"/>
        <v>5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0</v>
      </c>
      <c r="AS9" s="34">
        <f t="shared" si="6"/>
        <v>7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70000</v>
      </c>
      <c r="BA9" s="34">
        <f t="shared" si="10"/>
        <v>69990</v>
      </c>
      <c r="BB9" s="34">
        <f>BA9+N25</f>
        <v>69993</v>
      </c>
    </row>
    <row r="10" spans="2:54" x14ac:dyDescent="0.2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-29970300</v>
      </c>
      <c r="BA10" s="34">
        <f t="shared" si="10"/>
        <v>-29970310</v>
      </c>
      <c r="BB10" s="34">
        <f>BA10+N26</f>
        <v>-29970306</v>
      </c>
    </row>
    <row r="11" spans="2:54" ht="16" thickBot="1" x14ac:dyDescent="0.25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3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tabSelected="1" topLeftCell="F6" zoomScale="125" workbookViewId="0">
      <selection activeCell="S32" sqref="S32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>
        <v>1</v>
      </c>
    </row>
    <row r="7" spans="2:19" ht="16" thickBot="1" x14ac:dyDescent="0.25">
      <c r="B7" s="62" t="str">
        <f>'GRUPO B'!C9</f>
        <v>USA</v>
      </c>
      <c r="C7" s="63">
        <v>2</v>
      </c>
      <c r="D7" s="64">
        <v>0</v>
      </c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2</v>
      </c>
      <c r="I8" s="61"/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/>
      <c r="J9" s="65"/>
    </row>
    <row r="10" spans="2:19" ht="16" thickBot="1" x14ac:dyDescent="0.25">
      <c r="B10" s="59" t="str">
        <f>'GRUPO C'!C8</f>
        <v>Argentina</v>
      </c>
      <c r="C10" s="60">
        <v>3</v>
      </c>
      <c r="D10" s="61"/>
      <c r="E10" s="69"/>
      <c r="J10" s="66"/>
    </row>
    <row r="11" spans="2:19" ht="16" thickBot="1" x14ac:dyDescent="0.25">
      <c r="B11" s="62" t="str">
        <f>'GRUPO D'!C9</f>
        <v>Francia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3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3</v>
      </c>
      <c r="D14" s="61"/>
      <c r="J14" s="66"/>
      <c r="O14" s="66"/>
    </row>
    <row r="15" spans="2:19" ht="16" thickBot="1" x14ac:dyDescent="0.25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3</v>
      </c>
      <c r="D18" s="61"/>
      <c r="E18" s="69"/>
      <c r="O18" s="66"/>
    </row>
    <row r="19" spans="2:23" ht="16" thickBot="1" x14ac:dyDescent="0.25">
      <c r="B19" s="62" t="str">
        <f>'GRUPO H'!C9</f>
        <v>Portugal</v>
      </c>
      <c r="C19" s="63">
        <v>2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Argentina</v>
      </c>
      <c r="R20" s="60">
        <v>3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2</v>
      </c>
      <c r="S21" s="64"/>
    </row>
    <row r="22" spans="2:23" ht="16" thickBot="1" x14ac:dyDescent="0.25">
      <c r="B22" s="59" t="str">
        <f>'GRUPO B'!C8</f>
        <v>Inglaterra</v>
      </c>
      <c r="C22" s="60">
        <v>1</v>
      </c>
      <c r="D22" s="61">
        <v>3</v>
      </c>
      <c r="O22" s="66"/>
    </row>
    <row r="23" spans="2:23" ht="16" thickBot="1" x14ac:dyDescent="0.25">
      <c r="B23" s="62" t="str">
        <f>'GRUPO A'!C9</f>
        <v>Senegal</v>
      </c>
      <c r="C23" s="63">
        <v>1</v>
      </c>
      <c r="D23" s="64">
        <v>2</v>
      </c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0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Uruguay</v>
      </c>
    </row>
    <row r="26" spans="2:23" ht="16" thickBot="1" x14ac:dyDescent="0.25">
      <c r="B26" s="59" t="str">
        <f>'GRUPO D'!C8</f>
        <v>Dinamarca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6" thickBot="1" x14ac:dyDescent="0.25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3</v>
      </c>
      <c r="N29" s="64"/>
      <c r="Q29" s="59" t="str">
        <f>IF(Q20=L12,L13,IF(Q20=L13,L12,""))</f>
        <v>Brasil</v>
      </c>
      <c r="R29" s="60">
        <v>3</v>
      </c>
      <c r="S29" s="61"/>
    </row>
    <row r="30" spans="2:23" ht="16" thickBot="1" x14ac:dyDescent="0.25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Inglaterra</v>
      </c>
      <c r="R30" s="63">
        <v>1</v>
      </c>
      <c r="S30" s="64"/>
    </row>
    <row r="31" spans="2:23" ht="16" thickBot="1" x14ac:dyDescent="0.25">
      <c r="B31" s="62" t="str">
        <f>'GRUPO E'!C9</f>
        <v>España</v>
      </c>
      <c r="C31" s="63">
        <v>3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España</v>
      </c>
      <c r="H32" s="60">
        <v>1</v>
      </c>
      <c r="I32" s="61"/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/>
    </row>
    <row r="34" spans="2:9" x14ac:dyDescent="0.2">
      <c r="B34" s="59" t="str">
        <f>'GRUPO H'!C8</f>
        <v>Uruguay</v>
      </c>
      <c r="C34" s="60">
        <v>2</v>
      </c>
      <c r="D34" s="61"/>
      <c r="E34" s="69"/>
    </row>
    <row r="35" spans="2:9" ht="16" thickBot="1" x14ac:dyDescent="0.25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Usuario de Microsoft Office</cp:lastModifiedBy>
  <dcterms:created xsi:type="dcterms:W3CDTF">2022-11-02T00:22:23Z</dcterms:created>
  <dcterms:modified xsi:type="dcterms:W3CDTF">2022-11-15T21:44:00Z</dcterms:modified>
</cp:coreProperties>
</file>