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ristobal Vial\Desktop\"/>
    </mc:Choice>
  </mc:AlternateContent>
  <bookViews>
    <workbookView xWindow="0" yWindow="0" windowWidth="9420" windowHeight="7590" activeTab="9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G33" i="16"/>
  <c r="L29" i="16" s="1"/>
  <c r="G32" i="16"/>
  <c r="G9" i="16"/>
  <c r="N27" i="15"/>
  <c r="N26" i="15"/>
  <c r="I26" i="15"/>
  <c r="N25" i="15"/>
  <c r="I25" i="15"/>
  <c r="N24" i="15"/>
  <c r="I24" i="15"/>
  <c r="N23" i="15"/>
  <c r="I23" i="15"/>
  <c r="AJ12" i="15"/>
  <c r="AK12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K8" i="12"/>
  <c r="AL8" i="12" s="1"/>
  <c r="AJ8" i="12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P7" i="15" l="1"/>
  <c r="AQ10" i="14"/>
  <c r="AP10" i="12"/>
  <c r="AP10" i="11"/>
  <c r="AP9" i="2"/>
  <c r="W24" i="16"/>
  <c r="AQ8" i="15"/>
  <c r="AQ7" i="15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K11" i="14"/>
  <c r="AP7" i="14" s="1"/>
  <c r="AZ7" i="14" s="1"/>
  <c r="AK12" i="14"/>
  <c r="AP9" i="14" s="1"/>
  <c r="AQ10" i="13"/>
  <c r="AQ8" i="13"/>
  <c r="AQ7" i="13"/>
  <c r="AQ9" i="13"/>
  <c r="AP10" i="13"/>
  <c r="AZ10" i="13" s="1"/>
  <c r="AL8" i="13"/>
  <c r="AK10" i="13"/>
  <c r="AL10" i="13" s="1"/>
  <c r="AK7" i="13"/>
  <c r="AP9" i="13" s="1"/>
  <c r="AP8" i="13"/>
  <c r="AK11" i="13"/>
  <c r="AL11" i="13" s="1"/>
  <c r="AK12" i="13"/>
  <c r="AL12" i="13" s="1"/>
  <c r="AQ9" i="12"/>
  <c r="AQ8" i="12"/>
  <c r="AQ7" i="12"/>
  <c r="AK10" i="12"/>
  <c r="AL10" i="12" s="1"/>
  <c r="AQ10" i="12"/>
  <c r="AL9" i="12"/>
  <c r="AK7" i="12"/>
  <c r="AL7" i="12" s="1"/>
  <c r="AK11" i="12"/>
  <c r="AP7" i="12" s="1"/>
  <c r="AK12" i="12"/>
  <c r="AP8" i="12" s="1"/>
  <c r="AQ10" i="11"/>
  <c r="AQ8" i="11"/>
  <c r="AQ9" i="11"/>
  <c r="AQ7" i="11"/>
  <c r="AK7" i="11"/>
  <c r="AL7" i="11" s="1"/>
  <c r="AK11" i="11"/>
  <c r="AP7" i="11" s="1"/>
  <c r="AK12" i="11"/>
  <c r="AP8" i="11" s="1"/>
  <c r="AP9" i="11"/>
  <c r="AQ10" i="10"/>
  <c r="AQ7" i="10"/>
  <c r="AQ9" i="10"/>
  <c r="AQ8" i="10"/>
  <c r="AK7" i="10"/>
  <c r="AL7" i="10" s="1"/>
  <c r="AK11" i="10"/>
  <c r="AL11" i="10" s="1"/>
  <c r="AK12" i="10"/>
  <c r="AP8" i="10" s="1"/>
  <c r="AK8" i="10"/>
  <c r="AL8" i="10" s="1"/>
  <c r="AK9" i="10"/>
  <c r="AL9" i="10" s="1"/>
  <c r="AQ9" i="2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Z10" i="12" l="1"/>
  <c r="AP8" i="14"/>
  <c r="AZ8" i="14" s="1"/>
  <c r="AZ10" i="11"/>
  <c r="AZ8" i="10"/>
  <c r="AZ7" i="15"/>
  <c r="AZ8" i="12"/>
  <c r="AP9" i="12"/>
  <c r="AZ9" i="12" s="1"/>
  <c r="AZ7" i="12"/>
  <c r="AZ8" i="13"/>
  <c r="AZ9" i="11"/>
  <c r="AZ8" i="11"/>
  <c r="AZ9" i="2"/>
  <c r="AP10" i="15"/>
  <c r="AZ10" i="15" s="1"/>
  <c r="AP7" i="13"/>
  <c r="AZ7" i="13" s="1"/>
  <c r="AZ7" i="11"/>
  <c r="AP10" i="10"/>
  <c r="AZ10" i="10" s="1"/>
  <c r="AZ8" i="2"/>
  <c r="AP7" i="2"/>
  <c r="AZ7" i="2" s="1"/>
  <c r="AZ7" i="1"/>
  <c r="AP9" i="15"/>
  <c r="AZ9" i="15" s="1"/>
  <c r="AL11" i="15"/>
  <c r="AL7" i="15"/>
  <c r="AZ9" i="14"/>
  <c r="AL7" i="14"/>
  <c r="AP10" i="14"/>
  <c r="AZ10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10" i="11" l="1"/>
  <c r="AX10" i="11" s="1"/>
  <c r="AY10" i="11" s="1"/>
  <c r="BA10" i="11" s="1"/>
  <c r="BB10" i="11" s="1"/>
  <c r="AW7" i="14"/>
  <c r="AX7" i="14" s="1"/>
  <c r="AY7" i="14" s="1"/>
  <c r="BA7" i="14" s="1"/>
  <c r="BB7" i="14" s="1"/>
  <c r="AW9" i="12"/>
  <c r="AX9" i="12" s="1"/>
  <c r="AY9" i="12" s="1"/>
  <c r="BA9" i="12" s="1"/>
  <c r="BB9" i="12" s="1"/>
  <c r="AW10" i="12"/>
  <c r="AX10" i="12" s="1"/>
  <c r="AY10" i="12" s="1"/>
  <c r="BA10" i="12" s="1"/>
  <c r="BB10" i="12" s="1"/>
  <c r="AW8" i="11"/>
  <c r="AX8" i="11" s="1"/>
  <c r="AY8" i="11" s="1"/>
  <c r="BA8" i="11" s="1"/>
  <c r="BB8" i="11" s="1"/>
  <c r="AW9" i="11"/>
  <c r="AX9" i="11" s="1"/>
  <c r="AY9" i="11" s="1"/>
  <c r="BA9" i="11" s="1"/>
  <c r="BB9" i="11" s="1"/>
  <c r="AW7" i="11"/>
  <c r="AX7" i="11" s="1"/>
  <c r="AY7" i="11" s="1"/>
  <c r="BA7" i="11" s="1"/>
  <c r="BB7" i="11" s="1"/>
  <c r="AN9" i="11" s="1"/>
  <c r="AW8" i="12"/>
  <c r="AX8" i="12" s="1"/>
  <c r="AY8" i="12" s="1"/>
  <c r="BA8" i="12" s="1"/>
  <c r="BB8" i="12" s="1"/>
  <c r="AW7" i="12"/>
  <c r="AX7" i="12" s="1"/>
  <c r="AY7" i="12" s="1"/>
  <c r="BA7" i="12" s="1"/>
  <c r="BB7" i="12" s="1"/>
  <c r="AW9" i="13"/>
  <c r="AX9" i="13" s="1"/>
  <c r="AY9" i="13" s="1"/>
  <c r="BA9" i="13" s="1"/>
  <c r="BB9" i="13" s="1"/>
  <c r="AW9" i="2"/>
  <c r="AX9" i="2" s="1"/>
  <c r="AY9" i="2" s="1"/>
  <c r="BA9" i="2" s="1"/>
  <c r="BB9" i="2" s="1"/>
  <c r="AW7" i="2"/>
  <c r="AX7" i="2" s="1"/>
  <c r="AY7" i="2" s="1"/>
  <c r="BA7" i="2" s="1"/>
  <c r="BB7" i="2" s="1"/>
  <c r="AW8" i="2"/>
  <c r="AX8" i="2" s="1"/>
  <c r="AY8" i="2" s="1"/>
  <c r="BA8" i="2" s="1"/>
  <c r="BB8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N9" i="12" l="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AN10" i="11"/>
  <c r="AN8" i="11"/>
  <c r="AN7" i="11"/>
  <c r="AN9" i="10"/>
  <c r="AN7" i="10"/>
  <c r="AN8" i="10"/>
  <c r="AN10" i="10"/>
  <c r="AN8" i="2"/>
  <c r="AN7" i="2"/>
  <c r="AN9" i="2"/>
  <c r="AN10" i="2"/>
  <c r="BA7" i="1"/>
  <c r="BB7" i="1" s="1"/>
  <c r="AN7" i="1" s="1"/>
  <c r="F10" i="11" l="1"/>
  <c r="C8" i="12"/>
  <c r="B14" i="16" s="1"/>
  <c r="F8" i="12"/>
  <c r="D8" i="12"/>
  <c r="G8" i="12"/>
  <c r="G8" i="11"/>
  <c r="E8" i="11"/>
  <c r="D8" i="11"/>
  <c r="G11" i="11"/>
  <c r="G10" i="11"/>
  <c r="E10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G16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E10" i="12"/>
  <c r="F9" i="11"/>
  <c r="D11" i="10"/>
  <c r="E10" i="10"/>
  <c r="F9" i="10"/>
  <c r="G8" i="10"/>
  <c r="C8" i="10"/>
  <c r="B10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D10" i="1" l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<sst xmlns="http://schemas.openxmlformats.org/spreadsheetml/2006/main" count="454" uniqueCount="79">
  <si>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</si>
  <si>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</si>
  <si>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</si>
  <si>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</si>
  <si>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</si>
  <si>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</si>
  <si>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</si>
  <si>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</si>
  <si>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</si>
  <si>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</si>
  <si>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</si>
  <si>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</si>
  <si>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</si>
  <si>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</si>
  <si>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</si>
  <si>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</si>
  <si>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</si>
  <si>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</si>
  <si>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</si>
  <si>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</si>
  <si>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</si>
  <si>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</si>
  <si>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</si>
  <si>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</si>
  <si>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</si>
  <si>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</si>
  <si>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</si>
  <si>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</si>
  <si>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</si>
  <si>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</si>
  <si>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</si>
  <si>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</si>
  <si>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</si>
  <si>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</si>
  <si>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</si>
  <si>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</si>
  <si>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</si>
  <si>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</si>
  <si>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</si>
  <si>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</si>
  <si>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</si>
  <si>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</si>
  <si>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</si>
  <si>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</si>
  <si>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</si>
  <si>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</si>
  <si>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</si>
  <si>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</si>
  <si>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</si>
  <si>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</si>
  <si>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</si>
  <si>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</si>
  <si>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</si>
  <si>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</si>
  <si>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</si>
  <si>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</si>
  <si>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</si>
  <si>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</si>
  <si>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</si>
  <si>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</si>
  <si>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</si>
  <si>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</si>
  <si>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</si>
  <si>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</si>
  <si>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</si>
  <si>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</si>
  <si>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</si>
  <si>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</si>
  <si>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</si>
  <si>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</si>
  <si>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</si>
  <si>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</si>
  <si>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</si>
  <si>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</si>
  <si>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</si>
  <si>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</si>
  <si>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</si>
  <si>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 xml:space="preserve"> Isabel Izquierdo</t>
  </si>
  <si>
    <t>cvial1@miuandes.cl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</si>
</sst>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vial1@miuandes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4"/>
  <sheetViews>
    <sheetView workbookViewId="0">
      <selection activeCell="C4" sqref="C4:D4"/>
    </sheetView>
  </sheetViews>
  <sheetFormatPr baseColWidth="10" defaultRowHeight="15" x14ac:dyDescent="0.25"/>
  <sheetData>
    <row r="1" spans="2:4" ht="15.75" thickBot="1" x14ac:dyDescent="0.3"/>
    <row r="2" spans="2:4" ht="15.75" thickBot="1" x14ac:dyDescent="0.3">
      <c r="B2" s="83" t="s">
        <v>74</v>
      </c>
      <c r="C2" s="84"/>
      <c r="D2" s="85"/>
    </row>
    <row r="3" spans="2:4" x14ac:dyDescent="0.25">
      <c r="B3" s="76" t="s">
        <v>75</v>
      </c>
      <c r="C3" s="86" t="s">
        <v>77</v>
      </c>
      <c r="D3" s="87"/>
    </row>
    <row r="4" spans="2:4" ht="15.75" thickBot="1" x14ac:dyDescent="0.3">
      <c r="B4" s="77" t="s">
        <v>76</v>
      </c>
      <c r="C4" s="88" t="s">
        <v>78</v>
      </c>
      <c r="D4" s="89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M12" sqref="M12"/>
    </sheetView>
  </sheetViews>
  <sheetFormatPr baseColWidth="10" defaultRowHeight="15" x14ac:dyDescent="0.25"/>
  <cols>
    <col min="15" max="34" width="11.42578125" style="8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2</v>
      </c>
      <c r="M7" s="31">
        <v>2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1</v>
      </c>
      <c r="AK7" s="34">
        <f>IF(AJ7=3,0,IF(AJ7=1,1,3))</f>
        <v>1</v>
      </c>
      <c r="AL7" s="34" t="str">
        <f t="shared" ref="AL7:AL12" si="2">IF(AJ7&gt;AK7,K7,IF(AK7&gt;AJ7,N7,"SIN GANADOR"))</f>
        <v>SIN GANADOR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0</v>
      </c>
      <c r="AQ7" s="34">
        <f>AR7-AS7</f>
        <v>-3</v>
      </c>
      <c r="AR7" s="34">
        <f>SUMIF($K$7:$K$12,AO7,$L$7:$L$12) + SUMIF($N$7:$N$12,AO7,$M$7:$M$12)</f>
        <v>2</v>
      </c>
      <c r="AS7" s="34">
        <f>SUMIF($K$7:$K$12,AO7,$M$7:$M$12) + SUMIF($N$7:$N$12,AO7,$L$7:$L$12)</f>
        <v>5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29800</v>
      </c>
      <c r="BA7" s="34">
        <f>AZ7-AY7*10</f>
        <v>29790</v>
      </c>
      <c r="BB7" s="34">
        <f>BA7+N23</f>
        <v>29791</v>
      </c>
    </row>
    <row r="8" spans="2:54" x14ac:dyDescent="0.25">
      <c r="B8" s="7">
        <v>1</v>
      </c>
      <c r="C8" s="8" t="str">
        <f t="shared" ref="C8:G11" si="3">IFERROR(VLOOKUP($B8,$AN$7:$AS$11,C$5,FALSE),"")</f>
        <v>Senegal</v>
      </c>
      <c r="D8" s="9">
        <f t="shared" si="3"/>
        <v>5</v>
      </c>
      <c r="E8" s="9">
        <f t="shared" si="3"/>
        <v>6</v>
      </c>
      <c r="F8" s="9">
        <f t="shared" si="3"/>
        <v>5</v>
      </c>
      <c r="G8" s="10">
        <f t="shared" si="3"/>
        <v>1</v>
      </c>
      <c r="I8" s="18">
        <v>2</v>
      </c>
      <c r="J8" s="19">
        <v>44886</v>
      </c>
      <c r="K8" s="20" t="s">
        <v>14</v>
      </c>
      <c r="L8" s="21">
        <v>0</v>
      </c>
      <c r="M8" s="22">
        <v>1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0</v>
      </c>
      <c r="AK8" s="34">
        <f t="shared" ref="AK8:AK12" si="4">IF(AJ8=3,0,IF(AJ8=1,1,3))</f>
        <v>3</v>
      </c>
      <c r="AL8" s="34" t="str">
        <f t="shared" si="2"/>
        <v>Ecuador</v>
      </c>
      <c r="AN8" s="34">
        <f>_xlfn.RANK.EQ(BB8,BB$7:BB$11,1)</f>
        <v>2</v>
      </c>
      <c r="AO8" s="34" t="s">
        <v>13</v>
      </c>
      <c r="AP8" s="34">
        <f>SUMIF($K$7:$K$12,AO8,$AJ$7:$AJ$12) + SUMIF($N$7:$N$12,AO8,$AK$7:$AK$12)</f>
        <v>5</v>
      </c>
      <c r="AQ8" s="34">
        <f>AR8-AS8</f>
        <v>1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-50010500</v>
      </c>
      <c r="BA8" s="34">
        <f t="shared" ref="BA8:BA10" si="10">AZ8-AY8*10</f>
        <v>-50010510</v>
      </c>
      <c r="BB8" s="34">
        <f>BA8+N24</f>
        <v>-50010508</v>
      </c>
    </row>
    <row r="9" spans="2:54" x14ac:dyDescent="0.25">
      <c r="B9" s="11">
        <v>2</v>
      </c>
      <c r="C9" s="12" t="str">
        <f t="shared" si="3"/>
        <v>Holanda</v>
      </c>
      <c r="D9" s="13">
        <f t="shared" si="3"/>
        <v>5</v>
      </c>
      <c r="E9" s="13">
        <f t="shared" si="3"/>
        <v>5</v>
      </c>
      <c r="F9" s="13">
        <f t="shared" si="3"/>
        <v>4</v>
      </c>
      <c r="G9" s="14">
        <f t="shared" si="3"/>
        <v>1</v>
      </c>
      <c r="I9" s="23">
        <f>I7+16</f>
        <v>17</v>
      </c>
      <c r="J9" s="24">
        <v>44890</v>
      </c>
      <c r="K9" s="25" t="s">
        <v>14</v>
      </c>
      <c r="L9" s="21">
        <v>1</v>
      </c>
      <c r="M9" s="22">
        <v>2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1</v>
      </c>
      <c r="AO9" s="34" t="s">
        <v>12</v>
      </c>
      <c r="AP9" s="34">
        <f>SUMIF($K$7:$K$12,AO9,$AJ$7:$AJ$12) + SUMIF($N$7:$N$12,AO9,$AK$7:$AK$12)</f>
        <v>5</v>
      </c>
      <c r="AQ9" s="34">
        <f t="shared" ref="AQ9:AQ10" si="11">AR9-AS9</f>
        <v>1</v>
      </c>
      <c r="AR9" s="34">
        <f t="shared" si="5"/>
        <v>6</v>
      </c>
      <c r="AS9" s="34">
        <f t="shared" si="6"/>
        <v>5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-50010600</v>
      </c>
      <c r="BA9" s="34">
        <f t="shared" si="10"/>
        <v>-50010610</v>
      </c>
      <c r="BB9" s="34">
        <f>BA9+N25</f>
        <v>-50010607</v>
      </c>
    </row>
    <row r="10" spans="2:54" x14ac:dyDescent="0.25">
      <c r="B10" s="48">
        <v>3</v>
      </c>
      <c r="C10" s="49" t="str">
        <f t="shared" si="3"/>
        <v>Ecuador</v>
      </c>
      <c r="D10" s="50">
        <f t="shared" si="3"/>
        <v>5</v>
      </c>
      <c r="E10" s="50">
        <f t="shared" si="3"/>
        <v>4</v>
      </c>
      <c r="F10" s="50">
        <f t="shared" si="3"/>
        <v>3</v>
      </c>
      <c r="G10" s="51">
        <f t="shared" si="3"/>
        <v>1</v>
      </c>
      <c r="I10" s="18">
        <f>I8+16</f>
        <v>18</v>
      </c>
      <c r="J10" s="19">
        <v>44890</v>
      </c>
      <c r="K10" s="20" t="s">
        <v>13</v>
      </c>
      <c r="L10" s="21">
        <v>1</v>
      </c>
      <c r="M10" s="22">
        <v>1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1</v>
      </c>
      <c r="AK10" s="34">
        <f t="shared" si="4"/>
        <v>1</v>
      </c>
      <c r="AL10" s="34" t="str">
        <f t="shared" si="2"/>
        <v>SIN GANADOR</v>
      </c>
      <c r="AN10" s="34">
        <f>_xlfn.RANK.EQ(BB10,BB$7:BB$11,1)</f>
        <v>3</v>
      </c>
      <c r="AO10" s="34" t="s">
        <v>11</v>
      </c>
      <c r="AP10" s="34">
        <f>SUMIF($K$7:$K$12,AO10,$AJ$7:$AJ$12) + SUMIF($N$7:$N$12,AO10,$AK$7:$AK$12)</f>
        <v>5</v>
      </c>
      <c r="AQ10" s="34">
        <f t="shared" si="11"/>
        <v>1</v>
      </c>
      <c r="AR10" s="34">
        <f>SUMIF($K$7:$K$12,AO10,$L$7:$L$12) + SUMIF($N$7:$N$12,AO10,$M$7:$M$12)</f>
        <v>4</v>
      </c>
      <c r="AS10" s="34">
        <f>SUMIF($K$7:$K$12,AO10,$M$7:$M$12) + SUMIF($N$7:$N$12,AO10,$L$7:$L$12)</f>
        <v>3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-50010400</v>
      </c>
      <c r="BA10" s="34">
        <f t="shared" si="10"/>
        <v>-50010410</v>
      </c>
      <c r="BB10" s="34">
        <f>BA10+N26</f>
        <v>-50010406</v>
      </c>
    </row>
    <row r="11" spans="2:54" ht="15.75" thickBot="1" x14ac:dyDescent="0.3">
      <c r="B11" s="52">
        <v>4</v>
      </c>
      <c r="C11" s="53" t="str">
        <f t="shared" si="3"/>
        <v>Qatar</v>
      </c>
      <c r="D11" s="54">
        <f t="shared" si="3"/>
        <v>0</v>
      </c>
      <c r="E11" s="54">
        <f t="shared" si="3"/>
        <v>2</v>
      </c>
      <c r="F11" s="54">
        <f t="shared" si="3"/>
        <v>5</v>
      </c>
      <c r="G11" s="55">
        <f t="shared" si="3"/>
        <v>-3</v>
      </c>
      <c r="I11" s="23">
        <f>I9+16</f>
        <v>33</v>
      </c>
      <c r="J11" s="24">
        <v>44894</v>
      </c>
      <c r="K11" s="25" t="s">
        <v>11</v>
      </c>
      <c r="L11" s="21">
        <v>2</v>
      </c>
      <c r="M11" s="22">
        <v>2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1</v>
      </c>
      <c r="AK11" s="34">
        <f t="shared" si="4"/>
        <v>1</v>
      </c>
      <c r="AL11" s="34" t="str">
        <f t="shared" si="2"/>
        <v>SIN GANADOR</v>
      </c>
    </row>
    <row r="12" spans="2:54" ht="15.75" thickBot="1" x14ac:dyDescent="0.3">
      <c r="I12" s="26">
        <f>I10+16</f>
        <v>34</v>
      </c>
      <c r="J12" s="27">
        <v>44894</v>
      </c>
      <c r="K12" s="28" t="s">
        <v>13</v>
      </c>
      <c r="L12" s="32">
        <v>2</v>
      </c>
      <c r="M12" s="33">
        <v>1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1</v>
      </c>
      <c r="N23" s="35">
        <f>IF(J23="",0,M23)</f>
        <v>1</v>
      </c>
    </row>
    <row r="24" spans="2:1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2</v>
      </c>
      <c r="N24" s="35">
        <f>IF(J24="",0,M24)</f>
        <v>2</v>
      </c>
    </row>
    <row r="25" spans="2:1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3</v>
      </c>
      <c r="N25" s="35">
        <f>IF(J25="",0,M25)</f>
        <v>3</v>
      </c>
    </row>
    <row r="26" spans="2:1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4</v>
      </c>
      <c r="N26" s="35">
        <f>IF(J26="",0,M26)</f>
        <v>4</v>
      </c>
    </row>
    <row r="27" spans="2:1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M13" sqref="M13"/>
    </sheetView>
  </sheetViews>
  <sheetFormatPr baseColWidth="10" defaultRowHeight="15" x14ac:dyDescent="0.25"/>
  <cols>
    <col min="15" max="34" width="11.42578125" style="78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29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2</v>
      </c>
      <c r="M7" s="31">
        <v>1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6</v>
      </c>
      <c r="AQ7" s="34">
        <f>AR7-AS7</f>
        <v>1</v>
      </c>
      <c r="AR7" s="34">
        <f>SUMIF($K$7:$K$12,AO7,$L$7:$L$12) + SUMIF($N$7:$N$12,AO7,$M$7:$M$12)</f>
        <v>6</v>
      </c>
      <c r="AS7" s="34">
        <f>SUMIF($K$7:$K$12,AO7,$M$7:$M$12) + SUMIF($N$7:$N$12,AO7,$L$7:$L$12)</f>
        <v>5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-60010600</v>
      </c>
      <c r="BA7" s="34">
        <f>AZ7-AY7*10</f>
        <v>-60010610</v>
      </c>
      <c r="BB7" s="34">
        <f>BA7+N23</f>
        <v>-60010609</v>
      </c>
    </row>
    <row r="8" spans="2:54" x14ac:dyDescent="0.2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6</v>
      </c>
      <c r="E8" s="9">
        <f t="shared" si="0"/>
        <v>6</v>
      </c>
      <c r="F8" s="9">
        <f t="shared" si="0"/>
        <v>5</v>
      </c>
      <c r="G8" s="10">
        <f t="shared" si="0"/>
        <v>1</v>
      </c>
      <c r="I8" s="18">
        <v>4</v>
      </c>
      <c r="J8" s="19">
        <v>44886</v>
      </c>
      <c r="K8" s="20" t="s">
        <v>31</v>
      </c>
      <c r="L8" s="21">
        <v>0</v>
      </c>
      <c r="M8" s="22">
        <v>0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3</v>
      </c>
      <c r="AO8" s="34" t="s">
        <v>31</v>
      </c>
      <c r="AP8" s="34">
        <f>SUMIF($K$7:$K$12,AO8,$AJ$7:$AJ$12) + SUMIF($N$7:$N$12,AO8,$AK$7:$AK$12)</f>
        <v>4</v>
      </c>
      <c r="AQ8" s="34">
        <f>AR8-AS8</f>
        <v>-1</v>
      </c>
      <c r="AR8" s="34">
        <f t="shared" ref="AR8:AR9" si="5">SUMIF($K$7:$K$12,AO8,$L$7:$L$12) + SUMIF($N$7:$N$12,AO8,$M$7:$M$12)</f>
        <v>3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-39990300</v>
      </c>
      <c r="BA8" s="34">
        <f t="shared" ref="BA8:BA10" si="10">AZ8-AY8*10</f>
        <v>-39990310</v>
      </c>
      <c r="BB8" s="34">
        <f>BA8+N24</f>
        <v>-39990308</v>
      </c>
    </row>
    <row r="9" spans="2:54" x14ac:dyDescent="0.25">
      <c r="B9" s="11">
        <v>2</v>
      </c>
      <c r="C9" s="12" t="str">
        <f t="shared" si="0"/>
        <v>Gales</v>
      </c>
      <c r="D9" s="13">
        <f t="shared" si="0"/>
        <v>4</v>
      </c>
      <c r="E9" s="13">
        <f t="shared" si="0"/>
        <v>3</v>
      </c>
      <c r="F9" s="13">
        <f t="shared" si="0"/>
        <v>2</v>
      </c>
      <c r="G9" s="14">
        <f t="shared" si="0"/>
        <v>1</v>
      </c>
      <c r="I9" s="23">
        <f>I7+16</f>
        <v>19</v>
      </c>
      <c r="J9" s="24">
        <v>44890</v>
      </c>
      <c r="K9" s="25" t="s">
        <v>33</v>
      </c>
      <c r="L9" s="21">
        <v>0</v>
      </c>
      <c r="M9" s="22">
        <v>1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0</v>
      </c>
      <c r="AK9" s="34">
        <f t="shared" si="3"/>
        <v>3</v>
      </c>
      <c r="AL9" s="34" t="str">
        <f t="shared" si="4"/>
        <v>Iran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3</v>
      </c>
      <c r="AQ9" s="34">
        <f t="shared" ref="AQ9:AQ10" si="11">AR9-AS9</f>
        <v>-1</v>
      </c>
      <c r="AR9" s="34">
        <f t="shared" si="5"/>
        <v>3</v>
      </c>
      <c r="AS9" s="34">
        <f t="shared" si="6"/>
        <v>4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-29990300</v>
      </c>
      <c r="BA9" s="34">
        <f t="shared" si="10"/>
        <v>-29990310</v>
      </c>
      <c r="BB9" s="34">
        <f>BA9+N25</f>
        <v>-29990307</v>
      </c>
    </row>
    <row r="10" spans="2:54" x14ac:dyDescent="0.25">
      <c r="B10" s="48">
        <v>3</v>
      </c>
      <c r="C10" s="49" t="str">
        <f t="shared" si="0"/>
        <v>USA</v>
      </c>
      <c r="D10" s="50">
        <f t="shared" si="0"/>
        <v>4</v>
      </c>
      <c r="E10" s="50">
        <f t="shared" si="0"/>
        <v>3</v>
      </c>
      <c r="F10" s="50">
        <f t="shared" si="0"/>
        <v>4</v>
      </c>
      <c r="G10" s="51">
        <f t="shared" si="0"/>
        <v>-1</v>
      </c>
      <c r="I10" s="18">
        <f>I8+16</f>
        <v>20</v>
      </c>
      <c r="J10" s="19">
        <v>44890</v>
      </c>
      <c r="K10" s="20" t="s">
        <v>30</v>
      </c>
      <c r="L10" s="21">
        <v>3</v>
      </c>
      <c r="M10" s="22">
        <v>1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2</v>
      </c>
      <c r="AO10" s="34" t="s">
        <v>33</v>
      </c>
      <c r="AP10" s="34">
        <f>SUMIF($K$7:$K$12,AO10,$AJ$7:$AJ$12) + SUMIF($N$7:$N$12,AO10,$AK$7:$AK$12)</f>
        <v>4</v>
      </c>
      <c r="AQ10" s="34">
        <f t="shared" si="11"/>
        <v>1</v>
      </c>
      <c r="AR10" s="34">
        <f>SUMIF($K$7:$K$12,AO10,$L$7:$L$12) + SUMIF($N$7:$N$12,AO10,$M$7:$M$12)</f>
        <v>3</v>
      </c>
      <c r="AS10" s="34">
        <f>SUMIF($K$7:$K$12,AO10,$M$7:$M$12) + SUMIF($N$7:$N$12,AO10,$L$7:$L$12)</f>
        <v>2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-40010300</v>
      </c>
      <c r="BA10" s="34">
        <f t="shared" si="10"/>
        <v>-40010310</v>
      </c>
      <c r="BB10" s="34">
        <f>BA10+N26</f>
        <v>-40010306</v>
      </c>
    </row>
    <row r="11" spans="2:54" ht="15.75" thickBot="1" x14ac:dyDescent="0.3">
      <c r="B11" s="52">
        <v>4</v>
      </c>
      <c r="C11" s="53" t="str">
        <f t="shared" si="0"/>
        <v>Iran</v>
      </c>
      <c r="D11" s="54">
        <f t="shared" si="0"/>
        <v>3</v>
      </c>
      <c r="E11" s="54">
        <f t="shared" si="0"/>
        <v>3</v>
      </c>
      <c r="F11" s="54">
        <f t="shared" si="0"/>
        <v>4</v>
      </c>
      <c r="G11" s="55">
        <f t="shared" si="0"/>
        <v>-1</v>
      </c>
      <c r="I11" s="23">
        <f>I9+16</f>
        <v>35</v>
      </c>
      <c r="J11" s="24">
        <v>44894</v>
      </c>
      <c r="K11" s="25" t="s">
        <v>33</v>
      </c>
      <c r="L11" s="21">
        <v>3</v>
      </c>
      <c r="M11" s="22">
        <v>1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3</v>
      </c>
      <c r="AK11" s="34">
        <f t="shared" si="3"/>
        <v>0</v>
      </c>
      <c r="AL11" s="34" t="str">
        <f t="shared" si="4"/>
        <v>Gales</v>
      </c>
    </row>
    <row r="12" spans="2:54" ht="15.75" thickBot="1" x14ac:dyDescent="0.3">
      <c r="I12" s="26">
        <f>I10+16</f>
        <v>36</v>
      </c>
      <c r="J12" s="27">
        <v>44894</v>
      </c>
      <c r="K12" s="28" t="s">
        <v>32</v>
      </c>
      <c r="L12" s="32">
        <v>1</v>
      </c>
      <c r="M12" s="33">
        <v>2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M13" sqref="M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34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0</v>
      </c>
      <c r="M7" s="31">
        <v>2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Polonia</v>
      </c>
      <c r="AN7" s="34">
        <f>_xlfn.RANK.EQ(BB7,BB$7:BB$11,1)</f>
        <v>2</v>
      </c>
      <c r="AO7" s="34" t="s">
        <v>35</v>
      </c>
      <c r="AP7" s="34">
        <f>SUMIF($K$7:$K$12,AO7,$AJ$7:$AJ$12) + SUMIF($N$7:$N$12,AO7,$AK$7:$AK$12)</f>
        <v>5</v>
      </c>
      <c r="AQ7" s="34">
        <f>AR7-AS7</f>
        <v>2</v>
      </c>
      <c r="AR7" s="34">
        <f>SUMIF($K$7:$K$12,AO7,$L$7:$L$12) + SUMIF($N$7:$N$12,AO7,$M$7:$M$12)</f>
        <v>6</v>
      </c>
      <c r="AS7" s="34">
        <f>SUMIF($K$7:$K$12,AO7,$M$7:$M$12) + SUMIF($N$7:$N$12,AO7,$L$7:$L$12)</f>
        <v>4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-50020600</v>
      </c>
      <c r="BA7" s="34">
        <f>AZ7-AY7*10</f>
        <v>-50020610</v>
      </c>
      <c r="BB7" s="34">
        <f>BA7+N23</f>
        <v>-50020609</v>
      </c>
    </row>
    <row r="8" spans="2:54" x14ac:dyDescent="0.25">
      <c r="B8" s="7">
        <v>1</v>
      </c>
      <c r="C8" s="8" t="str">
        <f t="shared" ref="C8:G11" si="0">IFERROR(VLOOKUP($B8,$AN$7:$AS$11,C$5,FALSE),"")</f>
        <v>Polonia</v>
      </c>
      <c r="D8" s="9">
        <f t="shared" si="0"/>
        <v>6</v>
      </c>
      <c r="E8" s="9">
        <f t="shared" si="0"/>
        <v>5</v>
      </c>
      <c r="F8" s="9">
        <f t="shared" si="0"/>
        <v>2</v>
      </c>
      <c r="G8" s="10">
        <f t="shared" si="0"/>
        <v>3</v>
      </c>
      <c r="I8" s="18">
        <v>6</v>
      </c>
      <c r="J8" s="19">
        <v>44887</v>
      </c>
      <c r="K8" s="20" t="s">
        <v>35</v>
      </c>
      <c r="L8" s="21">
        <v>2</v>
      </c>
      <c r="M8" s="22">
        <v>2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3</v>
      </c>
      <c r="AO8" s="34" t="s">
        <v>36</v>
      </c>
      <c r="AP8" s="34">
        <f>SUMIF($K$7:$K$12,AO8,$AJ$7:$AJ$12) + SUMIF($N$7:$N$12,AO8,$AK$7:$AK$12)</f>
        <v>4</v>
      </c>
      <c r="AQ8" s="34">
        <f>AR8-AS8</f>
        <v>2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-40020700</v>
      </c>
      <c r="BA8" s="34">
        <f t="shared" ref="BA8:BA10" si="10">AZ8-AY8*10</f>
        <v>-40020710</v>
      </c>
      <c r="BB8" s="34">
        <f>BA8+N24</f>
        <v>-40020708</v>
      </c>
    </row>
    <row r="9" spans="2:54" x14ac:dyDescent="0.25">
      <c r="B9" s="11">
        <v>2</v>
      </c>
      <c r="C9" s="12" t="str">
        <f t="shared" si="0"/>
        <v>Argentina</v>
      </c>
      <c r="D9" s="13">
        <f t="shared" si="0"/>
        <v>5</v>
      </c>
      <c r="E9" s="13">
        <f t="shared" si="0"/>
        <v>6</v>
      </c>
      <c r="F9" s="13">
        <f t="shared" si="0"/>
        <v>4</v>
      </c>
      <c r="G9" s="14">
        <f t="shared" si="0"/>
        <v>2</v>
      </c>
      <c r="I9" s="23">
        <f>I7+16</f>
        <v>21</v>
      </c>
      <c r="J9" s="24">
        <v>44891</v>
      </c>
      <c r="K9" s="25" t="s">
        <v>37</v>
      </c>
      <c r="L9" s="21">
        <v>3</v>
      </c>
      <c r="M9" s="22">
        <v>0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1</v>
      </c>
      <c r="AO9" s="34" t="s">
        <v>37</v>
      </c>
      <c r="AP9" s="34">
        <f>SUMIF($K$7:$K$12,AO9,$AJ$7:$AJ$12) + SUMIF($N$7:$N$12,AO9,$AK$7:$AK$12)</f>
        <v>6</v>
      </c>
      <c r="AQ9" s="34">
        <f t="shared" ref="AQ9:AQ10" si="11">AR9-AS9</f>
        <v>3</v>
      </c>
      <c r="AR9" s="34">
        <f t="shared" si="5"/>
        <v>5</v>
      </c>
      <c r="AS9" s="34">
        <f t="shared" si="6"/>
        <v>2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-60030500</v>
      </c>
      <c r="BA9" s="34">
        <f t="shared" si="10"/>
        <v>-60030510</v>
      </c>
      <c r="BB9" s="34">
        <f>BA9+N25</f>
        <v>-60030507</v>
      </c>
    </row>
    <row r="10" spans="2:54" x14ac:dyDescent="0.25">
      <c r="B10" s="48">
        <v>3</v>
      </c>
      <c r="C10" s="49" t="str">
        <f t="shared" si="0"/>
        <v>Mexico</v>
      </c>
      <c r="D10" s="50">
        <f t="shared" si="0"/>
        <v>4</v>
      </c>
      <c r="E10" s="50">
        <f t="shared" si="0"/>
        <v>7</v>
      </c>
      <c r="F10" s="50">
        <f t="shared" si="0"/>
        <v>5</v>
      </c>
      <c r="G10" s="51">
        <f t="shared" si="0"/>
        <v>2</v>
      </c>
      <c r="I10" s="18">
        <f>I8+16</f>
        <v>22</v>
      </c>
      <c r="J10" s="19">
        <v>44891</v>
      </c>
      <c r="K10" s="20" t="s">
        <v>35</v>
      </c>
      <c r="L10" s="21">
        <v>2</v>
      </c>
      <c r="M10" s="22">
        <v>2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1</v>
      </c>
      <c r="AQ10" s="34">
        <f t="shared" si="11"/>
        <v>-7</v>
      </c>
      <c r="AR10" s="34">
        <f>SUMIF($K$7:$K$12,AO10,$L$7:$L$12) + SUMIF($N$7:$N$12,AO10,$M$7:$M$12)</f>
        <v>3</v>
      </c>
      <c r="AS10" s="34">
        <f>SUMIF($K$7:$K$12,AO10,$M$7:$M$12) + SUMIF($N$7:$N$12,AO10,$L$7:$L$12)</f>
        <v>10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-9930300</v>
      </c>
      <c r="BA10" s="34">
        <f t="shared" si="10"/>
        <v>-9930310</v>
      </c>
      <c r="BB10" s="34">
        <f>BA10+N26</f>
        <v>-9930306</v>
      </c>
    </row>
    <row r="11" spans="2:54" ht="15.75" thickBot="1" x14ac:dyDescent="0.3">
      <c r="B11" s="52">
        <v>4</v>
      </c>
      <c r="C11" s="53" t="str">
        <f t="shared" si="0"/>
        <v>Arabia Saudita</v>
      </c>
      <c r="D11" s="54">
        <f t="shared" si="0"/>
        <v>1</v>
      </c>
      <c r="E11" s="54">
        <f t="shared" si="0"/>
        <v>3</v>
      </c>
      <c r="F11" s="54">
        <f t="shared" si="0"/>
        <v>10</v>
      </c>
      <c r="G11" s="55">
        <f t="shared" si="0"/>
        <v>-7</v>
      </c>
      <c r="I11" s="23">
        <f>I9+16</f>
        <v>37</v>
      </c>
      <c r="J11" s="24">
        <v>44895</v>
      </c>
      <c r="K11" s="25" t="s">
        <v>37</v>
      </c>
      <c r="L11" s="21">
        <v>0</v>
      </c>
      <c r="M11" s="22">
        <v>2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.75" thickBot="1" x14ac:dyDescent="0.3">
      <c r="I12" s="26">
        <f>I10+16</f>
        <v>38</v>
      </c>
      <c r="J12" s="27">
        <v>44895</v>
      </c>
      <c r="K12" s="28" t="s">
        <v>38</v>
      </c>
      <c r="L12" s="32">
        <v>1</v>
      </c>
      <c r="M12" s="33">
        <v>5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L13" sqref="L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4</v>
      </c>
      <c r="M7" s="31">
        <v>1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9</v>
      </c>
      <c r="AQ7" s="34">
        <f>AR7-AS7</f>
        <v>7</v>
      </c>
      <c r="AR7" s="34">
        <f>SUMIF($K$7:$K$12,AO7,$L$7:$L$12) + SUMIF($N$7:$N$12,AO7,$M$7:$M$12)</f>
        <v>10</v>
      </c>
      <c r="AS7" s="34">
        <f>SUMIF($K$7:$K$12,AO7,$M$7:$M$12) + SUMIF($N$7:$N$12,AO7,$L$7:$L$12)</f>
        <v>3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-90071000</v>
      </c>
      <c r="BA7" s="34">
        <f>AZ7-AY7*10</f>
        <v>-90071010</v>
      </c>
      <c r="BB7" s="34">
        <f>BA7+N23</f>
        <v>-90071009</v>
      </c>
    </row>
    <row r="8" spans="2:54" x14ac:dyDescent="0.25">
      <c r="B8" s="7">
        <v>1</v>
      </c>
      <c r="C8" s="8" t="str">
        <f t="shared" ref="C8:G11" si="0">IFERROR(VLOOKUP($B8,$AN$7:$AS$11,C$5,FALSE),"")</f>
        <v>Francia</v>
      </c>
      <c r="D8" s="9">
        <f t="shared" si="0"/>
        <v>9</v>
      </c>
      <c r="E8" s="9">
        <f t="shared" si="0"/>
        <v>10</v>
      </c>
      <c r="F8" s="9">
        <f t="shared" si="0"/>
        <v>3</v>
      </c>
      <c r="G8" s="10">
        <f t="shared" si="0"/>
        <v>7</v>
      </c>
      <c r="I8" s="18">
        <v>8</v>
      </c>
      <c r="J8" s="19">
        <v>44887</v>
      </c>
      <c r="K8" s="20" t="s">
        <v>40</v>
      </c>
      <c r="L8" s="21">
        <v>3</v>
      </c>
      <c r="M8" s="22">
        <v>0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2</v>
      </c>
      <c r="AO8" s="34" t="s">
        <v>41</v>
      </c>
      <c r="AP8" s="34">
        <f>SUMIF($K$7:$K$12,AO8,$AJ$7:$AJ$12) + SUMIF($N$7:$N$12,AO8,$AK$7:$AK$12)</f>
        <v>6</v>
      </c>
      <c r="AQ8" s="34">
        <f>AR8-AS8</f>
        <v>2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-60020700</v>
      </c>
      <c r="BA8" s="34">
        <f t="shared" ref="BA8:BA10" si="10">AZ8-AY8*10</f>
        <v>-60020710</v>
      </c>
      <c r="BB8" s="34">
        <f>BA8+N24</f>
        <v>-60020708</v>
      </c>
    </row>
    <row r="9" spans="2:54" x14ac:dyDescent="0.25">
      <c r="B9" s="11">
        <v>2</v>
      </c>
      <c r="C9" s="12" t="str">
        <f t="shared" si="0"/>
        <v>Dinamarca</v>
      </c>
      <c r="D9" s="13">
        <f t="shared" si="0"/>
        <v>6</v>
      </c>
      <c r="E9" s="13">
        <f t="shared" si="0"/>
        <v>7</v>
      </c>
      <c r="F9" s="13">
        <f t="shared" si="0"/>
        <v>5</v>
      </c>
      <c r="G9" s="14">
        <f t="shared" si="0"/>
        <v>2</v>
      </c>
      <c r="I9" s="23">
        <f>I7+16</f>
        <v>23</v>
      </c>
      <c r="J9" s="24">
        <v>44891</v>
      </c>
      <c r="K9" s="25" t="s">
        <v>42</v>
      </c>
      <c r="L9" s="21">
        <v>1</v>
      </c>
      <c r="M9" s="22">
        <v>1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42</v>
      </c>
      <c r="AP9" s="34">
        <f>SUMIF($K$7:$K$12,AO9,$AJ$7:$AJ$12) + SUMIF($N$7:$N$12,AO9,$AK$7:$AK$12)</f>
        <v>1</v>
      </c>
      <c r="AQ9" s="34">
        <f t="shared" ref="AQ9:AQ10" si="11">AR9-AS9</f>
        <v>-4</v>
      </c>
      <c r="AR9" s="34">
        <f t="shared" si="5"/>
        <v>4</v>
      </c>
      <c r="AS9" s="34">
        <f t="shared" si="6"/>
        <v>8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-9960400</v>
      </c>
      <c r="BA9" s="34">
        <f t="shared" si="10"/>
        <v>-9960410</v>
      </c>
      <c r="BB9" s="34">
        <f>BA9+N25</f>
        <v>-9960407</v>
      </c>
    </row>
    <row r="10" spans="2:54" x14ac:dyDescent="0.25">
      <c r="B10" s="48">
        <v>3</v>
      </c>
      <c r="C10" s="49" t="str">
        <f t="shared" si="0"/>
        <v>Tunez</v>
      </c>
      <c r="D10" s="50">
        <f t="shared" si="0"/>
        <v>1</v>
      </c>
      <c r="E10" s="50">
        <f t="shared" si="0"/>
        <v>4</v>
      </c>
      <c r="F10" s="50">
        <f t="shared" si="0"/>
        <v>8</v>
      </c>
      <c r="G10" s="51">
        <f t="shared" si="0"/>
        <v>-4</v>
      </c>
      <c r="I10" s="18">
        <f>I8+16</f>
        <v>24</v>
      </c>
      <c r="J10" s="19">
        <v>44891</v>
      </c>
      <c r="K10" s="20" t="s">
        <v>40</v>
      </c>
      <c r="L10" s="21">
        <v>4</v>
      </c>
      <c r="M10" s="22">
        <v>1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4</v>
      </c>
      <c r="AO10" s="34" t="s">
        <v>43</v>
      </c>
      <c r="AP10" s="34">
        <f>SUMIF($K$7:$K$12,AO10,$AJ$7:$AJ$12) + SUMIF($N$7:$N$12,AO10,$AK$7:$AK$12)</f>
        <v>1</v>
      </c>
      <c r="AQ10" s="34">
        <f t="shared" si="11"/>
        <v>-5</v>
      </c>
      <c r="AR10" s="34">
        <f>SUMIF($K$7:$K$12,AO10,$L$7:$L$12) + SUMIF($N$7:$N$12,AO10,$M$7:$M$12)</f>
        <v>1</v>
      </c>
      <c r="AS10" s="34">
        <f>SUMIF($K$7:$K$12,AO10,$M$7:$M$12) + SUMIF($N$7:$N$12,AO10,$L$7:$L$12)</f>
        <v>6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-9950100</v>
      </c>
      <c r="BA10" s="34">
        <f t="shared" si="10"/>
        <v>-9950110</v>
      </c>
      <c r="BB10" s="34">
        <f>BA10+N26</f>
        <v>-9950106</v>
      </c>
    </row>
    <row r="11" spans="2:54" ht="15.75" thickBot="1" x14ac:dyDescent="0.3">
      <c r="B11" s="52">
        <v>4</v>
      </c>
      <c r="C11" s="53" t="str">
        <f t="shared" si="0"/>
        <v>Australia</v>
      </c>
      <c r="D11" s="54">
        <f t="shared" si="0"/>
        <v>1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39</v>
      </c>
      <c r="J11" s="24">
        <v>44895</v>
      </c>
      <c r="K11" s="25" t="s">
        <v>42</v>
      </c>
      <c r="L11" s="21">
        <v>2</v>
      </c>
      <c r="M11" s="22">
        <v>3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.75" thickBot="1" x14ac:dyDescent="0.3">
      <c r="I12" s="26">
        <f>I10+16</f>
        <v>40</v>
      </c>
      <c r="J12" s="27">
        <v>44895</v>
      </c>
      <c r="K12" s="28" t="s">
        <v>43</v>
      </c>
      <c r="L12" s="32">
        <v>0</v>
      </c>
      <c r="M12" s="33">
        <v>2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M14" sqref="M14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2</v>
      </c>
      <c r="M7" s="31">
        <v>1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3</v>
      </c>
      <c r="AO7" s="34" t="s">
        <v>44</v>
      </c>
      <c r="AP7" s="34">
        <f>SUMIF($K$7:$K$12,AO7,$AJ$7:$AJ$12) + SUMIF($N$7:$N$12,AO7,$AK$7:$AK$12)</f>
        <v>2</v>
      </c>
      <c r="AQ7" s="34">
        <f>AR7-AS7</f>
        <v>-2</v>
      </c>
      <c r="AR7" s="34">
        <f>SUMIF($K$7:$K$12,AO7,$L$7:$L$12) + SUMIF($N$7:$N$12,AO7,$M$7:$M$12)</f>
        <v>2</v>
      </c>
      <c r="AS7" s="34">
        <f>SUMIF($K$7:$K$12,AO7,$M$7:$M$12) + SUMIF($N$7:$N$12,AO7,$L$7:$L$12)</f>
        <v>4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-19980200</v>
      </c>
      <c r="BA7" s="34">
        <f>AZ7-AY7*10</f>
        <v>-19980210</v>
      </c>
      <c r="BB7" s="34">
        <f>BA7+N23</f>
        <v>-19980209</v>
      </c>
    </row>
    <row r="8" spans="2:54" x14ac:dyDescent="0.25">
      <c r="B8" s="7">
        <v>1</v>
      </c>
      <c r="C8" s="8" t="str">
        <f t="shared" ref="C8:G11" si="0">IFERROR(VLOOKUP($B8,$AN$7:$AS$11,C$5,FALSE),"")</f>
        <v>Alemania</v>
      </c>
      <c r="D8" s="9">
        <f t="shared" si="0"/>
        <v>7</v>
      </c>
      <c r="E8" s="9">
        <f t="shared" si="0"/>
        <v>8</v>
      </c>
      <c r="F8" s="9">
        <f t="shared" si="0"/>
        <v>5</v>
      </c>
      <c r="G8" s="10">
        <f t="shared" si="0"/>
        <v>3</v>
      </c>
      <c r="I8" s="18">
        <v>10</v>
      </c>
      <c r="J8" s="19">
        <v>44888</v>
      </c>
      <c r="K8" s="20" t="s">
        <v>44</v>
      </c>
      <c r="L8" s="21">
        <v>0</v>
      </c>
      <c r="M8" s="22">
        <v>0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1</v>
      </c>
      <c r="AK8" s="34">
        <f t="shared" ref="AK8:AK12" si="3">IF(AJ8=3,0,IF(AJ8=1,1,3))</f>
        <v>1</v>
      </c>
      <c r="AL8" s="34" t="str">
        <f t="shared" ref="AL8:AL12" si="4">IF(AJ8&gt;AK8,K8,IF(AK8&gt;AJ8,N8,"SIN GANADOR"))</f>
        <v>SIN GANADOR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7</v>
      </c>
      <c r="AQ8" s="34">
        <f>AR8-AS8</f>
        <v>3</v>
      </c>
      <c r="AR8" s="34">
        <f t="shared" ref="AR8:AR9" si="5">SUMIF($K$7:$K$12,AO8,$L$7:$L$12) + SUMIF($N$7:$N$12,AO8,$M$7:$M$12)</f>
        <v>8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-70030800</v>
      </c>
      <c r="BA8" s="34">
        <f t="shared" ref="BA8:BA10" si="10">AZ8-AY8*10</f>
        <v>-70030810</v>
      </c>
      <c r="BB8" s="34">
        <f>BA8+N24</f>
        <v>-70030808</v>
      </c>
    </row>
    <row r="9" spans="2:54" x14ac:dyDescent="0.25">
      <c r="B9" s="11">
        <v>2</v>
      </c>
      <c r="C9" s="12" t="str">
        <f t="shared" si="0"/>
        <v>Costa Rica</v>
      </c>
      <c r="D9" s="13">
        <f t="shared" si="0"/>
        <v>5</v>
      </c>
      <c r="E9" s="13">
        <f t="shared" si="0"/>
        <v>5</v>
      </c>
      <c r="F9" s="13">
        <f t="shared" si="0"/>
        <v>4</v>
      </c>
      <c r="G9" s="14">
        <f t="shared" si="0"/>
        <v>1</v>
      </c>
      <c r="I9" s="23">
        <f>I7+16</f>
        <v>25</v>
      </c>
      <c r="J9" s="24">
        <v>44892</v>
      </c>
      <c r="K9" s="25" t="s">
        <v>46</v>
      </c>
      <c r="L9" s="21">
        <v>1</v>
      </c>
      <c r="M9" s="22">
        <v>2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0</v>
      </c>
      <c r="AK9" s="34">
        <f t="shared" si="3"/>
        <v>3</v>
      </c>
      <c r="AL9" s="34" t="str">
        <f t="shared" si="4"/>
        <v>Costa Rica</v>
      </c>
      <c r="AN9" s="34">
        <f>_xlfn.RANK.EQ(BB9,BB$7:BB$11,1)</f>
        <v>4</v>
      </c>
      <c r="AO9" s="34" t="s">
        <v>46</v>
      </c>
      <c r="AP9" s="34">
        <f>SUMIF($K$7:$K$12,AO9,$AJ$7:$AJ$12) + SUMIF($N$7:$N$12,AO9,$AK$7:$AK$12)</f>
        <v>1</v>
      </c>
      <c r="AQ9" s="34">
        <f t="shared" ref="AQ9:AQ10" si="11">AR9-AS9</f>
        <v>-2</v>
      </c>
      <c r="AR9" s="34">
        <f t="shared" si="5"/>
        <v>3</v>
      </c>
      <c r="AS9" s="34">
        <f t="shared" si="6"/>
        <v>5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-9980300</v>
      </c>
      <c r="BA9" s="34">
        <f t="shared" si="10"/>
        <v>-9980310</v>
      </c>
      <c r="BB9" s="34">
        <f>BA9+N25</f>
        <v>-9980307</v>
      </c>
    </row>
    <row r="10" spans="2:54" x14ac:dyDescent="0.25">
      <c r="B10" s="48">
        <v>3</v>
      </c>
      <c r="C10" s="49" t="str">
        <f t="shared" si="0"/>
        <v>España</v>
      </c>
      <c r="D10" s="50">
        <f t="shared" si="0"/>
        <v>2</v>
      </c>
      <c r="E10" s="50">
        <f t="shared" si="0"/>
        <v>2</v>
      </c>
      <c r="F10" s="50">
        <f t="shared" si="0"/>
        <v>4</v>
      </c>
      <c r="G10" s="51">
        <f t="shared" si="0"/>
        <v>-2</v>
      </c>
      <c r="I10" s="18">
        <f>I8+16</f>
        <v>26</v>
      </c>
      <c r="J10" s="19">
        <v>44892</v>
      </c>
      <c r="K10" s="20" t="s">
        <v>44</v>
      </c>
      <c r="L10" s="21">
        <v>1</v>
      </c>
      <c r="M10" s="22">
        <v>3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0</v>
      </c>
      <c r="AK10" s="34">
        <f t="shared" si="3"/>
        <v>3</v>
      </c>
      <c r="AL10" s="34" t="str">
        <f t="shared" si="4"/>
        <v>Alemania</v>
      </c>
      <c r="AN10" s="34">
        <f>_xlfn.RANK.EQ(BB10,BB$7:BB$11,1)</f>
        <v>2</v>
      </c>
      <c r="AO10" s="34" t="s">
        <v>47</v>
      </c>
      <c r="AP10" s="34">
        <f>SUMIF($K$7:$K$12,AO10,$AJ$7:$AJ$12) + SUMIF($N$7:$N$12,AO10,$AK$7:$AK$12)</f>
        <v>5</v>
      </c>
      <c r="AQ10" s="34">
        <f t="shared" si="11"/>
        <v>1</v>
      </c>
      <c r="AR10" s="34">
        <f>SUMIF($K$7:$K$12,AO10,$L$7:$L$12) + SUMIF($N$7:$N$12,AO10,$M$7:$M$12)</f>
        <v>5</v>
      </c>
      <c r="AS10" s="34">
        <f>SUMIF($K$7:$K$12,AO10,$M$7:$M$12) + SUMIF($N$7:$N$12,AO10,$L$7:$L$12)</f>
        <v>4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-50010500</v>
      </c>
      <c r="BA10" s="34">
        <f t="shared" si="10"/>
        <v>-50010510</v>
      </c>
      <c r="BB10" s="34">
        <f>BA10+N26</f>
        <v>-50010506</v>
      </c>
    </row>
    <row r="11" spans="2:54" ht="15.75" thickBot="1" x14ac:dyDescent="0.3">
      <c r="B11" s="52">
        <v>4</v>
      </c>
      <c r="C11" s="53" t="str">
        <f t="shared" si="0"/>
        <v>Japon</v>
      </c>
      <c r="D11" s="54">
        <f t="shared" si="0"/>
        <v>1</v>
      </c>
      <c r="E11" s="54">
        <f t="shared" si="0"/>
        <v>3</v>
      </c>
      <c r="F11" s="54">
        <f t="shared" si="0"/>
        <v>5</v>
      </c>
      <c r="G11" s="55">
        <f t="shared" si="0"/>
        <v>-2</v>
      </c>
      <c r="I11" s="23">
        <f>I9+16</f>
        <v>41</v>
      </c>
      <c r="J11" s="24">
        <v>44896</v>
      </c>
      <c r="K11" s="25" t="s">
        <v>46</v>
      </c>
      <c r="L11" s="21">
        <v>1</v>
      </c>
      <c r="M11" s="22">
        <v>1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42</v>
      </c>
      <c r="J12" s="27">
        <v>44896</v>
      </c>
      <c r="K12" s="28" t="s">
        <v>47</v>
      </c>
      <c r="L12" s="32">
        <v>3</v>
      </c>
      <c r="M12" s="33">
        <v>3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1</v>
      </c>
      <c r="AK12" s="34">
        <f t="shared" si="3"/>
        <v>1</v>
      </c>
      <c r="AL12" s="34" t="str">
        <f t="shared" si="4"/>
        <v>SIN GANADOR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M14" sqref="M14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71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1</v>
      </c>
      <c r="M7" s="31">
        <v>0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Marruecos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7</v>
      </c>
      <c r="AQ7" s="34">
        <f>AR7-AS7</f>
        <v>3</v>
      </c>
      <c r="AR7" s="34">
        <f>SUMIF($K$7:$K$12,AO7,$L$7:$L$12) + SUMIF($N$7:$N$12,AO7,$M$7:$M$12)</f>
        <v>6</v>
      </c>
      <c r="AS7" s="34">
        <f>SUMIF($K$7:$K$12,AO7,$M$7:$M$12) + SUMIF($N$7:$N$12,AO7,$L$7:$L$12)</f>
        <v>3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-70030600</v>
      </c>
      <c r="BA7" s="34">
        <f>AZ7-AY7*10</f>
        <v>-70030610</v>
      </c>
      <c r="BB7" s="34">
        <f>BA7+N23</f>
        <v>-70030609</v>
      </c>
    </row>
    <row r="8" spans="2:54" x14ac:dyDescent="0.25">
      <c r="B8" s="7">
        <v>1</v>
      </c>
      <c r="C8" s="8" t="str">
        <f t="shared" ref="C8:G11" si="0">IFERROR(VLOOKUP($B8,$AN$7:$AS$11,C$5,FALSE),"")</f>
        <v>Belgica</v>
      </c>
      <c r="D8" s="9">
        <f t="shared" si="0"/>
        <v>7</v>
      </c>
      <c r="E8" s="9">
        <f t="shared" si="0"/>
        <v>6</v>
      </c>
      <c r="F8" s="9">
        <f t="shared" si="0"/>
        <v>3</v>
      </c>
      <c r="G8" s="10">
        <f t="shared" si="0"/>
        <v>3</v>
      </c>
      <c r="I8" s="18">
        <v>12</v>
      </c>
      <c r="J8" s="19">
        <v>44888</v>
      </c>
      <c r="K8" s="20" t="s">
        <v>48</v>
      </c>
      <c r="L8" s="21">
        <v>3</v>
      </c>
      <c r="M8" s="22">
        <v>1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3</v>
      </c>
      <c r="AO8" s="34" t="s">
        <v>49</v>
      </c>
      <c r="AP8" s="34">
        <f>SUMIF($K$7:$K$12,AO8,$AJ$7:$AJ$12) + SUMIF($N$7:$N$12,AO8,$AK$7:$AK$12)</f>
        <v>4</v>
      </c>
      <c r="AQ8" s="34">
        <f>AR8-AS8</f>
        <v>0</v>
      </c>
      <c r="AR8" s="34">
        <f t="shared" ref="AR8:AR9" si="5">SUMIF($K$7:$K$12,AO8,$L$7:$L$12) + SUMIF($N$7:$N$12,AO8,$M$7:$M$12)</f>
        <v>2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-40000200</v>
      </c>
      <c r="BA8" s="34">
        <f t="shared" ref="BA8:BA10" si="10">AZ8-AY8*10</f>
        <v>-40000210</v>
      </c>
      <c r="BB8" s="34">
        <f>BA8+N24</f>
        <v>-40000208</v>
      </c>
    </row>
    <row r="9" spans="2:54" x14ac:dyDescent="0.25">
      <c r="B9" s="11">
        <v>2</v>
      </c>
      <c r="C9" s="12" t="str">
        <f t="shared" si="0"/>
        <v>Marruecos</v>
      </c>
      <c r="D9" s="13">
        <f t="shared" si="0"/>
        <v>6</v>
      </c>
      <c r="E9" s="13">
        <f t="shared" si="0"/>
        <v>4</v>
      </c>
      <c r="F9" s="13">
        <f t="shared" si="0"/>
        <v>2</v>
      </c>
      <c r="G9" s="14">
        <f t="shared" si="0"/>
        <v>2</v>
      </c>
      <c r="I9" s="23">
        <f>I7+16</f>
        <v>27</v>
      </c>
      <c r="J9" s="24">
        <v>44892</v>
      </c>
      <c r="K9" s="25" t="s">
        <v>48</v>
      </c>
      <c r="L9" s="21">
        <v>2</v>
      </c>
      <c r="M9" s="22">
        <v>1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2</v>
      </c>
      <c r="AO9" s="34" t="s">
        <v>50</v>
      </c>
      <c r="AP9" s="34">
        <f>SUMIF($K$7:$K$12,AO9,$AJ$7:$AJ$12) + SUMIF($N$7:$N$12,AO9,$AK$7:$AK$12)</f>
        <v>6</v>
      </c>
      <c r="AQ9" s="34">
        <f t="shared" ref="AQ9:AQ10" si="11">AR9-AS9</f>
        <v>2</v>
      </c>
      <c r="AR9" s="34">
        <f t="shared" si="5"/>
        <v>4</v>
      </c>
      <c r="AS9" s="34">
        <f t="shared" si="6"/>
        <v>2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-60020400</v>
      </c>
      <c r="BA9" s="34">
        <f t="shared" si="10"/>
        <v>-60020410</v>
      </c>
      <c r="BB9" s="34">
        <f>BA9+N25</f>
        <v>-60020407</v>
      </c>
    </row>
    <row r="10" spans="2:54" x14ac:dyDescent="0.25">
      <c r="B10" s="48">
        <v>3</v>
      </c>
      <c r="C10" s="49" t="str">
        <f t="shared" si="0"/>
        <v>Croacia</v>
      </c>
      <c r="D10" s="50">
        <f t="shared" si="0"/>
        <v>4</v>
      </c>
      <c r="E10" s="50">
        <f t="shared" si="0"/>
        <v>2</v>
      </c>
      <c r="F10" s="50">
        <f t="shared" si="0"/>
        <v>2</v>
      </c>
      <c r="G10" s="51">
        <f t="shared" si="0"/>
        <v>0</v>
      </c>
      <c r="I10" s="18">
        <f>I8+16</f>
        <v>28</v>
      </c>
      <c r="J10" s="19">
        <v>44892</v>
      </c>
      <c r="K10" s="20" t="s">
        <v>49</v>
      </c>
      <c r="L10" s="21">
        <v>1</v>
      </c>
      <c r="M10" s="22">
        <v>0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4</v>
      </c>
      <c r="AO10" s="34" t="s">
        <v>51</v>
      </c>
      <c r="AP10" s="34">
        <f>SUMIF($K$7:$K$12,AO10,$AJ$7:$AJ$12) + SUMIF($N$7:$N$12,AO10,$AK$7:$AK$12)</f>
        <v>0</v>
      </c>
      <c r="AQ10" s="34">
        <f t="shared" si="11"/>
        <v>-5</v>
      </c>
      <c r="AR10" s="34">
        <f>SUMIF($K$7:$K$12,AO10,$L$7:$L$12) + SUMIF($N$7:$N$12,AO10,$M$7:$M$12)</f>
        <v>1</v>
      </c>
      <c r="AS10" s="34">
        <f>SUMIF($K$7:$K$12,AO10,$M$7:$M$12) + SUMIF($N$7:$N$12,AO10,$L$7:$L$12)</f>
        <v>6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49900</v>
      </c>
      <c r="BA10" s="34">
        <f t="shared" si="10"/>
        <v>49890</v>
      </c>
      <c r="BB10" s="34">
        <f>BA10+N26</f>
        <v>49894</v>
      </c>
    </row>
    <row r="11" spans="2:54" ht="15.75" thickBot="1" x14ac:dyDescent="0.3">
      <c r="B11" s="52">
        <v>4</v>
      </c>
      <c r="C11" s="53" t="str">
        <f t="shared" si="0"/>
        <v>Canada</v>
      </c>
      <c r="D11" s="54">
        <f t="shared" si="0"/>
        <v>0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43</v>
      </c>
      <c r="J11" s="24">
        <v>44896</v>
      </c>
      <c r="K11" s="25" t="s">
        <v>49</v>
      </c>
      <c r="L11" s="21">
        <v>1</v>
      </c>
      <c r="M11" s="22">
        <v>1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44</v>
      </c>
      <c r="J12" s="27">
        <v>44896</v>
      </c>
      <c r="K12" s="28" t="s">
        <v>51</v>
      </c>
      <c r="L12" s="32">
        <v>0</v>
      </c>
      <c r="M12" s="33">
        <v>2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0</v>
      </c>
      <c r="AK12" s="34">
        <f t="shared" si="3"/>
        <v>3</v>
      </c>
      <c r="AL12" s="34" t="str">
        <f t="shared" si="4"/>
        <v>Marruecos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M13" sqref="M13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72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2</v>
      </c>
      <c r="M7" s="31">
        <v>0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Suiza</v>
      </c>
      <c r="AN7" s="34">
        <f>_xlfn.RANK.EQ(BB7,BB$7:BB$11,1)</f>
        <v>2</v>
      </c>
      <c r="AO7" s="34" t="s">
        <v>10</v>
      </c>
      <c r="AP7" s="34">
        <f>SUMIF($K$7:$K$12,AO7,$AJ$7:$AJ$12) + SUMIF($N$7:$N$12,AO7,$AK$7:$AK$12)</f>
        <v>6</v>
      </c>
      <c r="AQ7" s="34">
        <f>AR7-AS7</f>
        <v>0</v>
      </c>
      <c r="AR7" s="34">
        <f>SUMIF($K$7:$K$12,AO7,$L$7:$L$12) + SUMIF($N$7:$N$12,AO7,$M$7:$M$12)</f>
        <v>3</v>
      </c>
      <c r="AS7" s="34">
        <f>SUMIF($K$7:$K$12,AO7,$M$7:$M$12) + SUMIF($N$7:$N$12,AO7,$L$7:$L$12)</f>
        <v>3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-60000300</v>
      </c>
      <c r="BA7" s="34">
        <f>AZ7-AY7*10</f>
        <v>-60000310</v>
      </c>
      <c r="BB7" s="34">
        <f>BA7+N23</f>
        <v>-60000309</v>
      </c>
    </row>
    <row r="8" spans="2:54" x14ac:dyDescent="0.25">
      <c r="B8" s="7">
        <v>1</v>
      </c>
      <c r="C8" s="8" t="str">
        <f t="shared" ref="C8:G11" si="0">IFERROR(VLOOKUP($B8,$AN$7:$AS$11,C$5,FALSE),"")</f>
        <v>Suiza</v>
      </c>
      <c r="D8" s="9">
        <f t="shared" si="0"/>
        <v>6</v>
      </c>
      <c r="E8" s="9">
        <f t="shared" si="0"/>
        <v>5</v>
      </c>
      <c r="F8" s="9">
        <f t="shared" si="0"/>
        <v>2</v>
      </c>
      <c r="G8" s="10">
        <f t="shared" si="0"/>
        <v>3</v>
      </c>
      <c r="I8" s="18">
        <v>14</v>
      </c>
      <c r="J8" s="19">
        <v>44889</v>
      </c>
      <c r="K8" s="20" t="s">
        <v>10</v>
      </c>
      <c r="L8" s="21">
        <v>1</v>
      </c>
      <c r="M8" s="22">
        <v>0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1</v>
      </c>
      <c r="AO8" s="34" t="s">
        <v>52</v>
      </c>
      <c r="AP8" s="34">
        <f>SUMIF($K$7:$K$12,AO8,$AJ$7:$AJ$12) + SUMIF($N$7:$N$12,AO8,$AK$7:$AK$12)</f>
        <v>6</v>
      </c>
      <c r="AQ8" s="34">
        <f>AR8-AS8</f>
        <v>3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-60030500</v>
      </c>
      <c r="BA8" s="34">
        <f t="shared" ref="BA8:BA10" si="10">AZ8-AY8*10</f>
        <v>-60030510</v>
      </c>
      <c r="BB8" s="34">
        <f>BA8+N24</f>
        <v>-60030508</v>
      </c>
    </row>
    <row r="9" spans="2:54" x14ac:dyDescent="0.25">
      <c r="B9" s="11">
        <v>2</v>
      </c>
      <c r="C9" s="12" t="str">
        <f t="shared" si="0"/>
        <v>Brasil</v>
      </c>
      <c r="D9" s="13">
        <f t="shared" si="0"/>
        <v>6</v>
      </c>
      <c r="E9" s="13">
        <f t="shared" si="0"/>
        <v>3</v>
      </c>
      <c r="F9" s="13">
        <f t="shared" si="0"/>
        <v>3</v>
      </c>
      <c r="G9" s="14">
        <f t="shared" si="0"/>
        <v>0</v>
      </c>
      <c r="I9" s="23">
        <f>I7+16</f>
        <v>29</v>
      </c>
      <c r="J9" s="24">
        <v>44893</v>
      </c>
      <c r="K9" s="25" t="s">
        <v>54</v>
      </c>
      <c r="L9" s="21">
        <v>0</v>
      </c>
      <c r="M9" s="22">
        <v>1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0</v>
      </c>
      <c r="AK9" s="34">
        <f t="shared" si="3"/>
        <v>3</v>
      </c>
      <c r="AL9" s="34" t="str">
        <f t="shared" si="4"/>
        <v>Serbia</v>
      </c>
      <c r="AN9" s="34">
        <f>_xlfn.RANK.EQ(BB9,BB$7:BB$11,1)</f>
        <v>4</v>
      </c>
      <c r="AO9" s="34" t="s">
        <v>53</v>
      </c>
      <c r="AP9" s="34">
        <f>SUMIF($K$7:$K$12,AO9,$AJ$7:$AJ$12) + SUMIF($N$7:$N$12,AO9,$AK$7:$AK$12)</f>
        <v>3</v>
      </c>
      <c r="AQ9" s="34">
        <f t="shared" ref="AQ9:AQ10" si="11">AR9-AS9</f>
        <v>-2</v>
      </c>
      <c r="AR9" s="34">
        <f t="shared" si="5"/>
        <v>1</v>
      </c>
      <c r="AS9" s="34">
        <f t="shared" si="6"/>
        <v>3</v>
      </c>
      <c r="AV9" s="34" t="str">
        <f t="shared" si="7"/>
        <v>Serbia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-29980100</v>
      </c>
      <c r="BA9" s="34">
        <f t="shared" si="10"/>
        <v>-29980110</v>
      </c>
      <c r="BB9" s="34">
        <f>BA9+N25</f>
        <v>-29980107</v>
      </c>
    </row>
    <row r="10" spans="2:54" x14ac:dyDescent="0.25">
      <c r="B10" s="48">
        <v>3</v>
      </c>
      <c r="C10" s="49" t="str">
        <f t="shared" si="0"/>
        <v>Camerun</v>
      </c>
      <c r="D10" s="50">
        <f t="shared" si="0"/>
        <v>3</v>
      </c>
      <c r="E10" s="50">
        <f t="shared" si="0"/>
        <v>2</v>
      </c>
      <c r="F10" s="50">
        <f t="shared" si="0"/>
        <v>3</v>
      </c>
      <c r="G10" s="51">
        <f t="shared" si="0"/>
        <v>-1</v>
      </c>
      <c r="I10" s="18">
        <f>I8+16</f>
        <v>30</v>
      </c>
      <c r="J10" s="19">
        <v>44893</v>
      </c>
      <c r="K10" s="20" t="s">
        <v>10</v>
      </c>
      <c r="L10" s="21">
        <v>2</v>
      </c>
      <c r="M10" s="22">
        <v>1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3</v>
      </c>
      <c r="AO10" s="34" t="s">
        <v>54</v>
      </c>
      <c r="AP10" s="34">
        <f>SUMIF($K$7:$K$12,AO10,$AJ$7:$AJ$12) + SUMIF($N$7:$N$12,AO10,$AK$7:$AK$12)</f>
        <v>3</v>
      </c>
      <c r="AQ10" s="34">
        <f t="shared" si="11"/>
        <v>-1</v>
      </c>
      <c r="AR10" s="34">
        <f>SUMIF($K$7:$K$12,AO10,$L$7:$L$12) + SUMIF($N$7:$N$12,AO10,$M$7:$M$12)</f>
        <v>2</v>
      </c>
      <c r="AS10" s="34">
        <f>SUMIF($K$7:$K$12,AO10,$M$7:$M$12) + SUMIF($N$7:$N$12,AO10,$L$7:$L$12)</f>
        <v>3</v>
      </c>
      <c r="AV10" s="34" t="str">
        <f t="shared" si="7"/>
        <v>Camerun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-29990200</v>
      </c>
      <c r="BA10" s="34">
        <f t="shared" si="10"/>
        <v>-29990210</v>
      </c>
      <c r="BB10" s="34">
        <f>BA10+N26</f>
        <v>-29990206</v>
      </c>
    </row>
    <row r="11" spans="2:54" ht="15.75" thickBot="1" x14ac:dyDescent="0.3">
      <c r="B11" s="52">
        <v>4</v>
      </c>
      <c r="C11" s="53" t="str">
        <f t="shared" si="0"/>
        <v>Serbia</v>
      </c>
      <c r="D11" s="54">
        <f t="shared" si="0"/>
        <v>3</v>
      </c>
      <c r="E11" s="54">
        <f t="shared" si="0"/>
        <v>1</v>
      </c>
      <c r="F11" s="54">
        <f t="shared" si="0"/>
        <v>3</v>
      </c>
      <c r="G11" s="55">
        <f t="shared" si="0"/>
        <v>-2</v>
      </c>
      <c r="I11" s="23">
        <f>I9+16</f>
        <v>45</v>
      </c>
      <c r="J11" s="24">
        <v>44897</v>
      </c>
      <c r="K11" s="25" t="s">
        <v>53</v>
      </c>
      <c r="L11" s="21">
        <v>0</v>
      </c>
      <c r="M11" s="22">
        <v>2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0</v>
      </c>
      <c r="AK11" s="34">
        <f t="shared" si="3"/>
        <v>3</v>
      </c>
      <c r="AL11" s="34" t="str">
        <f t="shared" si="4"/>
        <v>Suiza</v>
      </c>
    </row>
    <row r="12" spans="2:54" ht="15.75" thickBot="1" x14ac:dyDescent="0.3">
      <c r="I12" s="26">
        <f>I10+16</f>
        <v>46</v>
      </c>
      <c r="J12" s="27">
        <v>44897</v>
      </c>
      <c r="K12" s="28" t="s">
        <v>54</v>
      </c>
      <c r="L12" s="32">
        <v>2</v>
      </c>
      <c r="M12" s="33">
        <v>0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3</v>
      </c>
      <c r="AK12" s="34">
        <f t="shared" si="3"/>
        <v>0</v>
      </c>
      <c r="AL12" s="34" t="str">
        <f t="shared" si="4"/>
        <v>Camerun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B28"/>
  <sheetViews>
    <sheetView workbookViewId="0">
      <selection activeCell="M14" sqref="M14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73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2</v>
      </c>
      <c r="M7" s="31">
        <v>1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3</v>
      </c>
      <c r="AO7" s="34" t="s">
        <v>57</v>
      </c>
      <c r="AP7" s="34">
        <f>SUMIF($K$7:$K$12,AO7,$AJ$7:$AJ$12) + SUMIF($N$7:$N$12,AO7,$AK$7:$AK$12)</f>
        <v>3</v>
      </c>
      <c r="AQ7" s="34">
        <f>AR7-AS7</f>
        <v>-1</v>
      </c>
      <c r="AR7" s="34">
        <f>SUMIF($K$7:$K$12,AO7,$L$7:$L$12) + SUMIF($N$7:$N$12,AO7,$M$7:$M$12)</f>
        <v>2</v>
      </c>
      <c r="AS7" s="34">
        <f>SUMIF($K$7:$K$12,AO7,$M$7:$M$12) + SUMIF($N$7:$N$12,AO7,$L$7:$L$12)</f>
        <v>3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-29990200</v>
      </c>
      <c r="BA7" s="34">
        <f>AZ7-AY7*10</f>
        <v>-29990210</v>
      </c>
      <c r="BB7" s="34">
        <f>BA7+N23</f>
        <v>-29990209</v>
      </c>
    </row>
    <row r="8" spans="2:54" x14ac:dyDescent="0.25">
      <c r="B8" s="7">
        <v>1</v>
      </c>
      <c r="C8" s="8" t="str">
        <f t="shared" ref="C8:G11" si="0">IFERROR(VLOOKUP($B8,$AN$7:$AS$11,C$5,FALSE),"")</f>
        <v>Uruguay</v>
      </c>
      <c r="D8" s="9">
        <f t="shared" si="0"/>
        <v>9</v>
      </c>
      <c r="E8" s="9">
        <f t="shared" si="0"/>
        <v>6</v>
      </c>
      <c r="F8" s="9">
        <f t="shared" si="0"/>
        <v>2</v>
      </c>
      <c r="G8" s="10">
        <f t="shared" si="0"/>
        <v>4</v>
      </c>
      <c r="I8" s="18">
        <v>16</v>
      </c>
      <c r="J8" s="19">
        <v>44889</v>
      </c>
      <c r="K8" s="20" t="s">
        <v>57</v>
      </c>
      <c r="L8" s="21">
        <v>0</v>
      </c>
      <c r="M8" s="22">
        <v>1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0</v>
      </c>
      <c r="AK8" s="34">
        <f t="shared" ref="AK8:AK12" si="3">IF(AJ8=3,0,IF(AJ8=1,1,3))</f>
        <v>3</v>
      </c>
      <c r="AL8" s="34" t="str">
        <f t="shared" ref="AL8:AL12" si="4">IF(AJ8&gt;AK8,K8,IF(AK8&gt;AJ8,N8,"SIN GANADOR"))</f>
        <v>Gana</v>
      </c>
      <c r="AN8" s="34">
        <f>_xlfn.RANK.EQ(BB8,BB$7:BB$11,1)</f>
        <v>1</v>
      </c>
      <c r="AO8" s="34" t="s">
        <v>55</v>
      </c>
      <c r="AP8" s="34">
        <f>SUMIF($K$7:$K$12,AO8,$AJ$7:$AJ$12) + SUMIF($N$7:$N$12,AO8,$AK$7:$AK$12)</f>
        <v>9</v>
      </c>
      <c r="AQ8" s="34">
        <f>AR8-AS8</f>
        <v>4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2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-90040600</v>
      </c>
      <c r="BA8" s="34">
        <f t="shared" ref="BA8:BA10" si="10">AZ8-AY8*10</f>
        <v>-90040610</v>
      </c>
      <c r="BB8" s="34">
        <f>BA8+N24</f>
        <v>-90040608</v>
      </c>
    </row>
    <row r="9" spans="2:54" x14ac:dyDescent="0.25">
      <c r="B9" s="11">
        <v>2</v>
      </c>
      <c r="C9" s="12" t="str">
        <f t="shared" si="0"/>
        <v>Corea</v>
      </c>
      <c r="D9" s="13">
        <f t="shared" si="0"/>
        <v>3</v>
      </c>
      <c r="E9" s="13">
        <f t="shared" si="0"/>
        <v>4</v>
      </c>
      <c r="F9" s="13">
        <f t="shared" si="0"/>
        <v>5</v>
      </c>
      <c r="G9" s="14">
        <f t="shared" si="0"/>
        <v>-1</v>
      </c>
      <c r="I9" s="23">
        <f>I7+16</f>
        <v>31</v>
      </c>
      <c r="J9" s="24">
        <v>44893</v>
      </c>
      <c r="K9" s="25" t="s">
        <v>56</v>
      </c>
      <c r="L9" s="21">
        <v>2</v>
      </c>
      <c r="M9" s="22">
        <v>1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3</v>
      </c>
      <c r="AK9" s="34">
        <f t="shared" si="3"/>
        <v>0</v>
      </c>
      <c r="AL9" s="34" t="str">
        <f t="shared" si="4"/>
        <v>Corea</v>
      </c>
      <c r="AN9" s="34">
        <f>_xlfn.RANK.EQ(BB9,BB$7:BB$11,1)</f>
        <v>2</v>
      </c>
      <c r="AO9" s="34" t="s">
        <v>56</v>
      </c>
      <c r="AP9" s="34">
        <f>SUMIF($K$7:$K$12,AO9,$AJ$7:$AJ$12) + SUMIF($N$7:$N$12,AO9,$AK$7:$AK$12)</f>
        <v>3</v>
      </c>
      <c r="AQ9" s="34">
        <f t="shared" ref="AQ9:AQ10" si="11">AR9-AS9</f>
        <v>-1</v>
      </c>
      <c r="AR9" s="34">
        <f t="shared" si="5"/>
        <v>4</v>
      </c>
      <c r="AS9" s="34">
        <f t="shared" si="6"/>
        <v>5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-29990400</v>
      </c>
      <c r="BA9" s="34">
        <f t="shared" si="10"/>
        <v>-29990410</v>
      </c>
      <c r="BB9" s="34">
        <f>BA9+N25</f>
        <v>-29990407</v>
      </c>
    </row>
    <row r="10" spans="2:54" x14ac:dyDescent="0.25">
      <c r="B10" s="48">
        <v>3</v>
      </c>
      <c r="C10" s="49" t="str">
        <f t="shared" si="0"/>
        <v>Portugal</v>
      </c>
      <c r="D10" s="50">
        <f t="shared" si="0"/>
        <v>3</v>
      </c>
      <c r="E10" s="50">
        <f t="shared" si="0"/>
        <v>2</v>
      </c>
      <c r="F10" s="50">
        <f t="shared" si="0"/>
        <v>3</v>
      </c>
      <c r="G10" s="51">
        <f t="shared" si="0"/>
        <v>-1</v>
      </c>
      <c r="I10" s="18">
        <f>I8+16</f>
        <v>32</v>
      </c>
      <c r="J10" s="19">
        <v>44893</v>
      </c>
      <c r="K10" s="20" t="s">
        <v>57</v>
      </c>
      <c r="L10" s="21">
        <v>0</v>
      </c>
      <c r="M10" s="22">
        <v>1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0</v>
      </c>
      <c r="AK10" s="34">
        <f t="shared" si="3"/>
        <v>3</v>
      </c>
      <c r="AL10" s="34" t="str">
        <f t="shared" si="4"/>
        <v>Uruguay</v>
      </c>
      <c r="AN10" s="34">
        <f>_xlfn.RANK.EQ(BB10,BB$7:BB$11,1)</f>
        <v>4</v>
      </c>
      <c r="AO10" s="34" t="s">
        <v>58</v>
      </c>
      <c r="AP10" s="34">
        <f>SUMIF($K$7:$K$12,AO10,$AJ$7:$AJ$12) + SUMIF($N$7:$N$12,AO10,$AK$7:$AK$12)</f>
        <v>3</v>
      </c>
      <c r="AQ10" s="34">
        <f t="shared" si="11"/>
        <v>-2</v>
      </c>
      <c r="AR10" s="34">
        <f>SUMIF($K$7:$K$12,AO10,$L$7:$L$12) + SUMIF($N$7:$N$12,AO10,$M$7:$M$12)</f>
        <v>3</v>
      </c>
      <c r="AS10" s="34">
        <f>SUMIF($K$7:$K$12,AO10,$M$7:$M$12) + SUMIF($N$7:$N$12,AO10,$L$7:$L$12)</f>
        <v>5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-29980300</v>
      </c>
      <c r="BA10" s="34">
        <f t="shared" si="10"/>
        <v>-29980310</v>
      </c>
      <c r="BB10" s="34">
        <f>BA10+N26</f>
        <v>-29980306</v>
      </c>
    </row>
    <row r="11" spans="2:54" ht="15.75" thickBot="1" x14ac:dyDescent="0.3">
      <c r="B11" s="52">
        <v>4</v>
      </c>
      <c r="C11" s="53" t="str">
        <f t="shared" si="0"/>
        <v>Gana</v>
      </c>
      <c r="D11" s="54">
        <f t="shared" si="0"/>
        <v>3</v>
      </c>
      <c r="E11" s="54">
        <f t="shared" si="0"/>
        <v>3</v>
      </c>
      <c r="F11" s="54">
        <f t="shared" si="0"/>
        <v>5</v>
      </c>
      <c r="G11" s="55">
        <f t="shared" si="0"/>
        <v>-2</v>
      </c>
      <c r="I11" s="23">
        <f>I9+16</f>
        <v>47</v>
      </c>
      <c r="J11" s="24">
        <v>44897</v>
      </c>
      <c r="K11" s="25" t="s">
        <v>58</v>
      </c>
      <c r="L11" s="21">
        <v>1</v>
      </c>
      <c r="M11" s="22">
        <v>3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5.75" thickBot="1" x14ac:dyDescent="0.3">
      <c r="I12" s="26">
        <f>I10+16</f>
        <v>48</v>
      </c>
      <c r="J12" s="27">
        <v>44897</v>
      </c>
      <c r="K12" s="28" t="s">
        <v>56</v>
      </c>
      <c r="L12" s="32">
        <v>1</v>
      </c>
      <c r="M12" s="33">
        <v>2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35"/>
  <sheetViews>
    <sheetView tabSelected="1" workbookViewId="0">
      <selection activeCell="R31" sqref="R31"/>
    </sheetView>
  </sheetViews>
  <sheetFormatPr baseColWidth="10" defaultRowHeight="15" x14ac:dyDescent="0.25"/>
  <cols>
    <col min="3" max="3" width="11.28515625" bestFit="1" customWidth="1"/>
    <col min="4" max="4" width="9.140625" bestFit="1" customWidth="1"/>
    <col min="9" max="9" width="9.140625" bestFit="1" customWidth="1"/>
    <col min="14" max="14" width="9.140625" bestFit="1" customWidth="1"/>
  </cols>
  <sheetData>
    <row r="1" spans="2:19" ht="15.75" thickBot="1" x14ac:dyDescent="0.3"/>
    <row r="2" spans="2:19" ht="15.75" thickBot="1" x14ac:dyDescent="0.3">
      <c r="B2" s="111" t="s">
        <v>69</v>
      </c>
      <c r="C2" s="112"/>
      <c r="D2" s="113"/>
    </row>
    <row r="3" spans="2:19" ht="15.75" thickBot="1" x14ac:dyDescent="0.3"/>
    <row r="4" spans="2:19" ht="15.75" thickBot="1" x14ac:dyDescent="0.3">
      <c r="G4" s="111" t="s">
        <v>59</v>
      </c>
      <c r="H4" s="112"/>
      <c r="I4" s="113"/>
    </row>
    <row r="5" spans="2:19" ht="15.75" thickBot="1" x14ac:dyDescent="0.3">
      <c r="B5" s="56">
        <v>49</v>
      </c>
      <c r="C5" s="57" t="s">
        <v>61</v>
      </c>
      <c r="D5" s="58" t="s">
        <v>62</v>
      </c>
    </row>
    <row r="6" spans="2:19" ht="15.75" thickBot="1" x14ac:dyDescent="0.3">
      <c r="B6" s="59" t="str">
        <f>'GRUPO A'!C8</f>
        <v>Senegal</v>
      </c>
      <c r="C6" s="60">
        <v>1</v>
      </c>
      <c r="D6" s="61"/>
    </row>
    <row r="7" spans="2:19" ht="15.75" thickBot="1" x14ac:dyDescent="0.3">
      <c r="B7" s="62" t="str">
        <f>'GRUPO B'!C9</f>
        <v>Gales</v>
      </c>
      <c r="C7" s="63">
        <v>2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.75" thickBot="1" x14ac:dyDescent="0.3">
      <c r="E8" s="66"/>
      <c r="G8" s="59" t="str">
        <f>IF(C7&gt;C6,B7,IF(C6&gt;C7,B6,IF(D7&gt;D6,B7,IF(D6&gt;D7,B6,""))))</f>
        <v>Gales</v>
      </c>
      <c r="H8" s="60">
        <v>2</v>
      </c>
      <c r="I8" s="61">
        <v>4</v>
      </c>
      <c r="L8" s="111" t="s">
        <v>60</v>
      </c>
      <c r="M8" s="112"/>
      <c r="N8" s="113"/>
    </row>
    <row r="9" spans="2:19" ht="15.75" thickBot="1" x14ac:dyDescent="0.3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Polonia</v>
      </c>
      <c r="H9" s="63">
        <v>2</v>
      </c>
      <c r="I9" s="64">
        <v>3</v>
      </c>
      <c r="J9" s="65"/>
    </row>
    <row r="10" spans="2:19" ht="15.75" thickBot="1" x14ac:dyDescent="0.3">
      <c r="B10" s="59" t="str">
        <f>'GRUPO C'!C8</f>
        <v>Polonia</v>
      </c>
      <c r="C10" s="60">
        <v>2</v>
      </c>
      <c r="D10" s="61"/>
      <c r="E10" s="69"/>
      <c r="J10" s="66"/>
    </row>
    <row r="11" spans="2:19" ht="15.75" thickBot="1" x14ac:dyDescent="0.3">
      <c r="B11" s="62" t="str">
        <f>'GRUPO D'!C9</f>
        <v>Dinamarca</v>
      </c>
      <c r="C11" s="63">
        <v>1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.75" thickBot="1" x14ac:dyDescent="0.3">
      <c r="J12" s="66"/>
      <c r="L12" s="59" t="str">
        <f>IF(H9&gt;H8,G9,IF(H8&gt;H9,G8,IF(I9&gt;I8,G9,IF(I8&gt;I9,G8,""))))</f>
        <v>Gales</v>
      </c>
      <c r="M12" s="60">
        <v>1</v>
      </c>
      <c r="N12" s="61"/>
    </row>
    <row r="13" spans="2:19" ht="15.75" thickBot="1" x14ac:dyDescent="0.3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Suiza</v>
      </c>
      <c r="M13" s="63">
        <v>2</v>
      </c>
      <c r="N13" s="64"/>
      <c r="O13" s="65"/>
    </row>
    <row r="14" spans="2:19" ht="15.75" thickBot="1" x14ac:dyDescent="0.3">
      <c r="B14" s="59" t="str">
        <f>'GRUPO E'!C8</f>
        <v>Alemania</v>
      </c>
      <c r="C14" s="60">
        <v>1</v>
      </c>
      <c r="D14" s="61"/>
      <c r="J14" s="66"/>
      <c r="O14" s="66"/>
    </row>
    <row r="15" spans="2:19" ht="15.75" thickBot="1" x14ac:dyDescent="0.3">
      <c r="B15" s="62" t="str">
        <f>'GRUPO F'!C9</f>
        <v>Marruecos</v>
      </c>
      <c r="C15" s="63">
        <v>2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.75" thickBot="1" x14ac:dyDescent="0.3">
      <c r="E16" s="66"/>
      <c r="G16" s="59" t="str">
        <f>IF(C15&gt;C14,B15,IF(C14&gt;C15,B14,IF(D15&gt;D14,B15,IF(D14&gt;D15,B14,""))))</f>
        <v>Marruecos</v>
      </c>
      <c r="H16" s="60">
        <v>1</v>
      </c>
      <c r="I16" s="61"/>
      <c r="J16" s="69"/>
      <c r="O16" s="66"/>
      <c r="Q16" s="111" t="s">
        <v>63</v>
      </c>
      <c r="R16" s="112"/>
      <c r="S16" s="113"/>
    </row>
    <row r="17" spans="2:23" ht="15.75" thickBot="1" x14ac:dyDescent="0.3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Suiza</v>
      </c>
      <c r="H17" s="63">
        <v>2</v>
      </c>
      <c r="I17" s="64"/>
      <c r="O17" s="66"/>
    </row>
    <row r="18" spans="2:23" ht="15.75" thickBot="1" x14ac:dyDescent="0.3">
      <c r="B18" s="59" t="str">
        <f>'GRUPO G'!C8</f>
        <v>Suiza</v>
      </c>
      <c r="C18" s="60">
        <v>3</v>
      </c>
      <c r="D18" s="61"/>
      <c r="E18" s="69"/>
      <c r="O18" s="66"/>
    </row>
    <row r="19" spans="2:23" ht="15.75" thickBot="1" x14ac:dyDescent="0.3">
      <c r="B19" s="62" t="str">
        <f>'GRUPO H'!C9</f>
        <v>Corea</v>
      </c>
      <c r="C19" s="63">
        <v>1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.75" thickBot="1" x14ac:dyDescent="0.3">
      <c r="O20" s="66"/>
      <c r="Q20" s="59" t="str">
        <f>IF(M13&gt;M12,L13,IF(M12&gt;M13,L12,IF(N13&gt;N12,L13,IF(N12&gt;N13,L12,""))))</f>
        <v>Suiza</v>
      </c>
      <c r="R20" s="60">
        <v>1</v>
      </c>
      <c r="S20" s="61"/>
    </row>
    <row r="21" spans="2:23" ht="15.75" thickBot="1" x14ac:dyDescent="0.3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Francia</v>
      </c>
      <c r="R21" s="63">
        <v>2</v>
      </c>
      <c r="S21" s="64"/>
    </row>
    <row r="22" spans="2:23" ht="15.75" thickBot="1" x14ac:dyDescent="0.3">
      <c r="B22" s="59" t="str">
        <f>'GRUPO B'!C8</f>
        <v>Inglaterra</v>
      </c>
      <c r="C22" s="60">
        <v>1</v>
      </c>
      <c r="D22" s="61"/>
      <c r="O22" s="66"/>
    </row>
    <row r="23" spans="2:23" ht="15.75" thickBot="1" x14ac:dyDescent="0.3">
      <c r="B23" s="62" t="str">
        <f>'GRUPO A'!C9</f>
        <v>Holanda</v>
      </c>
      <c r="C23" s="63">
        <v>3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5.75" thickBot="1" x14ac:dyDescent="0.3">
      <c r="E24" s="66"/>
      <c r="G24" s="59" t="str">
        <f>IF(C23&gt;C22,B23,IF(C22&gt;C23,B22,IF(D23&gt;D22,B23,IF(D22&gt;D23,B22,""))))</f>
        <v>Holanda</v>
      </c>
      <c r="H24" s="60">
        <v>1</v>
      </c>
      <c r="I24" s="61"/>
      <c r="O24" s="66"/>
      <c r="V24" s="59" t="s">
        <v>65</v>
      </c>
      <c r="W24" s="71" t="str">
        <f>IF(R20&gt;R21,Q20,IF(R21&gt;R20,Q21,IF(S20&gt;S21,Q20,IF(S21&gt;S20,Q21,""))))</f>
        <v>Francia</v>
      </c>
    </row>
    <row r="25" spans="2:23" ht="15.75" thickBot="1" x14ac:dyDescent="0.3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Francia</v>
      </c>
      <c r="H25" s="63">
        <v>2</v>
      </c>
      <c r="I25" s="64"/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Suiza</v>
      </c>
    </row>
    <row r="26" spans="2:23" ht="15.75" thickBot="1" x14ac:dyDescent="0.3">
      <c r="B26" s="59" t="str">
        <f>'GRUPO D'!C8</f>
        <v>Francia</v>
      </c>
      <c r="C26" s="60">
        <v>2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Belgica</v>
      </c>
    </row>
    <row r="27" spans="2:23" ht="15.75" thickBot="1" x14ac:dyDescent="0.3">
      <c r="B27" s="62" t="str">
        <f>'GRUPO C'!C9</f>
        <v>Argentina</v>
      </c>
      <c r="C27" s="63">
        <v>1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.75" thickBot="1" x14ac:dyDescent="0.3">
      <c r="J28" s="66"/>
      <c r="L28" s="59" t="str">
        <f>IF(H25&gt;H24,G25,IF(H24&gt;H25,G24,IF(I25&gt;I24,G25,IF(I24&gt;I25,G24,""))))</f>
        <v>Francia</v>
      </c>
      <c r="M28" s="60">
        <v>2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.75" thickBot="1" x14ac:dyDescent="0.3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Belgica</v>
      </c>
      <c r="M29" s="63">
        <v>1</v>
      </c>
      <c r="N29" s="64"/>
      <c r="Q29" s="59" t="str">
        <f>IF(Q20=L12,L13,IF(Q20=L13,L12,""))</f>
        <v>Gales</v>
      </c>
      <c r="R29" s="60">
        <v>1</v>
      </c>
      <c r="S29" s="61"/>
    </row>
    <row r="30" spans="2:23" ht="15.75" thickBot="1" x14ac:dyDescent="0.3">
      <c r="B30" s="59" t="str">
        <f>'GRUPO F'!C8</f>
        <v>Belgica</v>
      </c>
      <c r="C30" s="60">
        <v>2</v>
      </c>
      <c r="D30" s="61">
        <v>4</v>
      </c>
      <c r="J30" s="66"/>
      <c r="Q30" s="62" t="str">
        <f>IF(Q21=L28,L29,IF(Q21=L29,L28,""))</f>
        <v>Belgica</v>
      </c>
      <c r="R30" s="63">
        <v>2</v>
      </c>
      <c r="S30" s="64"/>
    </row>
    <row r="31" spans="2:23" ht="15.75" thickBot="1" x14ac:dyDescent="0.3">
      <c r="B31" s="62" t="str">
        <f>'GRUPO E'!C9</f>
        <v>Costa Rica</v>
      </c>
      <c r="C31" s="63">
        <v>2</v>
      </c>
      <c r="D31" s="64">
        <v>3</v>
      </c>
      <c r="E31" s="65"/>
      <c r="G31" s="56">
        <v>60</v>
      </c>
      <c r="H31" s="57" t="s">
        <v>61</v>
      </c>
      <c r="I31" s="58" t="s">
        <v>62</v>
      </c>
      <c r="J31" s="66"/>
    </row>
    <row r="32" spans="2:23" ht="15.75" thickBot="1" x14ac:dyDescent="0.3">
      <c r="E32" s="66"/>
      <c r="G32" s="59" t="str">
        <f>IF(C31&gt;C30,B31,IF(C30&gt;C31,B30,IF(D31&gt;D30,B31,IF(D30&gt;D31,B30,""))))</f>
        <v>Belgica</v>
      </c>
      <c r="H32" s="60">
        <v>1</v>
      </c>
      <c r="I32" s="61"/>
      <c r="J32" s="69"/>
    </row>
    <row r="33" spans="2:9" ht="15.75" thickBot="1" x14ac:dyDescent="0.3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Uruguay</v>
      </c>
      <c r="H33" s="63">
        <v>0</v>
      </c>
      <c r="I33" s="64"/>
    </row>
    <row r="34" spans="2:9" x14ac:dyDescent="0.25">
      <c r="B34" s="59" t="str">
        <f>'GRUPO H'!C8</f>
        <v>Uruguay</v>
      </c>
      <c r="C34" s="60">
        <v>3</v>
      </c>
      <c r="D34" s="61">
        <v>5</v>
      </c>
      <c r="E34" s="69"/>
    </row>
    <row r="35" spans="2:9" ht="15.75" thickBot="1" x14ac:dyDescent="0.3">
      <c r="B35" s="62" t="str">
        <f>'GRUPO G'!C9</f>
        <v>Brasil</v>
      </c>
      <c r="C35" s="63">
        <v>3</v>
      </c>
      <c r="D35" s="64">
        <v>4</v>
      </c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Cristobal Vial</cp:lastModifiedBy>
  <dcterms:created xsi:type="dcterms:W3CDTF">2022-11-02T00:22:23Z</dcterms:created>
  <dcterms:modified xsi:type="dcterms:W3CDTF">2022-11-19T17:02:53Z</dcterms:modified>
</cp:coreProperties>
</file>