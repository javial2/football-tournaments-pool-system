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ocuments/respaldo ibm/vigente/bsavi/8. varios/"/>
    </mc:Choice>
  </mc:AlternateContent>
  <xr:revisionPtr revIDLastSave="0" documentId="13_ncr:1_{875955AC-01BF-3D46-86E6-92A4A156D581}" xr6:coauthVersionLast="36" xr6:coauthVersionMax="47" xr10:uidLastSave="{00000000-0000-0000-0000-000000000000}"/>
  <bookViews>
    <workbookView xWindow="-33600" yWindow="0" windowWidth="33600" windowHeight="2100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10" i="13" l="1"/>
  <c r="AZ10" i="13" s="1"/>
  <c r="AZ8" i="13"/>
  <c r="AZ10" i="12"/>
  <c r="AP9" i="12"/>
  <c r="AZ9" i="12" s="1"/>
  <c r="AW7" i="12" s="1"/>
  <c r="AX7" i="12" s="1"/>
  <c r="AY7" i="12" s="1"/>
  <c r="BA7" i="12" s="1"/>
  <c r="BB7" i="12" s="1"/>
  <c r="AZ10" i="11"/>
  <c r="AZ9" i="11"/>
  <c r="AZ8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N9" i="12" s="1"/>
  <c r="AW8" i="12"/>
  <c r="AX8" i="12" s="1"/>
  <c r="AY8" i="12" s="1"/>
  <c r="BA8" i="12" s="1"/>
  <c r="BB8" i="12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2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F10" i="11"/>
  <c r="E8" i="11"/>
  <c r="G8" i="11"/>
  <c r="G10" i="11"/>
  <c r="E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<sst xmlns="http://schemas.openxmlformats.org/spreadsheetml/2006/main" count="454" uniqueCount="79">
  <si>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</si>
  <si>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</si>
  <si>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</si>
  <si>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</si>
  <si>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</si>
  <si>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</si>
  <si>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</si>
  <si>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</si>
  <si>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</si>
  <si>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</si>
  <si>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</si>
  <si>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</si>
  <si>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</si>
  <si>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</si>
  <si>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</si>
  <si>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</si>
  <si>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</si>
  <si>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</si>
  <si>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</si>
  <si>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</si>
  <si>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</si>
  <si>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</si>
  <si>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</si>
  <si>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</si>
  <si>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</si>
  <si>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</si>
  <si>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</si>
  <si>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</si>
  <si>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</si>
  <si>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</si>
  <si>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</si>
  <si>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</si>
  <si>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</si>
  <si>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</si>
  <si>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</si>
  <si>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</si>
  <si>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</si>
  <si>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</si>
  <si>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</si>
  <si>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</si>
  <si>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</si>
  <si>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</si>
  <si>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</si>
  <si>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</si>
  <si>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</si>
  <si>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</si>
  <si>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</si>
  <si>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</si>
  <si>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</si>
  <si>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</si>
  <si>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</si>
  <si>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</si>
  <si>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</si>
  <si>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</si>
  <si>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</si>
  <si>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</si>
  <si>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</si>
  <si>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</si>
  <si>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</si>
  <si>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</si>
  <si>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</si>
  <si>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</si>
  <si>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</si>
  <si>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</si>
  <si>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</si>
  <si>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</si>
  <si>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</si>
  <si>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</si>
  <si>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</si>
  <si>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</si>
  <si>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</si>
  <si>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</si>
  <si>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</si>
  <si>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</si>
  <si>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</si>
  <si>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</si>
  <si>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</si>
  <si>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Antonio Vial</t>
  </si>
  <si>
    <t>antonio@vializquierdo.cl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</si>
</sst>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tonio@vializquierdo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38171063-FFC0-8044-826C-220DFD2920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K12" sqref="K12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49900</v>
      </c>
      <c r="BA7" s="34">
        <f>AZ7-AY7*10</f>
        <v>49890</v>
      </c>
      <c r="BB7" s="34">
        <f>BA7+N23</f>
        <v>49894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1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-90050609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2</v>
      </c>
      <c r="F10" s="50">
        <f t="shared" si="3"/>
        <v>2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-40000408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9" sqref="L9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2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-19980300</v>
      </c>
      <c r="BA10" s="34">
        <f t="shared" si="10"/>
        <v>-19980310</v>
      </c>
      <c r="BB10" s="34">
        <f>BA10+N26</f>
        <v>-19980306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3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B1" workbookViewId="0">
      <selection activeCell="L12" sqref="L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-39990500</v>
      </c>
      <c r="BA8" s="34">
        <f t="shared" ref="BA8:BA10" si="10">AZ8-AY8*10</f>
        <v>-39990510</v>
      </c>
      <c r="BB8" s="34">
        <f>BA8+N24</f>
        <v>-39990508</v>
      </c>
    </row>
    <row r="9" spans="2:54" x14ac:dyDescent="0.2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-40000507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K12" sqref="K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3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39993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12" sqref="K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-70030508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-70040609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B1" workbookViewId="0">
      <selection activeCell="L12" sqref="L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29700</v>
      </c>
      <c r="BA9" s="34">
        <f t="shared" si="10"/>
        <v>29690</v>
      </c>
      <c r="BB9" s="34">
        <f>BA9+N25</f>
        <v>29694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2" sqref="L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10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-90091000</v>
      </c>
      <c r="BA7" s="34">
        <f>AZ7-AY7*10</f>
        <v>-90091010</v>
      </c>
      <c r="BB7" s="34">
        <f>BA7+N23</f>
        <v>-90091009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1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-9960200</v>
      </c>
      <c r="BA8" s="34">
        <f t="shared" ref="BA8:BA10" si="10">AZ8-AY8*10</f>
        <v>-9960210</v>
      </c>
      <c r="BB8" s="34">
        <f>BA8+N24</f>
        <v>-9960207</v>
      </c>
    </row>
    <row r="9" spans="2:54" x14ac:dyDescent="0.2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6</v>
      </c>
      <c r="F9" s="13">
        <f t="shared" si="0"/>
        <v>7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3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-9960300</v>
      </c>
      <c r="BA9" s="34">
        <f t="shared" si="10"/>
        <v>-9960310</v>
      </c>
      <c r="BB9" s="34">
        <f>BA9+N25</f>
        <v>-9960306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1</v>
      </c>
      <c r="E10" s="50">
        <f t="shared" si="0"/>
        <v>3</v>
      </c>
      <c r="F10" s="50">
        <f t="shared" si="0"/>
        <v>7</v>
      </c>
      <c r="G10" s="51">
        <f t="shared" si="0"/>
        <v>-4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-1</v>
      </c>
      <c r="AR10" s="34">
        <f>SUMIF($K$7:$K$12,AO10,$L$7:$L$12) + SUMIF($N$7:$N$12,AO10,$M$7:$M$12)</f>
        <v>6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-59990600</v>
      </c>
      <c r="BA10" s="34">
        <f t="shared" si="10"/>
        <v>-59990610</v>
      </c>
      <c r="BB10" s="34">
        <f>BA10+N26</f>
        <v>-59990608</v>
      </c>
    </row>
    <row r="11" spans="2:54" ht="16" thickBot="1" x14ac:dyDescent="0.25">
      <c r="B11" s="52">
        <v>4</v>
      </c>
      <c r="C11" s="53" t="str">
        <f t="shared" si="0"/>
        <v>Suiza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4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J12" sqref="J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-70030500</v>
      </c>
      <c r="BA7" s="34">
        <f>AZ7-AY7*10</f>
        <v>-70030500</v>
      </c>
      <c r="BB7" s="34">
        <f>BA7+N23</f>
        <v>-70030498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>Portugal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-70030500</v>
      </c>
      <c r="BA8" s="34">
        <f t="shared" ref="BA8:BA10" si="10">AZ8-AY8*10</f>
        <v>-70030500</v>
      </c>
      <c r="BB8" s="34">
        <f>BA8+N24</f>
        <v>-70030499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6" thickBot="1" x14ac:dyDescent="0.25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D15" sqref="D15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1</v>
      </c>
      <c r="D14" s="61">
        <v>4</v>
      </c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>
        <v>5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Croacia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2</v>
      </c>
      <c r="S21" s="64"/>
    </row>
    <row r="22" spans="2:23" ht="16" thickBot="1" x14ac:dyDescent="0.25">
      <c r="B22" s="59" t="str">
        <f>'GRUPO B'!C8</f>
        <v>Inglaterra</v>
      </c>
      <c r="C22" s="60">
        <v>1</v>
      </c>
      <c r="D22" s="61">
        <v>4</v>
      </c>
      <c r="O22" s="66"/>
    </row>
    <row r="23" spans="2:23" ht="16" thickBot="1" x14ac:dyDescent="0.25">
      <c r="B23" s="62" t="str">
        <f>'GRUPO A'!C9</f>
        <v>Ecuador</v>
      </c>
      <c r="C23" s="63">
        <v>1</v>
      </c>
      <c r="D23" s="64">
        <v>3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Belgica</v>
      </c>
    </row>
    <row r="26" spans="2:23" ht="16" thickBot="1" x14ac:dyDescent="0.2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Holanda</v>
      </c>
    </row>
    <row r="27" spans="2:23" ht="16" thickBot="1" x14ac:dyDescent="0.25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2</v>
      </c>
      <c r="N29" s="64"/>
      <c r="Q29" s="59" t="str">
        <f>IF(Q20=L12,L13,IF(Q20=L13,L12,""))</f>
        <v>Holanda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Francia</v>
      </c>
      <c r="R30" s="63">
        <v>1</v>
      </c>
      <c r="S30" s="64"/>
    </row>
    <row r="31" spans="2:23" ht="16" thickBot="1" x14ac:dyDescent="0.25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">
      <c r="B34" s="59" t="str">
        <f>'GRUPO H'!C8</f>
        <v>Uruguay</v>
      </c>
      <c r="C34" s="60">
        <v>2</v>
      </c>
      <c r="D34" s="61"/>
      <c r="E34" s="69"/>
    </row>
    <row r="35" spans="2:9" ht="16" thickBot="1" x14ac:dyDescent="0.25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Antonio Vial</cp:lastModifiedBy>
  <dcterms:created xsi:type="dcterms:W3CDTF">2022-11-02T00:22:23Z</dcterms:created>
  <dcterms:modified xsi:type="dcterms:W3CDTF">2022-11-20T13:14:55Z</dcterms:modified>
</cp:coreProperties>
</file>