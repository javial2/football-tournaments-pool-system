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abelvializquierdo/Downloads/"/>
    </mc:Choice>
  </mc:AlternateContent>
  <xr:revisionPtr revIDLastSave="0" documentId="13_ncr:1_{BBE855E6-AA26-C749-997B-46D4ADA2281E}" xr6:coauthVersionLast="36" xr6:coauthVersionMax="47" xr10:uidLastSave="{00000000-0000-0000-0000-000000000000}"/>
  <bookViews>
    <workbookView xWindow="80" yWindow="440" windowWidth="23720" windowHeight="11800" firstSheet="3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Z10" i="12"/>
  <c r="AW9" i="12" s="1"/>
  <c r="AZ8" i="11"/>
  <c r="AP10" i="15"/>
  <c r="AZ10" i="15" s="1"/>
  <c r="AP7" i="13"/>
  <c r="AZ7" i="13" s="1"/>
  <c r="AZ7" i="11"/>
  <c r="AW9" i="11" s="1"/>
  <c r="AX9" i="11" s="1"/>
  <c r="AY9" i="11" s="1"/>
  <c r="BA9" i="11" s="1"/>
  <c r="BB9" i="11" s="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7" i="2"/>
  <c r="AX7" i="2" s="1"/>
  <c r="AY7" i="2" s="1"/>
  <c r="BA7" i="2" s="1"/>
  <c r="BB7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D8" i="11" s="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C8" i="12"/>
  <c r="B14" i="16" s="1"/>
  <c r="F8" i="12"/>
  <c r="G8" i="12"/>
  <c r="G8" i="11"/>
  <c r="E8" i="11"/>
  <c r="F10" i="11"/>
  <c r="E10" i="11"/>
  <c r="G10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<sst xmlns="http://schemas.openxmlformats.org/spreadsheetml/2006/main" count="454" uniqueCount="79">
  <si>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</si>
  <si>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</si>
  <si>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</si>
  <si>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</si>
  <si>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</si>
  <si>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</si>
  <si>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</si>
  <si>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</si>
  <si>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</si>
  <si>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</si>
  <si>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</si>
  <si>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</si>
  <si>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</si>
  <si>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</si>
  <si>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</si>
  <si>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</si>
  <si>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</si>
  <si>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</si>
  <si>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</si>
  <si>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</si>
  <si>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</si>
  <si>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</si>
  <si>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</si>
  <si>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</si>
  <si>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</si>
  <si>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</si>
  <si>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</si>
  <si>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</si>
  <si>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</si>
  <si>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</si>
  <si>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</si>
  <si>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</si>
  <si>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</si>
  <si>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</si>
  <si>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</si>
  <si>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</si>
  <si>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</si>
  <si>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</si>
  <si>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</si>
  <si>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</si>
  <si>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</si>
  <si>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</si>
  <si>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</si>
  <si>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</si>
  <si>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</si>
  <si>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</si>
  <si>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</si>
  <si>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</si>
  <si>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</si>
  <si>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</si>
  <si>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</si>
  <si>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</si>
  <si>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</si>
  <si>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</si>
  <si>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</si>
  <si>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</si>
  <si>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</si>
  <si>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</si>
  <si>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</si>
  <si>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</si>
  <si>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</si>
  <si>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</si>
  <si>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</si>
  <si>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</si>
  <si>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</si>
  <si>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</si>
  <si>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</si>
  <si>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</si>
  <si>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</si>
  <si>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</si>
  <si>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</si>
  <si>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</si>
  <si>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</si>
  <si>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</si>
  <si>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</si>
  <si>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</si>
  <si>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</si>
  <si>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Isabel Vial</t>
  </si>
  <si>
    <t>misabelviali@gmail.com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</si>
</sst>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sabelvial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8" sqref="E8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09F6C034-0E89-F24B-AF7C-BFE0248E74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2" sqref="M12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-2</v>
      </c>
      <c r="AR7" s="34">
        <f>SUMIF($K$7:$K$12,AO7,$L$7:$L$12) + SUMIF($N$7:$N$12,AO7,$M$7:$M$12)</f>
        <v>1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-9980100</v>
      </c>
      <c r="BA7" s="34">
        <f>AZ7-AY7*10</f>
        <v>-9980110</v>
      </c>
      <c r="BB7" s="34">
        <f>BA7+N23</f>
        <v>-9980109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-90040500</v>
      </c>
      <c r="BA8" s="34">
        <f t="shared" ref="BA8:BA10" si="10">AZ8-AY8*10</f>
        <v>-90040510</v>
      </c>
      <c r="BB8" s="34">
        <f>BA8+N24</f>
        <v>-90040508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3</v>
      </c>
      <c r="F9" s="13">
        <f t="shared" si="3"/>
        <v>3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2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2</v>
      </c>
      <c r="F10" s="50">
        <f t="shared" si="3"/>
        <v>4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-19980206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3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B1" workbookViewId="0">
      <selection activeCell="L12" sqref="L12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0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-29990200</v>
      </c>
      <c r="BA8" s="34">
        <f t="shared" ref="BA8:BA10" si="10">AZ8-AY8*10</f>
        <v>-29990210</v>
      </c>
      <c r="BB8" s="34">
        <f>BA8+N24</f>
        <v>-29990208</v>
      </c>
    </row>
    <row r="9" spans="2:54" x14ac:dyDescent="0.2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-50010300</v>
      </c>
      <c r="BA10" s="34">
        <f t="shared" si="10"/>
        <v>-50010310</v>
      </c>
      <c r="BB10" s="34">
        <f>BA10+N26</f>
        <v>-50010306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G13" sqref="G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-50020600</v>
      </c>
      <c r="BA7" s="34">
        <f>AZ7-AY7*10</f>
        <v>-50020610</v>
      </c>
      <c r="BB7" s="34">
        <f>BA7+N23</f>
        <v>-50020609</v>
      </c>
    </row>
    <row r="8" spans="2:54" x14ac:dyDescent="0.2">
      <c r="B8" s="7">
        <v>1</v>
      </c>
      <c r="C8" s="8" t="str">
        <f t="shared" ref="C8:G11" si="0">IFERROR(VLOOKUP($B8,$AN$7:$AS$11,C$5,FALSE),"")</f>
        <v>Polonia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-19990400</v>
      </c>
      <c r="BA8" s="34">
        <f t="shared" ref="BA8:BA10" si="10">AZ8-AY8*10</f>
        <v>-19990410</v>
      </c>
      <c r="BB8" s="34">
        <f>BA8+N24</f>
        <v>-19990408</v>
      </c>
    </row>
    <row r="9" spans="2:54" x14ac:dyDescent="0.2">
      <c r="B9" s="11">
        <v>2</v>
      </c>
      <c r="C9" s="12" t="str">
        <f t="shared" si="0"/>
        <v>Argentina</v>
      </c>
      <c r="D9" s="13">
        <f t="shared" si="0"/>
        <v>5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1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-70020500</v>
      </c>
      <c r="BA9" s="34">
        <f t="shared" si="10"/>
        <v>-70020510</v>
      </c>
      <c r="BB9" s="34">
        <f>BA9+N25</f>
        <v>-70020507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2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G1"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F3" workbookViewId="0">
      <selection activeCell="M12" sqref="M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-70040700</v>
      </c>
      <c r="BA7" s="34">
        <f>AZ7-AY7*10</f>
        <v>-70040710</v>
      </c>
      <c r="BB7" s="34">
        <f>BA7+N23</f>
        <v>-70040709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-70050800</v>
      </c>
      <c r="BA8" s="34">
        <f t="shared" ref="BA8:BA10" si="10">AZ8-AY8*10</f>
        <v>-70050810</v>
      </c>
      <c r="BB8" s="34">
        <f>BA8+N24</f>
        <v>-70050808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7</v>
      </c>
      <c r="F9" s="13">
        <f t="shared" si="0"/>
        <v>3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-29960300</v>
      </c>
      <c r="BA9" s="34">
        <f t="shared" si="10"/>
        <v>-29960310</v>
      </c>
      <c r="BB9" s="34">
        <f>BA9+N25</f>
        <v>-29960307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7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K1" workbookViewId="0">
      <selection activeCell="M9" sqref="M9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-60040600</v>
      </c>
      <c r="BA7" s="34">
        <f>AZ7-AY7*10</f>
        <v>-60040610</v>
      </c>
      <c r="BB7" s="34">
        <f>BA7+N23</f>
        <v>-60040609</v>
      </c>
    </row>
    <row r="8" spans="2:54" x14ac:dyDescent="0.2">
      <c r="B8" s="7">
        <v>1</v>
      </c>
      <c r="C8" s="8" t="str">
        <f t="shared" ref="C8:G11" si="0">IFERROR(VLOOKUP($B8,$AN$7:$AS$11,C$5,FALSE),"")</f>
        <v>Croacia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-90050608</v>
      </c>
    </row>
    <row r="9" spans="2:54" x14ac:dyDescent="0.2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-29970200</v>
      </c>
      <c r="BA10" s="34">
        <f t="shared" si="10"/>
        <v>-29970210</v>
      </c>
      <c r="BB10" s="34">
        <f>BA10+N26</f>
        <v>-29970206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G3" workbookViewId="0">
      <selection activeCell="K16" sqref="K1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-29990408</v>
      </c>
    </row>
    <row r="9" spans="2:54" x14ac:dyDescent="0.2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39893</v>
      </c>
    </row>
    <row r="10" spans="2:54" x14ac:dyDescent="0.2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-60010406</v>
      </c>
    </row>
    <row r="11" spans="2:54" ht="16" thickBot="1" x14ac:dyDescent="0.25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2" sqref="M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0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70000</v>
      </c>
      <c r="BA9" s="34">
        <f t="shared" si="10"/>
        <v>69990</v>
      </c>
      <c r="BB9" s="34">
        <f>BA9+N25</f>
        <v>69993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L21" zoomScale="179" workbookViewId="0">
      <selection activeCell="R31" sqref="R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2</v>
      </c>
      <c r="I8" s="61">
        <v>4</v>
      </c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Polonia</v>
      </c>
      <c r="H9" s="63">
        <v>2</v>
      </c>
      <c r="I9" s="64">
        <v>5</v>
      </c>
      <c r="J9" s="65"/>
    </row>
    <row r="10" spans="2:19" ht="16" thickBot="1" x14ac:dyDescent="0.25">
      <c r="B10" s="59" t="str">
        <f>'GRUPO C'!C8</f>
        <v>Polonia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Polonia</v>
      </c>
      <c r="M12" s="60">
        <v>1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2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>
        <v>5</v>
      </c>
      <c r="J14" s="66"/>
      <c r="O14" s="66"/>
    </row>
    <row r="15" spans="2:19" ht="16" thickBot="1" x14ac:dyDescent="0.25">
      <c r="B15" s="62" t="str">
        <f>'GRUPO F'!C9</f>
        <v>Belgica</v>
      </c>
      <c r="C15" s="63">
        <v>2</v>
      </c>
      <c r="D15" s="64">
        <v>4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2</v>
      </c>
      <c r="I16" s="61">
        <v>5</v>
      </c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>
        <v>4</v>
      </c>
      <c r="O17" s="66"/>
    </row>
    <row r="18" spans="2:23" ht="16" thickBot="1" x14ac:dyDescent="0.25">
      <c r="B18" s="59" t="str">
        <f>'GRUPO G'!C8</f>
        <v>Brasil</v>
      </c>
      <c r="C18" s="60">
        <v>1</v>
      </c>
      <c r="D18" s="61">
        <v>5</v>
      </c>
      <c r="E18" s="69"/>
      <c r="O18" s="66"/>
    </row>
    <row r="19" spans="2:23" ht="16" thickBot="1" x14ac:dyDescent="0.25">
      <c r="B19" s="62" t="str">
        <f>'GRUPO H'!C9</f>
        <v>Portugal</v>
      </c>
      <c r="C19" s="63">
        <v>1</v>
      </c>
      <c r="D19" s="64">
        <v>4</v>
      </c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Alemania</v>
      </c>
      <c r="R20" s="60">
        <v>1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2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3</v>
      </c>
      <c r="I24" s="61"/>
      <c r="O24" s="66"/>
      <c r="V24" s="59" t="s">
        <v>65</v>
      </c>
      <c r="W24" s="71" t="str">
        <f>IF(R20&gt;R21,Q20,IF(R21&gt;R20,Q21,IF(S20&gt;S21,Q20,IF(S21&gt;S20,Q21,""))))</f>
        <v>Uruguay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Argentina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Alemania</v>
      </c>
    </row>
    <row r="26" spans="2:23" ht="16" thickBot="1" x14ac:dyDescent="0.25">
      <c r="B26" s="59" t="str">
        <f>'GRUPO D'!C8</f>
        <v>Francia</v>
      </c>
      <c r="C26" s="60">
        <v>2</v>
      </c>
      <c r="D26" s="61">
        <v>4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Polonia</v>
      </c>
    </row>
    <row r="27" spans="2:23" ht="16" thickBot="1" x14ac:dyDescent="0.25">
      <c r="B27" s="62" t="str">
        <f>'GRUPO C'!C9</f>
        <v>Argentina</v>
      </c>
      <c r="C27" s="63">
        <v>2</v>
      </c>
      <c r="D27" s="64">
        <v>5</v>
      </c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/>
      <c r="Q29" s="59" t="str">
        <f>IF(Q20=L12,L13,IF(Q20=L13,L12,""))</f>
        <v>Polonia</v>
      </c>
      <c r="R29" s="60">
        <v>1</v>
      </c>
      <c r="S29" s="61"/>
    </row>
    <row r="30" spans="2:23" ht="16" thickBot="1" x14ac:dyDescent="0.25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Inglaterra</v>
      </c>
      <c r="R30" s="63">
        <v>0</v>
      </c>
      <c r="S30" s="64"/>
    </row>
    <row r="31" spans="2:23" ht="16" thickBot="1" x14ac:dyDescent="0.25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España</v>
      </c>
      <c r="H32" s="60">
        <v>2</v>
      </c>
      <c r="I32" s="61">
        <v>4</v>
      </c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>
        <v>5</v>
      </c>
    </row>
    <row r="34" spans="2:9" x14ac:dyDescent="0.2">
      <c r="B34" s="59" t="str">
        <f>'GRUPO H'!C8</f>
        <v>Uruguay</v>
      </c>
      <c r="C34" s="60">
        <v>2</v>
      </c>
      <c r="D34" s="61"/>
      <c r="E34" s="69"/>
    </row>
    <row r="35" spans="2:9" ht="16" thickBot="1" x14ac:dyDescent="0.25">
      <c r="B35" s="62" t="str">
        <f>'GRUPO G'!C9</f>
        <v>Camerun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2022-11-02T00:22:23Z</dcterms:created>
  <dcterms:modified xsi:type="dcterms:W3CDTF">2022-11-14T00:07:00Z</dcterms:modified>
</cp:coreProperties>
</file>