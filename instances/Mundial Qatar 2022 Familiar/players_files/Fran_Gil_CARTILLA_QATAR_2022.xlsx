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GRUPO C" sheetId="4" r:id="rId7"/>
    <sheet state="visible" name="GRUPO D" sheetId="5" r:id="rId8"/>
    <sheet state="visible" name="GRUPO E" sheetId="6" r:id="rId9"/>
    <sheet state="visible" name="GRUPO F" sheetId="7" r:id="rId10"/>
    <sheet state="visible" name="GRUPO G" sheetId="8" r:id="rId11"/>
    <sheet state="visible" name="GRUPO H" sheetId="9" r:id="rId12"/>
    <sheet state="visible" name="Play-Off" sheetId="10" r:id="rId13"/>
  </sheets>
  <definedNames/>
  <calcPr/>
  <extLst>
    <ext uri="GoogleSheetsCustomDataVersion1">
      <go:sheetsCustomData xmlns:go="http://customooxmlschemas.google.com/" r:id="rId14" roundtripDataSignature="AMtx7mj00iLIiZsOLVjVMYJK/A78V8YqeA=="/>
    </ext>
  </extLst>
</workbook>
</file>

<file path=xl/sharedStrings.xml><?xml version="1.0" encoding="utf-8"?>
<sst xmlns="http://schemas.openxmlformats.org/spreadsheetml/2006/main" count="454" uniqueCount="79">
  <si>
    <t>Información del Jugador</t>
  </si>
  <si>
    <t>Nombre</t>
  </si>
  <si>
    <t>Fran Gil</t>
  </si>
  <si>
    <t>Mail</t>
  </si>
  <si>
    <t>francisca.gil@gmail.com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</si>
  <si>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</si>
  <si>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</si>
  <si>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</si>
  <si>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</si>
  <si>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</si>
  <si>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</si>
  <si>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</si>
  <si>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</si>
  <si>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</si>
  <si>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</si>
  <si>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</si>
  <si>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</si>
  <si>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</si>
  <si>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</si>
  <si>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</si>
  <si>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</si>
  <si>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</si>
  <si>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Senegal</t>
  </si>
  <si>
    <t>Holanda</t>
  </si>
  <si>
    <t>Qatar</t>
  </si>
  <si>
    <t>Ecuador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</si>
  <si>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</si>
  <si>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</si>
  <si>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</si>
  <si>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</si>
  <si>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</si>
  <si>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</si>
  <si>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</si>
  <si>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</si>
  <si>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</si>
  <si>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Iran</t>
  </si>
  <si>
    <t>USA</t>
  </si>
  <si>
    <t>Gales</t>
  </si>
  <si>
    <t>GRUPO C</t>
  </si>
  <si>
    <t>Mexico</t>
  </si>
  <si>
    <t>Polonia</t>
  </si>
  <si>
    <t>Argentina</t>
  </si>
  <si>
    <t>Arabia Saudita</t>
  </si>
  <si>
    <t>GRUPO D</t>
  </si>
  <si>
    <t>Dinamarca</t>
  </si>
  <si>
    <t>Tunez</t>
  </si>
  <si>
    <t>Francia</t>
  </si>
  <si>
    <t>Australia</t>
  </si>
  <si>
    <t>GRUPO E</t>
  </si>
  <si>
    <t>Alemania</t>
  </si>
  <si>
    <t>Japon</t>
  </si>
  <si>
    <t>España</t>
  </si>
  <si>
    <t>Costa Rica</t>
  </si>
  <si>
    <t>GRUPO F</t>
  </si>
  <si>
    <t>Marruecos</t>
  </si>
  <si>
    <t>Croacia</t>
  </si>
  <si>
    <t>Belgica</t>
  </si>
  <si>
    <t>Canada</t>
  </si>
  <si>
    <t>GRUPO G</t>
  </si>
  <si>
    <t>Suiza</t>
  </si>
  <si>
    <t>Camerun</t>
  </si>
  <si>
    <t>Brasil</t>
  </si>
  <si>
    <t>Serbia</t>
  </si>
  <si>
    <t>GRUPO H</t>
  </si>
  <si>
    <t>Uruguay</t>
  </si>
  <si>
    <t>Corea</t>
  </si>
  <si>
    <t>Portugal</t>
  </si>
  <si>
    <t>Gana</t>
  </si>
  <si>
    <t>Octavos de Final</t>
  </si>
  <si>
    <t>Cuartos de Final</t>
  </si>
  <si>
    <t>Resultado</t>
  </si>
  <si>
    <t>Penales</t>
  </si>
  <si>
    <t>Semi Final</t>
  </si>
  <si>
    <t>Final</t>
  </si>
  <si>
    <t>RESULTADOS TORNEO</t>
  </si>
  <si>
    <t>CAMPEÓN</t>
  </si>
  <si>
    <t>Tercer y Cuarto Lugar</t>
  </si>
  <si>
    <t>SUB CAMPEÓN</t>
  </si>
  <si>
    <t>TERCER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</si>
</sst>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0563C1"/>
      <name val="Calibri"/>
    </font>
    <font>
      <sz val="11.0"/>
      <color theme="0"/>
      <name val="Calibri"/>
    </font>
    <font>
      <sz val="20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6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4" numFmtId="0" xfId="0" applyFont="1"/>
    <xf borderId="10" fillId="3" fontId="5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16" fillId="2" fontId="1" numFmtId="0" xfId="0" applyAlignment="1" applyBorder="1" applyFont="1">
      <alignment horizontal="center"/>
    </xf>
    <xf borderId="17" fillId="0" fontId="2" numFmtId="0" xfId="0" applyBorder="1" applyFont="1"/>
    <xf borderId="18" fillId="0" fontId="2" numFmtId="0" xfId="0" applyBorder="1" applyFont="1"/>
    <xf borderId="19" fillId="3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1" fillId="4" fontId="1" numFmtId="0" xfId="0" applyAlignment="1" applyBorder="1" applyFont="1">
      <alignment horizontal="center"/>
    </xf>
    <xf borderId="22" fillId="4" fontId="1" numFmtId="0" xfId="0" applyAlignment="1" applyBorder="1" applyFont="1">
      <alignment horizontal="center"/>
    </xf>
    <xf borderId="23" fillId="4" fontId="1" numFmtId="0" xfId="0" applyAlignment="1" applyBorder="1" applyFont="1">
      <alignment horizontal="center"/>
    </xf>
    <xf borderId="24" fillId="3" fontId="1" numFmtId="0" xfId="0" applyAlignment="1" applyBorder="1" applyFont="1">
      <alignment horizontal="center"/>
    </xf>
    <xf borderId="24" fillId="4" fontId="1" numFmtId="16" xfId="0" applyAlignment="1" applyBorder="1" applyFont="1" applyNumberFormat="1">
      <alignment horizontal="center"/>
    </xf>
    <xf borderId="25" fillId="3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8" fillId="5" fontId="1" numFmtId="0" xfId="0" applyAlignment="1" applyBorder="1" applyFont="1">
      <alignment horizontal="center"/>
    </xf>
    <xf borderId="27" fillId="5" fontId="1" numFmtId="0" xfId="0" applyAlignment="1" applyBorder="1" applyFont="1">
      <alignment horizontal="center"/>
    </xf>
    <xf borderId="29" fillId="4" fontId="1" numFmtId="0" xfId="0" applyAlignment="1" applyBorder="1" applyFont="1">
      <alignment horizontal="center"/>
    </xf>
    <xf borderId="29" fillId="3" fontId="1" numFmtId="16" xfId="0" applyAlignment="1" applyBorder="1" applyFont="1" applyNumberFormat="1">
      <alignment horizontal="center"/>
    </xf>
    <xf borderId="30" fillId="4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6" fontId="1" numFmtId="0" xfId="0" applyAlignment="1" applyBorder="1" applyFill="1" applyFont="1">
      <alignment horizontal="center"/>
    </xf>
    <xf borderId="31" fillId="6" fontId="1" numFmtId="0" xfId="0" applyAlignment="1" applyBorder="1" applyFont="1">
      <alignment horizontal="center"/>
    </xf>
    <xf borderId="34" fillId="6" fontId="1" numFmtId="0" xfId="0" applyAlignment="1" applyBorder="1" applyFont="1">
      <alignment horizontal="center"/>
    </xf>
    <xf borderId="32" fillId="6" fontId="1" numFmtId="0" xfId="0" applyAlignment="1" applyBorder="1" applyFont="1">
      <alignment horizontal="center"/>
    </xf>
    <xf borderId="29" fillId="3" fontId="1" numFmtId="0" xfId="0" applyAlignment="1" applyBorder="1" applyFont="1">
      <alignment horizontal="center"/>
    </xf>
    <xf borderId="29" fillId="4" fontId="1" numFmtId="16" xfId="0" applyAlignment="1" applyBorder="1" applyFont="1" applyNumberFormat="1">
      <alignment horizontal="center"/>
    </xf>
    <xf borderId="30" fillId="3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9" fillId="0" fontId="1" numFmtId="0" xfId="0" applyAlignment="1" applyBorder="1" applyFont="1">
      <alignment horizontal="center"/>
    </xf>
    <xf borderId="40" fillId="4" fontId="1" numFmtId="0" xfId="0" applyAlignment="1" applyBorder="1" applyFont="1">
      <alignment horizontal="center"/>
    </xf>
    <xf borderId="40" fillId="3" fontId="1" numFmtId="16" xfId="0" applyAlignment="1" applyBorder="1" applyFont="1" applyNumberFormat="1">
      <alignment horizontal="center"/>
    </xf>
    <xf borderId="41" fillId="4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 readingOrder="0"/>
    </xf>
    <xf borderId="42" fillId="7" fontId="1" numFmtId="0" xfId="0" applyBorder="1" applyFill="1" applyFont="1"/>
    <xf borderId="43" fillId="7" fontId="1" numFmtId="0" xfId="0" applyBorder="1" applyFont="1"/>
    <xf borderId="44" fillId="7" fontId="1" numFmtId="0" xfId="0" applyBorder="1" applyFont="1"/>
    <xf borderId="45" fillId="7" fontId="1" numFmtId="0" xfId="0" applyBorder="1" applyFont="1"/>
    <xf borderId="46" fillId="7" fontId="1" numFmtId="0" xfId="0" applyBorder="1" applyFont="1"/>
    <xf borderId="47" fillId="7" fontId="1" numFmtId="0" xfId="0" applyBorder="1" applyFont="1"/>
    <xf borderId="48" fillId="3" fontId="1" numFmtId="0" xfId="0" applyAlignment="1" applyBorder="1" applyFont="1">
      <alignment horizontal="center"/>
    </xf>
    <xf borderId="49" fillId="0" fontId="2" numFmtId="0" xfId="0" applyBorder="1" applyFont="1"/>
    <xf borderId="6" fillId="0" fontId="1" numFmtId="0" xfId="0" applyAlignment="1" applyBorder="1" applyFont="1">
      <alignment readingOrder="0"/>
    </xf>
    <xf borderId="0" fillId="0" fontId="1" numFmtId="0" xfId="0" applyFont="1"/>
    <xf borderId="35" fillId="3" fontId="1" numFmtId="0" xfId="0" applyAlignment="1" applyBorder="1" applyFont="1">
      <alignment horizontal="center"/>
    </xf>
    <xf borderId="50" fillId="0" fontId="2" numFmtId="0" xfId="0" applyBorder="1" applyFont="1"/>
    <xf borderId="51" fillId="0" fontId="2" numFmtId="0" xfId="0" applyBorder="1" applyFont="1"/>
    <xf borderId="51" fillId="0" fontId="1" numFmtId="0" xfId="0" applyAlignment="1" applyBorder="1" applyFont="1">
      <alignment readingOrder="0"/>
    </xf>
    <xf borderId="36" fillId="3" fontId="1" numFmtId="0" xfId="0" applyAlignment="1" applyBorder="1" applyFont="1">
      <alignment horizontal="center"/>
    </xf>
    <xf borderId="52" fillId="0" fontId="2" numFmtId="0" xfId="0" applyBorder="1" applyFont="1"/>
    <xf borderId="9" fillId="0" fontId="1" numFmtId="0" xfId="0" applyBorder="1" applyFont="1"/>
    <xf borderId="53" fillId="7" fontId="1" numFmtId="0" xfId="0" applyBorder="1" applyFont="1"/>
    <xf borderId="54" fillId="7" fontId="1" numFmtId="0" xfId="0" applyBorder="1" applyFont="1"/>
    <xf borderId="55" fillId="7" fontId="1" numFmtId="0" xfId="0" applyBorder="1" applyFont="1"/>
    <xf borderId="6" fillId="0" fontId="1" numFmtId="0" xfId="0" applyBorder="1" applyFont="1"/>
    <xf borderId="9" fillId="0" fontId="1" numFmtId="0" xfId="0" applyAlignment="1" applyBorder="1" applyFont="1">
      <alignment readingOrder="0"/>
    </xf>
    <xf borderId="51" fillId="0" fontId="1" numFmtId="0" xfId="0" applyBorder="1" applyFont="1"/>
    <xf borderId="19" fillId="8" fontId="1" numFmtId="0" xfId="0" applyAlignment="1" applyBorder="1" applyFill="1" applyFont="1">
      <alignment horizontal="center"/>
    </xf>
    <xf borderId="19" fillId="3" fontId="1" numFmtId="0" xfId="0" applyBorder="1" applyFont="1"/>
    <xf borderId="56" fillId="3" fontId="1" numFmtId="0" xfId="0" applyBorder="1" applyFont="1"/>
    <xf borderId="24" fillId="3" fontId="1" numFmtId="0" xfId="0" applyBorder="1" applyFont="1"/>
    <xf borderId="24" fillId="0" fontId="1" numFmtId="0" xfId="0" applyAlignment="1" applyBorder="1" applyFont="1">
      <alignment readingOrder="0"/>
    </xf>
    <xf borderId="57" fillId="9" fontId="1" numFmtId="0" xfId="0" applyAlignment="1" applyBorder="1" applyFill="1" applyFont="1">
      <alignment readingOrder="0"/>
    </xf>
    <xf borderId="40" fillId="3" fontId="1" numFmtId="0" xfId="0" applyBorder="1" applyFont="1"/>
    <xf borderId="40" fillId="0" fontId="1" numFmtId="0" xfId="0" applyAlignment="1" applyBorder="1" applyFont="1">
      <alignment readingOrder="0"/>
    </xf>
    <xf borderId="58" fillId="9" fontId="1" numFmtId="0" xfId="0" applyAlignment="1" applyBorder="1" applyFont="1">
      <alignment readingOrder="0"/>
    </xf>
    <xf borderId="59" fillId="0" fontId="1" numFmtId="0" xfId="0" applyBorder="1" applyFont="1"/>
    <xf borderId="60" fillId="0" fontId="1" numFmtId="0" xfId="0" applyBorder="1" applyFont="1"/>
    <xf borderId="57" fillId="9" fontId="1" numFmtId="0" xfId="0" applyBorder="1" applyFont="1"/>
    <xf borderId="61" fillId="0" fontId="1" numFmtId="0" xfId="0" applyBorder="1" applyFont="1"/>
    <xf borderId="62" fillId="0" fontId="1" numFmtId="0" xfId="0" applyBorder="1" applyFont="1"/>
    <xf borderId="58" fillId="9" fontId="1" numFmtId="0" xfId="0" applyBorder="1" applyFont="1"/>
    <xf borderId="63" fillId="0" fontId="1" numFmtId="0" xfId="0" applyBorder="1" applyFont="1"/>
    <xf borderId="64" fillId="0" fontId="1" numFmtId="0" xfId="0" applyBorder="1" applyFont="1"/>
    <xf borderId="65" fillId="0" fontId="1" numFmtId="0" xfId="0" applyBorder="1" applyFont="1"/>
    <xf borderId="66" fillId="5" fontId="1" numFmtId="0" xfId="0" applyBorder="1" applyFont="1"/>
    <xf borderId="29" fillId="3" fontId="1" numFmtId="0" xfId="0" applyBorder="1" applyFont="1"/>
    <xf borderId="67" fillId="10" fontId="1" numFmtId="0" xfId="0" applyBorder="1" applyFill="1" applyFont="1"/>
    <xf borderId="58" fillId="11" fontId="1" numFmtId="0" xfId="0" applyBorder="1" applyFill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">
      <c r="B2" s="1" t="s">
        <v>0</v>
      </c>
      <c r="C2" s="2"/>
      <c r="D2" s="3"/>
    </row>
    <row r="3">
      <c r="B3" s="4" t="s">
        <v>1</v>
      </c>
      <c r="C3" s="5" t="s">
        <v>2</v>
      </c>
      <c r="D3" s="6"/>
    </row>
    <row r="4">
      <c r="B4" s="7" t="s">
        <v>3</v>
      </c>
      <c r="C4" s="8" t="s">
        <v>4</v>
      </c>
      <c r="D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D2"/>
    <mergeCell ref="C3:D3"/>
    <mergeCell ref="C4:D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</v>
      </c>
      <c r="C3" s="12"/>
      <c r="D3" s="12"/>
      <c r="E3" s="12"/>
      <c r="F3" s="12"/>
      <c r="G3" s="13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1.0</v>
      </c>
      <c r="J7" s="29">
        <v>44886.0</v>
      </c>
      <c r="K7" s="30" t="s">
        <v>22</v>
      </c>
      <c r="L7" s="31">
        <v>1.0</v>
      </c>
      <c r="M7" s="32">
        <v>3.0</v>
      </c>
      <c r="N7" s="28" t="s">
        <v>23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tr">
        <f t="shared" ref="AI7:AI12" si="2">CONCATENATE(K7,"_",N7)</f>
        <v>Senegal_Holanda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Holanda</v>
      </c>
      <c r="AM7" s="10"/>
      <c r="AN7" s="10">
        <f t="shared" ref="AN7:AN10" si="6">_xlfn.RANK.EQ(BB7,BB$7:BB$11,1)</f>
        <v>3</v>
      </c>
      <c r="AO7" s="10" t="s">
        <v>24</v>
      </c>
      <c r="AP7" s="10">
        <f t="shared" ref="AP7:AP10" si="7">SUMIF($K$7:$K$12,AO7,$AJ$7:$AJ$12) + SUMIF($N$7:$N$12,AO7,$AK$7:$AK$12)</f>
        <v>1</v>
      </c>
      <c r="AQ7" s="10">
        <f t="shared" ref="AQ7:AQ10" si="8">AR7-AS7</f>
        <v>-3</v>
      </c>
      <c r="AR7" s="10">
        <f t="shared" ref="AR7:AR10" si="9">SUMIF($K$7:$K$12,AO7,$L$7:$L$12) + SUMIF($N$7:$N$12,AO7,$M$7:$M$12)</f>
        <v>2</v>
      </c>
      <c r="AS7" s="10">
        <f t="shared" ref="AS7:AS10" si="10">SUMIF($K$7:$K$12,AO7,$M$7:$M$12) + SUMIF($N$7:$N$12,AO7,$L$7:$L$12)</f>
        <v>5</v>
      </c>
      <c r="AT7" s="10"/>
      <c r="AU7" s="10"/>
      <c r="AV7" s="10" t="str">
        <f t="shared" ref="AV7:AV10" si="11">AO7</f>
        <v>Qatar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-9970200</v>
      </c>
      <c r="BA7" s="10">
        <f t="shared" ref="BA7:BA10" si="15">AZ7-AY7*10</f>
        <v>-9970210</v>
      </c>
      <c r="BB7" s="10">
        <f t="shared" ref="BB7:BB10" si="16">BA7+N23</f>
        <v>-9970207</v>
      </c>
    </row>
    <row r="8">
      <c r="B8" s="33">
        <v>1.0</v>
      </c>
      <c r="C8" s="34" t="str">
        <f t="shared" ref="C8:G8" si="1">IFERROR(VLOOKUP($B8,$AN$7:$AS$11,C$5,FALSE),"")</f>
        <v>Holanda</v>
      </c>
      <c r="D8" s="35">
        <f t="shared" si="1"/>
        <v>9</v>
      </c>
      <c r="E8" s="35">
        <f t="shared" si="1"/>
        <v>7</v>
      </c>
      <c r="F8" s="35">
        <f t="shared" si="1"/>
        <v>1</v>
      </c>
      <c r="G8" s="36">
        <f t="shared" si="1"/>
        <v>6</v>
      </c>
      <c r="I8" s="37">
        <v>2.0</v>
      </c>
      <c r="J8" s="38">
        <v>44886.0</v>
      </c>
      <c r="K8" s="39" t="s">
        <v>24</v>
      </c>
      <c r="L8" s="40">
        <v>1.0</v>
      </c>
      <c r="M8" s="41">
        <v>1.0</v>
      </c>
      <c r="N8" s="37" t="s">
        <v>25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 t="str">
        <f t="shared" si="2"/>
        <v>Qatar_Ecuador</v>
      </c>
      <c r="AJ8" s="10">
        <f t="shared" si="3"/>
        <v>1</v>
      </c>
      <c r="AK8" s="10">
        <f t="shared" si="4"/>
        <v>1</v>
      </c>
      <c r="AL8" s="10" t="str">
        <f t="shared" si="5"/>
        <v>SIN GANADOR</v>
      </c>
      <c r="AM8" s="10"/>
      <c r="AN8" s="10">
        <f t="shared" si="6"/>
        <v>1</v>
      </c>
      <c r="AO8" s="10" t="s">
        <v>23</v>
      </c>
      <c r="AP8" s="10">
        <f t="shared" si="7"/>
        <v>9</v>
      </c>
      <c r="AQ8" s="10">
        <f t="shared" si="8"/>
        <v>6</v>
      </c>
      <c r="AR8" s="10">
        <f t="shared" si="9"/>
        <v>7</v>
      </c>
      <c r="AS8" s="10">
        <f t="shared" si="10"/>
        <v>1</v>
      </c>
      <c r="AT8" s="10"/>
      <c r="AU8" s="10"/>
      <c r="AV8" s="10" t="str">
        <f t="shared" si="11"/>
        <v>Holanda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-90060700</v>
      </c>
      <c r="BA8" s="10">
        <f t="shared" si="15"/>
        <v>-90060710</v>
      </c>
      <c r="BB8" s="10">
        <f t="shared" si="16"/>
        <v>-90060709</v>
      </c>
    </row>
    <row r="9">
      <c r="B9" s="42">
        <v>2.0</v>
      </c>
      <c r="C9" s="43" t="str">
        <f t="shared" ref="C9:G9" si="17">IFERROR(VLOOKUP($B9,$AN$7:$AS$11,C$5,FALSE),"")</f>
        <v>Senegal</v>
      </c>
      <c r="D9" s="44">
        <f t="shared" si="17"/>
        <v>6</v>
      </c>
      <c r="E9" s="44">
        <f t="shared" si="17"/>
        <v>4</v>
      </c>
      <c r="F9" s="44">
        <f t="shared" si="17"/>
        <v>4</v>
      </c>
      <c r="G9" s="45">
        <f t="shared" si="17"/>
        <v>0</v>
      </c>
      <c r="I9" s="46">
        <f t="shared" ref="I9:I12" si="19">I7+16</f>
        <v>17</v>
      </c>
      <c r="J9" s="47">
        <v>44890.0</v>
      </c>
      <c r="K9" s="48" t="s">
        <v>24</v>
      </c>
      <c r="L9" s="40">
        <v>1.0</v>
      </c>
      <c r="M9" s="41">
        <v>2.0</v>
      </c>
      <c r="N9" s="46" t="s">
        <v>22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tr">
        <f t="shared" si="2"/>
        <v>Qatar_Senegal</v>
      </c>
      <c r="AJ9" s="10">
        <f t="shared" si="3"/>
        <v>0</v>
      </c>
      <c r="AK9" s="10">
        <f t="shared" si="4"/>
        <v>3</v>
      </c>
      <c r="AL9" s="10" t="str">
        <f t="shared" si="5"/>
        <v>Senegal</v>
      </c>
      <c r="AM9" s="10"/>
      <c r="AN9" s="10">
        <f t="shared" si="6"/>
        <v>2</v>
      </c>
      <c r="AO9" s="10" t="s">
        <v>22</v>
      </c>
      <c r="AP9" s="10">
        <f t="shared" si="7"/>
        <v>6</v>
      </c>
      <c r="AQ9" s="10">
        <f t="shared" si="8"/>
        <v>0</v>
      </c>
      <c r="AR9" s="10">
        <f t="shared" si="9"/>
        <v>4</v>
      </c>
      <c r="AS9" s="10">
        <f t="shared" si="10"/>
        <v>4</v>
      </c>
      <c r="AT9" s="10"/>
      <c r="AU9" s="10"/>
      <c r="AV9" s="10" t="str">
        <f t="shared" si="11"/>
        <v>Senegal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-60000400</v>
      </c>
      <c r="BA9" s="10">
        <f t="shared" si="15"/>
        <v>-60000410</v>
      </c>
      <c r="BB9" s="10">
        <f t="shared" si="16"/>
        <v>-60000408</v>
      </c>
    </row>
    <row r="10">
      <c r="B10" s="49">
        <v>3.0</v>
      </c>
      <c r="C10" s="50" t="str">
        <f t="shared" ref="C10:G10" si="18">IFERROR(VLOOKUP($B10,$AN$7:$AS$11,C$5,FALSE),"")</f>
        <v>Qatar</v>
      </c>
      <c r="D10" s="51">
        <f t="shared" si="18"/>
        <v>1</v>
      </c>
      <c r="E10" s="51">
        <f t="shared" si="18"/>
        <v>2</v>
      </c>
      <c r="F10" s="51">
        <f t="shared" si="18"/>
        <v>5</v>
      </c>
      <c r="G10" s="52">
        <f t="shared" si="18"/>
        <v>-3</v>
      </c>
      <c r="I10" s="37">
        <f t="shared" si="19"/>
        <v>18</v>
      </c>
      <c r="J10" s="38">
        <v>44890.0</v>
      </c>
      <c r="K10" s="39" t="s">
        <v>23</v>
      </c>
      <c r="L10" s="40">
        <v>2.0</v>
      </c>
      <c r="M10" s="41">
        <v>0.0</v>
      </c>
      <c r="N10" s="37" t="s">
        <v>25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 t="str">
        <f t="shared" si="2"/>
        <v>Holanda_Ecuador</v>
      </c>
      <c r="AJ10" s="10">
        <f t="shared" si="3"/>
        <v>3</v>
      </c>
      <c r="AK10" s="10">
        <f t="shared" si="4"/>
        <v>0</v>
      </c>
      <c r="AL10" s="10" t="str">
        <f t="shared" si="5"/>
        <v>Holanda</v>
      </c>
      <c r="AM10" s="10"/>
      <c r="AN10" s="10">
        <f t="shared" si="6"/>
        <v>4</v>
      </c>
      <c r="AO10" s="10" t="s">
        <v>25</v>
      </c>
      <c r="AP10" s="10">
        <f t="shared" si="7"/>
        <v>1</v>
      </c>
      <c r="AQ10" s="10">
        <f t="shared" si="8"/>
        <v>-3</v>
      </c>
      <c r="AR10" s="10">
        <f t="shared" si="9"/>
        <v>1</v>
      </c>
      <c r="AS10" s="10">
        <f t="shared" si="10"/>
        <v>4</v>
      </c>
      <c r="AT10" s="10"/>
      <c r="AU10" s="10"/>
      <c r="AV10" s="10" t="str">
        <f t="shared" si="11"/>
        <v>Ecuador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-9970100</v>
      </c>
      <c r="BA10" s="10">
        <f t="shared" si="15"/>
        <v>-9970110</v>
      </c>
      <c r="BB10" s="10">
        <f t="shared" si="16"/>
        <v>-9970106</v>
      </c>
    </row>
    <row r="11">
      <c r="B11" s="53">
        <v>4.0</v>
      </c>
      <c r="C11" s="54" t="str">
        <f t="shared" ref="C11:G11" si="20">IFERROR(VLOOKUP($B11,$AN$7:$AS$11,C$5,FALSE),"")</f>
        <v>Ecuador</v>
      </c>
      <c r="D11" s="55">
        <f t="shared" si="20"/>
        <v>1</v>
      </c>
      <c r="E11" s="55">
        <f t="shared" si="20"/>
        <v>1</v>
      </c>
      <c r="F11" s="55">
        <f t="shared" si="20"/>
        <v>4</v>
      </c>
      <c r="G11" s="56">
        <f t="shared" si="20"/>
        <v>-3</v>
      </c>
      <c r="I11" s="46">
        <f t="shared" si="19"/>
        <v>33</v>
      </c>
      <c r="J11" s="47">
        <v>44894.0</v>
      </c>
      <c r="K11" s="48" t="s">
        <v>25</v>
      </c>
      <c r="L11" s="40">
        <v>0.0</v>
      </c>
      <c r="M11" s="41">
        <v>1.0</v>
      </c>
      <c r="N11" s="46" t="s">
        <v>22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 t="str">
        <f t="shared" si="2"/>
        <v>Ecuador_Senegal</v>
      </c>
      <c r="AJ11" s="10">
        <f t="shared" si="3"/>
        <v>0</v>
      </c>
      <c r="AK11" s="10">
        <f t="shared" si="4"/>
        <v>3</v>
      </c>
      <c r="AL11" s="10" t="str">
        <f t="shared" si="5"/>
        <v>Senegal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34</v>
      </c>
      <c r="J12" s="58">
        <v>44894.0</v>
      </c>
      <c r="K12" s="59" t="s">
        <v>23</v>
      </c>
      <c r="L12" s="60">
        <v>2.0</v>
      </c>
      <c r="M12" s="61">
        <v>0.0</v>
      </c>
      <c r="N12" s="57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 t="str">
        <f t="shared" si="2"/>
        <v>Holanda_Qatar</v>
      </c>
      <c r="AJ12" s="10">
        <f t="shared" si="3"/>
        <v>3</v>
      </c>
      <c r="AK12" s="10">
        <f t="shared" si="4"/>
        <v>0</v>
      </c>
      <c r="AL12" s="10" t="str">
        <f t="shared" si="5"/>
        <v>Holanda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24</v>
      </c>
      <c r="K23" s="69"/>
      <c r="L23" s="6"/>
      <c r="M23" s="70">
        <v>3.0</v>
      </c>
      <c r="N23" s="71">
        <f t="shared" ref="N23:N27" si="22">IF(J23="",0,M23)</f>
        <v>3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23</v>
      </c>
      <c r="K24" s="73"/>
      <c r="L24" s="74"/>
      <c r="M24" s="75">
        <v>1.0</v>
      </c>
      <c r="N24" s="71">
        <f t="shared" si="22"/>
        <v>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22</v>
      </c>
      <c r="K25" s="73"/>
      <c r="L25" s="74"/>
      <c r="M25" s="75">
        <v>2.0</v>
      </c>
      <c r="N25" s="71">
        <f t="shared" si="22"/>
        <v>2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25</v>
      </c>
      <c r="K26" s="77"/>
      <c r="L26" s="9"/>
      <c r="M26" s="78">
        <v>4.0</v>
      </c>
      <c r="N26" s="71">
        <f t="shared" si="22"/>
        <v>4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34" width="11.43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3.0</v>
      </c>
      <c r="J7" s="29">
        <v>44886.0</v>
      </c>
      <c r="K7" s="30" t="s">
        <v>34</v>
      </c>
      <c r="L7" s="31">
        <v>3.0</v>
      </c>
      <c r="M7" s="32">
        <v>1.0</v>
      </c>
      <c r="N7" s="28" t="s">
        <v>35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Inglaterra_Iran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Inglaterra</v>
      </c>
      <c r="AM7" s="10"/>
      <c r="AN7" s="10">
        <f t="shared" ref="AN7:AN10" si="6">_xlfn.RANK.EQ(BB7,BB$7:BB$11,1)</f>
        <v>1</v>
      </c>
      <c r="AO7" s="10" t="s">
        <v>34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5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Inglaterra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-90050900</v>
      </c>
      <c r="BA7" s="10">
        <f t="shared" ref="BA7:BA10" si="15">AZ7-AY7*10</f>
        <v>-90050910</v>
      </c>
      <c r="BB7" s="10">
        <f t="shared" ref="BB7:BB10" si="16">BA7+N23</f>
        <v>-90050909</v>
      </c>
    </row>
    <row r="8">
      <c r="B8" s="33">
        <v>1.0</v>
      </c>
      <c r="C8" s="34" t="str">
        <f t="shared" ref="C8:G8" si="1">IFERROR(VLOOKUP($B8,$AN$7:$AS$11,C$5,FALSE),"")</f>
        <v>Inglaterra</v>
      </c>
      <c r="D8" s="35">
        <f t="shared" si="1"/>
        <v>9</v>
      </c>
      <c r="E8" s="35">
        <f t="shared" si="1"/>
        <v>9</v>
      </c>
      <c r="F8" s="35">
        <f t="shared" si="1"/>
        <v>4</v>
      </c>
      <c r="G8" s="36">
        <f t="shared" si="1"/>
        <v>5</v>
      </c>
      <c r="I8" s="37">
        <v>4.0</v>
      </c>
      <c r="J8" s="38">
        <v>44886.0</v>
      </c>
      <c r="K8" s="39" t="s">
        <v>36</v>
      </c>
      <c r="L8" s="40">
        <v>0.0</v>
      </c>
      <c r="M8" s="41">
        <v>2.0</v>
      </c>
      <c r="N8" s="37" t="s">
        <v>37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USA_Gales</v>
      </c>
      <c r="AJ8" s="10">
        <f t="shared" si="3"/>
        <v>0</v>
      </c>
      <c r="AK8" s="10">
        <f t="shared" si="4"/>
        <v>3</v>
      </c>
      <c r="AL8" s="10" t="str">
        <f t="shared" si="5"/>
        <v>Gales</v>
      </c>
      <c r="AM8" s="10"/>
      <c r="AN8" s="10">
        <f t="shared" si="6"/>
        <v>4</v>
      </c>
      <c r="AO8" s="10" t="s">
        <v>36</v>
      </c>
      <c r="AP8" s="10">
        <f t="shared" si="7"/>
        <v>1</v>
      </c>
      <c r="AQ8" s="10">
        <f t="shared" si="8"/>
        <v>-4</v>
      </c>
      <c r="AR8" s="10">
        <f t="shared" si="9"/>
        <v>3</v>
      </c>
      <c r="AS8" s="10">
        <f t="shared" si="10"/>
        <v>7</v>
      </c>
      <c r="AT8" s="10"/>
      <c r="AU8" s="10"/>
      <c r="AV8" s="10" t="str">
        <f t="shared" si="11"/>
        <v>USA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-9960300</v>
      </c>
      <c r="BA8" s="10">
        <f t="shared" si="15"/>
        <v>-9960310</v>
      </c>
      <c r="BB8" s="10">
        <f t="shared" si="16"/>
        <v>-9960307</v>
      </c>
    </row>
    <row r="9">
      <c r="B9" s="42">
        <v>2.0</v>
      </c>
      <c r="C9" s="43" t="str">
        <f t="shared" ref="C9:G9" si="17">IFERROR(VLOOKUP($B9,$AN$7:$AS$11,C$5,FALSE),"")</f>
        <v>Gales</v>
      </c>
      <c r="D9" s="44">
        <f t="shared" si="17"/>
        <v>6</v>
      </c>
      <c r="E9" s="44">
        <f t="shared" si="17"/>
        <v>4</v>
      </c>
      <c r="F9" s="44">
        <f t="shared" si="17"/>
        <v>2</v>
      </c>
      <c r="G9" s="45">
        <f t="shared" si="17"/>
        <v>2</v>
      </c>
      <c r="I9" s="46">
        <f t="shared" ref="I9:I12" si="19">I7+16</f>
        <v>19</v>
      </c>
      <c r="J9" s="47">
        <v>44890.0</v>
      </c>
      <c r="K9" s="48" t="s">
        <v>37</v>
      </c>
      <c r="L9" s="40">
        <v>1.0</v>
      </c>
      <c r="M9" s="41">
        <v>0.0</v>
      </c>
      <c r="N9" s="46" t="s">
        <v>35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Gales_Iran</v>
      </c>
      <c r="AJ9" s="10">
        <f t="shared" si="3"/>
        <v>3</v>
      </c>
      <c r="AK9" s="10">
        <f t="shared" si="4"/>
        <v>0</v>
      </c>
      <c r="AL9" s="10" t="str">
        <f t="shared" si="5"/>
        <v>Gales</v>
      </c>
      <c r="AM9" s="10"/>
      <c r="AN9" s="10">
        <f t="shared" si="6"/>
        <v>3</v>
      </c>
      <c r="AO9" s="10" t="s">
        <v>35</v>
      </c>
      <c r="AP9" s="10">
        <f t="shared" si="7"/>
        <v>1</v>
      </c>
      <c r="AQ9" s="10">
        <f t="shared" si="8"/>
        <v>-3</v>
      </c>
      <c r="AR9" s="10">
        <f t="shared" si="9"/>
        <v>2</v>
      </c>
      <c r="AS9" s="10">
        <f t="shared" si="10"/>
        <v>5</v>
      </c>
      <c r="AT9" s="10"/>
      <c r="AU9" s="10"/>
      <c r="AV9" s="10" t="str">
        <f t="shared" si="11"/>
        <v>Iran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-9970200</v>
      </c>
      <c r="BA9" s="10">
        <f t="shared" si="15"/>
        <v>-9970210</v>
      </c>
      <c r="BB9" s="10">
        <f t="shared" si="16"/>
        <v>-9970206</v>
      </c>
    </row>
    <row r="10">
      <c r="B10" s="49">
        <v>3.0</v>
      </c>
      <c r="C10" s="50" t="str">
        <f t="shared" ref="C10:G10" si="18">IFERROR(VLOOKUP($B10,$AN$7:$AS$11,C$5,FALSE),"")</f>
        <v>Iran</v>
      </c>
      <c r="D10" s="51">
        <f t="shared" si="18"/>
        <v>1</v>
      </c>
      <c r="E10" s="51">
        <f t="shared" si="18"/>
        <v>2</v>
      </c>
      <c r="F10" s="51">
        <f t="shared" si="18"/>
        <v>5</v>
      </c>
      <c r="G10" s="52">
        <f t="shared" si="18"/>
        <v>-3</v>
      </c>
      <c r="I10" s="37">
        <f t="shared" si="19"/>
        <v>20</v>
      </c>
      <c r="J10" s="38">
        <v>44890.0</v>
      </c>
      <c r="K10" s="39" t="s">
        <v>34</v>
      </c>
      <c r="L10" s="40">
        <v>4.0</v>
      </c>
      <c r="M10" s="41">
        <v>2.0</v>
      </c>
      <c r="N10" s="37" t="s">
        <v>36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Inglaterra_USA</v>
      </c>
      <c r="AJ10" s="10">
        <f t="shared" si="3"/>
        <v>3</v>
      </c>
      <c r="AK10" s="10">
        <f t="shared" si="4"/>
        <v>0</v>
      </c>
      <c r="AL10" s="10" t="str">
        <f t="shared" si="5"/>
        <v>Inglaterra</v>
      </c>
      <c r="AM10" s="10"/>
      <c r="AN10" s="10">
        <f t="shared" si="6"/>
        <v>2</v>
      </c>
      <c r="AO10" s="10" t="s">
        <v>37</v>
      </c>
      <c r="AP10" s="10">
        <f t="shared" si="7"/>
        <v>6</v>
      </c>
      <c r="AQ10" s="10">
        <f t="shared" si="8"/>
        <v>2</v>
      </c>
      <c r="AR10" s="10">
        <f t="shared" si="9"/>
        <v>4</v>
      </c>
      <c r="AS10" s="10">
        <f t="shared" si="10"/>
        <v>2</v>
      </c>
      <c r="AT10" s="10"/>
      <c r="AU10" s="10"/>
      <c r="AV10" s="10" t="str">
        <f t="shared" si="11"/>
        <v>Gales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-60020400</v>
      </c>
      <c r="BA10" s="10">
        <f t="shared" si="15"/>
        <v>-60020410</v>
      </c>
      <c r="BB10" s="10">
        <f t="shared" si="16"/>
        <v>-60020408</v>
      </c>
    </row>
    <row r="11">
      <c r="B11" s="53">
        <v>4.0</v>
      </c>
      <c r="C11" s="54" t="str">
        <f t="shared" ref="C11:G11" si="20">IFERROR(VLOOKUP($B11,$AN$7:$AS$11,C$5,FALSE),"")</f>
        <v>USA</v>
      </c>
      <c r="D11" s="55">
        <f t="shared" si="20"/>
        <v>1</v>
      </c>
      <c r="E11" s="55">
        <f t="shared" si="20"/>
        <v>3</v>
      </c>
      <c r="F11" s="55">
        <f t="shared" si="20"/>
        <v>7</v>
      </c>
      <c r="G11" s="56">
        <f t="shared" si="20"/>
        <v>-4</v>
      </c>
      <c r="I11" s="46">
        <f t="shared" si="19"/>
        <v>35</v>
      </c>
      <c r="J11" s="47">
        <v>44894.0</v>
      </c>
      <c r="K11" s="48" t="s">
        <v>37</v>
      </c>
      <c r="L11" s="40">
        <v>1.0</v>
      </c>
      <c r="M11" s="41">
        <v>2.0</v>
      </c>
      <c r="N11" s="46" t="s">
        <v>34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Gales_Inglaterra</v>
      </c>
      <c r="AJ11" s="10">
        <f t="shared" si="3"/>
        <v>0</v>
      </c>
      <c r="AK11" s="10">
        <f t="shared" si="4"/>
        <v>3</v>
      </c>
      <c r="AL11" s="10" t="str">
        <f t="shared" si="5"/>
        <v>Inglaterra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36</v>
      </c>
      <c r="J12" s="58">
        <v>44894.0</v>
      </c>
      <c r="K12" s="59" t="s">
        <v>35</v>
      </c>
      <c r="L12" s="60">
        <v>1.0</v>
      </c>
      <c r="M12" s="61">
        <v>1.0</v>
      </c>
      <c r="N12" s="57" t="s">
        <v>36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Iran_USA</v>
      </c>
      <c r="AJ12" s="10">
        <f t="shared" si="3"/>
        <v>1</v>
      </c>
      <c r="AK12" s="10">
        <f t="shared" si="4"/>
        <v>1</v>
      </c>
      <c r="AL12" s="10" t="str">
        <f t="shared" si="5"/>
        <v>SIN GANADOR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34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36</v>
      </c>
      <c r="K24" s="73"/>
      <c r="L24" s="74"/>
      <c r="M24" s="75">
        <v>3.0</v>
      </c>
      <c r="N24" s="71">
        <f t="shared" si="22"/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35</v>
      </c>
      <c r="K25" s="73"/>
      <c r="L25" s="74"/>
      <c r="M25" s="75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37</v>
      </c>
      <c r="K26" s="77"/>
      <c r="L26" s="9"/>
      <c r="M26" s="83">
        <v>2.0</v>
      </c>
      <c r="N26" s="71">
        <f t="shared" si="22"/>
        <v>2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38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5.0</v>
      </c>
      <c r="J7" s="29">
        <v>44887.0</v>
      </c>
      <c r="K7" s="30" t="s">
        <v>39</v>
      </c>
      <c r="L7" s="31">
        <v>1.0</v>
      </c>
      <c r="M7" s="32">
        <v>0.0</v>
      </c>
      <c r="N7" s="28" t="s">
        <v>40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Mexico_Polonia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Mexico</v>
      </c>
      <c r="AM7" s="10"/>
      <c r="AN7" s="10">
        <f t="shared" ref="AN7:AN10" si="6">_xlfn.RANK.EQ(BB7,BB$7:BB$11,1)</f>
        <v>1</v>
      </c>
      <c r="AO7" s="10" t="s">
        <v>41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2</v>
      </c>
      <c r="AT7" s="10"/>
      <c r="AU7" s="10"/>
      <c r="AV7" s="10" t="str">
        <f t="shared" ref="AV7:AV10" si="11">AO7</f>
        <v>Argentina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-90070900</v>
      </c>
      <c r="BA7" s="10">
        <f t="shared" ref="BA7:BA10" si="15">AZ7-AY7*10</f>
        <v>-90070910</v>
      </c>
      <c r="BB7" s="10">
        <f t="shared" ref="BB7:BB10" si="16">BA7+N23</f>
        <v>-90070909</v>
      </c>
    </row>
    <row r="8">
      <c r="B8" s="33">
        <v>1.0</v>
      </c>
      <c r="C8" s="34" t="str">
        <f t="shared" ref="C8:G8" si="1">IFERROR(VLOOKUP($B8,$AN$7:$AS$11,C$5,FALSE),"")</f>
        <v>Argentina</v>
      </c>
      <c r="D8" s="35">
        <f t="shared" si="1"/>
        <v>9</v>
      </c>
      <c r="E8" s="35">
        <f t="shared" si="1"/>
        <v>9</v>
      </c>
      <c r="F8" s="35">
        <f t="shared" si="1"/>
        <v>2</v>
      </c>
      <c r="G8" s="36">
        <f t="shared" si="1"/>
        <v>7</v>
      </c>
      <c r="I8" s="37">
        <v>6.0</v>
      </c>
      <c r="J8" s="38">
        <v>44887.0</v>
      </c>
      <c r="K8" s="39" t="s">
        <v>41</v>
      </c>
      <c r="L8" s="40">
        <v>3.0</v>
      </c>
      <c r="M8" s="41">
        <v>0.0</v>
      </c>
      <c r="N8" s="37" t="s">
        <v>42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Argentina_Arabia Saudita</v>
      </c>
      <c r="AJ8" s="10">
        <f t="shared" si="3"/>
        <v>3</v>
      </c>
      <c r="AK8" s="10">
        <f t="shared" si="4"/>
        <v>0</v>
      </c>
      <c r="AL8" s="10" t="str">
        <f t="shared" si="5"/>
        <v>Argentina</v>
      </c>
      <c r="AM8" s="10"/>
      <c r="AN8" s="10">
        <f t="shared" si="6"/>
        <v>2</v>
      </c>
      <c r="AO8" s="10" t="s">
        <v>39</v>
      </c>
      <c r="AP8" s="10">
        <f t="shared" si="7"/>
        <v>6</v>
      </c>
      <c r="AQ8" s="10">
        <f t="shared" si="8"/>
        <v>1</v>
      </c>
      <c r="AR8" s="10">
        <f t="shared" si="9"/>
        <v>4</v>
      </c>
      <c r="AS8" s="10">
        <f t="shared" si="10"/>
        <v>3</v>
      </c>
      <c r="AT8" s="10"/>
      <c r="AU8" s="10"/>
      <c r="AV8" s="10" t="str">
        <f t="shared" si="11"/>
        <v>Mexico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-60010400</v>
      </c>
      <c r="BA8" s="10">
        <f t="shared" si="15"/>
        <v>-60010410</v>
      </c>
      <c r="BB8" s="10">
        <f t="shared" si="16"/>
        <v>-60010408</v>
      </c>
    </row>
    <row r="9">
      <c r="B9" s="42">
        <v>2.0</v>
      </c>
      <c r="C9" s="43" t="str">
        <f t="shared" ref="C9:G9" si="17">IFERROR(VLOOKUP($B9,$AN$7:$AS$11,C$5,FALSE),"")</f>
        <v>Mexico</v>
      </c>
      <c r="D9" s="44">
        <f t="shared" si="17"/>
        <v>6</v>
      </c>
      <c r="E9" s="44">
        <f t="shared" si="17"/>
        <v>4</v>
      </c>
      <c r="F9" s="44">
        <f t="shared" si="17"/>
        <v>3</v>
      </c>
      <c r="G9" s="45">
        <f t="shared" si="17"/>
        <v>1</v>
      </c>
      <c r="I9" s="46">
        <f t="shared" ref="I9:I12" si="19">I7+16</f>
        <v>21</v>
      </c>
      <c r="J9" s="47">
        <v>44891.0</v>
      </c>
      <c r="K9" s="48" t="s">
        <v>40</v>
      </c>
      <c r="L9" s="40">
        <v>0.0</v>
      </c>
      <c r="M9" s="41">
        <v>0.0</v>
      </c>
      <c r="N9" s="46" t="s">
        <v>42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Polonia_Arabia Saudita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40</v>
      </c>
      <c r="AP9" s="10">
        <f t="shared" si="7"/>
        <v>1</v>
      </c>
      <c r="AQ9" s="10">
        <f t="shared" si="8"/>
        <v>-4</v>
      </c>
      <c r="AR9" s="10">
        <f t="shared" si="9"/>
        <v>1</v>
      </c>
      <c r="AS9" s="10">
        <f t="shared" si="10"/>
        <v>5</v>
      </c>
      <c r="AT9" s="10"/>
      <c r="AU9" s="10"/>
      <c r="AV9" s="10" t="str">
        <f t="shared" si="11"/>
        <v>Polonia</v>
      </c>
      <c r="AW9" s="10" t="str">
        <f>IF(AZ9=AZ10,AV10,IF(AZ9=AZ7,AV7,IF(AZ9=AZ8,AV8,"")))</f>
        <v>Arabia Saudita</v>
      </c>
      <c r="AX9" s="10" t="str">
        <f t="shared" si="12"/>
        <v>SIN GANADOR</v>
      </c>
      <c r="AY9" s="10">
        <f t="shared" si="13"/>
        <v>0</v>
      </c>
      <c r="AZ9" s="10">
        <f t="shared" si="14"/>
        <v>-9960100</v>
      </c>
      <c r="BA9" s="10">
        <f t="shared" si="15"/>
        <v>-9960100</v>
      </c>
      <c r="BB9" s="10">
        <f t="shared" si="16"/>
        <v>-9960097</v>
      </c>
    </row>
    <row r="10">
      <c r="B10" s="49">
        <v>3.0</v>
      </c>
      <c r="C10" s="50" t="str">
        <f t="shared" ref="C10:G10" si="18">IFERROR(VLOOKUP($B10,$AN$7:$AS$11,C$5,FALSE),"")</f>
        <v>Polonia</v>
      </c>
      <c r="D10" s="51">
        <f t="shared" si="18"/>
        <v>1</v>
      </c>
      <c r="E10" s="51">
        <f t="shared" si="18"/>
        <v>1</v>
      </c>
      <c r="F10" s="51">
        <f t="shared" si="18"/>
        <v>5</v>
      </c>
      <c r="G10" s="52">
        <f t="shared" si="18"/>
        <v>-4</v>
      </c>
      <c r="I10" s="37">
        <f t="shared" si="19"/>
        <v>22</v>
      </c>
      <c r="J10" s="38">
        <v>44891.0</v>
      </c>
      <c r="K10" s="39" t="s">
        <v>41</v>
      </c>
      <c r="L10" s="40">
        <v>2.0</v>
      </c>
      <c r="M10" s="41">
        <v>1.0</v>
      </c>
      <c r="N10" s="37" t="s">
        <v>39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Argentina_Mexico</v>
      </c>
      <c r="AJ10" s="10">
        <f t="shared" si="3"/>
        <v>3</v>
      </c>
      <c r="AK10" s="10">
        <f t="shared" si="4"/>
        <v>0</v>
      </c>
      <c r="AL10" s="10" t="str">
        <f t="shared" si="5"/>
        <v>Argentina</v>
      </c>
      <c r="AM10" s="10"/>
      <c r="AN10" s="10">
        <f t="shared" si="6"/>
        <v>4</v>
      </c>
      <c r="AO10" s="10" t="s">
        <v>42</v>
      </c>
      <c r="AP10" s="10">
        <f t="shared" si="7"/>
        <v>1</v>
      </c>
      <c r="AQ10" s="10">
        <f t="shared" si="8"/>
        <v>-4</v>
      </c>
      <c r="AR10" s="10">
        <f t="shared" si="9"/>
        <v>1</v>
      </c>
      <c r="AS10" s="10">
        <f t="shared" si="10"/>
        <v>5</v>
      </c>
      <c r="AT10" s="10"/>
      <c r="AU10" s="10"/>
      <c r="AV10" s="10" t="str">
        <f t="shared" si="11"/>
        <v>Arabia Saudita</v>
      </c>
      <c r="AW10" s="10" t="str">
        <f>IF(AZ10=AZ7,AV7,IF(AZ10=AZ8,AV8,IF(AZ10=AZ9,AV9,"")))</f>
        <v>Polonia</v>
      </c>
      <c r="AX10" s="10" t="str">
        <f t="shared" si="12"/>
        <v>SIN GANADOR</v>
      </c>
      <c r="AY10" s="10">
        <f t="shared" si="13"/>
        <v>0</v>
      </c>
      <c r="AZ10" s="10">
        <f t="shared" si="14"/>
        <v>-9960100</v>
      </c>
      <c r="BA10" s="10">
        <f t="shared" si="15"/>
        <v>-9960100</v>
      </c>
      <c r="BB10" s="10">
        <f t="shared" si="16"/>
        <v>-9960096</v>
      </c>
    </row>
    <row r="11">
      <c r="B11" s="53">
        <v>4.0</v>
      </c>
      <c r="C11" s="54" t="str">
        <f t="shared" ref="C11:G11" si="20">IFERROR(VLOOKUP($B11,$AN$7:$AS$11,C$5,FALSE),"")</f>
        <v>Arabia Saudita</v>
      </c>
      <c r="D11" s="55">
        <f t="shared" si="20"/>
        <v>1</v>
      </c>
      <c r="E11" s="55">
        <f t="shared" si="20"/>
        <v>1</v>
      </c>
      <c r="F11" s="55">
        <f t="shared" si="20"/>
        <v>5</v>
      </c>
      <c r="G11" s="56">
        <f t="shared" si="20"/>
        <v>-4</v>
      </c>
      <c r="I11" s="46">
        <f t="shared" si="19"/>
        <v>37</v>
      </c>
      <c r="J11" s="47">
        <v>44895.0</v>
      </c>
      <c r="K11" s="48" t="s">
        <v>40</v>
      </c>
      <c r="L11" s="40">
        <v>1.0</v>
      </c>
      <c r="M11" s="41">
        <v>4.0</v>
      </c>
      <c r="N11" s="46" t="s">
        <v>41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Polonia_Argentina</v>
      </c>
      <c r="AJ11" s="10">
        <f t="shared" si="3"/>
        <v>0</v>
      </c>
      <c r="AK11" s="10">
        <f t="shared" si="4"/>
        <v>3</v>
      </c>
      <c r="AL11" s="10" t="str">
        <f t="shared" si="5"/>
        <v>Argentina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38</v>
      </c>
      <c r="J12" s="58">
        <v>44895.0</v>
      </c>
      <c r="K12" s="59" t="s">
        <v>42</v>
      </c>
      <c r="L12" s="60">
        <v>1.0</v>
      </c>
      <c r="M12" s="61">
        <v>2.0</v>
      </c>
      <c r="N12" s="57" t="s">
        <v>39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Arabia Saudita_Mexico</v>
      </c>
      <c r="AJ12" s="10">
        <f t="shared" si="3"/>
        <v>0</v>
      </c>
      <c r="AK12" s="10">
        <f t="shared" si="4"/>
        <v>3</v>
      </c>
      <c r="AL12" s="10" t="str">
        <f t="shared" si="5"/>
        <v>Mexico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41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39</v>
      </c>
      <c r="K24" s="73"/>
      <c r="L24" s="74"/>
      <c r="M24" s="84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40</v>
      </c>
      <c r="K25" s="73"/>
      <c r="L25" s="74"/>
      <c r="M25" s="84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42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7.0</v>
      </c>
      <c r="J7" s="29">
        <v>44887.0</v>
      </c>
      <c r="K7" s="30" t="s">
        <v>44</v>
      </c>
      <c r="L7" s="31">
        <v>2.0</v>
      </c>
      <c r="M7" s="32">
        <v>1.0</v>
      </c>
      <c r="N7" s="28" t="s">
        <v>45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Dinamarca_Tunez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Dinamarca</v>
      </c>
      <c r="AM7" s="10"/>
      <c r="AN7" s="10">
        <f t="shared" ref="AN7:AN10" si="6">_xlfn.RANK.EQ(BB7,BB$7:BB$11,1)</f>
        <v>1</v>
      </c>
      <c r="AO7" s="10" t="s">
        <v>46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5</v>
      </c>
      <c r="AR7" s="10">
        <f t="shared" ref="AR7:AR10" si="9">SUMIF($K$7:$K$12,AO7,$L$7:$L$12) + SUMIF($N$7:$N$12,AO7,$M$7:$M$12)</f>
        <v>9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Francia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-90050900</v>
      </c>
      <c r="BA7" s="10">
        <f t="shared" ref="BA7:BA10" si="15">AZ7-AY7*10</f>
        <v>-90050910</v>
      </c>
      <c r="BB7" s="10">
        <f t="shared" ref="BB7:BB10" si="16">BA7+N23</f>
        <v>-90050909</v>
      </c>
    </row>
    <row r="8">
      <c r="B8" s="33">
        <v>1.0</v>
      </c>
      <c r="C8" s="34" t="str">
        <f t="shared" ref="C8:G8" si="1">IFERROR(VLOOKUP($B8,$AN$7:$AS$11,C$5,FALSE),"")</f>
        <v>Francia</v>
      </c>
      <c r="D8" s="35">
        <f t="shared" si="1"/>
        <v>9</v>
      </c>
      <c r="E8" s="35">
        <f t="shared" si="1"/>
        <v>9</v>
      </c>
      <c r="F8" s="35">
        <f t="shared" si="1"/>
        <v>4</v>
      </c>
      <c r="G8" s="36">
        <f t="shared" si="1"/>
        <v>5</v>
      </c>
      <c r="I8" s="37">
        <v>8.0</v>
      </c>
      <c r="J8" s="38">
        <v>44887.0</v>
      </c>
      <c r="K8" s="39" t="s">
        <v>46</v>
      </c>
      <c r="L8" s="40">
        <v>4.0</v>
      </c>
      <c r="M8" s="41">
        <v>2.0</v>
      </c>
      <c r="N8" s="37" t="s">
        <v>47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Francia_Australia</v>
      </c>
      <c r="AJ8" s="10">
        <f t="shared" si="3"/>
        <v>3</v>
      </c>
      <c r="AK8" s="10">
        <f t="shared" si="4"/>
        <v>0</v>
      </c>
      <c r="AL8" s="10" t="str">
        <f t="shared" si="5"/>
        <v>Francia</v>
      </c>
      <c r="AM8" s="10"/>
      <c r="AN8" s="10">
        <f t="shared" si="6"/>
        <v>2</v>
      </c>
      <c r="AO8" s="10" t="s">
        <v>44</v>
      </c>
      <c r="AP8" s="10">
        <f t="shared" si="7"/>
        <v>6</v>
      </c>
      <c r="AQ8" s="10">
        <f t="shared" si="8"/>
        <v>1</v>
      </c>
      <c r="AR8" s="10">
        <f t="shared" si="9"/>
        <v>6</v>
      </c>
      <c r="AS8" s="10">
        <f t="shared" si="10"/>
        <v>5</v>
      </c>
      <c r="AT8" s="10"/>
      <c r="AU8" s="10"/>
      <c r="AV8" s="10" t="str">
        <f t="shared" si="11"/>
        <v>Dinamarca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-60010600</v>
      </c>
      <c r="BA8" s="10">
        <f t="shared" si="15"/>
        <v>-60010610</v>
      </c>
      <c r="BB8" s="10">
        <f t="shared" si="16"/>
        <v>-60010608</v>
      </c>
    </row>
    <row r="9">
      <c r="B9" s="42">
        <v>2.0</v>
      </c>
      <c r="C9" s="43" t="str">
        <f t="shared" ref="C9:G9" si="17">IFERROR(VLOOKUP($B9,$AN$7:$AS$11,C$5,FALSE),"")</f>
        <v>Dinamarca</v>
      </c>
      <c r="D9" s="44">
        <f t="shared" si="17"/>
        <v>6</v>
      </c>
      <c r="E9" s="44">
        <f t="shared" si="17"/>
        <v>6</v>
      </c>
      <c r="F9" s="44">
        <f t="shared" si="17"/>
        <v>5</v>
      </c>
      <c r="G9" s="45">
        <f t="shared" si="17"/>
        <v>1</v>
      </c>
      <c r="I9" s="46">
        <f t="shared" ref="I9:I12" si="19">I7+16</f>
        <v>23</v>
      </c>
      <c r="J9" s="47">
        <v>44891.0</v>
      </c>
      <c r="K9" s="48" t="s">
        <v>45</v>
      </c>
      <c r="L9" s="40">
        <v>0.0</v>
      </c>
      <c r="M9" s="41">
        <v>1.0</v>
      </c>
      <c r="N9" s="46" t="s">
        <v>47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Tunez_Australia</v>
      </c>
      <c r="AJ9" s="10">
        <f t="shared" si="3"/>
        <v>0</v>
      </c>
      <c r="AK9" s="10">
        <f t="shared" si="4"/>
        <v>3</v>
      </c>
      <c r="AL9" s="10" t="str">
        <f t="shared" si="5"/>
        <v>Australia</v>
      </c>
      <c r="AM9" s="10"/>
      <c r="AN9" s="10">
        <f t="shared" si="6"/>
        <v>4</v>
      </c>
      <c r="AO9" s="10" t="s">
        <v>45</v>
      </c>
      <c r="AP9" s="10">
        <f t="shared" si="7"/>
        <v>0</v>
      </c>
      <c r="AQ9" s="10">
        <f t="shared" si="8"/>
        <v>-4</v>
      </c>
      <c r="AR9" s="10">
        <f t="shared" si="9"/>
        <v>1</v>
      </c>
      <c r="AS9" s="10">
        <f t="shared" si="10"/>
        <v>5</v>
      </c>
      <c r="AT9" s="10"/>
      <c r="AU9" s="10"/>
      <c r="AV9" s="10" t="str">
        <f t="shared" si="11"/>
        <v>Tunez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39900</v>
      </c>
      <c r="BA9" s="10">
        <f t="shared" si="15"/>
        <v>39890</v>
      </c>
      <c r="BB9" s="10">
        <f t="shared" si="16"/>
        <v>39894</v>
      </c>
    </row>
    <row r="10">
      <c r="B10" s="49">
        <v>3.0</v>
      </c>
      <c r="C10" s="50" t="str">
        <f t="shared" ref="C10:G10" si="18">IFERROR(VLOOKUP($B10,$AN$7:$AS$11,C$5,FALSE),"")</f>
        <v>Australia</v>
      </c>
      <c r="D10" s="51">
        <f t="shared" si="18"/>
        <v>3</v>
      </c>
      <c r="E10" s="51">
        <f t="shared" si="18"/>
        <v>4</v>
      </c>
      <c r="F10" s="51">
        <f t="shared" si="18"/>
        <v>6</v>
      </c>
      <c r="G10" s="52">
        <f t="shared" si="18"/>
        <v>-2</v>
      </c>
      <c r="I10" s="37">
        <f t="shared" si="19"/>
        <v>24</v>
      </c>
      <c r="J10" s="38">
        <v>44891.0</v>
      </c>
      <c r="K10" s="39" t="s">
        <v>46</v>
      </c>
      <c r="L10" s="40">
        <v>3.0</v>
      </c>
      <c r="M10" s="41">
        <v>2.0</v>
      </c>
      <c r="N10" s="37" t="s">
        <v>44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Francia_Dinamarca</v>
      </c>
      <c r="AJ10" s="10">
        <f t="shared" si="3"/>
        <v>3</v>
      </c>
      <c r="AK10" s="10">
        <f t="shared" si="4"/>
        <v>0</v>
      </c>
      <c r="AL10" s="10" t="str">
        <f t="shared" si="5"/>
        <v>Francia</v>
      </c>
      <c r="AM10" s="10"/>
      <c r="AN10" s="10">
        <f t="shared" si="6"/>
        <v>3</v>
      </c>
      <c r="AO10" s="10" t="s">
        <v>47</v>
      </c>
      <c r="AP10" s="10">
        <f t="shared" si="7"/>
        <v>3</v>
      </c>
      <c r="AQ10" s="10">
        <f t="shared" si="8"/>
        <v>-2</v>
      </c>
      <c r="AR10" s="10">
        <f t="shared" si="9"/>
        <v>4</v>
      </c>
      <c r="AS10" s="10">
        <f t="shared" si="10"/>
        <v>6</v>
      </c>
      <c r="AT10" s="10"/>
      <c r="AU10" s="10"/>
      <c r="AV10" s="10" t="str">
        <f t="shared" si="11"/>
        <v>Australia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-29980400</v>
      </c>
      <c r="BA10" s="10">
        <f t="shared" si="15"/>
        <v>-29980410</v>
      </c>
      <c r="BB10" s="10">
        <f t="shared" si="16"/>
        <v>-29980407</v>
      </c>
    </row>
    <row r="11">
      <c r="B11" s="53">
        <v>4.0</v>
      </c>
      <c r="C11" s="54" t="str">
        <f t="shared" ref="C11:G11" si="20">IFERROR(VLOOKUP($B11,$AN$7:$AS$11,C$5,FALSE),"")</f>
        <v>Tunez</v>
      </c>
      <c r="D11" s="55">
        <f t="shared" si="20"/>
        <v>0</v>
      </c>
      <c r="E11" s="55">
        <f t="shared" si="20"/>
        <v>1</v>
      </c>
      <c r="F11" s="55">
        <f t="shared" si="20"/>
        <v>5</v>
      </c>
      <c r="G11" s="56">
        <f t="shared" si="20"/>
        <v>-4</v>
      </c>
      <c r="I11" s="46">
        <f t="shared" si="19"/>
        <v>39</v>
      </c>
      <c r="J11" s="47">
        <v>44895.0</v>
      </c>
      <c r="K11" s="48" t="s">
        <v>45</v>
      </c>
      <c r="L11" s="40">
        <v>0.0</v>
      </c>
      <c r="M11" s="41">
        <v>2.0</v>
      </c>
      <c r="N11" s="46" t="s">
        <v>46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Tunez_Francia</v>
      </c>
      <c r="AJ11" s="10">
        <f t="shared" si="3"/>
        <v>0</v>
      </c>
      <c r="AK11" s="10">
        <f t="shared" si="4"/>
        <v>3</v>
      </c>
      <c r="AL11" s="10" t="str">
        <f t="shared" si="5"/>
        <v>Francia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40</v>
      </c>
      <c r="J12" s="58">
        <v>44895.0</v>
      </c>
      <c r="K12" s="59" t="s">
        <v>47</v>
      </c>
      <c r="L12" s="60">
        <v>1.0</v>
      </c>
      <c r="M12" s="61">
        <v>2.0</v>
      </c>
      <c r="N12" s="57" t="s">
        <v>44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Australia_Dinamarca</v>
      </c>
      <c r="AJ12" s="10">
        <f t="shared" si="3"/>
        <v>0</v>
      </c>
      <c r="AK12" s="10">
        <f t="shared" si="4"/>
        <v>3</v>
      </c>
      <c r="AL12" s="10" t="str">
        <f t="shared" si="5"/>
        <v>Dinamarca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46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44</v>
      </c>
      <c r="K24" s="73"/>
      <c r="L24" s="74"/>
      <c r="M24" s="84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45</v>
      </c>
      <c r="K25" s="73"/>
      <c r="L25" s="74"/>
      <c r="M25" s="75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47</v>
      </c>
      <c r="K26" s="77"/>
      <c r="L26" s="9"/>
      <c r="M26" s="83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48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9.0</v>
      </c>
      <c r="J7" s="29">
        <v>44888.0</v>
      </c>
      <c r="K7" s="30" t="s">
        <v>49</v>
      </c>
      <c r="L7" s="31">
        <v>3.0</v>
      </c>
      <c r="M7" s="32">
        <v>1.0</v>
      </c>
      <c r="N7" s="28" t="s">
        <v>50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Alemania_Japon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Alemania</v>
      </c>
      <c r="AM7" s="10"/>
      <c r="AN7" s="10">
        <f t="shared" ref="AN7:AN10" si="6">_xlfn.RANK.EQ(BB7,BB$7:BB$11,1)</f>
        <v>2</v>
      </c>
      <c r="AO7" s="10" t="s">
        <v>51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2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5</v>
      </c>
      <c r="AT7" s="10"/>
      <c r="AU7" s="10"/>
      <c r="AV7" s="10" t="str">
        <f t="shared" ref="AV7:AV10" si="11">AO7</f>
        <v>España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-60020700</v>
      </c>
      <c r="BA7" s="10">
        <f t="shared" ref="BA7:BA10" si="15">AZ7-AY7*10</f>
        <v>-60020710</v>
      </c>
      <c r="BB7" s="10">
        <f t="shared" ref="BB7:BB10" si="16">BA7+N23</f>
        <v>-60020708</v>
      </c>
    </row>
    <row r="8">
      <c r="B8" s="33">
        <v>1.0</v>
      </c>
      <c r="C8" s="34" t="str">
        <f t="shared" ref="C8:G8" si="1">IFERROR(VLOOKUP($B8,$AN$7:$AS$11,C$5,FALSE),"")</f>
        <v>Alemania</v>
      </c>
      <c r="D8" s="35">
        <f t="shared" si="1"/>
        <v>9</v>
      </c>
      <c r="E8" s="35">
        <f t="shared" si="1"/>
        <v>11</v>
      </c>
      <c r="F8" s="35">
        <f t="shared" si="1"/>
        <v>3</v>
      </c>
      <c r="G8" s="36">
        <f t="shared" si="1"/>
        <v>8</v>
      </c>
      <c r="I8" s="37">
        <v>10.0</v>
      </c>
      <c r="J8" s="38">
        <v>44888.0</v>
      </c>
      <c r="K8" s="39" t="s">
        <v>51</v>
      </c>
      <c r="L8" s="40">
        <v>2.0</v>
      </c>
      <c r="M8" s="41">
        <v>0.0</v>
      </c>
      <c r="N8" s="37" t="s">
        <v>52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España_Costa Rica</v>
      </c>
      <c r="AJ8" s="10">
        <f t="shared" si="3"/>
        <v>3</v>
      </c>
      <c r="AK8" s="10">
        <f t="shared" si="4"/>
        <v>0</v>
      </c>
      <c r="AL8" s="10" t="str">
        <f t="shared" si="5"/>
        <v>España</v>
      </c>
      <c r="AM8" s="10"/>
      <c r="AN8" s="10">
        <f t="shared" si="6"/>
        <v>1</v>
      </c>
      <c r="AO8" s="10" t="s">
        <v>49</v>
      </c>
      <c r="AP8" s="10">
        <f t="shared" si="7"/>
        <v>9</v>
      </c>
      <c r="AQ8" s="10">
        <f t="shared" si="8"/>
        <v>8</v>
      </c>
      <c r="AR8" s="10">
        <f t="shared" si="9"/>
        <v>11</v>
      </c>
      <c r="AS8" s="10">
        <f t="shared" si="10"/>
        <v>3</v>
      </c>
      <c r="AT8" s="10"/>
      <c r="AU8" s="10"/>
      <c r="AV8" s="10" t="str">
        <f t="shared" si="11"/>
        <v>Alemania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-90081100</v>
      </c>
      <c r="BA8" s="10">
        <f t="shared" si="15"/>
        <v>-90081110</v>
      </c>
      <c r="BB8" s="10">
        <f t="shared" si="16"/>
        <v>-90081109</v>
      </c>
    </row>
    <row r="9">
      <c r="B9" s="42">
        <v>2.0</v>
      </c>
      <c r="C9" s="43" t="str">
        <f t="shared" ref="C9:G9" si="17">IFERROR(VLOOKUP($B9,$AN$7:$AS$11,C$5,FALSE),"")</f>
        <v>España</v>
      </c>
      <c r="D9" s="44">
        <f t="shared" si="17"/>
        <v>6</v>
      </c>
      <c r="E9" s="44">
        <f t="shared" si="17"/>
        <v>7</v>
      </c>
      <c r="F9" s="44">
        <f t="shared" si="17"/>
        <v>5</v>
      </c>
      <c r="G9" s="45">
        <f t="shared" si="17"/>
        <v>2</v>
      </c>
      <c r="I9" s="46">
        <f t="shared" ref="I9:I12" si="19">I7+16</f>
        <v>25</v>
      </c>
      <c r="J9" s="47">
        <v>44892.0</v>
      </c>
      <c r="K9" s="48" t="s">
        <v>50</v>
      </c>
      <c r="L9" s="40">
        <v>0.0</v>
      </c>
      <c r="M9" s="41">
        <v>0.0</v>
      </c>
      <c r="N9" s="46" t="s">
        <v>52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Japon_Costa Rica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50</v>
      </c>
      <c r="AP9" s="10">
        <f t="shared" si="7"/>
        <v>1</v>
      </c>
      <c r="AQ9" s="10">
        <f t="shared" si="8"/>
        <v>-4</v>
      </c>
      <c r="AR9" s="10">
        <f t="shared" si="9"/>
        <v>2</v>
      </c>
      <c r="AS9" s="10">
        <f t="shared" si="10"/>
        <v>6</v>
      </c>
      <c r="AT9" s="10"/>
      <c r="AU9" s="10"/>
      <c r="AV9" s="10" t="str">
        <f t="shared" si="11"/>
        <v>Japon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-9960200</v>
      </c>
      <c r="BA9" s="10">
        <f t="shared" si="15"/>
        <v>-9960210</v>
      </c>
      <c r="BB9" s="10">
        <f t="shared" si="16"/>
        <v>-9960207</v>
      </c>
    </row>
    <row r="10">
      <c r="B10" s="49">
        <v>3.0</v>
      </c>
      <c r="C10" s="50" t="str">
        <f t="shared" ref="C10:G10" si="18">IFERROR(VLOOKUP($B10,$AN$7:$AS$11,C$5,FALSE),"")</f>
        <v>Japon</v>
      </c>
      <c r="D10" s="51">
        <f t="shared" si="18"/>
        <v>1</v>
      </c>
      <c r="E10" s="51">
        <f t="shared" si="18"/>
        <v>2</v>
      </c>
      <c r="F10" s="51">
        <f t="shared" si="18"/>
        <v>6</v>
      </c>
      <c r="G10" s="52">
        <f t="shared" si="18"/>
        <v>-4</v>
      </c>
      <c r="I10" s="37">
        <f t="shared" si="19"/>
        <v>26</v>
      </c>
      <c r="J10" s="38">
        <v>44892.0</v>
      </c>
      <c r="K10" s="39" t="s">
        <v>51</v>
      </c>
      <c r="L10" s="40">
        <v>2.0</v>
      </c>
      <c r="M10" s="41">
        <v>4.0</v>
      </c>
      <c r="N10" s="37" t="s">
        <v>49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España_Alemania</v>
      </c>
      <c r="AJ10" s="10">
        <f t="shared" si="3"/>
        <v>0</v>
      </c>
      <c r="AK10" s="10">
        <f t="shared" si="4"/>
        <v>3</v>
      </c>
      <c r="AL10" s="10" t="str">
        <f t="shared" si="5"/>
        <v>Alemania</v>
      </c>
      <c r="AM10" s="10"/>
      <c r="AN10" s="10">
        <f t="shared" si="6"/>
        <v>4</v>
      </c>
      <c r="AO10" s="10" t="s">
        <v>52</v>
      </c>
      <c r="AP10" s="10">
        <f t="shared" si="7"/>
        <v>1</v>
      </c>
      <c r="AQ10" s="10">
        <f t="shared" si="8"/>
        <v>-6</v>
      </c>
      <c r="AR10" s="10">
        <f t="shared" si="9"/>
        <v>0</v>
      </c>
      <c r="AS10" s="10">
        <f t="shared" si="10"/>
        <v>6</v>
      </c>
      <c r="AT10" s="10"/>
      <c r="AU10" s="10"/>
      <c r="AV10" s="10" t="str">
        <f t="shared" si="11"/>
        <v>Costa Rica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-9940000</v>
      </c>
      <c r="BA10" s="10">
        <f t="shared" si="15"/>
        <v>-9940010</v>
      </c>
      <c r="BB10" s="10">
        <f t="shared" si="16"/>
        <v>-9940006</v>
      </c>
    </row>
    <row r="11">
      <c r="B11" s="53">
        <v>4.0</v>
      </c>
      <c r="C11" s="54" t="str">
        <f t="shared" ref="C11:G11" si="20">IFERROR(VLOOKUP($B11,$AN$7:$AS$11,C$5,FALSE),"")</f>
        <v>Costa Rica</v>
      </c>
      <c r="D11" s="55">
        <f t="shared" si="20"/>
        <v>1</v>
      </c>
      <c r="E11" s="55">
        <f t="shared" si="20"/>
        <v>0</v>
      </c>
      <c r="F11" s="55">
        <f t="shared" si="20"/>
        <v>6</v>
      </c>
      <c r="G11" s="56">
        <f t="shared" si="20"/>
        <v>-6</v>
      </c>
      <c r="I11" s="46">
        <f t="shared" si="19"/>
        <v>41</v>
      </c>
      <c r="J11" s="47">
        <v>44896.0</v>
      </c>
      <c r="K11" s="48" t="s">
        <v>50</v>
      </c>
      <c r="L11" s="40">
        <v>1.0</v>
      </c>
      <c r="M11" s="41">
        <v>3.0</v>
      </c>
      <c r="N11" s="46" t="s">
        <v>51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Japon_España</v>
      </c>
      <c r="AJ11" s="10">
        <f t="shared" si="3"/>
        <v>0</v>
      </c>
      <c r="AK11" s="10">
        <f t="shared" si="4"/>
        <v>3</v>
      </c>
      <c r="AL11" s="10" t="str">
        <f t="shared" si="5"/>
        <v>España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42</v>
      </c>
      <c r="J12" s="58">
        <v>44896.0</v>
      </c>
      <c r="K12" s="59" t="s">
        <v>52</v>
      </c>
      <c r="L12" s="60">
        <v>0.0</v>
      </c>
      <c r="M12" s="61">
        <v>4.0</v>
      </c>
      <c r="N12" s="57" t="s">
        <v>49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Costa Rica_Alemania</v>
      </c>
      <c r="AJ12" s="10">
        <f t="shared" si="3"/>
        <v>0</v>
      </c>
      <c r="AK12" s="10">
        <f t="shared" si="4"/>
        <v>3</v>
      </c>
      <c r="AL12" s="10" t="str">
        <f t="shared" si="5"/>
        <v>Alemania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51</v>
      </c>
      <c r="K23" s="69"/>
      <c r="L23" s="6"/>
      <c r="M23" s="70">
        <v>2.0</v>
      </c>
      <c r="N23" s="71">
        <f t="shared" ref="N23:N27" si="22">IF(J23="",0,M23)</f>
        <v>2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49</v>
      </c>
      <c r="K24" s="73"/>
      <c r="L24" s="74"/>
      <c r="M24" s="75">
        <v>1.0</v>
      </c>
      <c r="N24" s="71">
        <f t="shared" si="22"/>
        <v>1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50</v>
      </c>
      <c r="K25" s="73"/>
      <c r="L25" s="74"/>
      <c r="M25" s="84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52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11.0</v>
      </c>
      <c r="J7" s="29">
        <v>44888.0</v>
      </c>
      <c r="K7" s="30" t="s">
        <v>54</v>
      </c>
      <c r="L7" s="31">
        <v>0.0</v>
      </c>
      <c r="M7" s="32">
        <v>2.0</v>
      </c>
      <c r="N7" s="28" t="s">
        <v>55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Marruecos_Croacia</v>
      </c>
      <c r="AJ7" s="10">
        <f t="shared" ref="AJ7:AJ12" si="3">IF(L7&gt;M7,3,IF(L7&lt;M7,0,1))</f>
        <v>0</v>
      </c>
      <c r="AK7" s="10">
        <f t="shared" ref="AK7:AK12" si="4">IF(AJ7=3,0,IF(AJ7=1,1,3))</f>
        <v>3</v>
      </c>
      <c r="AL7" s="10" t="str">
        <f t="shared" ref="AL7:AL12" si="5">IF(AJ7&gt;AK7,K7,IF(AK7&gt;AJ7,N7,"SIN GANADOR"))</f>
        <v>Croacia</v>
      </c>
      <c r="AM7" s="10"/>
      <c r="AN7" s="10">
        <f t="shared" ref="AN7:AN10" si="6">_xlfn.RANK.EQ(BB7,BB$7:BB$11,1)</f>
        <v>1</v>
      </c>
      <c r="AO7" s="10" t="s">
        <v>56</v>
      </c>
      <c r="AP7" s="10">
        <f t="shared" ref="AP7:AP10" si="7">SUMIF($K$7:$K$12,AO7,$AJ$7:$AJ$12) + SUMIF($N$7:$N$12,AO7,$AK$7:$AK$12)</f>
        <v>7</v>
      </c>
      <c r="AQ7" s="10">
        <f t="shared" ref="AQ7:AQ10" si="8">AR7-AS7</f>
        <v>3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Belgica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-70030700</v>
      </c>
      <c r="BA7" s="10">
        <f t="shared" ref="BA7:BA10" si="15">AZ7-AY7*10</f>
        <v>-70030710</v>
      </c>
      <c r="BB7" s="10">
        <f t="shared" ref="BB7:BB10" si="16">BA7+N23</f>
        <v>-70030709</v>
      </c>
    </row>
    <row r="8">
      <c r="B8" s="33">
        <v>1.0</v>
      </c>
      <c r="C8" s="34" t="str">
        <f t="shared" ref="C8:G8" si="1">IFERROR(VLOOKUP($B8,$AN$7:$AS$11,C$5,FALSE),"")</f>
        <v>Belgica</v>
      </c>
      <c r="D8" s="35">
        <f t="shared" si="1"/>
        <v>7</v>
      </c>
      <c r="E8" s="35">
        <f t="shared" si="1"/>
        <v>7</v>
      </c>
      <c r="F8" s="35">
        <f t="shared" si="1"/>
        <v>4</v>
      </c>
      <c r="G8" s="36">
        <f t="shared" si="1"/>
        <v>3</v>
      </c>
      <c r="I8" s="37">
        <v>12.0</v>
      </c>
      <c r="J8" s="38">
        <v>44888.0</v>
      </c>
      <c r="K8" s="39" t="s">
        <v>56</v>
      </c>
      <c r="L8" s="40">
        <v>3.0</v>
      </c>
      <c r="M8" s="41">
        <v>1.0</v>
      </c>
      <c r="N8" s="37" t="s">
        <v>57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Belgica_Canada</v>
      </c>
      <c r="AJ8" s="10">
        <f t="shared" si="3"/>
        <v>3</v>
      </c>
      <c r="AK8" s="10">
        <f t="shared" si="4"/>
        <v>0</v>
      </c>
      <c r="AL8" s="10" t="str">
        <f t="shared" si="5"/>
        <v>Belgica</v>
      </c>
      <c r="AM8" s="10"/>
      <c r="AN8" s="10">
        <f t="shared" si="6"/>
        <v>2</v>
      </c>
      <c r="AO8" s="10" t="s">
        <v>55</v>
      </c>
      <c r="AP8" s="10">
        <f t="shared" si="7"/>
        <v>7</v>
      </c>
      <c r="AQ8" s="10">
        <f t="shared" si="8"/>
        <v>3</v>
      </c>
      <c r="AR8" s="10">
        <f t="shared" si="9"/>
        <v>6</v>
      </c>
      <c r="AS8" s="10">
        <f t="shared" si="10"/>
        <v>3</v>
      </c>
      <c r="AT8" s="10"/>
      <c r="AU8" s="10"/>
      <c r="AV8" s="10" t="str">
        <f t="shared" si="11"/>
        <v>Croacia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-70030600</v>
      </c>
      <c r="BA8" s="10">
        <f t="shared" si="15"/>
        <v>-70030610</v>
      </c>
      <c r="BB8" s="10">
        <f t="shared" si="16"/>
        <v>-70030608</v>
      </c>
    </row>
    <row r="9">
      <c r="B9" s="42">
        <v>2.0</v>
      </c>
      <c r="C9" s="43" t="str">
        <f t="shared" ref="C9:G9" si="17">IFERROR(VLOOKUP($B9,$AN$7:$AS$11,C$5,FALSE),"")</f>
        <v>Croacia</v>
      </c>
      <c r="D9" s="44">
        <f t="shared" si="17"/>
        <v>7</v>
      </c>
      <c r="E9" s="44">
        <f t="shared" si="17"/>
        <v>6</v>
      </c>
      <c r="F9" s="44">
        <f t="shared" si="17"/>
        <v>3</v>
      </c>
      <c r="G9" s="45">
        <f t="shared" si="17"/>
        <v>3</v>
      </c>
      <c r="I9" s="46">
        <f t="shared" ref="I9:I12" si="19">I7+16</f>
        <v>27</v>
      </c>
      <c r="J9" s="47">
        <v>44892.0</v>
      </c>
      <c r="K9" s="48" t="s">
        <v>56</v>
      </c>
      <c r="L9" s="40">
        <v>2.0</v>
      </c>
      <c r="M9" s="41">
        <v>1.0</v>
      </c>
      <c r="N9" s="46" t="s">
        <v>54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Belgica_Marruecos</v>
      </c>
      <c r="AJ9" s="10">
        <f t="shared" si="3"/>
        <v>3</v>
      </c>
      <c r="AK9" s="10">
        <f t="shared" si="4"/>
        <v>0</v>
      </c>
      <c r="AL9" s="10" t="str">
        <f t="shared" si="5"/>
        <v>Belgica</v>
      </c>
      <c r="AM9" s="10"/>
      <c r="AN9" s="10">
        <f t="shared" si="6"/>
        <v>4</v>
      </c>
      <c r="AO9" s="10" t="s">
        <v>54</v>
      </c>
      <c r="AP9" s="10">
        <f t="shared" si="7"/>
        <v>0</v>
      </c>
      <c r="AQ9" s="10">
        <f t="shared" si="8"/>
        <v>-4</v>
      </c>
      <c r="AR9" s="10">
        <f t="shared" si="9"/>
        <v>1</v>
      </c>
      <c r="AS9" s="10">
        <f t="shared" si="10"/>
        <v>5</v>
      </c>
      <c r="AT9" s="10"/>
      <c r="AU9" s="10"/>
      <c r="AV9" s="10" t="str">
        <f t="shared" si="11"/>
        <v>Marruecos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39900</v>
      </c>
      <c r="BA9" s="10">
        <f t="shared" si="15"/>
        <v>39890</v>
      </c>
      <c r="BB9" s="10">
        <f t="shared" si="16"/>
        <v>39894</v>
      </c>
    </row>
    <row r="10">
      <c r="B10" s="49">
        <v>3.0</v>
      </c>
      <c r="C10" s="50" t="str">
        <f t="shared" ref="C10:G10" si="18">IFERROR(VLOOKUP($B10,$AN$7:$AS$11,C$5,FALSE),"")</f>
        <v>Canada</v>
      </c>
      <c r="D10" s="51">
        <f t="shared" si="18"/>
        <v>3</v>
      </c>
      <c r="E10" s="51">
        <f t="shared" si="18"/>
        <v>3</v>
      </c>
      <c r="F10" s="51">
        <f t="shared" si="18"/>
        <v>5</v>
      </c>
      <c r="G10" s="52">
        <f t="shared" si="18"/>
        <v>-2</v>
      </c>
      <c r="I10" s="37">
        <f t="shared" si="19"/>
        <v>28</v>
      </c>
      <c r="J10" s="38">
        <v>44892.0</v>
      </c>
      <c r="K10" s="39" t="s">
        <v>55</v>
      </c>
      <c r="L10" s="40">
        <v>2.0</v>
      </c>
      <c r="M10" s="41">
        <v>1.0</v>
      </c>
      <c r="N10" s="37" t="s">
        <v>57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Croacia_Canada</v>
      </c>
      <c r="AJ10" s="10">
        <f t="shared" si="3"/>
        <v>3</v>
      </c>
      <c r="AK10" s="10">
        <f t="shared" si="4"/>
        <v>0</v>
      </c>
      <c r="AL10" s="10" t="str">
        <f t="shared" si="5"/>
        <v>Croacia</v>
      </c>
      <c r="AM10" s="10"/>
      <c r="AN10" s="10">
        <f t="shared" si="6"/>
        <v>3</v>
      </c>
      <c r="AO10" s="10" t="s">
        <v>57</v>
      </c>
      <c r="AP10" s="10">
        <f t="shared" si="7"/>
        <v>3</v>
      </c>
      <c r="AQ10" s="10">
        <f t="shared" si="8"/>
        <v>-2</v>
      </c>
      <c r="AR10" s="10">
        <f t="shared" si="9"/>
        <v>3</v>
      </c>
      <c r="AS10" s="10">
        <f t="shared" si="10"/>
        <v>5</v>
      </c>
      <c r="AT10" s="10"/>
      <c r="AU10" s="10"/>
      <c r="AV10" s="10" t="str">
        <f t="shared" si="11"/>
        <v>Canada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-29980300</v>
      </c>
      <c r="BA10" s="10">
        <f t="shared" si="15"/>
        <v>-29980310</v>
      </c>
      <c r="BB10" s="10">
        <f t="shared" si="16"/>
        <v>-29980307</v>
      </c>
    </row>
    <row r="11">
      <c r="B11" s="53">
        <v>4.0</v>
      </c>
      <c r="C11" s="54" t="str">
        <f t="shared" ref="C11:G11" si="20">IFERROR(VLOOKUP($B11,$AN$7:$AS$11,C$5,FALSE),"")</f>
        <v>Marruecos</v>
      </c>
      <c r="D11" s="55">
        <f t="shared" si="20"/>
        <v>0</v>
      </c>
      <c r="E11" s="55">
        <f t="shared" si="20"/>
        <v>1</v>
      </c>
      <c r="F11" s="55">
        <f t="shared" si="20"/>
        <v>5</v>
      </c>
      <c r="G11" s="56">
        <f t="shared" si="20"/>
        <v>-4</v>
      </c>
      <c r="I11" s="46">
        <f t="shared" si="19"/>
        <v>43</v>
      </c>
      <c r="J11" s="47">
        <v>44896.0</v>
      </c>
      <c r="K11" s="48" t="s">
        <v>55</v>
      </c>
      <c r="L11" s="40">
        <v>2.0</v>
      </c>
      <c r="M11" s="41">
        <v>2.0</v>
      </c>
      <c r="N11" s="46" t="s">
        <v>56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Croacia_Belgica</v>
      </c>
      <c r="AJ11" s="10">
        <f t="shared" si="3"/>
        <v>1</v>
      </c>
      <c r="AK11" s="10">
        <f t="shared" si="4"/>
        <v>1</v>
      </c>
      <c r="AL11" s="10" t="str">
        <f t="shared" si="5"/>
        <v>SIN GANADOR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44</v>
      </c>
      <c r="J12" s="58">
        <v>44896.0</v>
      </c>
      <c r="K12" s="59" t="s">
        <v>57</v>
      </c>
      <c r="L12" s="60">
        <v>1.0</v>
      </c>
      <c r="M12" s="61">
        <v>0.0</v>
      </c>
      <c r="N12" s="57" t="s">
        <v>54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Canada_Marruecos</v>
      </c>
      <c r="AJ12" s="10">
        <f t="shared" si="3"/>
        <v>3</v>
      </c>
      <c r="AK12" s="10">
        <f t="shared" si="4"/>
        <v>0</v>
      </c>
      <c r="AL12" s="10" t="str">
        <f t="shared" si="5"/>
        <v>Canada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56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55</v>
      </c>
      <c r="K24" s="73"/>
      <c r="L24" s="74"/>
      <c r="M24" s="84">
        <v>2.0</v>
      </c>
      <c r="N24" s="71">
        <f t="shared" si="22"/>
        <v>2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54</v>
      </c>
      <c r="K25" s="73"/>
      <c r="L25" s="74"/>
      <c r="M25" s="75">
        <v>4.0</v>
      </c>
      <c r="N25" s="71">
        <f t="shared" si="22"/>
        <v>4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57</v>
      </c>
      <c r="K26" s="77"/>
      <c r="L26" s="9"/>
      <c r="M26" s="83">
        <v>3.0</v>
      </c>
      <c r="N26" s="71">
        <f t="shared" si="22"/>
        <v>3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58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13.0</v>
      </c>
      <c r="J7" s="29">
        <v>44889.0</v>
      </c>
      <c r="K7" s="30" t="s">
        <v>59</v>
      </c>
      <c r="L7" s="31">
        <v>2.0</v>
      </c>
      <c r="M7" s="32">
        <v>2.0</v>
      </c>
      <c r="N7" s="28" t="s">
        <v>60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Suiza_Camerun</v>
      </c>
      <c r="AJ7" s="10">
        <f t="shared" ref="AJ7:AJ12" si="3">IF(L7&gt;M7,3,IF(L7&lt;M7,0,1))</f>
        <v>1</v>
      </c>
      <c r="AK7" s="10">
        <f t="shared" ref="AK7:AK12" si="4">IF(AJ7=3,0,IF(AJ7=1,1,3))</f>
        <v>1</v>
      </c>
      <c r="AL7" s="10" t="str">
        <f t="shared" ref="AL7:AL12" si="5">IF(AJ7&gt;AK7,K7,IF(AK7&gt;AJ7,N7,"SIN GANADOR"))</f>
        <v>SIN GANADOR</v>
      </c>
      <c r="AM7" s="10"/>
      <c r="AN7" s="10">
        <f t="shared" ref="AN7:AN10" si="6">_xlfn.RANK.EQ(BB7,BB$7:BB$11,1)</f>
        <v>1</v>
      </c>
      <c r="AO7" s="10" t="s">
        <v>61</v>
      </c>
      <c r="AP7" s="10">
        <f t="shared" ref="AP7:AP10" si="7">SUMIF($K$7:$K$12,AO7,$AJ$7:$AJ$12) + SUMIF($N$7:$N$12,AO7,$AK$7:$AK$12)</f>
        <v>9</v>
      </c>
      <c r="AQ7" s="10">
        <f t="shared" ref="AQ7:AQ10" si="8">AR7-AS7</f>
        <v>7</v>
      </c>
      <c r="AR7" s="10">
        <f t="shared" ref="AR7:AR10" si="9">SUMIF($K$7:$K$12,AO7,$L$7:$L$12) + SUMIF($N$7:$N$12,AO7,$M$7:$M$12)</f>
        <v>11</v>
      </c>
      <c r="AS7" s="10">
        <f t="shared" ref="AS7:AS10" si="10">SUMIF($K$7:$K$12,AO7,$M$7:$M$12) + SUMIF($N$7:$N$12,AO7,$L$7:$L$12)</f>
        <v>4</v>
      </c>
      <c r="AT7" s="10"/>
      <c r="AU7" s="10"/>
      <c r="AV7" s="10" t="str">
        <f t="shared" ref="AV7:AV10" si="11">AO7</f>
        <v>Brasil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-90071100</v>
      </c>
      <c r="BA7" s="10">
        <f t="shared" ref="BA7:BA10" si="15">AZ7-AY7*10</f>
        <v>-90071110</v>
      </c>
      <c r="BB7" s="10">
        <f t="shared" ref="BB7:BB10" si="16">BA7+N23</f>
        <v>-90071109</v>
      </c>
    </row>
    <row r="8">
      <c r="B8" s="33">
        <v>1.0</v>
      </c>
      <c r="C8" s="34" t="str">
        <f t="shared" ref="C8:G8" si="1">IFERROR(VLOOKUP($B8,$AN$7:$AS$11,C$5,FALSE),"")</f>
        <v>Brasil</v>
      </c>
      <c r="D8" s="35">
        <f t="shared" si="1"/>
        <v>9</v>
      </c>
      <c r="E8" s="35">
        <f t="shared" si="1"/>
        <v>11</v>
      </c>
      <c r="F8" s="35">
        <f t="shared" si="1"/>
        <v>4</v>
      </c>
      <c r="G8" s="36">
        <f t="shared" si="1"/>
        <v>7</v>
      </c>
      <c r="I8" s="37">
        <v>14.0</v>
      </c>
      <c r="J8" s="38">
        <v>44889.0</v>
      </c>
      <c r="K8" s="39" t="s">
        <v>61</v>
      </c>
      <c r="L8" s="40">
        <v>4.0</v>
      </c>
      <c r="M8" s="41">
        <v>2.0</v>
      </c>
      <c r="N8" s="37" t="s">
        <v>62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Brasil_Serbia</v>
      </c>
      <c r="AJ8" s="10">
        <f t="shared" si="3"/>
        <v>3</v>
      </c>
      <c r="AK8" s="10">
        <f t="shared" si="4"/>
        <v>0</v>
      </c>
      <c r="AL8" s="10" t="str">
        <f t="shared" si="5"/>
        <v>Brasil</v>
      </c>
      <c r="AM8" s="10"/>
      <c r="AN8" s="10">
        <f t="shared" si="6"/>
        <v>3</v>
      </c>
      <c r="AO8" s="10" t="s">
        <v>59</v>
      </c>
      <c r="AP8" s="10">
        <f t="shared" si="7"/>
        <v>1</v>
      </c>
      <c r="AQ8" s="10">
        <f t="shared" si="8"/>
        <v>-3</v>
      </c>
      <c r="AR8" s="10">
        <f t="shared" si="9"/>
        <v>3</v>
      </c>
      <c r="AS8" s="10">
        <f t="shared" si="10"/>
        <v>6</v>
      </c>
      <c r="AT8" s="10"/>
      <c r="AU8" s="10"/>
      <c r="AV8" s="10" t="str">
        <f t="shared" si="11"/>
        <v>Suiza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-9970300</v>
      </c>
      <c r="BA8" s="10">
        <f t="shared" si="15"/>
        <v>-9970310</v>
      </c>
      <c r="BB8" s="10">
        <f t="shared" si="16"/>
        <v>-9970307</v>
      </c>
    </row>
    <row r="9">
      <c r="B9" s="42">
        <v>2.0</v>
      </c>
      <c r="C9" s="43" t="str">
        <f t="shared" ref="C9:G9" si="17">IFERROR(VLOOKUP($B9,$AN$7:$AS$11,C$5,FALSE),"")</f>
        <v>Serbia</v>
      </c>
      <c r="D9" s="44">
        <f t="shared" si="17"/>
        <v>6</v>
      </c>
      <c r="E9" s="44">
        <f t="shared" si="17"/>
        <v>5</v>
      </c>
      <c r="F9" s="44">
        <f t="shared" si="17"/>
        <v>5</v>
      </c>
      <c r="G9" s="45">
        <f t="shared" si="17"/>
        <v>0</v>
      </c>
      <c r="I9" s="46">
        <f t="shared" ref="I9:I12" si="19">I7+16</f>
        <v>29</v>
      </c>
      <c r="J9" s="47">
        <v>44893.0</v>
      </c>
      <c r="K9" s="48" t="s">
        <v>60</v>
      </c>
      <c r="L9" s="40">
        <v>1.0</v>
      </c>
      <c r="M9" s="41">
        <v>2.0</v>
      </c>
      <c r="N9" s="46" t="s">
        <v>62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Camerun_Serbia</v>
      </c>
      <c r="AJ9" s="10">
        <f t="shared" si="3"/>
        <v>0</v>
      </c>
      <c r="AK9" s="10">
        <f t="shared" si="4"/>
        <v>3</v>
      </c>
      <c r="AL9" s="10" t="str">
        <f t="shared" si="5"/>
        <v>Serbia</v>
      </c>
      <c r="AM9" s="10"/>
      <c r="AN9" s="10">
        <f t="shared" si="6"/>
        <v>2</v>
      </c>
      <c r="AO9" s="10" t="s">
        <v>62</v>
      </c>
      <c r="AP9" s="10">
        <f t="shared" si="7"/>
        <v>6</v>
      </c>
      <c r="AQ9" s="10">
        <f t="shared" si="8"/>
        <v>0</v>
      </c>
      <c r="AR9" s="10">
        <f t="shared" si="9"/>
        <v>5</v>
      </c>
      <c r="AS9" s="10">
        <f t="shared" si="10"/>
        <v>5</v>
      </c>
      <c r="AT9" s="10"/>
      <c r="AU9" s="10"/>
      <c r="AV9" s="10" t="str">
        <f t="shared" si="11"/>
        <v>Serbia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-60000500</v>
      </c>
      <c r="BA9" s="10">
        <f t="shared" si="15"/>
        <v>-60000510</v>
      </c>
      <c r="BB9" s="10">
        <f t="shared" si="16"/>
        <v>-60000508</v>
      </c>
    </row>
    <row r="10">
      <c r="B10" s="49">
        <v>3.0</v>
      </c>
      <c r="C10" s="50" t="str">
        <f t="shared" ref="C10:G10" si="18">IFERROR(VLOOKUP($B10,$AN$7:$AS$11,C$5,FALSE),"")</f>
        <v>Suiza</v>
      </c>
      <c r="D10" s="51">
        <f t="shared" si="18"/>
        <v>1</v>
      </c>
      <c r="E10" s="51">
        <f t="shared" si="18"/>
        <v>3</v>
      </c>
      <c r="F10" s="51">
        <f t="shared" si="18"/>
        <v>6</v>
      </c>
      <c r="G10" s="52">
        <f t="shared" si="18"/>
        <v>-3</v>
      </c>
      <c r="I10" s="37">
        <f t="shared" si="19"/>
        <v>30</v>
      </c>
      <c r="J10" s="38">
        <v>44893.0</v>
      </c>
      <c r="K10" s="39" t="s">
        <v>61</v>
      </c>
      <c r="L10" s="40">
        <v>3.0</v>
      </c>
      <c r="M10" s="41">
        <v>1.0</v>
      </c>
      <c r="N10" s="37" t="s">
        <v>59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Brasil_Suiza</v>
      </c>
      <c r="AJ10" s="10">
        <f t="shared" si="3"/>
        <v>3</v>
      </c>
      <c r="AK10" s="10">
        <f t="shared" si="4"/>
        <v>0</v>
      </c>
      <c r="AL10" s="10" t="str">
        <f t="shared" si="5"/>
        <v>Brasil</v>
      </c>
      <c r="AM10" s="10"/>
      <c r="AN10" s="10">
        <f t="shared" si="6"/>
        <v>4</v>
      </c>
      <c r="AO10" s="10" t="s">
        <v>60</v>
      </c>
      <c r="AP10" s="10">
        <f t="shared" si="7"/>
        <v>1</v>
      </c>
      <c r="AQ10" s="10">
        <f t="shared" si="8"/>
        <v>-4</v>
      </c>
      <c r="AR10" s="10">
        <f t="shared" si="9"/>
        <v>4</v>
      </c>
      <c r="AS10" s="10">
        <f t="shared" si="10"/>
        <v>8</v>
      </c>
      <c r="AT10" s="10"/>
      <c r="AU10" s="10"/>
      <c r="AV10" s="10" t="str">
        <f t="shared" si="11"/>
        <v>Camerun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-9960400</v>
      </c>
      <c r="BA10" s="10">
        <f t="shared" si="15"/>
        <v>-9960410</v>
      </c>
      <c r="BB10" s="10">
        <f t="shared" si="16"/>
        <v>-9960406</v>
      </c>
    </row>
    <row r="11">
      <c r="B11" s="53">
        <v>4.0</v>
      </c>
      <c r="C11" s="54" t="str">
        <f t="shared" ref="C11:G11" si="20">IFERROR(VLOOKUP($B11,$AN$7:$AS$11,C$5,FALSE),"")</f>
        <v>Camerun</v>
      </c>
      <c r="D11" s="55">
        <f t="shared" si="20"/>
        <v>1</v>
      </c>
      <c r="E11" s="55">
        <f t="shared" si="20"/>
        <v>4</v>
      </c>
      <c r="F11" s="55">
        <f t="shared" si="20"/>
        <v>8</v>
      </c>
      <c r="G11" s="56">
        <f t="shared" si="20"/>
        <v>-4</v>
      </c>
      <c r="I11" s="46">
        <f t="shared" si="19"/>
        <v>45</v>
      </c>
      <c r="J11" s="47">
        <v>44897.0</v>
      </c>
      <c r="K11" s="48" t="s">
        <v>62</v>
      </c>
      <c r="L11" s="40">
        <v>1.0</v>
      </c>
      <c r="M11" s="41">
        <v>0.0</v>
      </c>
      <c r="N11" s="46" t="s">
        <v>59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Serbia_Suiza</v>
      </c>
      <c r="AJ11" s="10">
        <f t="shared" si="3"/>
        <v>3</v>
      </c>
      <c r="AK11" s="10">
        <f t="shared" si="4"/>
        <v>0</v>
      </c>
      <c r="AL11" s="10" t="str">
        <f t="shared" si="5"/>
        <v>Serbia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46</v>
      </c>
      <c r="J12" s="58">
        <v>44897.0</v>
      </c>
      <c r="K12" s="59" t="s">
        <v>60</v>
      </c>
      <c r="L12" s="60">
        <v>1.0</v>
      </c>
      <c r="M12" s="61">
        <v>4.0</v>
      </c>
      <c r="N12" s="57" t="s">
        <v>61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Camerun_Brasil</v>
      </c>
      <c r="AJ12" s="10">
        <f t="shared" si="3"/>
        <v>0</v>
      </c>
      <c r="AK12" s="10">
        <f t="shared" si="4"/>
        <v>3</v>
      </c>
      <c r="AL12" s="10" t="str">
        <f t="shared" si="5"/>
        <v>Brasil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61</v>
      </c>
      <c r="K23" s="69"/>
      <c r="L23" s="6"/>
      <c r="M23" s="82">
        <v>1.0</v>
      </c>
      <c r="N23" s="71">
        <f t="shared" ref="N23:N27" si="22">IF(J23="",0,M23)</f>
        <v>1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59</v>
      </c>
      <c r="K24" s="73"/>
      <c r="L24" s="74"/>
      <c r="M24" s="75">
        <v>3.0</v>
      </c>
      <c r="N24" s="71">
        <f t="shared" si="22"/>
        <v>3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62</v>
      </c>
      <c r="K25" s="73"/>
      <c r="L25" s="74"/>
      <c r="M25" s="75">
        <v>2.0</v>
      </c>
      <c r="N25" s="71">
        <f t="shared" si="22"/>
        <v>2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60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3.71"/>
    <col customWidth="1" min="4" max="10" width="10.71"/>
    <col customWidth="1" min="11" max="11" width="13.71"/>
    <col customWidth="1" min="12" max="13" width="10.71"/>
    <col customWidth="1" min="14" max="34" width="13.71"/>
    <col customWidth="1" min="35" max="35" width="20.0"/>
    <col customWidth="1" min="36" max="46" width="11.43"/>
    <col customWidth="1" min="47" max="47" width="10.43"/>
    <col customWidth="1" min="48" max="48" width="13.71"/>
    <col customWidth="1" min="49" max="49" width="10.43"/>
    <col customWidth="1" min="50" max="50" width="9.86"/>
    <col customWidth="1" min="51" max="51" width="13.0"/>
    <col customWidth="1" min="52" max="52" width="29.86"/>
    <col customWidth="1" min="53" max="53" width="25.71"/>
    <col customWidth="1" min="54" max="54" width="11.43"/>
  </cols>
  <sheetData>
    <row r="1"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</row>
    <row r="2"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</row>
    <row r="3">
      <c r="B3" s="11" t="s">
        <v>63</v>
      </c>
      <c r="C3" s="12"/>
      <c r="D3" s="12"/>
      <c r="E3" s="12"/>
      <c r="F3" s="12"/>
      <c r="G3" s="13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</row>
    <row r="4">
      <c r="B4" s="14"/>
      <c r="C4" s="15"/>
      <c r="D4" s="15"/>
      <c r="E4" s="15"/>
      <c r="F4" s="15"/>
      <c r="G4" s="16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</row>
    <row r="5">
      <c r="B5" s="17"/>
      <c r="C5" s="18">
        <v>2.0</v>
      </c>
      <c r="D5" s="18">
        <v>3.0</v>
      </c>
      <c r="E5" s="18">
        <v>5.0</v>
      </c>
      <c r="F5" s="18">
        <v>6.0</v>
      </c>
      <c r="G5" s="18">
        <v>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</row>
    <row r="6">
      <c r="B6" s="19" t="s">
        <v>6</v>
      </c>
      <c r="C6" s="20"/>
      <c r="D6" s="20"/>
      <c r="E6" s="20"/>
      <c r="F6" s="20"/>
      <c r="G6" s="21"/>
      <c r="J6" s="22" t="s">
        <v>7</v>
      </c>
      <c r="K6" s="23" t="s">
        <v>8</v>
      </c>
      <c r="L6" s="20"/>
      <c r="M6" s="20"/>
      <c r="N6" s="21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0">
        <v>1.0</v>
      </c>
      <c r="AK6" s="10">
        <v>2.0</v>
      </c>
      <c r="AL6" s="10" t="s">
        <v>9</v>
      </c>
      <c r="AM6" s="10"/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14</v>
      </c>
      <c r="AS6" s="10" t="s">
        <v>15</v>
      </c>
      <c r="AT6" s="10"/>
      <c r="AU6" s="10"/>
      <c r="AV6" s="10" t="s">
        <v>11</v>
      </c>
      <c r="AW6" s="10" t="s">
        <v>16</v>
      </c>
      <c r="AX6" s="10" t="s">
        <v>9</v>
      </c>
      <c r="AY6" s="10" t="s">
        <v>17</v>
      </c>
      <c r="AZ6" s="10" t="s">
        <v>18</v>
      </c>
      <c r="BA6" s="10" t="s">
        <v>19</v>
      </c>
      <c r="BB6" s="10" t="s">
        <v>20</v>
      </c>
    </row>
    <row r="7">
      <c r="B7" s="24" t="s">
        <v>21</v>
      </c>
      <c r="C7" s="25" t="s">
        <v>11</v>
      </c>
      <c r="D7" s="26" t="s">
        <v>12</v>
      </c>
      <c r="E7" s="26" t="s">
        <v>14</v>
      </c>
      <c r="F7" s="26" t="s">
        <v>15</v>
      </c>
      <c r="G7" s="27" t="s">
        <v>13</v>
      </c>
      <c r="I7" s="28">
        <v>15.0</v>
      </c>
      <c r="J7" s="29">
        <v>44889.0</v>
      </c>
      <c r="K7" s="30" t="s">
        <v>64</v>
      </c>
      <c r="L7" s="31">
        <v>3.0</v>
      </c>
      <c r="M7" s="32">
        <v>1.0</v>
      </c>
      <c r="N7" s="28" t="s">
        <v>65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8" t="str">
        <f t="shared" ref="AI7:AI12" si="2">CONCATENATE(K7,"_",N7)</f>
        <v>Uruguay_Corea</v>
      </c>
      <c r="AJ7" s="10">
        <f t="shared" ref="AJ7:AJ12" si="3">IF(L7&gt;M7,3,IF(L7&lt;M7,0,1))</f>
        <v>3</v>
      </c>
      <c r="AK7" s="10">
        <f t="shared" ref="AK7:AK12" si="4">IF(AJ7=3,0,IF(AJ7=1,1,3))</f>
        <v>0</v>
      </c>
      <c r="AL7" s="10" t="str">
        <f t="shared" ref="AL7:AL12" si="5">IF(AJ7&gt;AK7,K7,IF(AK7&gt;AJ7,N7,"SIN GANADOR"))</f>
        <v>Uruguay</v>
      </c>
      <c r="AM7" s="10"/>
      <c r="AN7" s="10">
        <f t="shared" ref="AN7:AN10" si="6">_xlfn.RANK.EQ(BB7,BB$7:BB$11,1)</f>
        <v>2</v>
      </c>
      <c r="AO7" s="10" t="s">
        <v>66</v>
      </c>
      <c r="AP7" s="10">
        <f t="shared" ref="AP7:AP10" si="7">SUMIF($K$7:$K$12,AO7,$AJ$7:$AJ$12) + SUMIF($N$7:$N$12,AO7,$AK$7:$AK$12)</f>
        <v>6</v>
      </c>
      <c r="AQ7" s="10">
        <f t="shared" ref="AQ7:AQ10" si="8">AR7-AS7</f>
        <v>2</v>
      </c>
      <c r="AR7" s="10">
        <f t="shared" ref="AR7:AR10" si="9">SUMIF($K$7:$K$12,AO7,$L$7:$L$12) + SUMIF($N$7:$N$12,AO7,$M$7:$M$12)</f>
        <v>7</v>
      </c>
      <c r="AS7" s="10">
        <f t="shared" ref="AS7:AS10" si="10">SUMIF($K$7:$K$12,AO7,$M$7:$M$12) + SUMIF($N$7:$N$12,AO7,$L$7:$L$12)</f>
        <v>5</v>
      </c>
      <c r="AT7" s="10"/>
      <c r="AU7" s="10"/>
      <c r="AV7" s="10" t="str">
        <f t="shared" ref="AV7:AV10" si="11">AO7</f>
        <v>Portugal</v>
      </c>
      <c r="AW7" s="10" t="str">
        <f>IF(AZ7=AZ8,AV8,IF(AZ7=AZ9,AV9,IF(AZ7=AZ10,AV10,"")))</f>
        <v/>
      </c>
      <c r="AX7" s="10" t="str">
        <f t="shared" ref="AX7:AX10" si="12">IF(AW7="","",IFERROR(VLOOKUP(CONCATENATE(AV7,"_",AW7),$AI$7:$AL$16,4,FALSE),VLOOKUP(CONCATENATE(AW7,"_",AV7),$AI$7:$AL$16,4,FALSE)))</f>
        <v/>
      </c>
      <c r="AY7" s="10">
        <f t="shared" ref="AY7:AY10" si="13">IF(AX7="",1,IF(AX7=AV7,1,0))</f>
        <v>1</v>
      </c>
      <c r="AZ7" s="10">
        <f t="shared" ref="AZ7:AZ10" si="14">-AP7*10000000 - AQ7*10000 - AR7*100</f>
        <v>-60020700</v>
      </c>
      <c r="BA7" s="10">
        <f t="shared" ref="BA7:BA10" si="15">AZ7-AY7*10</f>
        <v>-60020710</v>
      </c>
      <c r="BB7" s="10">
        <f t="shared" ref="BB7:BB10" si="16">BA7+N23</f>
        <v>-60020708</v>
      </c>
    </row>
    <row r="8">
      <c r="B8" s="33">
        <v>1.0</v>
      </c>
      <c r="C8" s="34" t="str">
        <f t="shared" ref="C8:G8" si="1">IFERROR(VLOOKUP($B8,$AN$7:$AS$11,C$5,FALSE),"")</f>
        <v>Uruguay</v>
      </c>
      <c r="D8" s="35">
        <f t="shared" si="1"/>
        <v>9</v>
      </c>
      <c r="E8" s="35">
        <f t="shared" si="1"/>
        <v>8</v>
      </c>
      <c r="F8" s="35">
        <f t="shared" si="1"/>
        <v>2</v>
      </c>
      <c r="G8" s="36">
        <f t="shared" si="1"/>
        <v>6</v>
      </c>
      <c r="I8" s="37">
        <v>16.0</v>
      </c>
      <c r="J8" s="38">
        <v>44889.0</v>
      </c>
      <c r="K8" s="39" t="s">
        <v>66</v>
      </c>
      <c r="L8" s="40">
        <v>4.0</v>
      </c>
      <c r="M8" s="41">
        <v>2.0</v>
      </c>
      <c r="N8" s="37" t="s">
        <v>67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8" t="str">
        <f t="shared" si="2"/>
        <v>Portugal_Gana</v>
      </c>
      <c r="AJ8" s="10">
        <f t="shared" si="3"/>
        <v>3</v>
      </c>
      <c r="AK8" s="10">
        <f t="shared" si="4"/>
        <v>0</v>
      </c>
      <c r="AL8" s="10" t="str">
        <f t="shared" si="5"/>
        <v>Portugal</v>
      </c>
      <c r="AM8" s="10"/>
      <c r="AN8" s="10">
        <f t="shared" si="6"/>
        <v>1</v>
      </c>
      <c r="AO8" s="10" t="s">
        <v>64</v>
      </c>
      <c r="AP8" s="10">
        <f t="shared" si="7"/>
        <v>9</v>
      </c>
      <c r="AQ8" s="10">
        <f t="shared" si="8"/>
        <v>6</v>
      </c>
      <c r="AR8" s="10">
        <f t="shared" si="9"/>
        <v>8</v>
      </c>
      <c r="AS8" s="10">
        <f t="shared" si="10"/>
        <v>2</v>
      </c>
      <c r="AT8" s="10"/>
      <c r="AU8" s="10"/>
      <c r="AV8" s="10" t="str">
        <f t="shared" si="11"/>
        <v>Uruguay</v>
      </c>
      <c r="AW8" s="10" t="str">
        <f>IF(AZ8=AZ9,AV9,IF(AZ8=AZ10,AV10,IF(AZ8=AZ7,AV7,"")))</f>
        <v/>
      </c>
      <c r="AX8" s="10" t="str">
        <f t="shared" si="12"/>
        <v/>
      </c>
      <c r="AY8" s="10">
        <f t="shared" si="13"/>
        <v>1</v>
      </c>
      <c r="AZ8" s="10">
        <f t="shared" si="14"/>
        <v>-90060800</v>
      </c>
      <c r="BA8" s="10">
        <f t="shared" si="15"/>
        <v>-90060810</v>
      </c>
      <c r="BB8" s="10">
        <f t="shared" si="16"/>
        <v>-90060809</v>
      </c>
    </row>
    <row r="9">
      <c r="B9" s="42">
        <v>2.0</v>
      </c>
      <c r="C9" s="43" t="str">
        <f t="shared" ref="C9:G9" si="17">IFERROR(VLOOKUP($B9,$AN$7:$AS$11,C$5,FALSE),"")</f>
        <v>Portugal</v>
      </c>
      <c r="D9" s="44">
        <f t="shared" si="17"/>
        <v>6</v>
      </c>
      <c r="E9" s="44">
        <f t="shared" si="17"/>
        <v>7</v>
      </c>
      <c r="F9" s="44">
        <f t="shared" si="17"/>
        <v>5</v>
      </c>
      <c r="G9" s="45">
        <f t="shared" si="17"/>
        <v>2</v>
      </c>
      <c r="I9" s="46">
        <f t="shared" ref="I9:I12" si="19">I7+16</f>
        <v>31</v>
      </c>
      <c r="J9" s="47">
        <v>44893.0</v>
      </c>
      <c r="K9" s="48" t="s">
        <v>65</v>
      </c>
      <c r="L9" s="40">
        <v>0.0</v>
      </c>
      <c r="M9" s="41">
        <v>0.0</v>
      </c>
      <c r="N9" s="46" t="s">
        <v>67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8" t="str">
        <f t="shared" si="2"/>
        <v>Corea_Gana</v>
      </c>
      <c r="AJ9" s="10">
        <f t="shared" si="3"/>
        <v>1</v>
      </c>
      <c r="AK9" s="10">
        <f t="shared" si="4"/>
        <v>1</v>
      </c>
      <c r="AL9" s="10" t="str">
        <f t="shared" si="5"/>
        <v>SIN GANADOR</v>
      </c>
      <c r="AM9" s="10"/>
      <c r="AN9" s="10">
        <f t="shared" si="6"/>
        <v>3</v>
      </c>
      <c r="AO9" s="10" t="s">
        <v>65</v>
      </c>
      <c r="AP9" s="10">
        <f t="shared" si="7"/>
        <v>1</v>
      </c>
      <c r="AQ9" s="10">
        <f t="shared" si="8"/>
        <v>-3</v>
      </c>
      <c r="AR9" s="10">
        <f t="shared" si="9"/>
        <v>2</v>
      </c>
      <c r="AS9" s="10">
        <f t="shared" si="10"/>
        <v>5</v>
      </c>
      <c r="AT9" s="10"/>
      <c r="AU9" s="10"/>
      <c r="AV9" s="10" t="str">
        <f t="shared" si="11"/>
        <v>Corea</v>
      </c>
      <c r="AW9" s="10" t="str">
        <f>IF(AZ9=AZ10,AV10,IF(AZ9=AZ7,AV7,IF(AZ9=AZ8,AV8,"")))</f>
        <v/>
      </c>
      <c r="AX9" s="10" t="str">
        <f t="shared" si="12"/>
        <v/>
      </c>
      <c r="AY9" s="10">
        <f t="shared" si="13"/>
        <v>1</v>
      </c>
      <c r="AZ9" s="10">
        <f t="shared" si="14"/>
        <v>-9970200</v>
      </c>
      <c r="BA9" s="10">
        <f t="shared" si="15"/>
        <v>-9970210</v>
      </c>
      <c r="BB9" s="10">
        <f t="shared" si="16"/>
        <v>-9970207</v>
      </c>
    </row>
    <row r="10">
      <c r="B10" s="49">
        <v>3.0</v>
      </c>
      <c r="C10" s="50" t="str">
        <f t="shared" ref="C10:G10" si="18">IFERROR(VLOOKUP($B10,$AN$7:$AS$11,C$5,FALSE),"")</f>
        <v>Corea</v>
      </c>
      <c r="D10" s="51">
        <f t="shared" si="18"/>
        <v>1</v>
      </c>
      <c r="E10" s="51">
        <f t="shared" si="18"/>
        <v>2</v>
      </c>
      <c r="F10" s="51">
        <f t="shared" si="18"/>
        <v>5</v>
      </c>
      <c r="G10" s="52">
        <f t="shared" si="18"/>
        <v>-3</v>
      </c>
      <c r="I10" s="37">
        <f t="shared" si="19"/>
        <v>32</v>
      </c>
      <c r="J10" s="38">
        <v>44893.0</v>
      </c>
      <c r="K10" s="39" t="s">
        <v>66</v>
      </c>
      <c r="L10" s="40">
        <v>1.0</v>
      </c>
      <c r="M10" s="41">
        <v>2.0</v>
      </c>
      <c r="N10" s="37" t="s">
        <v>64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8" t="str">
        <f t="shared" si="2"/>
        <v>Portugal_Uruguay</v>
      </c>
      <c r="AJ10" s="10">
        <f t="shared" si="3"/>
        <v>0</v>
      </c>
      <c r="AK10" s="10">
        <f t="shared" si="4"/>
        <v>3</v>
      </c>
      <c r="AL10" s="10" t="str">
        <f t="shared" si="5"/>
        <v>Uruguay</v>
      </c>
      <c r="AM10" s="10"/>
      <c r="AN10" s="10">
        <f t="shared" si="6"/>
        <v>4</v>
      </c>
      <c r="AO10" s="10" t="s">
        <v>67</v>
      </c>
      <c r="AP10" s="10">
        <f t="shared" si="7"/>
        <v>1</v>
      </c>
      <c r="AQ10" s="10">
        <f t="shared" si="8"/>
        <v>-5</v>
      </c>
      <c r="AR10" s="10">
        <f t="shared" si="9"/>
        <v>2</v>
      </c>
      <c r="AS10" s="10">
        <f t="shared" si="10"/>
        <v>7</v>
      </c>
      <c r="AT10" s="10"/>
      <c r="AU10" s="10"/>
      <c r="AV10" s="10" t="str">
        <f t="shared" si="11"/>
        <v>Gana</v>
      </c>
      <c r="AW10" s="10" t="str">
        <f>IF(AZ10=AZ7,AV7,IF(AZ10=AZ8,AV8,IF(AZ10=AZ9,AV9,"")))</f>
        <v/>
      </c>
      <c r="AX10" s="10" t="str">
        <f t="shared" si="12"/>
        <v/>
      </c>
      <c r="AY10" s="10">
        <f t="shared" si="13"/>
        <v>1</v>
      </c>
      <c r="AZ10" s="10">
        <f t="shared" si="14"/>
        <v>-9950200</v>
      </c>
      <c r="BA10" s="10">
        <f t="shared" si="15"/>
        <v>-9950210</v>
      </c>
      <c r="BB10" s="10">
        <f t="shared" si="16"/>
        <v>-9950206</v>
      </c>
    </row>
    <row r="11">
      <c r="B11" s="53">
        <v>4.0</v>
      </c>
      <c r="C11" s="54" t="str">
        <f t="shared" ref="C11:G11" si="20">IFERROR(VLOOKUP($B11,$AN$7:$AS$11,C$5,FALSE),"")</f>
        <v>Gana</v>
      </c>
      <c r="D11" s="55">
        <f t="shared" si="20"/>
        <v>1</v>
      </c>
      <c r="E11" s="55">
        <f t="shared" si="20"/>
        <v>2</v>
      </c>
      <c r="F11" s="55">
        <f t="shared" si="20"/>
        <v>7</v>
      </c>
      <c r="G11" s="56">
        <f t="shared" si="20"/>
        <v>-5</v>
      </c>
      <c r="I11" s="46">
        <f t="shared" si="19"/>
        <v>47</v>
      </c>
      <c r="J11" s="47">
        <v>44897.0</v>
      </c>
      <c r="K11" s="48" t="s">
        <v>67</v>
      </c>
      <c r="L11" s="40">
        <v>0.0</v>
      </c>
      <c r="M11" s="41">
        <v>3.0</v>
      </c>
      <c r="N11" s="46" t="s">
        <v>64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8" t="str">
        <f t="shared" si="2"/>
        <v>Gana_Uruguay</v>
      </c>
      <c r="AJ11" s="10">
        <f t="shared" si="3"/>
        <v>0</v>
      </c>
      <c r="AK11" s="10">
        <f t="shared" si="4"/>
        <v>3</v>
      </c>
      <c r="AL11" s="10" t="str">
        <f t="shared" si="5"/>
        <v>Uruguay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>
      <c r="I12" s="57">
        <f t="shared" si="19"/>
        <v>48</v>
      </c>
      <c r="J12" s="58">
        <v>44897.0</v>
      </c>
      <c r="K12" s="59" t="s">
        <v>65</v>
      </c>
      <c r="L12" s="60">
        <v>1.0</v>
      </c>
      <c r="M12" s="61">
        <v>2.0</v>
      </c>
      <c r="N12" s="57" t="s">
        <v>66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 t="str">
        <f t="shared" si="2"/>
        <v>Corea_Portugal</v>
      </c>
      <c r="AJ12" s="10">
        <f t="shared" si="3"/>
        <v>0</v>
      </c>
      <c r="AK12" s="10">
        <f t="shared" si="4"/>
        <v>3</v>
      </c>
      <c r="AL12" s="10" t="str">
        <f t="shared" si="5"/>
        <v>Portugal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</row>
    <row r="13"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1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</row>
    <row r="14"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1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</row>
    <row r="15"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1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</row>
    <row r="16"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18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</row>
    <row r="17"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</row>
    <row r="18"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</row>
    <row r="19"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</row>
    <row r="20"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</row>
    <row r="21" ht="15.75" customHeight="1"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</row>
    <row r="22" ht="15.75" customHeight="1">
      <c r="B22" s="62" t="s">
        <v>26</v>
      </c>
      <c r="C22" s="63"/>
      <c r="D22" s="63"/>
      <c r="E22" s="63"/>
      <c r="F22" s="63"/>
      <c r="G22" s="63"/>
      <c r="H22" s="64"/>
      <c r="I22" s="10">
        <v>1.0</v>
      </c>
      <c r="J22" s="1" t="s">
        <v>27</v>
      </c>
      <c r="K22" s="2"/>
      <c r="L22" s="2"/>
      <c r="M22" s="3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</row>
    <row r="23" ht="15.75" customHeight="1">
      <c r="B23" s="65" t="s">
        <v>28</v>
      </c>
      <c r="C23" s="66"/>
      <c r="D23" s="66"/>
      <c r="E23" s="66"/>
      <c r="F23" s="66"/>
      <c r="G23" s="66"/>
      <c r="H23" s="67"/>
      <c r="I23" s="10">
        <f t="shared" ref="I23:I26" si="21">IF(J23="",0,1)</f>
        <v>1</v>
      </c>
      <c r="J23" s="68" t="s">
        <v>66</v>
      </c>
      <c r="K23" s="69"/>
      <c r="L23" s="6"/>
      <c r="M23" s="70">
        <v>2.0</v>
      </c>
      <c r="N23" s="71">
        <f t="shared" ref="N23:N27" si="22">IF(J23="",0,M23)</f>
        <v>2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</row>
    <row r="24" ht="15.75" customHeight="1">
      <c r="B24" s="65" t="s">
        <v>29</v>
      </c>
      <c r="C24" s="66"/>
      <c r="D24" s="66"/>
      <c r="E24" s="66"/>
      <c r="F24" s="66"/>
      <c r="G24" s="66"/>
      <c r="H24" s="67"/>
      <c r="I24" s="10">
        <f t="shared" si="21"/>
        <v>1</v>
      </c>
      <c r="J24" s="72" t="s">
        <v>64</v>
      </c>
      <c r="K24" s="73"/>
      <c r="L24" s="74"/>
      <c r="M24" s="75">
        <v>1.0</v>
      </c>
      <c r="N24" s="71">
        <f t="shared" si="22"/>
        <v>1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</row>
    <row r="25" ht="15.75" customHeight="1">
      <c r="B25" s="65" t="s">
        <v>30</v>
      </c>
      <c r="C25" s="66"/>
      <c r="D25" s="66"/>
      <c r="E25" s="66"/>
      <c r="F25" s="66"/>
      <c r="G25" s="66"/>
      <c r="H25" s="67"/>
      <c r="I25" s="10">
        <f t="shared" si="21"/>
        <v>1</v>
      </c>
      <c r="J25" s="72" t="s">
        <v>65</v>
      </c>
      <c r="K25" s="73"/>
      <c r="L25" s="74"/>
      <c r="M25" s="84">
        <v>3.0</v>
      </c>
      <c r="N25" s="71">
        <f t="shared" si="22"/>
        <v>3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</row>
    <row r="26" ht="15.75" customHeight="1">
      <c r="B26" s="65" t="s">
        <v>31</v>
      </c>
      <c r="C26" s="66"/>
      <c r="D26" s="66"/>
      <c r="E26" s="66"/>
      <c r="F26" s="66"/>
      <c r="G26" s="66"/>
      <c r="H26" s="67"/>
      <c r="I26" s="10">
        <f t="shared" si="21"/>
        <v>1</v>
      </c>
      <c r="J26" s="76" t="s">
        <v>67</v>
      </c>
      <c r="K26" s="77"/>
      <c r="L26" s="9"/>
      <c r="M26" s="78">
        <v>4.0</v>
      </c>
      <c r="N26" s="71">
        <f t="shared" si="22"/>
        <v>4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</row>
    <row r="27" ht="15.75" customHeight="1">
      <c r="B27" s="65" t="s">
        <v>32</v>
      </c>
      <c r="C27" s="66"/>
      <c r="D27" s="66"/>
      <c r="E27" s="66"/>
      <c r="F27" s="66"/>
      <c r="G27" s="66"/>
      <c r="H27" s="67"/>
      <c r="I27" s="10"/>
      <c r="N27" s="71">
        <f t="shared" si="22"/>
        <v>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</row>
    <row r="28" ht="15.75" customHeight="1">
      <c r="B28" s="79"/>
      <c r="C28" s="80"/>
      <c r="D28" s="80"/>
      <c r="E28" s="80"/>
      <c r="F28" s="80"/>
      <c r="G28" s="80"/>
      <c r="H28" s="8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</row>
    <row r="29" ht="15.75" customHeight="1"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</row>
    <row r="30" ht="15.75" customHeight="1"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</row>
    <row r="31" ht="15.75" customHeight="1"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</row>
    <row r="32" ht="15.75" customHeight="1"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</row>
    <row r="33" ht="15.75" customHeight="1"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</row>
    <row r="34" ht="15.75" customHeight="1"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</row>
    <row r="35" ht="15.75" customHeight="1"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</row>
    <row r="36" ht="15.75" customHeight="1"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</row>
    <row r="37" ht="15.75" customHeight="1"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</row>
    <row r="38" ht="15.75" customHeight="1"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</row>
    <row r="39" ht="15.75" customHeight="1"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</row>
    <row r="40" ht="15.75" customHeight="1"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</row>
    <row r="41" ht="15.75" customHeight="1"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</row>
    <row r="42" ht="15.75" customHeight="1"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</row>
    <row r="43" ht="15.75" customHeight="1"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</row>
    <row r="44" ht="15.75" customHeight="1"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</row>
    <row r="45" ht="15.75" customHeight="1"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</row>
    <row r="46" ht="15.75" customHeight="1"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</row>
    <row r="47" ht="15.75" customHeight="1"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</row>
    <row r="48" ht="15.75" customHeight="1"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</row>
    <row r="49" ht="15.75" customHeight="1"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</row>
    <row r="50" ht="15.75" customHeight="1"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</row>
    <row r="51" ht="15.75" customHeight="1"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</row>
    <row r="52" ht="15.75" customHeight="1"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</row>
    <row r="53" ht="15.75" customHeight="1"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</row>
    <row r="54" ht="15.75" customHeight="1"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</row>
    <row r="55" ht="15.75" customHeight="1"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</row>
    <row r="56" ht="15.75" customHeight="1"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</row>
    <row r="57" ht="15.75" customHeight="1"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</row>
    <row r="58" ht="15.75" customHeight="1"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</row>
    <row r="59" ht="15.75" customHeight="1"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</row>
    <row r="60" ht="15.75" customHeight="1"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</row>
    <row r="61" ht="15.75" customHeight="1"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</row>
    <row r="62" ht="15.75" customHeight="1"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</row>
    <row r="63" ht="15.75" customHeight="1"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</row>
    <row r="64" ht="15.75" customHeight="1"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</row>
    <row r="65" ht="15.75" customHeight="1"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</row>
    <row r="66" ht="15.75" customHeight="1"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</row>
    <row r="67" ht="15.75" customHeight="1"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</row>
    <row r="68" ht="15.75" customHeight="1"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</row>
    <row r="69" ht="15.75" customHeight="1"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</row>
    <row r="70" ht="15.75" customHeight="1"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</row>
    <row r="71" ht="15.75" customHeight="1"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</row>
    <row r="72" ht="15.75" customHeight="1"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</row>
    <row r="73" ht="15.75" customHeight="1"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</row>
    <row r="74" ht="15.75" customHeight="1"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</row>
    <row r="75" ht="15.75" customHeight="1"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</row>
    <row r="76" ht="15.75" customHeight="1"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</row>
    <row r="77" ht="15.75" customHeight="1"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</row>
    <row r="78" ht="15.75" customHeight="1"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</row>
    <row r="79" ht="15.75" customHeight="1"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</row>
    <row r="80" ht="15.75" customHeight="1"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</row>
    <row r="81" ht="15.75" customHeight="1"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</row>
    <row r="82" ht="15.75" customHeight="1"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</row>
    <row r="83" ht="15.75" customHeight="1"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</row>
    <row r="84" ht="15.75" customHeight="1"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</row>
    <row r="85" ht="15.75" customHeight="1"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</row>
    <row r="86" ht="15.75" customHeight="1"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</row>
    <row r="87" ht="15.75" customHeight="1"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</row>
    <row r="88" ht="15.75" customHeight="1"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</row>
    <row r="89" ht="15.75" customHeight="1"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</row>
    <row r="90" ht="15.75" customHeight="1"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</row>
    <row r="91" ht="15.75" customHeight="1"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</row>
    <row r="92" ht="15.75" customHeight="1"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</row>
    <row r="93" ht="15.75" customHeight="1"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</row>
    <row r="94" ht="15.75" customHeight="1"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</row>
    <row r="95" ht="15.75" customHeight="1"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</row>
    <row r="96" ht="15.75" customHeight="1"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</row>
    <row r="97" ht="15.75" customHeight="1"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</row>
    <row r="98" ht="15.75" customHeight="1"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</row>
    <row r="99" ht="15.75" customHeight="1"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</row>
    <row r="100" ht="15.75" customHeight="1"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</row>
    <row r="101" ht="15.75" customHeight="1"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</row>
    <row r="102" ht="15.75" customHeight="1"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</row>
    <row r="103" ht="15.75" customHeight="1"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</row>
    <row r="104" ht="15.75" customHeight="1"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</row>
    <row r="105" ht="15.75" customHeight="1"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</row>
    <row r="106" ht="15.75" customHeight="1"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</row>
    <row r="107" ht="15.75" customHeight="1"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</row>
    <row r="108" ht="15.75" customHeight="1"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</row>
    <row r="109" ht="15.75" customHeight="1"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</row>
    <row r="110" ht="15.75" customHeight="1"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</row>
    <row r="111" ht="15.75" customHeight="1"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</row>
    <row r="112" ht="15.75" customHeight="1"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</row>
    <row r="113" ht="15.75" customHeight="1"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</row>
    <row r="114" ht="15.75" customHeight="1"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</row>
    <row r="115" ht="15.75" customHeight="1"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</row>
    <row r="116" ht="15.75" customHeight="1"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</row>
    <row r="117" ht="15.75" customHeight="1"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</row>
    <row r="118" ht="15.75" customHeight="1"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</row>
    <row r="119" ht="15.75" customHeight="1"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</row>
    <row r="120" ht="15.75" customHeight="1"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</row>
    <row r="121" ht="15.75" customHeight="1"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</row>
    <row r="122" ht="15.75" customHeight="1"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</row>
    <row r="123" ht="15.75" customHeight="1"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</row>
    <row r="124" ht="15.75" customHeight="1"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</row>
    <row r="125" ht="15.75" customHeight="1"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</row>
    <row r="126" ht="15.75" customHeight="1"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</row>
    <row r="127" ht="15.75" customHeight="1"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</row>
    <row r="128" ht="15.75" customHeight="1"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</row>
    <row r="129" ht="15.75" customHeight="1"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</row>
    <row r="130" ht="15.75" customHeight="1"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</row>
    <row r="131" ht="15.75" customHeight="1"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</row>
    <row r="132" ht="15.75" customHeight="1"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</row>
    <row r="133" ht="15.75" customHeight="1"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</row>
    <row r="134" ht="15.75" customHeight="1"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</row>
    <row r="135" ht="15.75" customHeight="1"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</row>
    <row r="136" ht="15.75" customHeight="1"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</row>
    <row r="137" ht="15.75" customHeight="1"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</row>
    <row r="138" ht="15.75" customHeight="1"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</row>
    <row r="139" ht="15.75" customHeight="1"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</row>
    <row r="140" ht="15.75" customHeight="1"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</row>
    <row r="141" ht="15.75" customHeight="1"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</row>
    <row r="142" ht="15.75" customHeight="1"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</row>
    <row r="143" ht="15.75" customHeight="1"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</row>
    <row r="144" ht="15.75" customHeight="1"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</row>
    <row r="145" ht="15.75" customHeight="1"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</row>
    <row r="146" ht="15.75" customHeight="1"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</row>
    <row r="147" ht="15.75" customHeight="1"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</row>
    <row r="148" ht="15.75" customHeight="1"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</row>
    <row r="149" ht="15.75" customHeight="1"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</row>
    <row r="150" ht="15.75" customHeight="1"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</row>
    <row r="151" ht="15.75" customHeight="1"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</row>
    <row r="152" ht="15.75" customHeight="1"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</row>
    <row r="153" ht="15.75" customHeight="1"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</row>
    <row r="154" ht="15.75" customHeight="1"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</row>
    <row r="155" ht="15.75" customHeight="1"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</row>
    <row r="156" ht="15.75" customHeight="1"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</row>
    <row r="157" ht="15.75" customHeight="1"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</row>
    <row r="158" ht="15.75" customHeight="1"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</row>
    <row r="159" ht="15.75" customHeight="1"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</row>
    <row r="160" ht="15.75" customHeight="1"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</row>
    <row r="161" ht="15.75" customHeight="1"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</row>
    <row r="162" ht="15.75" customHeight="1"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</row>
    <row r="163" ht="15.75" customHeight="1"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</row>
    <row r="164" ht="15.75" customHeight="1"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</row>
    <row r="165" ht="15.75" customHeight="1"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</row>
    <row r="166" ht="15.75" customHeight="1"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</row>
    <row r="167" ht="15.75" customHeight="1"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</row>
    <row r="168" ht="15.75" customHeight="1"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</row>
    <row r="169" ht="15.75" customHeight="1"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</row>
    <row r="170" ht="15.75" customHeight="1"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</row>
    <row r="171" ht="15.75" customHeight="1"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</row>
    <row r="172" ht="15.75" customHeight="1"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</row>
    <row r="173" ht="15.75" customHeight="1"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</row>
    <row r="174" ht="15.75" customHeight="1"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</row>
    <row r="175" ht="15.75" customHeight="1"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</row>
    <row r="176" ht="15.75" customHeight="1"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</row>
    <row r="177" ht="15.75" customHeight="1"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</row>
    <row r="178" ht="15.75" customHeight="1"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</row>
    <row r="179" ht="15.75" customHeight="1"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</row>
    <row r="180" ht="15.75" customHeight="1"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</row>
    <row r="181" ht="15.75" customHeight="1"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</row>
    <row r="182" ht="15.75" customHeight="1"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</row>
    <row r="183" ht="15.75" customHeight="1"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</row>
    <row r="184" ht="15.75" customHeight="1"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</row>
    <row r="185" ht="15.75" customHeight="1"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</row>
    <row r="186" ht="15.75" customHeight="1"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</row>
    <row r="187" ht="15.75" customHeight="1"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</row>
    <row r="188" ht="15.75" customHeight="1"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</row>
    <row r="189" ht="15.75" customHeight="1"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</row>
    <row r="190" ht="15.75" customHeight="1"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</row>
    <row r="191" ht="15.75" customHeight="1"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</row>
    <row r="192" ht="15.75" customHeight="1"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</row>
    <row r="193" ht="15.75" customHeight="1"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</row>
    <row r="194" ht="15.75" customHeight="1"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</row>
    <row r="195" ht="15.75" customHeight="1"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</row>
    <row r="196" ht="15.75" customHeight="1"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</row>
    <row r="197" ht="15.75" customHeight="1"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</row>
    <row r="198" ht="15.75" customHeight="1"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</row>
    <row r="199" ht="15.75" customHeight="1"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</row>
    <row r="200" ht="15.75" customHeight="1"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</row>
    <row r="201" ht="15.75" customHeight="1"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</row>
    <row r="202" ht="15.75" customHeight="1"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</row>
    <row r="203" ht="15.75" customHeight="1"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</row>
    <row r="204" ht="15.75" customHeight="1"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</row>
    <row r="205" ht="15.75" customHeight="1"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</row>
    <row r="206" ht="15.75" customHeight="1"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</row>
    <row r="207" ht="15.75" customHeight="1"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</row>
    <row r="208" ht="15.75" customHeight="1"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</row>
    <row r="209" ht="15.75" customHeight="1"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</row>
    <row r="210" ht="15.75" customHeight="1"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</row>
    <row r="211" ht="15.75" customHeight="1"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</row>
    <row r="212" ht="15.75" customHeight="1"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</row>
    <row r="213" ht="15.75" customHeight="1"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</row>
    <row r="214" ht="15.75" customHeight="1"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</row>
    <row r="215" ht="15.75" customHeight="1"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</row>
    <row r="216" ht="15.75" customHeight="1"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</row>
    <row r="217" ht="15.75" customHeight="1"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</row>
    <row r="218" ht="15.75" customHeight="1"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</row>
    <row r="219" ht="15.75" customHeight="1"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</row>
    <row r="220" ht="15.75" customHeight="1"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</row>
    <row r="221" ht="15.75" customHeight="1"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</row>
    <row r="222" ht="15.75" customHeight="1"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</row>
    <row r="223" ht="15.75" customHeight="1"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</row>
    <row r="224" ht="15.75" customHeight="1"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</row>
    <row r="225" ht="15.75" customHeight="1"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</row>
    <row r="226" ht="15.75" customHeight="1"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</row>
    <row r="227" ht="15.75" customHeight="1"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</row>
    <row r="228" ht="15.75" customHeight="1"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</row>
    <row r="229" ht="15.75" customHeight="1"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</row>
    <row r="230" ht="15.75" customHeight="1"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</row>
    <row r="231" ht="15.75" customHeight="1"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</row>
    <row r="232" ht="15.75" customHeight="1"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</row>
    <row r="233" ht="15.75" customHeight="1"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</row>
    <row r="234" ht="15.75" customHeight="1"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</row>
    <row r="235" ht="15.75" customHeight="1"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</row>
    <row r="236" ht="15.75" customHeight="1"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</row>
    <row r="237" ht="15.75" customHeight="1"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</row>
    <row r="238" ht="15.75" customHeight="1"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</row>
    <row r="239" ht="15.75" customHeight="1"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</row>
    <row r="240" ht="15.75" customHeight="1"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</row>
    <row r="241" ht="15.75" customHeight="1"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</row>
    <row r="242" ht="15.75" customHeight="1"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</row>
    <row r="243" ht="15.75" customHeight="1"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</row>
    <row r="244" ht="15.75" customHeight="1"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</row>
    <row r="245" ht="15.75" customHeight="1"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</row>
    <row r="246" ht="15.75" customHeight="1"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</row>
    <row r="247" ht="15.75" customHeight="1"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</row>
    <row r="248" ht="15.75" customHeight="1"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</row>
    <row r="249" ht="15.75" customHeight="1"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</row>
    <row r="250" ht="15.75" customHeight="1"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</row>
    <row r="251" ht="15.75" customHeight="1"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</row>
    <row r="252" ht="15.75" customHeight="1"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</row>
    <row r="253" ht="15.75" customHeight="1"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</row>
    <row r="254" ht="15.75" customHeight="1"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</row>
    <row r="255" ht="15.75" customHeight="1"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</row>
    <row r="256" ht="15.75" customHeight="1"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</row>
    <row r="257" ht="15.75" customHeight="1"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</row>
    <row r="258" ht="15.75" customHeight="1"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</row>
    <row r="259" ht="15.75" customHeight="1"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</row>
    <row r="260" ht="15.75" customHeight="1"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</row>
    <row r="261" ht="15.75" customHeight="1"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</row>
    <row r="262" ht="15.75" customHeight="1"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</row>
    <row r="263" ht="15.75" customHeight="1"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</row>
    <row r="264" ht="15.75" customHeight="1"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</row>
    <row r="265" ht="15.75" customHeight="1"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</row>
    <row r="266" ht="15.75" customHeight="1"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</row>
    <row r="267" ht="15.75" customHeight="1"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</row>
    <row r="268" ht="15.75" customHeight="1"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</row>
    <row r="269" ht="15.75" customHeight="1"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</row>
    <row r="270" ht="15.75" customHeight="1"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</row>
    <row r="271" ht="15.75" customHeight="1"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</row>
    <row r="272" ht="15.75" customHeight="1"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</row>
    <row r="273" ht="15.75" customHeight="1"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</row>
    <row r="274" ht="15.75" customHeight="1"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</row>
    <row r="275" ht="15.75" customHeight="1"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</row>
    <row r="276" ht="15.75" customHeight="1"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</row>
    <row r="277" ht="15.75" customHeight="1"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</row>
    <row r="278" ht="15.75" customHeight="1"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</row>
    <row r="279" ht="15.75" customHeight="1"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</row>
    <row r="280" ht="15.75" customHeight="1"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</row>
    <row r="281" ht="15.75" customHeight="1"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</row>
    <row r="282" ht="15.75" customHeight="1"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</row>
    <row r="283" ht="15.75" customHeight="1"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</row>
    <row r="284" ht="15.75" customHeight="1"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</row>
    <row r="285" ht="15.75" customHeight="1"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</row>
    <row r="286" ht="15.75" customHeight="1"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</row>
    <row r="287" ht="15.75" customHeight="1"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</row>
    <row r="288" ht="15.75" customHeight="1"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</row>
    <row r="289" ht="15.75" customHeight="1"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</row>
    <row r="290" ht="15.75" customHeight="1"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</row>
    <row r="291" ht="15.75" customHeight="1"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</row>
    <row r="292" ht="15.75" customHeight="1"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</row>
    <row r="293" ht="15.75" customHeight="1"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</row>
    <row r="294" ht="15.75" customHeight="1"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</row>
    <row r="295" ht="15.75" customHeight="1"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</row>
    <row r="296" ht="15.75" customHeight="1"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</row>
    <row r="297" ht="15.75" customHeight="1"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</row>
    <row r="298" ht="15.75" customHeight="1"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</row>
    <row r="299" ht="15.75" customHeight="1"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</row>
    <row r="300" ht="15.75" customHeight="1"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</row>
    <row r="301" ht="15.75" customHeight="1"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</row>
    <row r="302" ht="15.75" customHeight="1"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</row>
    <row r="303" ht="15.75" customHeight="1"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</row>
    <row r="304" ht="15.75" customHeight="1"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</row>
    <row r="305" ht="15.75" customHeight="1"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</row>
    <row r="306" ht="15.75" customHeight="1"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</row>
    <row r="307" ht="15.75" customHeight="1"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</row>
    <row r="308" ht="15.75" customHeight="1"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</row>
    <row r="309" ht="15.75" customHeight="1"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</row>
    <row r="310" ht="15.75" customHeight="1"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</row>
    <row r="311" ht="15.75" customHeight="1"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</row>
    <row r="312" ht="15.75" customHeight="1"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</row>
    <row r="313" ht="15.75" customHeight="1"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</row>
    <row r="314" ht="15.75" customHeight="1"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</row>
    <row r="315" ht="15.75" customHeight="1"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</row>
    <row r="316" ht="15.75" customHeight="1"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</row>
    <row r="317" ht="15.75" customHeight="1"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</row>
    <row r="318" ht="15.75" customHeight="1"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</row>
    <row r="319" ht="15.75" customHeight="1"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</row>
    <row r="320" ht="15.75" customHeight="1"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</row>
    <row r="321" ht="15.75" customHeight="1"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</row>
    <row r="322" ht="15.75" customHeight="1"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</row>
    <row r="323" ht="15.75" customHeight="1"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</row>
    <row r="324" ht="15.75" customHeight="1"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</row>
    <row r="325" ht="15.75" customHeight="1"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</row>
    <row r="326" ht="15.75" customHeight="1"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</row>
    <row r="327" ht="15.75" customHeight="1"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</row>
    <row r="328" ht="15.75" customHeight="1"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</row>
    <row r="329" ht="15.75" customHeight="1"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</row>
    <row r="330" ht="15.75" customHeight="1"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</row>
    <row r="331" ht="15.75" customHeight="1"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</row>
    <row r="332" ht="15.75" customHeight="1"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</row>
    <row r="333" ht="15.75" customHeight="1"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</row>
    <row r="334" ht="15.75" customHeight="1"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</row>
    <row r="335" ht="15.75" customHeight="1"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</row>
    <row r="336" ht="15.75" customHeight="1"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</row>
    <row r="337" ht="15.75" customHeight="1"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</row>
    <row r="338" ht="15.75" customHeight="1"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</row>
    <row r="339" ht="15.75" customHeight="1"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</row>
    <row r="340" ht="15.75" customHeight="1"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</row>
    <row r="341" ht="15.75" customHeight="1"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</row>
    <row r="342" ht="15.75" customHeight="1"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</row>
    <row r="343" ht="15.75" customHeight="1"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</row>
    <row r="344" ht="15.75" customHeight="1"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</row>
    <row r="345" ht="15.75" customHeight="1"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</row>
    <row r="346" ht="15.75" customHeight="1"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</row>
    <row r="347" ht="15.75" customHeight="1"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</row>
    <row r="348" ht="15.75" customHeight="1"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</row>
    <row r="349" ht="15.75" customHeight="1"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</row>
    <row r="350" ht="15.75" customHeight="1"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</row>
    <row r="351" ht="15.75" customHeight="1"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</row>
    <row r="352" ht="15.75" customHeight="1"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</row>
    <row r="353" ht="15.75" customHeight="1"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</row>
    <row r="354" ht="15.75" customHeight="1"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</row>
    <row r="355" ht="15.75" customHeight="1"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</row>
    <row r="356" ht="15.75" customHeight="1"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</row>
    <row r="357" ht="15.75" customHeight="1"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</row>
    <row r="358" ht="15.75" customHeight="1"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</row>
    <row r="359" ht="15.75" customHeight="1"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</row>
    <row r="360" ht="15.75" customHeight="1"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</row>
    <row r="361" ht="15.75" customHeight="1"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</row>
    <row r="362" ht="15.75" customHeight="1"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</row>
    <row r="363" ht="15.75" customHeight="1"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</row>
    <row r="364" ht="15.75" customHeight="1"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</row>
    <row r="365" ht="15.75" customHeight="1"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</row>
    <row r="366" ht="15.75" customHeight="1"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</row>
    <row r="367" ht="15.75" customHeight="1"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</row>
    <row r="368" ht="15.75" customHeight="1"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</row>
    <row r="369" ht="15.75" customHeight="1"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</row>
    <row r="370" ht="15.75" customHeight="1"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</row>
    <row r="371" ht="15.75" customHeight="1"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</row>
    <row r="372" ht="15.75" customHeight="1"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</row>
    <row r="373" ht="15.75" customHeight="1"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</row>
    <row r="374" ht="15.75" customHeight="1"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</row>
    <row r="375" ht="15.75" customHeight="1"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</row>
    <row r="376" ht="15.75" customHeight="1"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</row>
    <row r="377" ht="15.75" customHeight="1"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</row>
    <row r="378" ht="15.75" customHeight="1"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</row>
    <row r="379" ht="15.75" customHeight="1"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</row>
    <row r="380" ht="15.75" customHeight="1"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</row>
    <row r="381" ht="15.75" customHeight="1"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</row>
    <row r="382" ht="15.75" customHeight="1"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</row>
    <row r="383" ht="15.75" customHeight="1"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</row>
    <row r="384" ht="15.75" customHeight="1"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</row>
    <row r="385" ht="15.75" customHeight="1"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</row>
    <row r="386" ht="15.75" customHeight="1"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</row>
    <row r="387" ht="15.75" customHeight="1"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</row>
    <row r="388" ht="15.75" customHeight="1"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</row>
    <row r="389" ht="15.75" customHeight="1"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</row>
    <row r="390" ht="15.75" customHeight="1"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</row>
    <row r="391" ht="15.75" customHeight="1"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</row>
    <row r="392" ht="15.75" customHeight="1"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</row>
    <row r="393" ht="15.75" customHeight="1"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</row>
    <row r="394" ht="15.75" customHeight="1"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</row>
    <row r="395" ht="15.75" customHeight="1"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</row>
    <row r="396" ht="15.75" customHeight="1"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</row>
    <row r="397" ht="15.75" customHeight="1"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</row>
    <row r="398" ht="15.75" customHeight="1"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</row>
    <row r="399" ht="15.75" customHeight="1"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</row>
    <row r="400" ht="15.75" customHeight="1"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</row>
    <row r="401" ht="15.75" customHeight="1"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</row>
    <row r="402" ht="15.75" customHeight="1"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</row>
    <row r="403" ht="15.75" customHeight="1"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</row>
    <row r="404" ht="15.75" customHeight="1"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</row>
    <row r="405" ht="15.75" customHeight="1"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</row>
    <row r="406" ht="15.75" customHeight="1"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</row>
    <row r="407" ht="15.75" customHeight="1"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</row>
    <row r="408" ht="15.75" customHeight="1"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</row>
    <row r="409" ht="15.75" customHeight="1"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</row>
    <row r="410" ht="15.75" customHeight="1"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</row>
    <row r="411" ht="15.75" customHeight="1"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</row>
    <row r="412" ht="15.75" customHeight="1"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</row>
    <row r="413" ht="15.75" customHeight="1"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</row>
    <row r="414" ht="15.75" customHeight="1"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</row>
    <row r="415" ht="15.75" customHeight="1"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</row>
    <row r="416" ht="15.75" customHeight="1"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</row>
    <row r="417" ht="15.75" customHeight="1"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</row>
    <row r="418" ht="15.75" customHeight="1"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</row>
    <row r="419" ht="15.75" customHeight="1"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</row>
    <row r="420" ht="15.75" customHeight="1"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</row>
    <row r="421" ht="15.75" customHeight="1"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</row>
    <row r="422" ht="15.75" customHeight="1"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</row>
    <row r="423" ht="15.75" customHeight="1"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</row>
    <row r="424" ht="15.75" customHeight="1"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</row>
    <row r="425" ht="15.75" customHeight="1"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</row>
    <row r="426" ht="15.75" customHeight="1"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</row>
    <row r="427" ht="15.75" customHeight="1"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</row>
    <row r="428" ht="15.75" customHeight="1"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</row>
    <row r="429" ht="15.75" customHeight="1"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</row>
    <row r="430" ht="15.75" customHeight="1"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</row>
    <row r="431" ht="15.75" customHeight="1"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</row>
    <row r="432" ht="15.75" customHeight="1"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</row>
    <row r="433" ht="15.75" customHeight="1"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</row>
    <row r="434" ht="15.75" customHeight="1"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</row>
    <row r="435" ht="15.75" customHeight="1"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</row>
    <row r="436" ht="15.75" customHeight="1"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</row>
    <row r="437" ht="15.75" customHeight="1"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</row>
    <row r="438" ht="15.75" customHeight="1"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</row>
    <row r="439" ht="15.75" customHeight="1"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</row>
    <row r="440" ht="15.75" customHeight="1"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</row>
    <row r="441" ht="15.75" customHeight="1"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</row>
    <row r="442" ht="15.75" customHeight="1"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</row>
    <row r="443" ht="15.75" customHeight="1"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</row>
    <row r="444" ht="15.75" customHeight="1"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</row>
    <row r="445" ht="15.75" customHeight="1"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</row>
    <row r="446" ht="15.75" customHeight="1"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</row>
    <row r="447" ht="15.75" customHeight="1"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</row>
    <row r="448" ht="15.75" customHeight="1"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</row>
    <row r="449" ht="15.75" customHeight="1"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</row>
    <row r="450" ht="15.75" customHeight="1"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</row>
    <row r="451" ht="15.75" customHeight="1"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</row>
    <row r="452" ht="15.75" customHeight="1"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</row>
    <row r="453" ht="15.75" customHeight="1"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</row>
    <row r="454" ht="15.75" customHeight="1"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</row>
    <row r="455" ht="15.75" customHeight="1"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</row>
    <row r="456" ht="15.75" customHeight="1"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</row>
    <row r="457" ht="15.75" customHeight="1"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</row>
    <row r="458" ht="15.75" customHeight="1"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</row>
    <row r="459" ht="15.75" customHeight="1"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</row>
    <row r="460" ht="15.75" customHeight="1"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</row>
    <row r="461" ht="15.75" customHeight="1"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</row>
    <row r="462" ht="15.75" customHeight="1"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</row>
    <row r="463" ht="15.75" customHeight="1"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</row>
    <row r="464" ht="15.75" customHeight="1"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</row>
    <row r="465" ht="15.75" customHeight="1"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</row>
    <row r="466" ht="15.75" customHeight="1"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</row>
    <row r="467" ht="15.75" customHeight="1"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</row>
    <row r="468" ht="15.75" customHeight="1"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</row>
    <row r="469" ht="15.75" customHeight="1"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</row>
    <row r="470" ht="15.75" customHeight="1"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</row>
    <row r="471" ht="15.75" customHeight="1"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</row>
    <row r="472" ht="15.75" customHeight="1"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</row>
    <row r="473" ht="15.75" customHeight="1"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</row>
    <row r="474" ht="15.75" customHeight="1"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</row>
    <row r="475" ht="15.75" customHeight="1"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</row>
    <row r="476" ht="15.75" customHeight="1"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</row>
    <row r="477" ht="15.75" customHeight="1"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</row>
    <row r="478" ht="15.75" customHeight="1"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</row>
    <row r="479" ht="15.75" customHeight="1"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</row>
    <row r="480" ht="15.75" customHeight="1"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</row>
    <row r="481" ht="15.75" customHeight="1"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</row>
    <row r="482" ht="15.75" customHeight="1"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</row>
    <row r="483" ht="15.75" customHeight="1"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</row>
    <row r="484" ht="15.75" customHeight="1"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</row>
    <row r="485" ht="15.75" customHeight="1"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</row>
    <row r="486" ht="15.75" customHeight="1"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</row>
    <row r="487" ht="15.75" customHeight="1"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</row>
    <row r="488" ht="15.75" customHeight="1"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</row>
    <row r="489" ht="15.75" customHeight="1"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</row>
    <row r="490" ht="15.75" customHeight="1"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</row>
    <row r="491" ht="15.75" customHeight="1"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</row>
    <row r="492" ht="15.75" customHeight="1"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</row>
    <row r="493" ht="15.75" customHeight="1"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</row>
    <row r="494" ht="15.75" customHeight="1"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</row>
    <row r="495" ht="15.75" customHeight="1"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</row>
    <row r="496" ht="15.75" customHeight="1"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</row>
    <row r="497" ht="15.75" customHeight="1"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</row>
    <row r="498" ht="15.75" customHeight="1"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</row>
    <row r="499" ht="15.75" customHeight="1"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</row>
    <row r="500" ht="15.75" customHeight="1"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</row>
    <row r="501" ht="15.75" customHeight="1"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</row>
    <row r="502" ht="15.75" customHeight="1"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</row>
    <row r="503" ht="15.75" customHeight="1"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</row>
    <row r="504" ht="15.75" customHeight="1"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</row>
    <row r="505" ht="15.75" customHeight="1"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</row>
    <row r="506" ht="15.75" customHeight="1"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</row>
    <row r="507" ht="15.75" customHeight="1"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</row>
    <row r="508" ht="15.75" customHeight="1"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</row>
    <row r="509" ht="15.75" customHeight="1"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</row>
    <row r="510" ht="15.75" customHeight="1"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</row>
    <row r="511" ht="15.75" customHeight="1"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</row>
    <row r="512" ht="15.75" customHeight="1"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</row>
    <row r="513" ht="15.75" customHeight="1"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</row>
    <row r="514" ht="15.75" customHeight="1"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</row>
    <row r="515" ht="15.75" customHeight="1"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</row>
    <row r="516" ht="15.75" customHeight="1"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</row>
    <row r="517" ht="15.75" customHeight="1"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</row>
    <row r="518" ht="15.75" customHeight="1"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</row>
    <row r="519" ht="15.75" customHeight="1"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</row>
    <row r="520" ht="15.75" customHeight="1"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</row>
    <row r="521" ht="15.75" customHeight="1"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</row>
    <row r="522" ht="15.75" customHeight="1"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</row>
    <row r="523" ht="15.75" customHeight="1"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</row>
    <row r="524" ht="15.75" customHeight="1"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</row>
    <row r="525" ht="15.75" customHeight="1"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</row>
    <row r="526" ht="15.75" customHeight="1"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</row>
    <row r="527" ht="15.75" customHeight="1"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</row>
    <row r="528" ht="15.75" customHeight="1"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</row>
    <row r="529" ht="15.75" customHeight="1"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</row>
    <row r="530" ht="15.75" customHeight="1"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</row>
    <row r="531" ht="15.75" customHeight="1"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</row>
    <row r="532" ht="15.75" customHeight="1"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</row>
    <row r="533" ht="15.75" customHeight="1"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</row>
    <row r="534" ht="15.75" customHeight="1"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</row>
    <row r="535" ht="15.75" customHeight="1"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</row>
    <row r="536" ht="15.75" customHeight="1"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</row>
    <row r="537" ht="15.75" customHeight="1"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</row>
    <row r="538" ht="15.75" customHeight="1"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</row>
    <row r="539" ht="15.75" customHeight="1"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</row>
    <row r="540" ht="15.75" customHeight="1"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</row>
    <row r="541" ht="15.75" customHeight="1"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</row>
    <row r="542" ht="15.75" customHeight="1"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</row>
    <row r="543" ht="15.75" customHeight="1"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</row>
    <row r="544" ht="15.75" customHeight="1"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</row>
    <row r="545" ht="15.75" customHeight="1"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</row>
    <row r="546" ht="15.75" customHeight="1"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</row>
    <row r="547" ht="15.75" customHeight="1"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</row>
    <row r="548" ht="15.75" customHeight="1"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</row>
    <row r="549" ht="15.75" customHeight="1"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</row>
    <row r="550" ht="15.75" customHeight="1"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</row>
    <row r="551" ht="15.75" customHeight="1"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</row>
    <row r="552" ht="15.75" customHeight="1"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</row>
    <row r="553" ht="15.75" customHeight="1"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</row>
    <row r="554" ht="15.75" customHeight="1"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</row>
    <row r="555" ht="15.75" customHeight="1"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</row>
    <row r="556" ht="15.75" customHeight="1"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</row>
    <row r="557" ht="15.75" customHeight="1"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</row>
    <row r="558" ht="15.75" customHeight="1"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</row>
    <row r="559" ht="15.75" customHeight="1"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</row>
    <row r="560" ht="15.75" customHeight="1"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</row>
    <row r="561" ht="15.75" customHeight="1"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</row>
    <row r="562" ht="15.75" customHeight="1"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</row>
    <row r="563" ht="15.75" customHeight="1"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</row>
    <row r="564" ht="15.75" customHeight="1"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</row>
    <row r="565" ht="15.75" customHeight="1"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</row>
    <row r="566" ht="15.75" customHeight="1"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</row>
    <row r="567" ht="15.75" customHeight="1"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</row>
    <row r="568" ht="15.75" customHeight="1"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</row>
    <row r="569" ht="15.75" customHeight="1"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</row>
    <row r="570" ht="15.75" customHeight="1"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</row>
    <row r="571" ht="15.75" customHeight="1"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</row>
    <row r="572" ht="15.75" customHeight="1"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</row>
    <row r="573" ht="15.75" customHeight="1"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</row>
    <row r="574" ht="15.75" customHeight="1"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</row>
    <row r="575" ht="15.75" customHeight="1"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</row>
    <row r="576" ht="15.75" customHeight="1"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</row>
    <row r="577" ht="15.75" customHeight="1"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</row>
    <row r="578" ht="15.75" customHeight="1"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</row>
    <row r="579" ht="15.75" customHeight="1"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</row>
    <row r="580" ht="15.75" customHeight="1"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</row>
    <row r="581" ht="15.75" customHeight="1"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</row>
    <row r="582" ht="15.75" customHeight="1"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</row>
    <row r="583" ht="15.75" customHeight="1"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</row>
    <row r="584" ht="15.75" customHeight="1"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</row>
    <row r="585" ht="15.75" customHeight="1"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</row>
    <row r="586" ht="15.75" customHeight="1"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</row>
    <row r="587" ht="15.75" customHeight="1"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</row>
    <row r="588" ht="15.75" customHeight="1"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</row>
    <row r="589" ht="15.75" customHeight="1"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</row>
    <row r="590" ht="15.75" customHeight="1"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</row>
    <row r="591" ht="15.75" customHeight="1"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</row>
    <row r="592" ht="15.75" customHeight="1"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</row>
    <row r="593" ht="15.75" customHeight="1"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</row>
    <row r="594" ht="15.75" customHeight="1"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</row>
    <row r="595" ht="15.75" customHeight="1"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</row>
    <row r="596" ht="15.75" customHeight="1"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</row>
    <row r="597" ht="15.75" customHeight="1"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</row>
    <row r="598" ht="15.75" customHeight="1"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</row>
    <row r="599" ht="15.75" customHeight="1"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</row>
    <row r="600" ht="15.75" customHeight="1"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</row>
    <row r="601" ht="15.75" customHeight="1"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</row>
    <row r="602" ht="15.75" customHeight="1"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</row>
    <row r="603" ht="15.75" customHeight="1"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</row>
    <row r="604" ht="15.75" customHeight="1"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</row>
    <row r="605" ht="15.75" customHeight="1"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</row>
    <row r="606" ht="15.75" customHeight="1"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</row>
    <row r="607" ht="15.75" customHeight="1"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</row>
    <row r="608" ht="15.75" customHeight="1"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</row>
    <row r="609" ht="15.75" customHeight="1"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</row>
    <row r="610" ht="15.75" customHeight="1"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</row>
    <row r="611" ht="15.75" customHeight="1"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</row>
    <row r="612" ht="15.75" customHeight="1"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</row>
    <row r="613" ht="15.75" customHeight="1"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</row>
    <row r="614" ht="15.75" customHeight="1"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</row>
    <row r="615" ht="15.75" customHeight="1"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</row>
    <row r="616" ht="15.75" customHeight="1"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</row>
    <row r="617" ht="15.75" customHeight="1"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</row>
    <row r="618" ht="15.75" customHeight="1"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</row>
    <row r="619" ht="15.75" customHeight="1"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</row>
    <row r="620" ht="15.75" customHeight="1"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</row>
    <row r="621" ht="15.75" customHeight="1"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</row>
    <row r="622" ht="15.75" customHeight="1"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</row>
    <row r="623" ht="15.75" customHeight="1"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</row>
    <row r="624" ht="15.75" customHeight="1"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</row>
    <row r="625" ht="15.75" customHeight="1"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</row>
    <row r="626" ht="15.75" customHeight="1"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</row>
    <row r="627" ht="15.75" customHeight="1"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</row>
    <row r="628" ht="15.75" customHeight="1"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</row>
    <row r="629" ht="15.75" customHeight="1"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</row>
    <row r="630" ht="15.75" customHeight="1"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</row>
    <row r="631" ht="15.75" customHeight="1"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</row>
    <row r="632" ht="15.75" customHeight="1"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</row>
    <row r="633" ht="15.75" customHeight="1"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</row>
    <row r="634" ht="15.75" customHeight="1"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</row>
    <row r="635" ht="15.75" customHeight="1"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</row>
    <row r="636" ht="15.75" customHeight="1"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</row>
    <row r="637" ht="15.75" customHeight="1"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</row>
    <row r="638" ht="15.75" customHeight="1"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</row>
    <row r="639" ht="15.75" customHeight="1"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</row>
    <row r="640" ht="15.75" customHeight="1"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</row>
    <row r="641" ht="15.75" customHeight="1"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</row>
    <row r="642" ht="15.75" customHeight="1"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</row>
    <row r="643" ht="15.75" customHeight="1"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</row>
    <row r="644" ht="15.75" customHeight="1"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</row>
    <row r="645" ht="15.75" customHeight="1"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</row>
    <row r="646" ht="15.75" customHeight="1"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</row>
    <row r="647" ht="15.75" customHeight="1"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</row>
    <row r="648" ht="15.75" customHeight="1"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</row>
    <row r="649" ht="15.75" customHeight="1"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</row>
    <row r="650" ht="15.75" customHeight="1"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</row>
    <row r="651" ht="15.75" customHeight="1"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</row>
    <row r="652" ht="15.75" customHeight="1"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</row>
    <row r="653" ht="15.75" customHeight="1"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</row>
    <row r="654" ht="15.75" customHeight="1"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</row>
    <row r="655" ht="15.75" customHeight="1"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</row>
    <row r="656" ht="15.75" customHeight="1"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</row>
    <row r="657" ht="15.75" customHeight="1"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</row>
    <row r="658" ht="15.75" customHeight="1"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</row>
    <row r="659" ht="15.75" customHeight="1"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</row>
    <row r="660" ht="15.75" customHeight="1"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</row>
    <row r="661" ht="15.75" customHeight="1"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</row>
    <row r="662" ht="15.75" customHeight="1"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</row>
    <row r="663" ht="15.75" customHeight="1"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</row>
    <row r="664" ht="15.75" customHeight="1"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</row>
    <row r="665" ht="15.75" customHeight="1"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</row>
    <row r="666" ht="15.75" customHeight="1"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</row>
    <row r="667" ht="15.75" customHeight="1"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</row>
    <row r="668" ht="15.75" customHeight="1"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</row>
    <row r="669" ht="15.75" customHeight="1"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</row>
    <row r="670" ht="15.75" customHeight="1"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</row>
    <row r="671" ht="15.75" customHeight="1"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</row>
    <row r="672" ht="15.75" customHeight="1"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</row>
    <row r="673" ht="15.75" customHeight="1"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</row>
    <row r="674" ht="15.75" customHeight="1"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</row>
    <row r="675" ht="15.75" customHeight="1"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</row>
    <row r="676" ht="15.75" customHeight="1"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</row>
    <row r="677" ht="15.75" customHeight="1"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</row>
    <row r="678" ht="15.75" customHeight="1"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</row>
    <row r="679" ht="15.75" customHeight="1"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</row>
    <row r="680" ht="15.75" customHeight="1"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</row>
    <row r="681" ht="15.75" customHeight="1"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</row>
    <row r="682" ht="15.75" customHeight="1"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</row>
    <row r="683" ht="15.75" customHeight="1"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</row>
    <row r="684" ht="15.75" customHeight="1"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</row>
    <row r="685" ht="15.75" customHeight="1"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</row>
    <row r="686" ht="15.75" customHeight="1"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</row>
    <row r="687" ht="15.75" customHeight="1"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</row>
    <row r="688" ht="15.75" customHeight="1"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</row>
    <row r="689" ht="15.75" customHeight="1"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</row>
    <row r="690" ht="15.75" customHeight="1"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</row>
    <row r="691" ht="15.75" customHeight="1"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</row>
    <row r="692" ht="15.75" customHeight="1"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</row>
    <row r="693" ht="15.75" customHeight="1"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</row>
    <row r="694" ht="15.75" customHeight="1"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</row>
    <row r="695" ht="15.75" customHeight="1"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</row>
    <row r="696" ht="15.75" customHeight="1"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</row>
    <row r="697" ht="15.75" customHeight="1"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</row>
    <row r="698" ht="15.75" customHeight="1"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</row>
    <row r="699" ht="15.75" customHeight="1"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</row>
    <row r="700" ht="15.75" customHeight="1"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</row>
    <row r="701" ht="15.75" customHeight="1"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</row>
    <row r="702" ht="15.75" customHeight="1"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</row>
    <row r="703" ht="15.75" customHeight="1"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</row>
    <row r="704" ht="15.75" customHeight="1"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</row>
    <row r="705" ht="15.75" customHeight="1"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</row>
    <row r="706" ht="15.75" customHeight="1"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</row>
    <row r="707" ht="15.75" customHeight="1"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</row>
    <row r="708" ht="15.75" customHeight="1"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</row>
    <row r="709" ht="15.75" customHeight="1"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</row>
    <row r="710" ht="15.75" customHeight="1"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</row>
    <row r="711" ht="15.75" customHeight="1"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</row>
    <row r="712" ht="15.75" customHeight="1"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</row>
    <row r="713" ht="15.75" customHeight="1"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</row>
    <row r="714" ht="15.75" customHeight="1"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</row>
    <row r="715" ht="15.75" customHeight="1"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</row>
    <row r="716" ht="15.75" customHeight="1"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</row>
    <row r="717" ht="15.75" customHeight="1"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</row>
    <row r="718" ht="15.75" customHeight="1"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</row>
    <row r="719" ht="15.75" customHeight="1"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</row>
    <row r="720" ht="15.75" customHeight="1"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</row>
    <row r="721" ht="15.75" customHeight="1"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</row>
    <row r="722" ht="15.75" customHeight="1"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</row>
    <row r="723" ht="15.75" customHeight="1"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</row>
    <row r="724" ht="15.75" customHeight="1"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</row>
    <row r="725" ht="15.75" customHeight="1"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</row>
    <row r="726" ht="15.75" customHeight="1"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</row>
    <row r="727" ht="15.75" customHeight="1"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</row>
    <row r="728" ht="15.75" customHeight="1"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</row>
    <row r="729" ht="15.75" customHeight="1"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</row>
    <row r="730" ht="15.75" customHeight="1"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</row>
    <row r="731" ht="15.75" customHeight="1"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</row>
    <row r="732" ht="15.75" customHeight="1"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</row>
    <row r="733" ht="15.75" customHeight="1"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</row>
    <row r="734" ht="15.75" customHeight="1"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</row>
    <row r="735" ht="15.75" customHeight="1"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</row>
    <row r="736" ht="15.75" customHeight="1"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</row>
    <row r="737" ht="15.75" customHeight="1"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</row>
    <row r="738" ht="15.75" customHeight="1"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</row>
    <row r="739" ht="15.75" customHeight="1"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</row>
    <row r="740" ht="15.75" customHeight="1"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</row>
    <row r="741" ht="15.75" customHeight="1"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</row>
    <row r="742" ht="15.75" customHeight="1"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</row>
    <row r="743" ht="15.75" customHeight="1"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</row>
    <row r="744" ht="15.75" customHeight="1"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</row>
    <row r="745" ht="15.75" customHeight="1"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</row>
    <row r="746" ht="15.75" customHeight="1"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</row>
    <row r="747" ht="15.75" customHeight="1"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</row>
    <row r="748" ht="15.75" customHeight="1"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</row>
    <row r="749" ht="15.75" customHeight="1"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</row>
    <row r="750" ht="15.75" customHeight="1"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</row>
    <row r="751" ht="15.75" customHeight="1"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</row>
    <row r="752" ht="15.75" customHeight="1"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</row>
    <row r="753" ht="15.75" customHeight="1"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</row>
    <row r="754" ht="15.75" customHeight="1"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</row>
    <row r="755" ht="15.75" customHeight="1"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</row>
    <row r="756" ht="15.75" customHeight="1"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</row>
    <row r="757" ht="15.75" customHeight="1"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</row>
    <row r="758" ht="15.75" customHeight="1"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</row>
    <row r="759" ht="15.75" customHeight="1"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</row>
    <row r="760" ht="15.75" customHeight="1"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</row>
    <row r="761" ht="15.75" customHeight="1"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</row>
    <row r="762" ht="15.75" customHeight="1"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</row>
    <row r="763" ht="15.75" customHeight="1"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</row>
    <row r="764" ht="15.75" customHeight="1"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</row>
    <row r="765" ht="15.75" customHeight="1"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</row>
    <row r="766" ht="15.75" customHeight="1"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</row>
    <row r="767" ht="15.75" customHeight="1"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</row>
    <row r="768" ht="15.75" customHeight="1"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</row>
    <row r="769" ht="15.75" customHeight="1"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</row>
    <row r="770" ht="15.75" customHeight="1"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</row>
    <row r="771" ht="15.75" customHeight="1"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</row>
    <row r="772" ht="15.75" customHeight="1"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</row>
    <row r="773" ht="15.75" customHeight="1"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</row>
    <row r="774" ht="15.75" customHeight="1"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</row>
    <row r="775" ht="15.75" customHeight="1"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</row>
    <row r="776" ht="15.75" customHeight="1"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</row>
    <row r="777" ht="15.75" customHeight="1"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</row>
    <row r="778" ht="15.75" customHeight="1"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</row>
    <row r="779" ht="15.75" customHeight="1"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</row>
    <row r="780" ht="15.75" customHeight="1"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</row>
    <row r="781" ht="15.75" customHeight="1"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</row>
    <row r="782" ht="15.75" customHeight="1"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</row>
    <row r="783" ht="15.75" customHeight="1"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</row>
    <row r="784" ht="15.75" customHeight="1"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</row>
    <row r="785" ht="15.75" customHeight="1"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</row>
    <row r="786" ht="15.75" customHeight="1"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</row>
    <row r="787" ht="15.75" customHeight="1"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</row>
    <row r="788" ht="15.75" customHeight="1"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</row>
    <row r="789" ht="15.75" customHeight="1"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</row>
    <row r="790" ht="15.75" customHeight="1"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</row>
    <row r="791" ht="15.75" customHeight="1"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</row>
    <row r="792" ht="15.75" customHeight="1"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</row>
    <row r="793" ht="15.75" customHeight="1"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</row>
    <row r="794" ht="15.75" customHeight="1"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</row>
    <row r="795" ht="15.75" customHeight="1"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</row>
    <row r="796" ht="15.75" customHeight="1"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</row>
    <row r="797" ht="15.75" customHeight="1"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</row>
    <row r="798" ht="15.75" customHeight="1"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</row>
    <row r="799" ht="15.75" customHeight="1"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</row>
    <row r="800" ht="15.75" customHeight="1"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</row>
    <row r="801" ht="15.75" customHeight="1"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</row>
    <row r="802" ht="15.75" customHeight="1"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</row>
    <row r="803" ht="15.75" customHeight="1"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</row>
    <row r="804" ht="15.75" customHeight="1"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</row>
    <row r="805" ht="15.75" customHeight="1"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</row>
    <row r="806" ht="15.75" customHeight="1"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</row>
    <row r="807" ht="15.75" customHeight="1"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</row>
    <row r="808" ht="15.75" customHeight="1"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</row>
    <row r="809" ht="15.75" customHeight="1"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</row>
    <row r="810" ht="15.75" customHeight="1"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</row>
    <row r="811" ht="15.75" customHeight="1"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</row>
    <row r="812" ht="15.75" customHeight="1"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</row>
    <row r="813" ht="15.75" customHeight="1"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</row>
    <row r="814" ht="15.75" customHeight="1"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</row>
    <row r="815" ht="15.75" customHeight="1"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</row>
    <row r="816" ht="15.75" customHeight="1"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</row>
    <row r="817" ht="15.75" customHeight="1"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</row>
    <row r="818" ht="15.75" customHeight="1"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</row>
    <row r="819" ht="15.75" customHeight="1"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</row>
    <row r="820" ht="15.75" customHeight="1"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</row>
    <row r="821" ht="15.75" customHeight="1"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</row>
    <row r="822" ht="15.75" customHeight="1"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</row>
    <row r="823" ht="15.75" customHeight="1"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</row>
    <row r="824" ht="15.75" customHeight="1"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</row>
    <row r="825" ht="15.75" customHeight="1"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</row>
    <row r="826" ht="15.75" customHeight="1"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</row>
    <row r="827" ht="15.75" customHeight="1"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</row>
    <row r="828" ht="15.75" customHeight="1"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</row>
    <row r="829" ht="15.75" customHeight="1"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</row>
    <row r="830" ht="15.75" customHeight="1"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</row>
    <row r="831" ht="15.75" customHeight="1"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</row>
    <row r="832" ht="15.75" customHeight="1"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</row>
    <row r="833" ht="15.75" customHeight="1"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</row>
    <row r="834" ht="15.75" customHeight="1"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</row>
    <row r="835" ht="15.75" customHeight="1"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</row>
    <row r="836" ht="15.75" customHeight="1"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</row>
    <row r="837" ht="15.75" customHeight="1"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</row>
    <row r="838" ht="15.75" customHeight="1"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</row>
    <row r="839" ht="15.75" customHeight="1"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</row>
    <row r="840" ht="15.75" customHeight="1"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</row>
    <row r="841" ht="15.75" customHeight="1"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</row>
    <row r="842" ht="15.75" customHeight="1"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</row>
    <row r="843" ht="15.75" customHeight="1"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</row>
    <row r="844" ht="15.75" customHeight="1"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</row>
    <row r="845" ht="15.75" customHeight="1"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</row>
    <row r="846" ht="15.75" customHeight="1"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</row>
    <row r="847" ht="15.75" customHeight="1"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</row>
    <row r="848" ht="15.75" customHeight="1"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</row>
    <row r="849" ht="15.75" customHeight="1"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</row>
    <row r="850" ht="15.75" customHeight="1"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</row>
    <row r="851" ht="15.75" customHeight="1"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</row>
    <row r="852" ht="15.75" customHeight="1"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</row>
    <row r="853" ht="15.75" customHeight="1"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</row>
    <row r="854" ht="15.75" customHeight="1"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</row>
    <row r="855" ht="15.75" customHeight="1"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</row>
    <row r="856" ht="15.75" customHeight="1"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</row>
    <row r="857" ht="15.75" customHeight="1"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</row>
    <row r="858" ht="15.75" customHeight="1"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</row>
    <row r="859" ht="15.75" customHeight="1"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</row>
    <row r="860" ht="15.75" customHeight="1"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</row>
    <row r="861" ht="15.75" customHeight="1"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</row>
    <row r="862" ht="15.75" customHeight="1"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</row>
    <row r="863" ht="15.75" customHeight="1"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</row>
    <row r="864" ht="15.75" customHeight="1"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</row>
    <row r="865" ht="15.75" customHeight="1"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</row>
    <row r="866" ht="15.75" customHeight="1"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</row>
    <row r="867" ht="15.75" customHeight="1"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</row>
    <row r="868" ht="15.75" customHeight="1"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</row>
    <row r="869" ht="15.75" customHeight="1"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</row>
    <row r="870" ht="15.75" customHeight="1"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</row>
    <row r="871" ht="15.75" customHeight="1"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</row>
    <row r="872" ht="15.75" customHeight="1"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</row>
    <row r="873" ht="15.75" customHeight="1"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</row>
    <row r="874" ht="15.75" customHeight="1"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</row>
    <row r="875" ht="15.75" customHeight="1"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</row>
    <row r="876" ht="15.75" customHeight="1"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</row>
    <row r="877" ht="15.75" customHeight="1"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</row>
    <row r="878" ht="15.75" customHeight="1"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</row>
    <row r="879" ht="15.75" customHeight="1"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</row>
    <row r="880" ht="15.75" customHeight="1"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</row>
    <row r="881" ht="15.75" customHeight="1"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</row>
    <row r="882" ht="15.75" customHeight="1"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</row>
    <row r="883" ht="15.75" customHeight="1"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</row>
    <row r="884" ht="15.75" customHeight="1"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</row>
    <row r="885" ht="15.75" customHeight="1"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</row>
    <row r="886" ht="15.75" customHeight="1"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</row>
    <row r="887" ht="15.75" customHeight="1"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</row>
    <row r="888" ht="15.75" customHeight="1"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</row>
    <row r="889" ht="15.75" customHeight="1"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</row>
    <row r="890" ht="15.75" customHeight="1"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</row>
    <row r="891" ht="15.75" customHeight="1"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</row>
    <row r="892" ht="15.75" customHeight="1"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</row>
    <row r="893" ht="15.75" customHeight="1"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</row>
    <row r="894" ht="15.75" customHeight="1"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</row>
    <row r="895" ht="15.75" customHeight="1"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</row>
    <row r="896" ht="15.75" customHeight="1"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</row>
    <row r="897" ht="15.75" customHeight="1"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</row>
    <row r="898" ht="15.75" customHeight="1"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</row>
    <row r="899" ht="15.75" customHeight="1"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</row>
    <row r="900" ht="15.75" customHeight="1"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</row>
    <row r="901" ht="15.75" customHeight="1"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</row>
    <row r="902" ht="15.75" customHeight="1"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</row>
    <row r="903" ht="15.75" customHeight="1"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</row>
    <row r="904" ht="15.75" customHeight="1"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</row>
    <row r="905" ht="15.75" customHeight="1"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</row>
    <row r="906" ht="15.75" customHeight="1"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</row>
    <row r="907" ht="15.75" customHeight="1"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</row>
    <row r="908" ht="15.75" customHeight="1"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</row>
    <row r="909" ht="15.75" customHeight="1"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</row>
    <row r="910" ht="15.75" customHeight="1"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</row>
    <row r="911" ht="15.75" customHeight="1"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</row>
    <row r="912" ht="15.75" customHeight="1"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</row>
    <row r="913" ht="15.75" customHeight="1"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</row>
    <row r="914" ht="15.75" customHeight="1"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</row>
    <row r="915" ht="15.75" customHeight="1"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</row>
    <row r="916" ht="15.75" customHeight="1"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</row>
    <row r="917" ht="15.75" customHeight="1"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</row>
    <row r="918" ht="15.75" customHeight="1"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</row>
    <row r="919" ht="15.75" customHeight="1"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</row>
    <row r="920" ht="15.75" customHeight="1"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</row>
    <row r="921" ht="15.75" customHeight="1"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</row>
    <row r="922" ht="15.75" customHeight="1"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</row>
    <row r="923" ht="15.75" customHeight="1"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</row>
    <row r="924" ht="15.75" customHeight="1"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</row>
    <row r="925" ht="15.75" customHeight="1"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</row>
    <row r="926" ht="15.75" customHeight="1"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</row>
    <row r="927" ht="15.75" customHeight="1"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</row>
    <row r="928" ht="15.75" customHeight="1"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</row>
    <row r="929" ht="15.75" customHeight="1"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</row>
    <row r="930" ht="15.75" customHeight="1"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</row>
    <row r="931" ht="15.75" customHeight="1"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</row>
    <row r="932" ht="15.75" customHeight="1"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</row>
    <row r="933" ht="15.75" customHeight="1"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</row>
    <row r="934" ht="15.75" customHeight="1"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</row>
    <row r="935" ht="15.75" customHeight="1"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</row>
    <row r="936" ht="15.75" customHeight="1"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</row>
    <row r="937" ht="15.75" customHeight="1"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</row>
    <row r="938" ht="15.75" customHeight="1"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</row>
    <row r="939" ht="15.75" customHeight="1"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</row>
    <row r="940" ht="15.75" customHeight="1"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</row>
    <row r="941" ht="15.75" customHeight="1"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</row>
    <row r="942" ht="15.75" customHeight="1"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</row>
    <row r="943" ht="15.75" customHeight="1"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</row>
    <row r="944" ht="15.75" customHeight="1"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</row>
    <row r="945" ht="15.75" customHeight="1"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</row>
    <row r="946" ht="15.75" customHeight="1"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</row>
    <row r="947" ht="15.75" customHeight="1"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</row>
    <row r="948" ht="15.75" customHeight="1"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</row>
    <row r="949" ht="15.75" customHeight="1"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</row>
    <row r="950" ht="15.75" customHeight="1"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</row>
    <row r="951" ht="15.75" customHeight="1"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</row>
    <row r="952" ht="15.75" customHeight="1"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</row>
    <row r="953" ht="15.75" customHeight="1"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</row>
    <row r="954" ht="15.75" customHeight="1"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</row>
    <row r="955" ht="15.75" customHeight="1"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</row>
    <row r="956" ht="15.75" customHeight="1"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</row>
    <row r="957" ht="15.75" customHeight="1"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</row>
    <row r="958" ht="15.75" customHeight="1"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</row>
    <row r="959" ht="15.75" customHeight="1"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</row>
    <row r="960" ht="15.75" customHeight="1"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</row>
    <row r="961" ht="15.75" customHeight="1"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</row>
    <row r="962" ht="15.75" customHeight="1"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</row>
    <row r="963" ht="15.75" customHeight="1"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</row>
    <row r="964" ht="15.75" customHeight="1"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</row>
    <row r="965" ht="15.75" customHeight="1"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</row>
    <row r="966" ht="15.75" customHeight="1"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</row>
    <row r="967" ht="15.75" customHeight="1"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</row>
    <row r="968" ht="15.75" customHeight="1"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</row>
    <row r="969" ht="15.75" customHeight="1"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</row>
    <row r="970" ht="15.75" customHeight="1"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</row>
    <row r="971" ht="15.75" customHeight="1"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</row>
    <row r="972" ht="15.75" customHeight="1"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</row>
    <row r="973" ht="15.75" customHeight="1"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</row>
    <row r="974" ht="15.75" customHeight="1"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</row>
    <row r="975" ht="15.75" customHeight="1"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</row>
    <row r="976" ht="15.75" customHeight="1"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</row>
    <row r="977" ht="15.75" customHeight="1"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</row>
    <row r="978" ht="15.75" customHeight="1"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</row>
    <row r="979" ht="15.75" customHeight="1"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</row>
    <row r="980" ht="15.75" customHeight="1"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</row>
    <row r="981" ht="15.75" customHeight="1"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</row>
    <row r="982" ht="15.75" customHeight="1"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</row>
    <row r="983" ht="15.75" customHeight="1"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</row>
    <row r="984" ht="15.75" customHeight="1"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</row>
    <row r="985" ht="15.75" customHeight="1"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</row>
    <row r="986" ht="15.75" customHeight="1"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</row>
    <row r="987" ht="15.75" customHeight="1"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</row>
    <row r="988" ht="15.75" customHeight="1"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</row>
    <row r="989" ht="15.75" customHeight="1"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</row>
    <row r="990" ht="15.75" customHeight="1"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</row>
    <row r="991" ht="15.75" customHeight="1"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</row>
    <row r="992" ht="15.75" customHeight="1"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</row>
    <row r="993" ht="15.75" customHeight="1"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</row>
    <row r="994" ht="15.75" customHeight="1"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</row>
    <row r="995" ht="15.75" customHeight="1"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</row>
    <row r="996" ht="15.75" customHeight="1"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</row>
    <row r="997" ht="15.75" customHeight="1"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</row>
    <row r="998" ht="15.75" customHeight="1"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</row>
    <row r="999" ht="15.75" customHeight="1"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</row>
    <row r="1000" ht="15.75" customHeight="1"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</row>
  </sheetData>
  <mergeCells count="8">
    <mergeCell ref="B3:G4"/>
    <mergeCell ref="B6:G6"/>
    <mergeCell ref="K6:N6"/>
    <mergeCell ref="J22:M22"/>
    <mergeCell ref="J23:L23"/>
    <mergeCell ref="J24:L24"/>
    <mergeCell ref="J25:L25"/>
    <mergeCell ref="J26:L26"/>
  </mergeCells>
  <conditionalFormatting sqref="M23:M26">
    <cfRule type="expression" dxfId="0" priority="1">
      <formula>J23=""</formula>
    </cfRule>
  </conditionalFormatting>
  <conditionalFormatting sqref="M24:M26">
    <cfRule type="expression" dxfId="0" priority="2">
      <formula>J24=""</formula>
    </cfRule>
  </conditionalFormatting>
  <conditionalFormatting sqref="M25">
    <cfRule type="expression" dxfId="0" priority="3">
      <formula>J25=""</formula>
    </cfRule>
  </conditionalFormatting>
  <conditionalFormatting sqref="B22:H28 J22:M26">
    <cfRule type="expression" dxfId="0" priority="4">
      <formula>OR($I$22=0,AND($J$20="",$J$21="",$J$22="",$J$23=""))</formula>
    </cfRule>
  </conditionalFormatting>
  <conditionalFormatting sqref="N23:AH27">
    <cfRule type="expression" dxfId="0" priority="5">
      <formula>K23=""</formula>
    </cfRule>
  </conditionalFormatting>
  <conditionalFormatting sqref="N24:AH26">
    <cfRule type="expression" dxfId="0" priority="6">
      <formula>K24=""</formula>
    </cfRule>
  </conditionalFormatting>
  <conditionalFormatting sqref="N25:AH25">
    <cfRule type="expression" dxfId="0" priority="7">
      <formula>K25=""</formula>
    </cfRule>
  </conditionalFormatting>
  <conditionalFormatting sqref="N27:AH27">
    <cfRule type="expression" dxfId="0" priority="8">
      <formula>K27=""</formula>
    </cfRule>
  </conditionalFormatting>
  <conditionalFormatting sqref="N23:AH27">
    <cfRule type="expression" dxfId="0" priority="9">
      <formula>OR($I$22=0,AND($J$20="",$J$21="",$J$22="",$J$23=""))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29"/>
    <col customWidth="1" min="4" max="4" width="9.14"/>
    <col customWidth="1" min="5" max="8" width="10.71"/>
    <col customWidth="1" min="9" max="9" width="9.14"/>
    <col customWidth="1" min="10" max="13" width="10.71"/>
    <col customWidth="1" min="14" max="14" width="9.14"/>
    <col customWidth="1" min="15" max="26" width="10.71"/>
  </cols>
  <sheetData>
    <row r="2">
      <c r="B2" s="19" t="s">
        <v>68</v>
      </c>
      <c r="C2" s="20"/>
      <c r="D2" s="21"/>
    </row>
    <row r="4">
      <c r="G4" s="19" t="s">
        <v>69</v>
      </c>
      <c r="H4" s="20"/>
      <c r="I4" s="21"/>
    </row>
    <row r="5">
      <c r="B5" s="85">
        <v>49.0</v>
      </c>
      <c r="C5" s="86" t="s">
        <v>70</v>
      </c>
      <c r="D5" s="87" t="s">
        <v>71</v>
      </c>
    </row>
    <row r="6">
      <c r="B6" s="88" t="str">
        <f>'GRUPO A'!C8</f>
        <v>Holanda</v>
      </c>
      <c r="C6" s="89">
        <v>1.0</v>
      </c>
      <c r="D6" s="90">
        <v>5.0</v>
      </c>
    </row>
    <row r="7">
      <c r="B7" s="91" t="str">
        <f>'GRUPO B'!C9</f>
        <v>Gales</v>
      </c>
      <c r="C7" s="92">
        <v>1.0</v>
      </c>
      <c r="D7" s="93">
        <v>4.0</v>
      </c>
      <c r="E7" s="94"/>
      <c r="G7" s="85">
        <v>57.0</v>
      </c>
      <c r="H7" s="86" t="s">
        <v>70</v>
      </c>
      <c r="I7" s="87" t="s">
        <v>71</v>
      </c>
    </row>
    <row r="8">
      <c r="E8" s="95"/>
      <c r="G8" s="88" t="str">
        <f>IF(C7&gt;C6,B7,IF(C6&gt;C7,B6,IF(D7&gt;D6,B7,IF(D6&gt;D7,B6,""))))</f>
        <v>Holanda</v>
      </c>
      <c r="H8" s="89">
        <v>1.0</v>
      </c>
      <c r="I8" s="96"/>
      <c r="L8" s="19" t="s">
        <v>72</v>
      </c>
      <c r="M8" s="20"/>
      <c r="N8" s="21"/>
    </row>
    <row r="9">
      <c r="B9" s="85">
        <v>50.0</v>
      </c>
      <c r="C9" s="86" t="s">
        <v>70</v>
      </c>
      <c r="D9" s="87" t="s">
        <v>71</v>
      </c>
      <c r="E9" s="97"/>
      <c r="F9" s="98"/>
      <c r="G9" s="91" t="str">
        <f>IF(C11&gt;C10,B11,IF(C10&gt;C11,B10,IF(D11&gt;D10,B11,IF(D10&gt;D11,B10,""))))</f>
        <v>Argentina</v>
      </c>
      <c r="H9" s="92">
        <v>3.0</v>
      </c>
      <c r="I9" s="99"/>
      <c r="J9" s="94"/>
    </row>
    <row r="10">
      <c r="B10" s="88" t="str">
        <f>'GRUPO C'!C8</f>
        <v>Argentina</v>
      </c>
      <c r="C10" s="89">
        <v>3.0</v>
      </c>
      <c r="D10" s="96"/>
      <c r="E10" s="100"/>
      <c r="J10" s="95"/>
    </row>
    <row r="11">
      <c r="B11" s="91" t="str">
        <f>'GRUPO D'!C9</f>
        <v>Dinamarca</v>
      </c>
      <c r="C11" s="92">
        <v>1.0</v>
      </c>
      <c r="D11" s="99"/>
      <c r="E11" s="101"/>
      <c r="J11" s="95"/>
      <c r="L11" s="85">
        <v>61.0</v>
      </c>
      <c r="M11" s="86" t="s">
        <v>70</v>
      </c>
      <c r="N11" s="87" t="s">
        <v>71</v>
      </c>
    </row>
    <row r="12">
      <c r="J12" s="95"/>
      <c r="L12" s="88" t="str">
        <f>IF(H9&gt;H8,G9,IF(H8&gt;H9,G8,IF(I9&gt;I8,G9,IF(I8&gt;I9,G8,""))))</f>
        <v>Argentina</v>
      </c>
      <c r="M12" s="89">
        <v>2.0</v>
      </c>
      <c r="N12" s="90">
        <v>5.0</v>
      </c>
    </row>
    <row r="13">
      <c r="B13" s="85">
        <v>53.0</v>
      </c>
      <c r="C13" s="86" t="s">
        <v>70</v>
      </c>
      <c r="D13" s="87" t="s">
        <v>71</v>
      </c>
      <c r="J13" s="95"/>
      <c r="K13" s="98"/>
      <c r="L13" s="91" t="str">
        <f>IF(H17&gt;H16,G17,IF(H16&gt;H17,G16,IF(I17&gt;I16,G17,IF(I16&gt;I17,G16,""))))</f>
        <v>Brasil</v>
      </c>
      <c r="M13" s="92">
        <v>2.0</v>
      </c>
      <c r="N13" s="93">
        <v>4.0</v>
      </c>
      <c r="O13" s="94"/>
    </row>
    <row r="14">
      <c r="B14" s="88" t="str">
        <f>'GRUPO E'!C8</f>
        <v>Alemania</v>
      </c>
      <c r="C14" s="89">
        <v>4.0</v>
      </c>
      <c r="D14" s="96"/>
      <c r="J14" s="95"/>
      <c r="O14" s="95"/>
    </row>
    <row r="15">
      <c r="B15" s="91" t="str">
        <f>'GRUPO F'!C9</f>
        <v>Croacia</v>
      </c>
      <c r="C15" s="92">
        <v>2.0</v>
      </c>
      <c r="D15" s="99"/>
      <c r="E15" s="94"/>
      <c r="G15" s="85">
        <v>58.0</v>
      </c>
      <c r="H15" s="86" t="s">
        <v>70</v>
      </c>
      <c r="I15" s="87" t="s">
        <v>71</v>
      </c>
      <c r="J15" s="95"/>
      <c r="O15" s="95"/>
    </row>
    <row r="16">
      <c r="E16" s="95"/>
      <c r="G16" s="88" t="str">
        <f>IF(C15&gt;C14,B15,IF(C14&gt;C15,B14,IF(D15&gt;D14,B15,IF(D14&gt;D15,B14,""))))</f>
        <v>Alemania</v>
      </c>
      <c r="H16" s="89">
        <v>3.0</v>
      </c>
      <c r="I16" s="96"/>
      <c r="J16" s="100"/>
      <c r="O16" s="95"/>
      <c r="Q16" s="19" t="s">
        <v>73</v>
      </c>
      <c r="R16" s="20"/>
      <c r="S16" s="21"/>
    </row>
    <row r="17">
      <c r="B17" s="85">
        <v>54.0</v>
      </c>
      <c r="C17" s="86" t="s">
        <v>70</v>
      </c>
      <c r="D17" s="87" t="s">
        <v>71</v>
      </c>
      <c r="E17" s="97"/>
      <c r="F17" s="98"/>
      <c r="G17" s="91" t="str">
        <f>IF(C19&gt;C18,B19,IF(C18&gt;C19,B18,IF(D19&gt;D18,B19,IF(D18&gt;D19,B18,""))))</f>
        <v>Brasil</v>
      </c>
      <c r="H17" s="92">
        <v>4.0</v>
      </c>
      <c r="I17" s="99"/>
      <c r="O17" s="95"/>
    </row>
    <row r="18">
      <c r="B18" s="88" t="str">
        <f>'GRUPO G'!C8</f>
        <v>Brasil</v>
      </c>
      <c r="C18" s="89">
        <v>4.0</v>
      </c>
      <c r="D18" s="96"/>
      <c r="E18" s="100"/>
      <c r="O18" s="95"/>
    </row>
    <row r="19">
      <c r="B19" s="91" t="str">
        <f>'GRUPO H'!C9</f>
        <v>Portugal</v>
      </c>
      <c r="C19" s="92">
        <v>2.0</v>
      </c>
      <c r="D19" s="99"/>
      <c r="E19" s="101"/>
      <c r="O19" s="95"/>
      <c r="Q19" s="85">
        <v>64.0</v>
      </c>
      <c r="R19" s="86" t="s">
        <v>70</v>
      </c>
      <c r="S19" s="87" t="s">
        <v>71</v>
      </c>
    </row>
    <row r="20">
      <c r="O20" s="95"/>
      <c r="Q20" s="88" t="str">
        <f>IF(M13&gt;M12,L13,IF(M12&gt;M13,L12,IF(N13&gt;N12,L13,IF(N12&gt;N13,L12,""))))</f>
        <v>Argentina</v>
      </c>
      <c r="R20" s="89">
        <v>2.0</v>
      </c>
      <c r="S20" s="90">
        <v>4.0</v>
      </c>
    </row>
    <row r="21" ht="15.75" customHeight="1">
      <c r="B21" s="85">
        <v>51.0</v>
      </c>
      <c r="C21" s="86" t="s">
        <v>70</v>
      </c>
      <c r="D21" s="87" t="s">
        <v>71</v>
      </c>
      <c r="O21" s="95"/>
      <c r="P21" s="102"/>
      <c r="Q21" s="91" t="str">
        <f>IF(M29&gt;M28,L29,IF(M28&gt;M29,L28,IF(N29&gt;N28,L29,IF(N28&gt;N29,L28,""))))</f>
        <v>Francia</v>
      </c>
      <c r="R21" s="92">
        <v>2.0</v>
      </c>
      <c r="S21" s="93">
        <v>5.0</v>
      </c>
    </row>
    <row r="22" ht="15.75" customHeight="1">
      <c r="B22" s="88" t="str">
        <f>'GRUPO B'!C8</f>
        <v>Inglaterra</v>
      </c>
      <c r="C22" s="89">
        <v>4.0</v>
      </c>
      <c r="D22" s="96"/>
      <c r="O22" s="95"/>
    </row>
    <row r="23" ht="15.75" customHeight="1">
      <c r="B23" s="91" t="str">
        <f>'GRUPO A'!C9</f>
        <v>Senegal</v>
      </c>
      <c r="C23" s="92">
        <v>1.0</v>
      </c>
      <c r="D23" s="99"/>
      <c r="E23" s="94"/>
      <c r="G23" s="85">
        <v>59.0</v>
      </c>
      <c r="H23" s="86" t="s">
        <v>70</v>
      </c>
      <c r="I23" s="87" t="s">
        <v>71</v>
      </c>
      <c r="O23" s="95"/>
      <c r="V23" s="19" t="s">
        <v>74</v>
      </c>
      <c r="W23" s="21"/>
    </row>
    <row r="24" ht="15.75" customHeight="1">
      <c r="E24" s="95"/>
      <c r="G24" s="88" t="str">
        <f>IF(C23&gt;C22,B23,IF(C22&gt;C23,B22,IF(D23&gt;D22,B23,IF(D22&gt;D23,B22,""))))</f>
        <v>Inglaterra</v>
      </c>
      <c r="H24" s="89">
        <v>0.0</v>
      </c>
      <c r="I24" s="96"/>
      <c r="O24" s="95"/>
      <c r="V24" s="88" t="s">
        <v>75</v>
      </c>
      <c r="W24" s="103" t="str">
        <f>IF(R20&gt;R21,Q20,IF(R21&gt;R20,Q21,IF(S20&gt;S21,Q20,IF(S21&gt;S20,Q21,""))))</f>
        <v>Francia</v>
      </c>
    </row>
    <row r="25" ht="15.75" customHeight="1">
      <c r="B25" s="85">
        <v>52.0</v>
      </c>
      <c r="C25" s="86" t="s">
        <v>70</v>
      </c>
      <c r="D25" s="87" t="s">
        <v>71</v>
      </c>
      <c r="E25" s="97"/>
      <c r="F25" s="98"/>
      <c r="G25" s="91" t="str">
        <f>IF(C27&gt;C26,B27,IF(C26&gt;C27,B26,IF(D27&gt;D26,B27,IF(D26&gt;D27,B26,""))))</f>
        <v>Francia</v>
      </c>
      <c r="H25" s="92">
        <v>2.0</v>
      </c>
      <c r="I25" s="99"/>
      <c r="J25" s="94"/>
      <c r="O25" s="95"/>
      <c r="Q25" s="19" t="s">
        <v>76</v>
      </c>
      <c r="R25" s="20"/>
      <c r="S25" s="21"/>
      <c r="V25" s="104" t="s">
        <v>77</v>
      </c>
      <c r="W25" s="105" t="str">
        <f>IF(W24=Q20,Q21,IF(W24=Q21,Q20,""))</f>
        <v>Argentina</v>
      </c>
    </row>
    <row r="26" ht="15.75" customHeight="1">
      <c r="B26" s="88" t="str">
        <f>'GRUPO D'!C8</f>
        <v>Francia</v>
      </c>
      <c r="C26" s="89">
        <v>3.0</v>
      </c>
      <c r="D26" s="96"/>
      <c r="E26" s="100"/>
      <c r="J26" s="95"/>
      <c r="O26" s="95"/>
      <c r="V26" s="91" t="s">
        <v>78</v>
      </c>
      <c r="W26" s="106" t="str">
        <f>IF(R29&gt;R30,Q29,IF(R30&gt;R29,Q30,IF(S29&gt;S30,Q29,IF(S30&gt;S29,Q30,""))))</f>
        <v>Brasil</v>
      </c>
    </row>
    <row r="27" ht="15.75" customHeight="1">
      <c r="B27" s="91" t="str">
        <f>'GRUPO C'!C9</f>
        <v>Mexico</v>
      </c>
      <c r="C27" s="92">
        <v>0.0</v>
      </c>
      <c r="D27" s="99"/>
      <c r="E27" s="101"/>
      <c r="J27" s="95"/>
      <c r="L27" s="85">
        <v>62.0</v>
      </c>
      <c r="M27" s="86" t="s">
        <v>70</v>
      </c>
      <c r="N27" s="87" t="s">
        <v>71</v>
      </c>
      <c r="O27" s="95"/>
    </row>
    <row r="28" ht="15.75" customHeight="1">
      <c r="J28" s="95"/>
      <c r="L28" s="88" t="str">
        <f>IF(H25&gt;H24,G25,IF(H24&gt;H25,G24,IF(I25&gt;I24,G25,IF(I24&gt;I25,G24,""))))</f>
        <v>Francia</v>
      </c>
      <c r="M28" s="89">
        <v>3.0</v>
      </c>
      <c r="N28" s="96"/>
      <c r="O28" s="100"/>
      <c r="Q28" s="85">
        <v>63.0</v>
      </c>
      <c r="R28" s="86" t="s">
        <v>70</v>
      </c>
      <c r="S28" s="87" t="s">
        <v>71</v>
      </c>
    </row>
    <row r="29" ht="15.75" customHeight="1">
      <c r="B29" s="85">
        <v>55.0</v>
      </c>
      <c r="C29" s="86" t="s">
        <v>70</v>
      </c>
      <c r="D29" s="87" t="s">
        <v>71</v>
      </c>
      <c r="J29" s="95"/>
      <c r="K29" s="98"/>
      <c r="L29" s="91" t="str">
        <f>IF(H33&gt;H32,G33,IF(H32&gt;H33,G32,IF(I33&gt;I32,G33,IF(I32&gt;I33,G32,""))))</f>
        <v>Uruguay</v>
      </c>
      <c r="M29" s="92">
        <v>1.0</v>
      </c>
      <c r="N29" s="99"/>
      <c r="Q29" s="88" t="str">
        <f>IF(Q20=L12,L13,IF(Q20=L13,L12,""))</f>
        <v>Brasil</v>
      </c>
      <c r="R29" s="89">
        <v>4.0</v>
      </c>
      <c r="S29" s="96"/>
    </row>
    <row r="30" ht="15.75" customHeight="1">
      <c r="B30" s="88" t="str">
        <f>'GRUPO F'!C8</f>
        <v>Belgica</v>
      </c>
      <c r="C30" s="89">
        <v>2.0</v>
      </c>
      <c r="D30" s="90">
        <v>4.0</v>
      </c>
      <c r="J30" s="95"/>
      <c r="Q30" s="91" t="str">
        <f>IF(Q21=L28,L29,IF(Q21=L29,L28,""))</f>
        <v>Uruguay</v>
      </c>
      <c r="R30" s="92">
        <v>1.0</v>
      </c>
      <c r="S30" s="99"/>
    </row>
    <row r="31" ht="15.75" customHeight="1">
      <c r="B31" s="91" t="str">
        <f>'GRUPO E'!C9</f>
        <v>España</v>
      </c>
      <c r="C31" s="92">
        <v>2.0</v>
      </c>
      <c r="D31" s="93">
        <v>5.0</v>
      </c>
      <c r="E31" s="94"/>
      <c r="G31" s="85">
        <v>60.0</v>
      </c>
      <c r="H31" s="86" t="s">
        <v>70</v>
      </c>
      <c r="I31" s="87" t="s">
        <v>71</v>
      </c>
      <c r="J31" s="95"/>
    </row>
    <row r="32" ht="15.75" customHeight="1">
      <c r="E32" s="95"/>
      <c r="G32" s="88" t="str">
        <f>IF(C31&gt;C30,B31,IF(C30&gt;C31,B30,IF(D31&gt;D30,B31,IF(D30&gt;D31,B30,""))))</f>
        <v>España</v>
      </c>
      <c r="H32" s="89">
        <v>0.0</v>
      </c>
      <c r="I32" s="96"/>
      <c r="J32" s="100"/>
    </row>
    <row r="33" ht="15.75" customHeight="1">
      <c r="B33" s="85">
        <v>56.0</v>
      </c>
      <c r="C33" s="86" t="s">
        <v>70</v>
      </c>
      <c r="D33" s="87" t="s">
        <v>71</v>
      </c>
      <c r="E33" s="97"/>
      <c r="F33" s="98"/>
      <c r="G33" s="91" t="str">
        <f>IF(C35&gt;C34,B35,IF(C34&gt;C35,B34,IF(D35&gt;D34,B35,IF(D34&gt;D35,B34,""))))</f>
        <v>Uruguay</v>
      </c>
      <c r="H33" s="92">
        <v>1.0</v>
      </c>
      <c r="I33" s="99"/>
    </row>
    <row r="34" ht="15.75" customHeight="1">
      <c r="B34" s="88" t="str">
        <f>'GRUPO H'!C8</f>
        <v>Uruguay</v>
      </c>
      <c r="C34" s="89">
        <v>3.0</v>
      </c>
      <c r="D34" s="96"/>
      <c r="E34" s="100"/>
    </row>
    <row r="35" ht="15.75" customHeight="1">
      <c r="B35" s="91" t="str">
        <f>'GRUPO G'!C9</f>
        <v>Serbia</v>
      </c>
      <c r="C35" s="92">
        <v>2.0</v>
      </c>
      <c r="D35" s="99"/>
      <c r="E35" s="10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D2"/>
    <mergeCell ref="G4:I4"/>
    <mergeCell ref="L8:N8"/>
    <mergeCell ref="Q16:S16"/>
    <mergeCell ref="V23:W23"/>
    <mergeCell ref="Q25:S25"/>
  </mergeCells>
  <conditionalFormatting sqref="D6">
    <cfRule type="expression" dxfId="1" priority="1">
      <formula>$C$6=$C$7</formula>
    </cfRule>
  </conditionalFormatting>
  <conditionalFormatting sqref="D7">
    <cfRule type="expression" dxfId="1" priority="2">
      <formula>$C$6=$C$7</formula>
    </cfRule>
  </conditionalFormatting>
  <conditionalFormatting sqref="D10">
    <cfRule type="expression" dxfId="1" priority="3">
      <formula>C10=C11</formula>
    </cfRule>
  </conditionalFormatting>
  <conditionalFormatting sqref="D11">
    <cfRule type="expression" dxfId="1" priority="4">
      <formula>C10=C11</formula>
    </cfRule>
  </conditionalFormatting>
  <conditionalFormatting sqref="D22">
    <cfRule type="expression" dxfId="1" priority="5">
      <formula>C22=C23</formula>
    </cfRule>
  </conditionalFormatting>
  <conditionalFormatting sqref="D23">
    <cfRule type="expression" dxfId="1" priority="6">
      <formula>C22=C23</formula>
    </cfRule>
  </conditionalFormatting>
  <conditionalFormatting sqref="D26">
    <cfRule type="expression" dxfId="1" priority="7">
      <formula>C26=C27</formula>
    </cfRule>
  </conditionalFormatting>
  <conditionalFormatting sqref="D27">
    <cfRule type="expression" dxfId="1" priority="8">
      <formula>C26=C27</formula>
    </cfRule>
  </conditionalFormatting>
  <conditionalFormatting sqref="I8">
    <cfRule type="expression" dxfId="1" priority="9">
      <formula>H8=H9</formula>
    </cfRule>
  </conditionalFormatting>
  <conditionalFormatting sqref="I9">
    <cfRule type="expression" dxfId="1" priority="10">
      <formula>H8=H9</formula>
    </cfRule>
  </conditionalFormatting>
  <conditionalFormatting sqref="N12">
    <cfRule type="expression" dxfId="1" priority="11">
      <formula>M12=M13</formula>
    </cfRule>
  </conditionalFormatting>
  <conditionalFormatting sqref="N13">
    <cfRule type="expression" dxfId="1" priority="12">
      <formula>M12=M13</formula>
    </cfRule>
  </conditionalFormatting>
  <conditionalFormatting sqref="D30">
    <cfRule type="expression" dxfId="1" priority="13">
      <formula>C30=C31</formula>
    </cfRule>
  </conditionalFormatting>
  <conditionalFormatting sqref="D31">
    <cfRule type="expression" dxfId="1" priority="14">
      <formula>C30=C31</formula>
    </cfRule>
  </conditionalFormatting>
  <conditionalFormatting sqref="D34">
    <cfRule type="expression" dxfId="1" priority="15">
      <formula>C34=C35</formula>
    </cfRule>
  </conditionalFormatting>
  <conditionalFormatting sqref="D35">
    <cfRule type="expression" dxfId="1" priority="16">
      <formula>C34=C35</formula>
    </cfRule>
  </conditionalFormatting>
  <conditionalFormatting sqref="N28">
    <cfRule type="expression" dxfId="1" priority="17">
      <formula>M28=M29</formula>
    </cfRule>
  </conditionalFormatting>
  <conditionalFormatting sqref="N29">
    <cfRule type="expression" dxfId="1" priority="18">
      <formula>M28=M29</formula>
    </cfRule>
  </conditionalFormatting>
  <conditionalFormatting sqref="D14">
    <cfRule type="expression" dxfId="1" priority="19">
      <formula>C14=C15</formula>
    </cfRule>
  </conditionalFormatting>
  <conditionalFormatting sqref="D15">
    <cfRule type="expression" dxfId="1" priority="20">
      <formula>C14=C15</formula>
    </cfRule>
  </conditionalFormatting>
  <conditionalFormatting sqref="D18">
    <cfRule type="expression" dxfId="1" priority="21">
      <formula>C18=C19</formula>
    </cfRule>
  </conditionalFormatting>
  <conditionalFormatting sqref="D19">
    <cfRule type="expression" dxfId="1" priority="22">
      <formula>C18=C19</formula>
    </cfRule>
  </conditionalFormatting>
  <conditionalFormatting sqref="I16">
    <cfRule type="expression" dxfId="1" priority="23">
      <formula>H16=H17</formula>
    </cfRule>
  </conditionalFormatting>
  <conditionalFormatting sqref="I17">
    <cfRule type="expression" dxfId="1" priority="24">
      <formula>H16=H17</formula>
    </cfRule>
  </conditionalFormatting>
  <conditionalFormatting sqref="I24">
    <cfRule type="expression" dxfId="1" priority="25">
      <formula>H24=H25</formula>
    </cfRule>
  </conditionalFormatting>
  <conditionalFormatting sqref="I25">
    <cfRule type="expression" dxfId="1" priority="26">
      <formula>H24=H25</formula>
    </cfRule>
  </conditionalFormatting>
  <conditionalFormatting sqref="I32">
    <cfRule type="expression" dxfId="1" priority="27">
      <formula>H32=H33</formula>
    </cfRule>
  </conditionalFormatting>
  <conditionalFormatting sqref="I33">
    <cfRule type="expression" dxfId="1" priority="28">
      <formula>H32=H33</formula>
    </cfRule>
  </conditionalFormatting>
  <conditionalFormatting sqref="S20">
    <cfRule type="expression" dxfId="1" priority="29">
      <formula>R20=#REF!</formula>
    </cfRule>
  </conditionalFormatting>
  <conditionalFormatting sqref="S21">
    <cfRule type="expression" dxfId="1" priority="30">
      <formula>R27=R21</formula>
    </cfRule>
  </conditionalFormatting>
  <conditionalFormatting sqref="S29">
    <cfRule type="expression" dxfId="1" priority="31">
      <formula>R29=R30</formula>
    </cfRule>
  </conditionalFormatting>
  <conditionalFormatting sqref="S30">
    <cfRule type="expression" dxfId="1" priority="32">
      <formula>R29=R30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2022-11-02T00:22:23Z</dcterms:created>
  <dc:creator>José Antonio</dc:creator>
</cp:coreProperties>
</file>