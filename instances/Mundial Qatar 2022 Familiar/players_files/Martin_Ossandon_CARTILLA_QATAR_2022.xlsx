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urnaments\instances\Mundial Qatar 2022 Familiar\"/>
    </mc:Choice>
  </mc:AlternateContent>
  <xr:revisionPtr revIDLastSave="0" documentId="13_ncr:1_{72D59F25-A67C-466E-826A-2E52538C08E5}" xr6:coauthVersionLast="47" xr6:coauthVersionMax="47" xr10:uidLastSave="{00000000-0000-0000-0000-000000000000}"/>
  <bookViews>
    <workbookView xWindow="20370" yWindow="-120" windowWidth="29040" windowHeight="15840" activeTab="9" xr2:uid="{65ACC957-D329-40D2-8ECA-CE6D4F801384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P7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Q10" i="14" s="1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1" l="1"/>
  <c r="AZ10" i="11" s="1"/>
  <c r="AP10" i="12"/>
  <c r="W24" i="16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P8" i="14" s="1"/>
  <c r="AZ8" i="14" s="1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Z8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K7" i="11"/>
  <c r="AL7" i="11" s="1"/>
  <c r="AK11" i="11"/>
  <c r="AP7" i="11" s="1"/>
  <c r="AK12" i="11"/>
  <c r="AP8" i="11" s="1"/>
  <c r="AZ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Z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7" i="14" l="1"/>
  <c r="AZ7" i="14" s="1"/>
  <c r="AZ9" i="12"/>
  <c r="AZ9" i="11"/>
  <c r="AZ10" i="12"/>
  <c r="AZ7" i="12"/>
  <c r="AP10" i="15"/>
  <c r="AZ10" i="15" s="1"/>
  <c r="AP7" i="13"/>
  <c r="AZ7" i="13" s="1"/>
  <c r="AZ7" i="11"/>
  <c r="AW8" i="11" s="1"/>
  <c r="AX8" i="11" s="1"/>
  <c r="AY8" i="11" s="1"/>
  <c r="BA8" i="11" s="1"/>
  <c r="BB8" i="11" s="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8" i="12" l="1"/>
  <c r="AX8" i="12" s="1"/>
  <c r="AY8" i="12" s="1"/>
  <c r="BA8" i="12" s="1"/>
  <c r="BB8" i="12" s="1"/>
  <c r="AW7" i="12"/>
  <c r="AX7" i="12" s="1"/>
  <c r="AY7" i="12" s="1"/>
  <c r="BA7" i="12" s="1"/>
  <c r="BB7" i="12" s="1"/>
  <c r="AW10" i="12"/>
  <c r="AX10" i="12" s="1"/>
  <c r="AY10" i="12" s="1"/>
  <c r="BA10" i="12" s="1"/>
  <c r="BB10" i="12" s="1"/>
  <c r="AW10" i="11"/>
  <c r="AX10" i="11" s="1"/>
  <c r="AY10" i="11" s="1"/>
  <c r="BA10" i="11" s="1"/>
  <c r="BB10" i="11" s="1"/>
  <c r="AW7" i="14"/>
  <c r="AX7" i="14" s="1"/>
  <c r="AY7" i="14" s="1"/>
  <c r="BA7" i="14" s="1"/>
  <c r="BB7" i="14" s="1"/>
  <c r="AW9" i="13"/>
  <c r="AX9" i="13" s="1"/>
  <c r="AY9" i="13" s="1"/>
  <c r="BA9" i="13" s="1"/>
  <c r="BB9" i="13" s="1"/>
  <c r="AW9" i="12"/>
  <c r="AX9" i="12" s="1"/>
  <c r="AY9" i="12" s="1"/>
  <c r="BA9" i="12" s="1"/>
  <c r="BB9" i="12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C8" i="12" s="1"/>
  <c r="B14" i="16" s="1"/>
  <c r="AN10" i="11"/>
  <c r="AN8" i="11"/>
  <c r="F10" i="11" s="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G8" i="12" l="1"/>
  <c r="F8" i="12"/>
  <c r="D8" i="12"/>
  <c r="G10" i="11"/>
  <c r="E8" i="11"/>
  <c r="D8" i="11"/>
  <c r="G11" i="11"/>
  <c r="G8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<sst xmlns="http://schemas.openxmlformats.org/spreadsheetml/2006/main" count="453" uniqueCount="78">
  <si>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</si>
  <si>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</si>
  <si>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</si>
  <si>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</si>
  <si>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</si>
  <si>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</si>
  <si>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</si>
  <si>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</si>
  <si>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</si>
  <si>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</si>
  <si>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</si>
  <si>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</si>
  <si>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</si>
  <si>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</si>
  <si>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</si>
  <si>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</si>
  <si>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</si>
  <si>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</si>
  <si>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</si>
  <si>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</si>
  <si>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</si>
  <si>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</si>
  <si>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</si>
  <si>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</si>
  <si>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</si>
  <si>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</si>
  <si>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</si>
  <si>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</si>
  <si>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</si>
  <si>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</si>
  <si>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</si>
  <si>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</si>
  <si>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</si>
  <si>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</si>
  <si>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</si>
  <si>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</si>
  <si>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</si>
  <si>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</si>
  <si>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</si>
  <si>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</si>
  <si>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</si>
  <si>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</si>
  <si>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</si>
  <si>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</si>
  <si>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</si>
  <si>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</si>
  <si>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</si>
  <si>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</si>
  <si>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</si>
  <si>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</si>
  <si>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</si>
  <si>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</si>
  <si>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</si>
  <si>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</si>
  <si>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</si>
  <si>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</si>
  <si>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</si>
  <si>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</si>
  <si>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</si>
  <si>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</si>
  <si>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</si>
  <si>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</si>
  <si>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</si>
  <si>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</si>
  <si>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</si>
  <si>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</si>
  <si>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</si>
  <si>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</si>
  <si>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</si>
  <si>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</si>
  <si>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</si>
  <si>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</si>
  <si>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</si>
  <si>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</si>
  <si>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</si>
  <si>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</si>
  <si>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</si>
  <si>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Martín Ossandón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</si>
</sst>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A1D0E579-F3D7-41A9-9D71-43C99C008133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E98F5-A676-44F6-967B-192B965F3485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/>
      <c r="D4" s="89"/>
    </row>
  </sheetData>
  <protectedRanges>
    <protectedRange sqref="C3:C4" name="Info"/>
  </protectedRanges>
  <mergeCells count="3">
    <mergeCell ref="B2:D2"/>
    <mergeCell ref="C3:D3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1516B-DE62-4EB3-B0F2-5E56E5435288}">
  <dimension ref="A2:BB28"/>
  <sheetViews>
    <sheetView workbookViewId="0">
      <selection activeCell="L13" sqref="L13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1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-7</v>
      </c>
      <c r="AR7" s="34">
        <f>SUMIF($K$7:$K$12,AO7,$L$7:$L$12) + SUMIF($N$7:$N$12,AO7,$M$7:$M$12)</f>
        <v>1</v>
      </c>
      <c r="AS7" s="34">
        <f>SUMIF($K$7:$K$12,AO7,$M$7:$M$12) + SUMIF($N$7:$N$12,AO7,$L$7:$L$12)</f>
        <v>8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69900</v>
      </c>
      <c r="BA7" s="34">
        <f>AZ7-AY7*10</f>
        <v>69890</v>
      </c>
      <c r="BB7" s="34">
        <f>BA7+N23</f>
        <v>69891</v>
      </c>
    </row>
    <row r="8" spans="2:54" x14ac:dyDescent="0.25">
      <c r="B8" s="7">
        <v>1</v>
      </c>
      <c r="C8" s="8" t="str">
        <f t="shared" ref="C8:G11" si="3">IFERROR(VLOOKUP($B8,$AN$7:$AS$11,C$5,FALSE),"")</f>
        <v>Holanda</v>
      </c>
      <c r="D8" s="9">
        <f t="shared" si="3"/>
        <v>7</v>
      </c>
      <c r="E8" s="9">
        <f t="shared" si="3"/>
        <v>7</v>
      </c>
      <c r="F8" s="9">
        <f t="shared" si="3"/>
        <v>3</v>
      </c>
      <c r="G8" s="10">
        <f t="shared" si="3"/>
        <v>4</v>
      </c>
      <c r="I8" s="18">
        <v>2</v>
      </c>
      <c r="J8" s="19">
        <v>44886</v>
      </c>
      <c r="K8" s="20" t="s">
        <v>14</v>
      </c>
      <c r="L8" s="21">
        <v>0</v>
      </c>
      <c r="M8" s="22">
        <v>2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1</v>
      </c>
      <c r="AO8" s="34" t="s">
        <v>13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-70040700</v>
      </c>
      <c r="BA8" s="34">
        <f t="shared" ref="BA8:BA10" si="10">AZ8-AY8*10</f>
        <v>-70040710</v>
      </c>
      <c r="BB8" s="34">
        <f>BA8+N24</f>
        <v>-70040708</v>
      </c>
    </row>
    <row r="9" spans="2:54" x14ac:dyDescent="0.25">
      <c r="B9" s="11">
        <v>2</v>
      </c>
      <c r="C9" s="12" t="str">
        <f t="shared" si="3"/>
        <v>Senegal</v>
      </c>
      <c r="D9" s="13">
        <f t="shared" si="3"/>
        <v>5</v>
      </c>
      <c r="E9" s="13">
        <f t="shared" si="3"/>
        <v>4</v>
      </c>
      <c r="F9" s="13">
        <f t="shared" si="3"/>
        <v>2</v>
      </c>
      <c r="G9" s="14">
        <f t="shared" si="3"/>
        <v>2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2</v>
      </c>
      <c r="AO9" s="34" t="s">
        <v>12</v>
      </c>
      <c r="AP9" s="34">
        <f>SUMIF($K$7:$K$12,AO9,$AJ$7:$AJ$12) + SUMIF($N$7:$N$12,AO9,$AK$7:$AK$12)</f>
        <v>5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-50020400</v>
      </c>
      <c r="BA9" s="34">
        <f t="shared" si="10"/>
        <v>-50020410</v>
      </c>
      <c r="BB9" s="34">
        <f>BA9+N25</f>
        <v>-50020407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4</v>
      </c>
      <c r="E10" s="50">
        <f t="shared" si="3"/>
        <v>4</v>
      </c>
      <c r="F10" s="50">
        <f t="shared" si="3"/>
        <v>3</v>
      </c>
      <c r="G10" s="51">
        <f t="shared" si="3"/>
        <v>1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3</v>
      </c>
      <c r="AK10" s="34">
        <f t="shared" si="4"/>
        <v>0</v>
      </c>
      <c r="AL10" s="34" t="str">
        <f t="shared" si="2"/>
        <v>Holanda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-40010400</v>
      </c>
      <c r="BA10" s="34">
        <f t="shared" si="10"/>
        <v>-40010410</v>
      </c>
      <c r="BB10" s="34">
        <f>BA10+N26</f>
        <v>-40010406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1</v>
      </c>
      <c r="F11" s="54">
        <f t="shared" si="3"/>
        <v>8</v>
      </c>
      <c r="G11" s="55">
        <f t="shared" si="3"/>
        <v>-7</v>
      </c>
      <c r="I11" s="23">
        <f>I9+16</f>
        <v>33</v>
      </c>
      <c r="J11" s="24">
        <v>44894</v>
      </c>
      <c r="K11" s="25" t="s">
        <v>11</v>
      </c>
      <c r="L11" s="21">
        <v>1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4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32780-1CCE-444B-B990-21FF82528360}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0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1</v>
      </c>
      <c r="M8" s="22">
        <v>1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-40010400</v>
      </c>
      <c r="BA8" s="34">
        <f t="shared" ref="BA8:BA10" si="10">AZ8-AY8*10</f>
        <v>-40010410</v>
      </c>
      <c r="BB8" s="34">
        <f>BA8+N24</f>
        <v>-40010408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4</v>
      </c>
      <c r="E9" s="13">
        <f t="shared" si="0"/>
        <v>4</v>
      </c>
      <c r="F9" s="13">
        <f t="shared" si="0"/>
        <v>3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0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-9960000</v>
      </c>
      <c r="BA9" s="34">
        <f t="shared" si="10"/>
        <v>-9960010</v>
      </c>
      <c r="BB9" s="34">
        <f>BA9+N25</f>
        <v>-9960007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20</v>
      </c>
      <c r="J10" s="19">
        <v>44890</v>
      </c>
      <c r="K10" s="20" t="s">
        <v>30</v>
      </c>
      <c r="L10" s="21">
        <v>2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2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-30000200</v>
      </c>
      <c r="BA10" s="34">
        <f t="shared" si="10"/>
        <v>-30000210</v>
      </c>
      <c r="BB10" s="34">
        <f>BA10+N26</f>
        <v>-30000206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1</v>
      </c>
      <c r="E11" s="54">
        <f t="shared" si="0"/>
        <v>0</v>
      </c>
      <c r="F11" s="54">
        <f t="shared" si="0"/>
        <v>4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2F31-08DB-430A-9BEA-AEF4F3FDB47E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1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1</v>
      </c>
      <c r="AK7" s="34">
        <f>IF(AJ7=3,0,IF(AJ7=1,1,3))</f>
        <v>1</v>
      </c>
      <c r="AL7" s="34" t="str">
        <f>IF(AJ7&gt;AK7,K7,IF(AK7&gt;AJ7,N7,"SIN GANADOR"))</f>
        <v>SIN GANADOR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-70040600</v>
      </c>
      <c r="BA7" s="34">
        <f>AZ7-AY7*10</f>
        <v>-70040610</v>
      </c>
      <c r="BB7" s="34">
        <f>BA7+N23</f>
        <v>-70040609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-40010500</v>
      </c>
      <c r="BA8" s="34">
        <f t="shared" ref="BA8:BA10" si="10">AZ8-AY8*10</f>
        <v>-40010510</v>
      </c>
      <c r="BB8" s="34">
        <f>BA8+N24</f>
        <v>-40010508</v>
      </c>
    </row>
    <row r="9" spans="2:54" x14ac:dyDescent="0.25">
      <c r="B9" s="11">
        <v>2</v>
      </c>
      <c r="C9" s="12" t="str">
        <f t="shared" si="0"/>
        <v>Polonia</v>
      </c>
      <c r="D9" s="13">
        <f t="shared" si="0"/>
        <v>5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21</v>
      </c>
      <c r="J9" s="24">
        <v>44891</v>
      </c>
      <c r="K9" s="25" t="s">
        <v>37</v>
      </c>
      <c r="L9" s="21">
        <v>4</v>
      </c>
      <c r="M9" s="22">
        <v>1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2</v>
      </c>
      <c r="AO9" s="34" t="s">
        <v>37</v>
      </c>
      <c r="AP9" s="34">
        <f>SUMIF($K$7:$K$12,AO9,$AJ$7:$AJ$12) + SUMIF($N$7:$N$12,AO9,$AK$7:$AK$12)</f>
        <v>5</v>
      </c>
      <c r="AQ9" s="34">
        <f t="shared" ref="AQ9:AQ10" si="11">AR9-AS9</f>
        <v>3</v>
      </c>
      <c r="AR9" s="34">
        <f t="shared" si="5"/>
        <v>6</v>
      </c>
      <c r="AS9" s="34">
        <f t="shared" si="6"/>
        <v>3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-50030600</v>
      </c>
      <c r="BA9" s="34">
        <f t="shared" si="10"/>
        <v>-50030610</v>
      </c>
      <c r="BB9" s="34">
        <f>BA9+N25</f>
        <v>-50030607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5</v>
      </c>
      <c r="F10" s="50">
        <f t="shared" si="0"/>
        <v>4</v>
      </c>
      <c r="G10" s="51">
        <f t="shared" si="0"/>
        <v>1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1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-8</v>
      </c>
      <c r="AR10" s="34">
        <f>SUMIF($K$7:$K$12,AO10,$L$7:$L$12) + SUMIF($N$7:$N$12,AO10,$M$7:$M$12)</f>
        <v>2</v>
      </c>
      <c r="AS10" s="34">
        <f>SUMIF($K$7:$K$12,AO10,$M$7:$M$12) + SUMIF($N$7:$N$12,AO10,$L$7:$L$12)</f>
        <v>10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79800</v>
      </c>
      <c r="BA10" s="34">
        <f t="shared" si="10"/>
        <v>79790</v>
      </c>
      <c r="BB10" s="34">
        <f>BA10+N26</f>
        <v>79794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2</v>
      </c>
      <c r="F11" s="54">
        <f t="shared" si="0"/>
        <v>10</v>
      </c>
      <c r="G11" s="55">
        <f t="shared" si="0"/>
        <v>-8</v>
      </c>
      <c r="I11" s="23">
        <f>I9+16</f>
        <v>37</v>
      </c>
      <c r="J11" s="24">
        <v>44895</v>
      </c>
      <c r="K11" s="25" t="s">
        <v>37</v>
      </c>
      <c r="L11" s="21">
        <v>1</v>
      </c>
      <c r="M11" s="22">
        <v>1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3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B9DC-8F79-448B-BCD5-4B75D70E9A7F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0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2</v>
      </c>
      <c r="AO7" s="34" t="s">
        <v>40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-70040509</v>
      </c>
    </row>
    <row r="8" spans="2:54" x14ac:dyDescent="0.25">
      <c r="B8" s="7">
        <v>1</v>
      </c>
      <c r="C8" s="8" t="str">
        <f t="shared" ref="C8:G11" si="0">IFERROR(VLOOKUP($B8,$AN$7:$AS$11,C$5,FALSE),"")</f>
        <v>Dinamarca</v>
      </c>
      <c r="D8" s="9">
        <f t="shared" si="0"/>
        <v>7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8</v>
      </c>
      <c r="J8" s="19">
        <v>44887</v>
      </c>
      <c r="K8" s="20" t="s">
        <v>40</v>
      </c>
      <c r="L8" s="21">
        <v>1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1</v>
      </c>
      <c r="AO8" s="34" t="s">
        <v>41</v>
      </c>
      <c r="AP8" s="34">
        <f>SUMIF($K$7:$K$12,AO8,$AJ$7:$AJ$12) + SUMIF($N$7:$N$12,AO8,$AK$7:$AK$12)</f>
        <v>7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-70040600</v>
      </c>
      <c r="BA8" s="34">
        <f t="shared" ref="BA8:BA10" si="10">AZ8-AY8*10</f>
        <v>-70040610</v>
      </c>
      <c r="BB8" s="34">
        <f>BA8+N24</f>
        <v>-70040608</v>
      </c>
    </row>
    <row r="9" spans="2:54" x14ac:dyDescent="0.25">
      <c r="B9" s="11">
        <v>2</v>
      </c>
      <c r="C9" s="12" t="str">
        <f t="shared" si="0"/>
        <v>Francia</v>
      </c>
      <c r="D9" s="13">
        <f t="shared" si="0"/>
        <v>7</v>
      </c>
      <c r="E9" s="13">
        <f t="shared" si="0"/>
        <v>5</v>
      </c>
      <c r="F9" s="13">
        <f t="shared" si="0"/>
        <v>1</v>
      </c>
      <c r="G9" s="14">
        <f t="shared" si="0"/>
        <v>4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4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-9950100</v>
      </c>
      <c r="BA9" s="34">
        <f t="shared" si="10"/>
        <v>-9950110</v>
      </c>
      <c r="BB9" s="34">
        <f>BA9+N25</f>
        <v>-9950107</v>
      </c>
    </row>
    <row r="10" spans="2:54" x14ac:dyDescent="0.25">
      <c r="B10" s="48">
        <v>3</v>
      </c>
      <c r="C10" s="49" t="str">
        <f t="shared" si="0"/>
        <v>Australia</v>
      </c>
      <c r="D10" s="50">
        <f t="shared" si="0"/>
        <v>1</v>
      </c>
      <c r="E10" s="50">
        <f t="shared" si="0"/>
        <v>2</v>
      </c>
      <c r="F10" s="50">
        <f t="shared" si="0"/>
        <v>5</v>
      </c>
      <c r="G10" s="51">
        <f t="shared" si="0"/>
        <v>-3</v>
      </c>
      <c r="I10" s="18">
        <f>I8+16</f>
        <v>24</v>
      </c>
      <c r="J10" s="19">
        <v>44891</v>
      </c>
      <c r="K10" s="20" t="s">
        <v>40</v>
      </c>
      <c r="L10" s="21">
        <v>1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Tunez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0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1</v>
      </c>
      <c r="M12" s="33">
        <v>3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CB4A-2415-4AE2-9FAE-7DADDEBC5AD5}">
  <dimension ref="A2:BB28"/>
  <sheetViews>
    <sheetView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2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1</v>
      </c>
      <c r="AO7" s="34" t="s">
        <v>44</v>
      </c>
      <c r="AP7" s="34">
        <f>SUMIF($K$7:$K$12,AO7,$AJ$7:$AJ$12) + SUMIF($N$7:$N$12,AO7,$AK$7:$AK$12)</f>
        <v>7</v>
      </c>
      <c r="AQ7" s="34">
        <f>AR7-AS7</f>
        <v>4</v>
      </c>
      <c r="AR7" s="34">
        <f>SUMIF($K$7:$K$12,AO7,$L$7:$L$12) + SUMIF($N$7:$N$12,AO7,$M$7:$M$12)</f>
        <v>5</v>
      </c>
      <c r="AS7" s="34">
        <f>SUMIF($K$7:$K$12,AO7,$M$7:$M$12) + SUMIF($N$7:$N$12,AO7,$L$7:$L$12)</f>
        <v>1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-70040500</v>
      </c>
      <c r="BA7" s="34">
        <f>AZ7-AY7*10</f>
        <v>-70040510</v>
      </c>
      <c r="BB7" s="34">
        <f>BA7+N23</f>
        <v>-70040509</v>
      </c>
    </row>
    <row r="8" spans="2:54" x14ac:dyDescent="0.25">
      <c r="B8" s="7">
        <v>1</v>
      </c>
      <c r="C8" s="8" t="str">
        <f t="shared" ref="C8:G11" si="0">IFERROR(VLOOKUP($B8,$AN$7:$AS$11,C$5,FALSE),"")</f>
        <v>España</v>
      </c>
      <c r="D8" s="9">
        <f t="shared" si="0"/>
        <v>7</v>
      </c>
      <c r="E8" s="9">
        <f t="shared" si="0"/>
        <v>5</v>
      </c>
      <c r="F8" s="9">
        <f t="shared" si="0"/>
        <v>1</v>
      </c>
      <c r="G8" s="10">
        <f t="shared" si="0"/>
        <v>4</v>
      </c>
      <c r="I8" s="18">
        <v>10</v>
      </c>
      <c r="J8" s="19">
        <v>44888</v>
      </c>
      <c r="K8" s="20" t="s">
        <v>44</v>
      </c>
      <c r="L8" s="21">
        <v>2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2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-70030700</v>
      </c>
      <c r="BA8" s="34">
        <f t="shared" ref="BA8:BA10" si="10">AZ8-AY8*10</f>
        <v>-70030710</v>
      </c>
      <c r="BB8" s="34">
        <f>BA8+N24</f>
        <v>-70030708</v>
      </c>
    </row>
    <row r="9" spans="2:54" x14ac:dyDescent="0.25">
      <c r="B9" s="11">
        <v>2</v>
      </c>
      <c r="C9" s="12" t="str">
        <f t="shared" si="0"/>
        <v>Alemania</v>
      </c>
      <c r="D9" s="13">
        <f t="shared" si="0"/>
        <v>7</v>
      </c>
      <c r="E9" s="13">
        <f t="shared" si="0"/>
        <v>7</v>
      </c>
      <c r="F9" s="13">
        <f t="shared" si="0"/>
        <v>4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0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3</v>
      </c>
      <c r="AK9" s="34">
        <f t="shared" si="3"/>
        <v>0</v>
      </c>
      <c r="AL9" s="34" t="str">
        <f t="shared" si="4"/>
        <v>Japon</v>
      </c>
      <c r="AN9" s="34">
        <f>_xlfn.RANK.EQ(BB9,BB$7:BB$11,1)</f>
        <v>3</v>
      </c>
      <c r="AO9" s="34" t="s">
        <v>46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-29980300</v>
      </c>
      <c r="BA9" s="34">
        <f t="shared" si="10"/>
        <v>-29980310</v>
      </c>
      <c r="BB9" s="34">
        <f>BA9+N25</f>
        <v>-29980307</v>
      </c>
    </row>
    <row r="10" spans="2:54" x14ac:dyDescent="0.25">
      <c r="B10" s="48">
        <v>3</v>
      </c>
      <c r="C10" s="49" t="str">
        <f t="shared" si="0"/>
        <v>Japon</v>
      </c>
      <c r="D10" s="50">
        <f t="shared" si="0"/>
        <v>3</v>
      </c>
      <c r="E10" s="50">
        <f t="shared" si="0"/>
        <v>3</v>
      </c>
      <c r="F10" s="50">
        <f t="shared" si="0"/>
        <v>5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1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47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Costa Rica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1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F533-C2D8-4574-857E-EAC55BA9EEFB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2</v>
      </c>
      <c r="M7" s="31">
        <v>1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3</v>
      </c>
      <c r="AO7" s="34" t="s">
        <v>48</v>
      </c>
      <c r="AP7" s="34">
        <f>SUMIF($K$7:$K$12,AO7,$AJ$7:$AJ$12) + SUMIF($N$7:$N$12,AO7,$AK$7:$AK$12)</f>
        <v>4</v>
      </c>
      <c r="AQ7" s="34">
        <f>AR7-AS7</f>
        <v>0</v>
      </c>
      <c r="AR7" s="34">
        <f>SUMIF($K$7:$K$12,AO7,$L$7:$L$12) + SUMIF($N$7:$N$12,AO7,$M$7:$M$12)</f>
        <v>4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>Canada</v>
      </c>
      <c r="AX7" s="34" t="str">
        <f>IF(AW7="","",IFERROR(VLOOKUP(CONCATENATE(AV7,"_",AW7),$AI$7:$AL$16,4,FALSE),VLOOKUP(CONCATENATE(AW7,"_",AV7),$AI$7:$AL$16,4,FALSE)))</f>
        <v>Canada</v>
      </c>
      <c r="AY7" s="34">
        <f>IF(AX7="",1,IF(AX7=AV7,1,0))</f>
        <v>0</v>
      </c>
      <c r="AZ7" s="34">
        <f>-AP7*10000000 - AQ7*10000 - AR7*100</f>
        <v>-40000400</v>
      </c>
      <c r="BA7" s="34">
        <f>AZ7-AY7*10</f>
        <v>-40000400</v>
      </c>
      <c r="BB7" s="34">
        <f>BA7+N23</f>
        <v>-40000399</v>
      </c>
    </row>
    <row r="8" spans="2:54" x14ac:dyDescent="0.25">
      <c r="B8" s="7">
        <v>1</v>
      </c>
      <c r="C8" s="8" t="str">
        <f t="shared" ref="C8:G11" si="0">IFERROR(VLOOKUP($B8,$AN$7:$AS$11,C$5,FALSE),"")</f>
        <v>Marruecos</v>
      </c>
      <c r="D8" s="9">
        <f t="shared" si="0"/>
        <v>5</v>
      </c>
      <c r="E8" s="9">
        <f t="shared" si="0"/>
        <v>4</v>
      </c>
      <c r="F8" s="9">
        <f t="shared" si="0"/>
        <v>3</v>
      </c>
      <c r="G8" s="10">
        <f t="shared" si="0"/>
        <v>1</v>
      </c>
      <c r="I8" s="18">
        <v>12</v>
      </c>
      <c r="J8" s="19">
        <v>44888</v>
      </c>
      <c r="K8" s="20" t="s">
        <v>48</v>
      </c>
      <c r="L8" s="21">
        <v>1</v>
      </c>
      <c r="M8" s="22">
        <v>2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Canada</v>
      </c>
      <c r="AN8" s="34">
        <f>_xlfn.RANK.EQ(BB8,BB$7:BB$11,1)</f>
        <v>4</v>
      </c>
      <c r="AO8" s="34" t="s">
        <v>49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-29990400</v>
      </c>
      <c r="BA8" s="34">
        <f t="shared" ref="BA8:BA10" si="10">AZ8-AY8*10</f>
        <v>-29990410</v>
      </c>
      <c r="BB8" s="34">
        <f>BA8+N24</f>
        <v>-29990408</v>
      </c>
    </row>
    <row r="9" spans="2:54" x14ac:dyDescent="0.25">
      <c r="B9" s="11">
        <v>2</v>
      </c>
      <c r="C9" s="12" t="str">
        <f t="shared" si="0"/>
        <v>Canada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27</v>
      </c>
      <c r="J9" s="24">
        <v>44892</v>
      </c>
      <c r="K9" s="25" t="s">
        <v>48</v>
      </c>
      <c r="L9" s="21">
        <v>1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1</v>
      </c>
      <c r="AO9" s="34" t="s">
        <v>50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4</v>
      </c>
      <c r="AS9" s="34">
        <f t="shared" si="6"/>
        <v>3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-50010400</v>
      </c>
      <c r="BA9" s="34">
        <f t="shared" si="10"/>
        <v>-50010410</v>
      </c>
      <c r="BB9" s="34">
        <f>BA9+N25</f>
        <v>-50010407</v>
      </c>
    </row>
    <row r="10" spans="2:54" x14ac:dyDescent="0.25">
      <c r="B10" s="48">
        <v>3</v>
      </c>
      <c r="C10" s="49" t="str">
        <f t="shared" si="0"/>
        <v>Belgica</v>
      </c>
      <c r="D10" s="50">
        <f t="shared" si="0"/>
        <v>4</v>
      </c>
      <c r="E10" s="50">
        <f t="shared" si="0"/>
        <v>4</v>
      </c>
      <c r="F10" s="50">
        <f t="shared" si="0"/>
        <v>4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2</v>
      </c>
      <c r="M10" s="22">
        <v>1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2</v>
      </c>
      <c r="AO10" s="34" t="s">
        <v>51</v>
      </c>
      <c r="AP10" s="34">
        <f>SUMIF($K$7:$K$12,AO10,$AJ$7:$AJ$12) + SUMIF($N$7:$N$12,AO10,$AK$7:$AK$12)</f>
        <v>4</v>
      </c>
      <c r="AQ10" s="34">
        <f t="shared" si="11"/>
        <v>0</v>
      </c>
      <c r="AR10" s="34">
        <f>SUMIF($K$7:$K$12,AO10,$L$7:$L$12) + SUMIF($N$7:$N$12,AO10,$M$7:$M$12)</f>
        <v>4</v>
      </c>
      <c r="AS10" s="34">
        <f>SUMIF($K$7:$K$12,AO10,$M$7:$M$12) + SUMIF($N$7:$N$12,AO10,$L$7:$L$12)</f>
        <v>4</v>
      </c>
      <c r="AV10" s="34" t="str">
        <f t="shared" si="7"/>
        <v>Canada</v>
      </c>
      <c r="AW10" s="34" t="str">
        <f>IF(AZ10=AZ7,AV7,IF(AZ10=AZ8,AV8,IF(AZ10=AZ9,AV9,"")))</f>
        <v>Belgica</v>
      </c>
      <c r="AX10" s="34" t="str">
        <f>IF(AW10="","",IFERROR(VLOOKUP(CONCATENATE(AV10,"_",AW10),$AI$7:$AL$16,4,FALSE),VLOOKUP(CONCATENATE(AW10,"_",AV10),$AI$7:$AL$16,4,FALSE)))</f>
        <v>Canada</v>
      </c>
      <c r="AY10" s="34">
        <f t="shared" si="8"/>
        <v>1</v>
      </c>
      <c r="AZ10" s="34">
        <f t="shared" si="9"/>
        <v>-40000400</v>
      </c>
      <c r="BA10" s="34">
        <f t="shared" si="10"/>
        <v>-40000410</v>
      </c>
      <c r="BB10" s="34">
        <f>BA10+N26</f>
        <v>-40000406</v>
      </c>
    </row>
    <row r="11" spans="2:54" ht="15.75" thickBot="1" x14ac:dyDescent="0.3">
      <c r="B11" s="52">
        <v>4</v>
      </c>
      <c r="C11" s="53" t="str">
        <f t="shared" si="0"/>
        <v>Croacia</v>
      </c>
      <c r="D11" s="54">
        <f t="shared" si="0"/>
        <v>3</v>
      </c>
      <c r="E11" s="54">
        <f t="shared" si="0"/>
        <v>4</v>
      </c>
      <c r="F11" s="54">
        <f t="shared" si="0"/>
        <v>5</v>
      </c>
      <c r="G11" s="55">
        <f t="shared" si="0"/>
        <v>-1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0</v>
      </c>
      <c r="AK11" s="34">
        <f t="shared" si="3"/>
        <v>3</v>
      </c>
      <c r="AL11" s="34" t="str">
        <f t="shared" si="4"/>
        <v>Belgica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1</v>
      </c>
      <c r="M12" s="33">
        <v>1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A1F4-65BC-4F66-B10D-AC4CECED8DEE}">
  <dimension ref="A2:BB28"/>
  <sheetViews>
    <sheetView workbookViewId="0">
      <selection activeCell="M12" sqref="M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1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4</v>
      </c>
      <c r="AR7" s="34">
        <f>SUMIF($K$7:$K$12,AO7,$L$7:$L$12) + SUMIF($N$7:$N$12,AO7,$M$7:$M$12)</f>
        <v>6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-90040600</v>
      </c>
      <c r="BA7" s="34">
        <f>AZ7-AY7*10</f>
        <v>-90040610</v>
      </c>
      <c r="BB7" s="34">
        <f>BA7+N23</f>
        <v>-90040609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14</v>
      </c>
      <c r="J8" s="19">
        <v>44889</v>
      </c>
      <c r="K8" s="20" t="s">
        <v>10</v>
      </c>
      <c r="L8" s="21">
        <v>2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-40000300</v>
      </c>
      <c r="BA8" s="34">
        <f t="shared" ref="BA8:BA10" si="10">AZ8-AY8*10</f>
        <v>-40000310</v>
      </c>
      <c r="BB8" s="34">
        <f>BA8+N24</f>
        <v>-40000308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4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1</v>
      </c>
      <c r="M9" s="22">
        <v>2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3</v>
      </c>
      <c r="AO9" s="34" t="s">
        <v>53</v>
      </c>
      <c r="AP9" s="34">
        <f>SUMIF($K$7:$K$12,AO9,$AJ$7:$AJ$12) + SUMIF($N$7:$N$12,AO9,$AK$7:$AK$12)</f>
        <v>4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-39990300</v>
      </c>
      <c r="BA9" s="34">
        <f t="shared" si="10"/>
        <v>-39990310</v>
      </c>
      <c r="BB9" s="34">
        <f>BA9+N25</f>
        <v>-39990307</v>
      </c>
    </row>
    <row r="10" spans="2:54" x14ac:dyDescent="0.25">
      <c r="B10" s="48">
        <v>3</v>
      </c>
      <c r="C10" s="49" t="str">
        <f t="shared" si="0"/>
        <v>Serbia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4</v>
      </c>
      <c r="AO10" s="34" t="s">
        <v>54</v>
      </c>
      <c r="AP10" s="34">
        <f>SUMIF($K$7:$K$12,AO10,$AJ$7:$AJ$12) + SUMIF($N$7:$N$12,AO10,$AK$7:$AK$12)</f>
        <v>0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29800</v>
      </c>
      <c r="BA10" s="34">
        <f t="shared" si="10"/>
        <v>29790</v>
      </c>
      <c r="BB10" s="34">
        <f>BA10+N26</f>
        <v>29794</v>
      </c>
    </row>
    <row r="11" spans="2:54" ht="15.75" thickBot="1" x14ac:dyDescent="0.3">
      <c r="B11" s="52">
        <v>4</v>
      </c>
      <c r="C11" s="53" t="str">
        <f t="shared" si="0"/>
        <v>Camerun</v>
      </c>
      <c r="D11" s="54">
        <f t="shared" si="0"/>
        <v>0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1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1</v>
      </c>
      <c r="M12" s="33">
        <v>2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BF4D-23CA-4B41-9D92-D7CBA0020D94}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1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1</v>
      </c>
      <c r="AO7" s="34" t="s">
        <v>57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5</v>
      </c>
      <c r="AS7" s="34">
        <f>SUMIF($K$7:$K$12,AO7,$M$7:$M$12) + SUMIF($N$7:$N$12,AO7,$L$7:$L$12)</f>
        <v>2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-70030500</v>
      </c>
      <c r="BA7" s="34">
        <f>AZ7-AY7*10</f>
        <v>-70030510</v>
      </c>
      <c r="BB7" s="34">
        <f>BA7+N23</f>
        <v>-70030509</v>
      </c>
    </row>
    <row r="8" spans="2:54" x14ac:dyDescent="0.25">
      <c r="B8" s="7">
        <v>1</v>
      </c>
      <c r="C8" s="8" t="str">
        <f t="shared" ref="C8:G11" si="0">IFERROR(VLOOKUP($B8,$AN$7:$AS$11,C$5,FALSE),"")</f>
        <v>Portugal</v>
      </c>
      <c r="D8" s="9">
        <f t="shared" si="0"/>
        <v>7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16</v>
      </c>
      <c r="J8" s="19">
        <v>44889</v>
      </c>
      <c r="K8" s="20" t="s">
        <v>57</v>
      </c>
      <c r="L8" s="21">
        <v>2</v>
      </c>
      <c r="M8" s="22">
        <v>0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2</v>
      </c>
      <c r="AO8" s="34" t="s">
        <v>55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4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-40000400</v>
      </c>
      <c r="BA8" s="34">
        <f t="shared" ref="BA8:BA10" si="10">AZ8-AY8*10</f>
        <v>-40000410</v>
      </c>
      <c r="BB8" s="34">
        <f>BA8+N24</f>
        <v>-40000408</v>
      </c>
    </row>
    <row r="9" spans="2:54" x14ac:dyDescent="0.25">
      <c r="B9" s="11">
        <v>2</v>
      </c>
      <c r="C9" s="12" t="str">
        <f t="shared" si="0"/>
        <v>Uruguay</v>
      </c>
      <c r="D9" s="13">
        <f t="shared" si="0"/>
        <v>4</v>
      </c>
      <c r="E9" s="13">
        <f t="shared" si="0"/>
        <v>4</v>
      </c>
      <c r="F9" s="13">
        <f t="shared" si="0"/>
        <v>4</v>
      </c>
      <c r="G9" s="14">
        <f t="shared" si="0"/>
        <v>0</v>
      </c>
      <c r="I9" s="23">
        <f>I7+16</f>
        <v>31</v>
      </c>
      <c r="J9" s="24">
        <v>44893</v>
      </c>
      <c r="K9" s="25" t="s">
        <v>56</v>
      </c>
      <c r="L9" s="21">
        <v>1</v>
      </c>
      <c r="M9" s="22">
        <v>0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3</v>
      </c>
      <c r="AO9" s="34" t="s">
        <v>56</v>
      </c>
      <c r="AP9" s="34">
        <f>SUMIF($K$7:$K$12,AO9,$AJ$7:$AJ$12) + SUMIF($N$7:$N$12,AO9,$AK$7:$AK$12)</f>
        <v>4</v>
      </c>
      <c r="AQ9" s="34">
        <f t="shared" ref="AQ9:AQ10" si="11">AR9-AS9</f>
        <v>0</v>
      </c>
      <c r="AR9" s="34">
        <f t="shared" si="5"/>
        <v>2</v>
      </c>
      <c r="AS9" s="34">
        <f t="shared" si="6"/>
        <v>2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-40000200</v>
      </c>
      <c r="BA9" s="34">
        <f t="shared" si="10"/>
        <v>-40000210</v>
      </c>
      <c r="BB9" s="34">
        <f>BA9+N25</f>
        <v>-40000207</v>
      </c>
    </row>
    <row r="10" spans="2:54" x14ac:dyDescent="0.25">
      <c r="B10" s="48">
        <v>3</v>
      </c>
      <c r="C10" s="49" t="str">
        <f t="shared" si="0"/>
        <v>Corea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3</v>
      </c>
      <c r="AK10" s="34">
        <f t="shared" si="3"/>
        <v>0</v>
      </c>
      <c r="AL10" s="34" t="str">
        <f t="shared" si="4"/>
        <v>Portugal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2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-9970200</v>
      </c>
      <c r="BA10" s="34">
        <f t="shared" si="10"/>
        <v>-9970210</v>
      </c>
      <c r="BB10" s="34">
        <f>BA10+N26</f>
        <v>-9970206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1</v>
      </c>
      <c r="E11" s="54">
        <f t="shared" si="0"/>
        <v>2</v>
      </c>
      <c r="F11" s="54">
        <f t="shared" si="0"/>
        <v>5</v>
      </c>
      <c r="G11" s="55">
        <f t="shared" si="0"/>
        <v>-3</v>
      </c>
      <c r="I11" s="23">
        <f>I9+16</f>
        <v>47</v>
      </c>
      <c r="J11" s="24">
        <v>44897</v>
      </c>
      <c r="K11" s="25" t="s">
        <v>58</v>
      </c>
      <c r="L11" s="21">
        <v>2</v>
      </c>
      <c r="M11" s="22">
        <v>2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1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BD6EA-A90C-43B7-9350-FAB891539352}">
  <dimension ref="B1:W35"/>
  <sheetViews>
    <sheetView tabSelected="1" topLeftCell="A2" workbookViewId="0">
      <selection activeCell="S30" sqref="S30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Holanda</v>
      </c>
      <c r="C6" s="60">
        <v>1</v>
      </c>
      <c r="D6" s="61"/>
    </row>
    <row r="7" spans="2:19" ht="15.75" thickBot="1" x14ac:dyDescent="0.3">
      <c r="B7" s="62" t="str">
        <f>'GRUPO B'!C9</f>
        <v>USA</v>
      </c>
      <c r="C7" s="63">
        <v>2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USA</v>
      </c>
      <c r="H8" s="60">
        <v>0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Francia</v>
      </c>
      <c r="H9" s="63">
        <v>2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1</v>
      </c>
      <c r="D10" s="61"/>
      <c r="E10" s="69"/>
      <c r="J10" s="66"/>
    </row>
    <row r="11" spans="2:19" ht="15.75" thickBot="1" x14ac:dyDescent="0.3">
      <c r="B11" s="62" t="str">
        <f>'GRUPO D'!C9</f>
        <v>Francia</v>
      </c>
      <c r="C11" s="63">
        <v>2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Francia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España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Canada</v>
      </c>
      <c r="C15" s="63">
        <v>0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España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2</v>
      </c>
      <c r="D18" s="61"/>
      <c r="E18" s="69"/>
      <c r="O18" s="66"/>
    </row>
    <row r="19" spans="2:23" ht="15.75" thickBot="1" x14ac:dyDescent="0.3">
      <c r="B19" s="62" t="str">
        <f>'GRUPO H'!C9</f>
        <v>Uruguay</v>
      </c>
      <c r="C19" s="63">
        <v>0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2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Alemania</v>
      </c>
      <c r="R21" s="63">
        <v>0</v>
      </c>
      <c r="S21" s="64"/>
    </row>
    <row r="22" spans="2:23" ht="15.75" thickBot="1" x14ac:dyDescent="0.3">
      <c r="B22" s="59" t="str">
        <f>'GRUPO B'!C8</f>
        <v>Inglaterra</v>
      </c>
      <c r="C22" s="60">
        <v>2</v>
      </c>
      <c r="D22" s="61"/>
      <c r="O22" s="66"/>
    </row>
    <row r="23" spans="2:23" ht="15.75" thickBot="1" x14ac:dyDescent="0.3">
      <c r="B23" s="62" t="str">
        <f>'GRUPO A'!C9</f>
        <v>Senegal</v>
      </c>
      <c r="C23" s="63">
        <v>0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Dinamarca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Alemania</v>
      </c>
    </row>
    <row r="26" spans="2:23" ht="15.75" thickBot="1" x14ac:dyDescent="0.3">
      <c r="B26" s="59" t="str">
        <f>'GRUPO D'!C8</f>
        <v>Dinamarca</v>
      </c>
      <c r="C26" s="60">
        <v>1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Francia</v>
      </c>
    </row>
    <row r="27" spans="2:23" ht="15.75" thickBot="1" x14ac:dyDescent="0.3">
      <c r="B27" s="62" t="str">
        <f>'GRUPO C'!C9</f>
        <v>Polonia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Dinamarca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Alemania</v>
      </c>
      <c r="M29" s="63">
        <v>3</v>
      </c>
      <c r="N29" s="64"/>
      <c r="Q29" s="59" t="str">
        <f>IF(Q20=L12,L13,IF(Q20=L13,L12,""))</f>
        <v>Francia</v>
      </c>
      <c r="R29" s="60">
        <v>1</v>
      </c>
      <c r="S29" s="61"/>
    </row>
    <row r="30" spans="2:23" ht="15.75" thickBot="1" x14ac:dyDescent="0.3">
      <c r="B30" s="59" t="str">
        <f>'GRUPO F'!C8</f>
        <v>Marruecos</v>
      </c>
      <c r="C30" s="60">
        <v>1</v>
      </c>
      <c r="D30" s="61"/>
      <c r="J30" s="66"/>
      <c r="Q30" s="62" t="str">
        <f>IF(Q21=L28,L29,IF(Q21=L29,L28,""))</f>
        <v>Dinamarca</v>
      </c>
      <c r="R30" s="63">
        <v>0</v>
      </c>
      <c r="S30" s="64"/>
    </row>
    <row r="31" spans="2:23" ht="15.75" thickBot="1" x14ac:dyDescent="0.3">
      <c r="B31" s="62" t="str">
        <f>'GRUPO E'!C9</f>
        <v>Alemania</v>
      </c>
      <c r="C31" s="63">
        <v>3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Alemania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Portugal</v>
      </c>
      <c r="H33" s="63">
        <v>1</v>
      </c>
      <c r="I33" s="64"/>
    </row>
    <row r="34" spans="2:9" x14ac:dyDescent="0.25">
      <c r="B34" s="59" t="str">
        <f>'GRUPO H'!C8</f>
        <v>Portugal</v>
      </c>
      <c r="C34" s="60">
        <v>1</v>
      </c>
      <c r="D34" s="61">
        <v>1</v>
      </c>
      <c r="E34" s="69"/>
    </row>
    <row r="35" spans="2:9" ht="15.75" thickBot="1" x14ac:dyDescent="0.3">
      <c r="B35" s="62" t="str">
        <f>'GRUPO G'!C9</f>
        <v>Suiza</v>
      </c>
      <c r="C35" s="63">
        <v>1</v>
      </c>
      <c r="D35" s="64">
        <v>0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2022-11-20T14:15:04Z</dcterms:modified>
</cp:coreProperties>
</file>