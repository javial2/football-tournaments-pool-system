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penac\Desktop\"/>
    </mc:Choice>
  </mc:AlternateContent>
  <bookViews>
    <workbookView xWindow="0" yWindow="0" windowWidth="20490" windowHeight="7755" firstSheet="2" activeTab="9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K12" i="14"/>
  <c r="AP9" i="14" s="1"/>
  <c r="AQ10" i="13"/>
  <c r="AQ8" i="13"/>
  <c r="AQ7" i="13"/>
  <c r="AQ9" i="13"/>
  <c r="AL8" i="13"/>
  <c r="AK10" i="13"/>
  <c r="AL10" i="13" s="1"/>
  <c r="AK7" i="13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K12" i="12"/>
  <c r="AQ10" i="11"/>
  <c r="AQ8" i="11"/>
  <c r="AQ9" i="11"/>
  <c r="AQ7" i="11"/>
  <c r="AK7" i="11"/>
  <c r="AL7" i="11" s="1"/>
  <c r="AK11" i="11"/>
  <c r="AP7" i="11" s="1"/>
  <c r="AK12" i="11"/>
  <c r="AP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9" i="13" l="1"/>
  <c r="AZ10" i="12"/>
  <c r="AZ7" i="15"/>
  <c r="AP7" i="14"/>
  <c r="AZ7" i="14" s="1"/>
  <c r="AP10" i="13"/>
  <c r="AZ10" i="13" s="1"/>
  <c r="AZ8" i="13"/>
  <c r="AZ7" i="12"/>
  <c r="AP8" i="12"/>
  <c r="AZ8" i="12" s="1"/>
  <c r="AP9" i="12"/>
  <c r="AZ9" i="12" s="1"/>
  <c r="AZ10" i="11"/>
  <c r="AZ8" i="11"/>
  <c r="AP9" i="11"/>
  <c r="AZ9" i="11" s="1"/>
  <c r="AZ8" i="10"/>
  <c r="AZ9" i="2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7" i="2" l="1"/>
  <c r="AX7" i="2" s="1"/>
  <c r="AY7" i="2" s="1"/>
  <c r="BA7" i="2" s="1"/>
  <c r="BB7" i="2" s="1"/>
  <c r="AW7" i="14"/>
  <c r="AX7" i="14" s="1"/>
  <c r="AY7" i="14" s="1"/>
  <c r="BA7" i="14" s="1"/>
  <c r="BB7" i="14" s="1"/>
  <c r="AW9" i="13"/>
  <c r="AX9" i="13" s="1"/>
  <c r="AY9" i="13" s="1"/>
  <c r="BA9" i="13" s="1"/>
  <c r="BB9" i="13" s="1"/>
  <c r="AW9" i="12"/>
  <c r="AX9" i="12" s="1"/>
  <c r="AY9" i="12" s="1"/>
  <c r="BA9" i="12" s="1"/>
  <c r="BB9" i="12" s="1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7" i="12"/>
  <c r="AX7" i="12" s="1"/>
  <c r="AY7" i="12" s="1"/>
  <c r="BA7" i="12" s="1"/>
  <c r="BB7" i="12" s="1"/>
  <c r="AW7" i="11"/>
  <c r="AX7" i="11" s="1"/>
  <c r="AY7" i="11" s="1"/>
  <c r="BA7" i="11" s="1"/>
  <c r="BB7" i="11" s="1"/>
  <c r="AW10" i="11"/>
  <c r="AX10" i="11" s="1"/>
  <c r="AY10" i="11" s="1"/>
  <c r="BA10" i="11" s="1"/>
  <c r="BB10" i="11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8" i="2"/>
  <c r="AX8" i="2" s="1"/>
  <c r="AY8" i="2" s="1"/>
  <c r="BA8" i="2" s="1"/>
  <c r="BB8" i="2" s="1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D8" i="12" l="1"/>
  <c r="F8" i="12"/>
  <c r="G8" i="12"/>
  <c r="C8" i="12"/>
  <c r="B14" i="16" s="1"/>
  <c r="E10" i="11"/>
  <c r="F10" i="11"/>
  <c r="E8" i="11"/>
  <c r="G8" i="11"/>
  <c r="G10" i="11"/>
  <c r="D8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G32" i="16" s="1"/>
  <c r="L29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8" i="1" s="1"/>
  <c r="G25" i="16" l="1"/>
  <c r="D10" i="1"/>
  <c r="F9" i="1"/>
  <c r="D9" i="1"/>
  <c r="E9" i="1"/>
  <c r="C9" i="1"/>
  <c r="B23" i="16" s="1"/>
  <c r="G24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F10" i="1"/>
  <c r="G8" i="1"/>
  <c r="E11" i="1"/>
  <c r="G10" i="1"/>
  <c r="L28" i="16" l="1"/>
  <c r="Q21" i="16" s="1"/>
  <c r="Q30" i="16" s="1"/>
  <c r="Q20" i="16"/>
  <c r="W24" i="16" s="1"/>
  <c r="W25" i="16" l="1"/>
  <c r="Q29" i="16"/>
  <c r="W26" i="16" s="1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<sst xmlns="http://schemas.openxmlformats.org/spreadsheetml/2006/main" count="454" uniqueCount="79">
  <si>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</si>
  <si>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</si>
  <si>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</si>
  <si>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</si>
  <si>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</si>
  <si>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</si>
  <si>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</si>
  <si>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</si>
  <si>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</si>
  <si>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</si>
  <si>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</si>
  <si>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</si>
  <si>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</si>
  <si>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</si>
  <si>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</si>
  <si>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</si>
  <si>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</si>
  <si>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</si>
  <si>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</si>
  <si>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</si>
  <si>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</si>
  <si>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</si>
  <si>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</si>
  <si>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</si>
  <si>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</si>
  <si>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</si>
  <si>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</si>
  <si>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</si>
  <si>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</si>
  <si>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</si>
  <si>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</si>
  <si>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</si>
  <si>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</si>
  <si>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</si>
  <si>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</si>
  <si>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</si>
  <si>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</si>
  <si>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</si>
  <si>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</si>
  <si>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</si>
  <si>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</si>
  <si>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</si>
  <si>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</si>
  <si>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</si>
  <si>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</si>
  <si>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</si>
  <si>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</si>
  <si>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</si>
  <si>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</si>
  <si>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</si>
  <si>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</si>
  <si>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</si>
  <si>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</si>
  <si>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</si>
  <si>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</si>
  <si>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</si>
  <si>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</si>
  <si>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</si>
  <si>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</si>
  <si>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</si>
  <si>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</si>
  <si>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</si>
  <si>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</si>
  <si>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</si>
  <si>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</si>
  <si>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</si>
  <si>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</si>
  <si>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</si>
  <si>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</si>
  <si>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</si>
  <si>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</si>
  <si>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</si>
  <si>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</si>
  <si>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</si>
  <si>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</si>
  <si>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</si>
  <si>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</si>
  <si>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Mariela González Muttel</t>
  </si>
  <si>
    <t>mari.gm@live.cl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</si>
</sst>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4" fillId="0" borderId="38" xfId="1" quotePrefix="1" applyFont="1" applyBorder="1" applyAlignment="1">
      <alignment horizontal="center"/>
    </xf>
    <xf numFmtId="0" fontId="0" fillId="0" borderId="0" xfId="0" applyFill="1" applyBorder="1"/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.gm@liv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D4"/>
  <sheetViews>
    <sheetView workbookViewId="0">
      <selection activeCell="D13" sqref="D13"/>
    </sheetView>
  </sheetViews>
  <sheetFormatPr baseColWidth="10" defaultRowHeight="15" x14ac:dyDescent="0.25"/>
  <cols>
    <col min="4" max="4" width="13.28515625" customWidth="1"/>
  </cols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2:BB28"/>
  <sheetViews>
    <sheetView topLeftCell="A3" workbookViewId="0">
      <selection activeCell="L13" sqref="L13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3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-6</v>
      </c>
      <c r="AR7" s="34">
        <f>SUMIF($K$7:$K$12,AO7,$L$7:$L$12) + SUMIF($N$7:$N$12,AO7,$M$7:$M$12)</f>
        <v>0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-9940000</v>
      </c>
      <c r="BA7" s="34">
        <f>AZ7-AY7*10</f>
        <v>-9940010</v>
      </c>
      <c r="BB7" s="34">
        <f>BA7+N23</f>
        <v>-9940006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>IFERROR(VLOOKUP($B8,$AN$7:$AS$11,D$5,FALSE),"")</f>
        <v>9</v>
      </c>
      <c r="E8" s="9">
        <f t="shared" si="3"/>
        <v>9</v>
      </c>
      <c r="F8" s="9">
        <f t="shared" si="3"/>
        <v>2</v>
      </c>
      <c r="G8" s="10">
        <f t="shared" si="3"/>
        <v>7</v>
      </c>
      <c r="I8" s="18">
        <v>2</v>
      </c>
      <c r="J8" s="19">
        <v>44886</v>
      </c>
      <c r="K8" s="20" t="s">
        <v>14</v>
      </c>
      <c r="L8" s="21">
        <v>0</v>
      </c>
      <c r="M8" s="22">
        <v>0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9</v>
      </c>
      <c r="AQ8" s="34">
        <f>AR8-AS8</f>
        <v>7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-90070900</v>
      </c>
      <c r="BA8" s="34">
        <f t="shared" ref="BA8:BA10" si="10">AZ8-AY8*10</f>
        <v>-90070910</v>
      </c>
      <c r="BB8" s="34">
        <f>BA8+N24</f>
        <v>-90070909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4</v>
      </c>
      <c r="E9" s="13">
        <f t="shared" si="3"/>
        <v>4</v>
      </c>
      <c r="F9" s="13">
        <f t="shared" si="3"/>
        <v>4</v>
      </c>
      <c r="G9" s="14">
        <f t="shared" si="3"/>
        <v>0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-40000400</v>
      </c>
      <c r="BA9" s="34">
        <f t="shared" si="10"/>
        <v>-40000410</v>
      </c>
      <c r="BB9" s="34">
        <f>BA9+N25</f>
        <v>-40000408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2</v>
      </c>
      <c r="E10" s="50">
        <f t="shared" si="3"/>
        <v>2</v>
      </c>
      <c r="F10" s="50">
        <f t="shared" si="3"/>
        <v>3</v>
      </c>
      <c r="G10" s="51">
        <f t="shared" si="3"/>
        <v>-1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2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-19990200</v>
      </c>
      <c r="BA10" s="34">
        <f t="shared" si="10"/>
        <v>-19990210</v>
      </c>
      <c r="BB10" s="34">
        <f>BA10+N26</f>
        <v>-19990207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0</v>
      </c>
      <c r="F11" s="54">
        <f t="shared" si="3"/>
        <v>6</v>
      </c>
      <c r="G11" s="55">
        <f t="shared" si="3"/>
        <v>-6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4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1</v>
      </c>
      <c r="N24" s="35">
        <f>IF(J24="",0,M24)</f>
        <v>1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2</v>
      </c>
      <c r="N25" s="35">
        <f>IF(J25="",0,M25)</f>
        <v>2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3</v>
      </c>
      <c r="N26" s="35">
        <f>IF(J26="",0,M26)</f>
        <v>3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2:BB28"/>
  <sheetViews>
    <sheetView topLeftCell="A3" workbookViewId="0">
      <selection activeCell="M13" sqref="M13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4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6</v>
      </c>
      <c r="AR7" s="34">
        <f>SUMIF($K$7:$K$12,AO7,$L$7:$L$12) + SUMIF($N$7:$N$12,AO7,$M$7:$M$12)</f>
        <v>8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-70060800</v>
      </c>
      <c r="BA7" s="34">
        <f>AZ7-AY7*10</f>
        <v>-70060810</v>
      </c>
      <c r="BB7" s="34">
        <f>BA7+N23</f>
        <v>-70060809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8</v>
      </c>
      <c r="F8" s="9">
        <f t="shared" si="0"/>
        <v>2</v>
      </c>
      <c r="G8" s="10">
        <f t="shared" si="0"/>
        <v>6</v>
      </c>
      <c r="I8" s="18">
        <v>4</v>
      </c>
      <c r="J8" s="19">
        <v>44886</v>
      </c>
      <c r="K8" s="20" t="s">
        <v>31</v>
      </c>
      <c r="L8" s="21">
        <v>1</v>
      </c>
      <c r="M8" s="22">
        <v>2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Gales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3</v>
      </c>
      <c r="AQ8" s="34">
        <f>AR8-AS8</f>
        <v>-2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-29980400</v>
      </c>
      <c r="BA8" s="34">
        <f t="shared" ref="BA8:BA10" si="10">AZ8-AY8*10</f>
        <v>-29980410</v>
      </c>
      <c r="BB8" s="34">
        <f>BA8+N24</f>
        <v>-29980408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5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-9950200</v>
      </c>
      <c r="BA9" s="34">
        <f t="shared" si="10"/>
        <v>-9950210</v>
      </c>
      <c r="BB9" s="34">
        <f>BA9+N25</f>
        <v>-9950206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-50010400</v>
      </c>
      <c r="BA10" s="34">
        <f t="shared" si="10"/>
        <v>-50010410</v>
      </c>
      <c r="BB10" s="34">
        <f>BA10+N26</f>
        <v>-50010407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2:BB28"/>
  <sheetViews>
    <sheetView topLeftCell="A7"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-70030700</v>
      </c>
      <c r="BA7" s="34">
        <f>AZ7-AY7*10</f>
        <v>-70030710</v>
      </c>
      <c r="BB7" s="34">
        <f>BA7+N23</f>
        <v>-70030709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6</v>
      </c>
      <c r="J8" s="19">
        <v>44887</v>
      </c>
      <c r="K8" s="20" t="s">
        <v>35</v>
      </c>
      <c r="L8" s="21">
        <v>3</v>
      </c>
      <c r="M8" s="22">
        <v>1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-29990400</v>
      </c>
      <c r="BA8" s="34">
        <f t="shared" ref="BA8:BA10" si="10">AZ8-AY8*10</f>
        <v>-29990410</v>
      </c>
      <c r="BB8" s="34">
        <f>BA8+N24</f>
        <v>-29990407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7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7</v>
      </c>
      <c r="AQ9" s="34">
        <f t="shared" ref="AQ9:AQ10" si="11">AR9-AS9</f>
        <v>3</v>
      </c>
      <c r="AR9" s="34">
        <f t="shared" si="5"/>
        <v>6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-70030600</v>
      </c>
      <c r="BA9" s="34">
        <f t="shared" si="10"/>
        <v>-70030610</v>
      </c>
      <c r="BB9" s="34">
        <f>BA9+N25</f>
        <v>-70030608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3</v>
      </c>
      <c r="E10" s="50">
        <f t="shared" si="0"/>
        <v>4</v>
      </c>
      <c r="F10" s="50">
        <f t="shared" si="0"/>
        <v>5</v>
      </c>
      <c r="G10" s="51">
        <f t="shared" si="0"/>
        <v>-1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2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49800</v>
      </c>
      <c r="BA10" s="34">
        <f t="shared" si="10"/>
        <v>49790</v>
      </c>
      <c r="BB10" s="34">
        <f>BA10+N26</f>
        <v>49794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2:BB28"/>
  <sheetViews>
    <sheetView topLeftCell="A7"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4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7</v>
      </c>
      <c r="AS7" s="34">
        <f>SUMIF($K$7:$K$12,AO7,$M$7:$M$12) + SUMIF($N$7:$N$12,AO7,$L$7:$L$12)</f>
        <v>5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-60020700</v>
      </c>
      <c r="BA7" s="34">
        <f>AZ7-AY7*10</f>
        <v>-60020710</v>
      </c>
      <c r="BB7" s="34">
        <f>BA7+N23</f>
        <v>-60020708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8</v>
      </c>
      <c r="J8" s="19">
        <v>44887</v>
      </c>
      <c r="K8" s="20" t="s">
        <v>40</v>
      </c>
      <c r="L8" s="21">
        <v>3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9</v>
      </c>
      <c r="AQ8" s="34">
        <f>AR8-AS8</f>
        <v>7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-90070900</v>
      </c>
      <c r="BA8" s="34">
        <f t="shared" ref="BA8:BA10" si="10">AZ8-AY8*10</f>
        <v>-90070910</v>
      </c>
      <c r="BB8" s="34">
        <f>BA8+N24</f>
        <v>-90070909</v>
      </c>
    </row>
    <row r="9" spans="2:54" x14ac:dyDescent="0.25">
      <c r="B9" s="11">
        <v>2</v>
      </c>
      <c r="C9" s="12" t="str">
        <f t="shared" si="0"/>
        <v>Francia</v>
      </c>
      <c r="D9" s="13">
        <f t="shared" si="0"/>
        <v>6</v>
      </c>
      <c r="E9" s="13">
        <f t="shared" si="0"/>
        <v>7</v>
      </c>
      <c r="F9" s="13">
        <f t="shared" si="0"/>
        <v>5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0</v>
      </c>
      <c r="M9" s="22">
        <v>0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-9950100</v>
      </c>
      <c r="BA9" s="34">
        <f t="shared" si="10"/>
        <v>-9950110</v>
      </c>
      <c r="BB9" s="34">
        <f>BA9+N25</f>
        <v>-9950106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1</v>
      </c>
      <c r="F10" s="50">
        <f t="shared" si="0"/>
        <v>5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2</v>
      </c>
      <c r="M10" s="22">
        <v>3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0</v>
      </c>
      <c r="AK10" s="34">
        <f t="shared" si="3"/>
        <v>3</v>
      </c>
      <c r="AL10" s="34" t="str">
        <f t="shared" si="4"/>
        <v>Dinamarca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-9960107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115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2:BB28"/>
  <sheetViews>
    <sheetView topLeftCell="A2" workbookViewId="0">
      <selection activeCell="L15" sqref="L1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0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5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-40000500</v>
      </c>
      <c r="BA7" s="34">
        <f>AZ7-AY7*10</f>
        <v>-40000510</v>
      </c>
      <c r="BB7" s="34">
        <f>BA7+N23</f>
        <v>-40000508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8</v>
      </c>
      <c r="F8" s="9">
        <f t="shared" si="0"/>
        <v>3</v>
      </c>
      <c r="G8" s="10">
        <f t="shared" si="0"/>
        <v>5</v>
      </c>
      <c r="I8" s="18">
        <v>10</v>
      </c>
      <c r="J8" s="19">
        <v>44888</v>
      </c>
      <c r="K8" s="20" t="s">
        <v>44</v>
      </c>
      <c r="L8" s="21">
        <v>2</v>
      </c>
      <c r="M8" s="22">
        <v>1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-90050800</v>
      </c>
      <c r="BA8" s="34">
        <f t="shared" ref="BA8:BA10" si="10">AZ8-AY8*10</f>
        <v>-90050810</v>
      </c>
      <c r="BB8" s="34">
        <f>BA8+N24</f>
        <v>-90050809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4</v>
      </c>
      <c r="E9" s="13">
        <f t="shared" si="0"/>
        <v>5</v>
      </c>
      <c r="F9" s="13">
        <f t="shared" si="0"/>
        <v>5</v>
      </c>
      <c r="G9" s="14">
        <f t="shared" si="0"/>
        <v>0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1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2</v>
      </c>
      <c r="AQ9" s="34">
        <f t="shared" ref="AQ9:AQ10" si="11">AR9-AS9</f>
        <v>-2</v>
      </c>
      <c r="AR9" s="34">
        <f t="shared" si="5"/>
        <v>2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-19980200</v>
      </c>
      <c r="BA9" s="34">
        <f t="shared" si="10"/>
        <v>-19980210</v>
      </c>
      <c r="BB9" s="34">
        <f>BA9+N25</f>
        <v>-19980207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2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2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-9970306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2:BB28"/>
  <sheetViews>
    <sheetView topLeftCell="A5" workbookViewId="0">
      <selection activeCell="N25" sqref="N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0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2</v>
      </c>
      <c r="AO7" s="34" t="s">
        <v>48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-60020508</v>
      </c>
    </row>
    <row r="8" spans="2:54" x14ac:dyDescent="0.25">
      <c r="B8" s="7">
        <v>1</v>
      </c>
      <c r="C8" s="8" t="str">
        <f t="shared" ref="C8:G11" si="0">IFERROR(VLOOKUP($B8,$AN$7:$AS$11,C$5,FALSE),"")</f>
        <v>Croacia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2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1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-70030509</v>
      </c>
    </row>
    <row r="9" spans="2:54" x14ac:dyDescent="0.25">
      <c r="B9" s="11">
        <v>2</v>
      </c>
      <c r="C9" s="12" t="str">
        <f t="shared" si="0"/>
        <v>Belgica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-9970206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2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2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-19980200</v>
      </c>
      <c r="BA10" s="34">
        <f t="shared" si="10"/>
        <v>-19980210</v>
      </c>
      <c r="BB10" s="34">
        <f>BA10+N26</f>
        <v>-19980207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3</v>
      </c>
      <c r="AK11" s="34">
        <f t="shared" si="3"/>
        <v>0</v>
      </c>
      <c r="AL11" s="34" t="str">
        <f t="shared" si="4"/>
        <v>Croacia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2:BB28"/>
  <sheetViews>
    <sheetView topLeftCell="A7" workbookViewId="0">
      <selection activeCell="M27" sqref="M2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10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-90081000</v>
      </c>
      <c r="BA7" s="34">
        <f>AZ7-AY7*10</f>
        <v>-90081010</v>
      </c>
      <c r="BB7" s="34">
        <f>BA7+N23</f>
        <v>-90081009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10</v>
      </c>
      <c r="F8" s="9">
        <f t="shared" si="0"/>
        <v>2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2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2</v>
      </c>
      <c r="AQ8" s="34">
        <f>AR8-AS8</f>
        <v>-3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7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-19970400</v>
      </c>
      <c r="BA8" s="34">
        <f t="shared" ref="BA8:BA10" si="10">AZ8-AY8*10</f>
        <v>-19970410</v>
      </c>
      <c r="BB8" s="34">
        <f>BA8+N24</f>
        <v>-19970407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4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1</v>
      </c>
      <c r="AR9" s="34">
        <f t="shared" si="5"/>
        <v>5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-40010500</v>
      </c>
      <c r="BA9" s="34">
        <f t="shared" si="10"/>
        <v>-40010510</v>
      </c>
      <c r="BB9" s="34">
        <f>BA9+N25</f>
        <v>-40010508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2</v>
      </c>
      <c r="E10" s="50">
        <f t="shared" si="0"/>
        <v>4</v>
      </c>
      <c r="F10" s="50">
        <f t="shared" si="0"/>
        <v>7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4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1</v>
      </c>
      <c r="AQ10" s="34">
        <f t="shared" si="11"/>
        <v>-6</v>
      </c>
      <c r="AR10" s="34">
        <f>SUMIF($K$7:$K$12,AO10,$L$7:$L$12) + SUMIF($N$7:$N$12,AO10,$M$7:$M$12)</f>
        <v>1</v>
      </c>
      <c r="AS10" s="34">
        <f>SUMIF($K$7:$K$12,AO10,$M$7:$M$12) + SUMIF($N$7:$N$12,AO10,$L$7:$L$12)</f>
        <v>7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-9940100</v>
      </c>
      <c r="BA10" s="34">
        <f t="shared" si="10"/>
        <v>-9940110</v>
      </c>
      <c r="BB10" s="34">
        <f>BA10+N26</f>
        <v>-9940106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1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4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3</v>
      </c>
      <c r="N24" s="35">
        <f>IF(J24="",0,M24)</f>
        <v>3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2</v>
      </c>
      <c r="N25" s="35">
        <f>IF(J25="",0,M25)</f>
        <v>2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2:BB28"/>
  <sheetViews>
    <sheetView topLeftCell="A5"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7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-70020500</v>
      </c>
      <c r="BA7" s="34">
        <f>AZ7-AY7*10</f>
        <v>-70020510</v>
      </c>
      <c r="BB7" s="34">
        <f>BA7+N23</f>
        <v>-70020508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7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-70030600</v>
      </c>
      <c r="BA8" s="34">
        <f t="shared" ref="BA8:BA10" si="10">AZ8-AY8*10</f>
        <v>-70030610</v>
      </c>
      <c r="BB8" s="34">
        <f>BA8+N24</f>
        <v>-70030609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7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1</v>
      </c>
      <c r="AS9" s="34">
        <f t="shared" si="6"/>
        <v>4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-9970100</v>
      </c>
      <c r="BA9" s="34">
        <f t="shared" si="10"/>
        <v>-9970110</v>
      </c>
      <c r="BB9" s="34">
        <f>BA9+N25</f>
        <v>-9970106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1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2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-9980300</v>
      </c>
      <c r="BA10" s="34">
        <f t="shared" si="10"/>
        <v>-9980310</v>
      </c>
      <c r="BB10" s="34">
        <f>BA10+N26</f>
        <v>-9980307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1</v>
      </c>
      <c r="F11" s="54">
        <f t="shared" si="0"/>
        <v>4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B1:W35"/>
  <sheetViews>
    <sheetView tabSelected="1" topLeftCell="J14" workbookViewId="0">
      <selection activeCell="A30" sqref="A30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3</v>
      </c>
      <c r="D6" s="61"/>
    </row>
    <row r="7" spans="2:19" ht="15.75" thickBot="1" x14ac:dyDescent="0.3">
      <c r="B7" s="62" t="str">
        <f>'GRUPO B'!C9</f>
        <v>Gales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2</v>
      </c>
      <c r="D10" s="61">
        <v>1</v>
      </c>
      <c r="E10" s="69"/>
      <c r="J10" s="66"/>
    </row>
    <row r="11" spans="2:19" ht="15.75" thickBot="1" x14ac:dyDescent="0.3">
      <c r="B11" s="62" t="str">
        <f>'GRUPO D'!C9</f>
        <v>Francia</v>
      </c>
      <c r="C11" s="63">
        <v>2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2</v>
      </c>
      <c r="N12" s="61">
        <v>1</v>
      </c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>
        <v>0</v>
      </c>
      <c r="O13" s="65"/>
    </row>
    <row r="14" spans="2:19" ht="15.75" thickBot="1" x14ac:dyDescent="0.3">
      <c r="B14" s="59" t="str">
        <f>'GRUPO E'!C8</f>
        <v>Alemania</v>
      </c>
      <c r="C14" s="60">
        <v>3</v>
      </c>
      <c r="D14" s="61"/>
      <c r="J14" s="66"/>
      <c r="O14" s="66"/>
    </row>
    <row r="15" spans="2:19" ht="15.75" thickBot="1" x14ac:dyDescent="0.3">
      <c r="B15" s="62" t="str">
        <f>'GRUPO F'!C9</f>
        <v>Belgica</v>
      </c>
      <c r="C15" s="63">
        <v>2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C16" s="116"/>
      <c r="E16" s="66"/>
      <c r="G16" s="59" t="str">
        <f>IF(C15&gt;C14,B15,IF(C14&gt;C15,B14,IF(D15&gt;D14,B15,IF(D14&gt;D15,B14,""))))</f>
        <v>Alemania</v>
      </c>
      <c r="H16" s="60">
        <v>2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>
        <v>1</v>
      </c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2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Argentina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Croacia</v>
      </c>
      <c r="R21" s="63">
        <v>1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>
        <v>0</v>
      </c>
      <c r="O24" s="66"/>
      <c r="V24" s="59" t="s">
        <v>65</v>
      </c>
      <c r="W24" s="71" t="str">
        <f>IF(R20&gt;R21,Q20,IF(R21&gt;R20,Q21,IF(S20&gt;S21,Q20,IF(S21&gt;S20,Q21,""))))</f>
        <v>Argentina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Croacia</v>
      </c>
    </row>
    <row r="26" spans="2:23" ht="15.75" thickBot="1" x14ac:dyDescent="0.3">
      <c r="B26" s="59" t="str">
        <f>'GRUPO D'!C8</f>
        <v>Dinamarca</v>
      </c>
      <c r="C26" s="60">
        <v>1</v>
      </c>
      <c r="D26" s="61">
        <v>1</v>
      </c>
      <c r="E26" s="69"/>
      <c r="J26" s="66"/>
      <c r="O26" s="66"/>
      <c r="V26" s="62" t="s">
        <v>68</v>
      </c>
      <c r="W26" s="74" t="str">
        <f>IF(R29&gt;R30,Q29,IF(R30&gt;R29,Q30,IF(S29&gt;S30,Q29,IF(S30&gt;S29,Q30,""))))</f>
        <v>Brasil</v>
      </c>
    </row>
    <row r="27" spans="2:23" ht="15.75" thickBot="1" x14ac:dyDescent="0.3">
      <c r="B27" s="62" t="str">
        <f>'GRUPO C'!C9</f>
        <v>Polonia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Dinamarca</v>
      </c>
      <c r="M28" s="60">
        <v>1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Croacia</v>
      </c>
      <c r="M29" s="63">
        <v>2</v>
      </c>
      <c r="N29" s="64"/>
      <c r="Q29" s="59" t="str">
        <f>IF(Q20=L12,L13,IF(Q20=L13,L12,""))</f>
        <v>Brasil</v>
      </c>
      <c r="R29" s="60">
        <v>3</v>
      </c>
      <c r="S29" s="61"/>
    </row>
    <row r="30" spans="2:23" ht="15.75" thickBot="1" x14ac:dyDescent="0.3">
      <c r="B30" s="59" t="str">
        <f>'GRUPO F'!C8</f>
        <v>Croacia</v>
      </c>
      <c r="C30" s="60">
        <v>2</v>
      </c>
      <c r="D30" s="61">
        <v>0</v>
      </c>
      <c r="J30" s="66"/>
      <c r="Q30" s="62" t="str">
        <f>IF(Q21=L28,L29,IF(Q21=L29,L28,""))</f>
        <v>Dinamarca</v>
      </c>
      <c r="R30" s="63">
        <v>2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>
        <v>1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Croacia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0</v>
      </c>
      <c r="I33" s="64"/>
    </row>
    <row r="34" spans="2:9" x14ac:dyDescent="0.25">
      <c r="B34" s="59" t="str">
        <f>'GRUPO H'!C8</f>
        <v>Uruguay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1</v>
      </c>
      <c r="D35" s="64">
        <v>0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Jose Miguel Peña Colodro</cp:lastModifiedBy>
  <dcterms:created xsi:type="dcterms:W3CDTF">2022-11-02T00:22:23Z</dcterms:created>
  <dcterms:modified xsi:type="dcterms:W3CDTF">2022-11-20T15:08:48Z</dcterms:modified>
</cp:coreProperties>
</file>