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o/Desktop/"/>
    </mc:Choice>
  </mc:AlternateContent>
  <xr:revisionPtr revIDLastSave="0" documentId="13_ncr:1_{C0B51093-E537-1548-99D1-777856B16547}" xr6:coauthVersionLast="47" xr6:coauthVersionMax="47" xr10:uidLastSave="{00000000-0000-0000-0000-000000000000}"/>
  <bookViews>
    <workbookView xWindow="0" yWindow="500" windowWidth="28800" windowHeight="1612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9" i="12" l="1"/>
  <c r="AZ7" i="12"/>
  <c r="AZ10" i="12"/>
  <c r="AZ10" i="11"/>
  <c r="AZ8" i="11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D8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C8" i="12"/>
  <c r="B14" i="16" s="1"/>
  <c r="D8" i="12"/>
  <c r="G8" i="12"/>
  <c r="G8" i="11"/>
  <c r="G10" i="11"/>
  <c r="F10" i="11"/>
  <c r="E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<sst xmlns="http://schemas.openxmlformats.org/spreadsheetml/2006/main" count="454" uniqueCount="79">
  <si>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</si>
  <si>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</si>
  <si>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</si>
  <si>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</si>
  <si>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</si>
  <si>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</si>
  <si>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</si>
  <si>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</si>
  <si>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</si>
  <si>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</si>
  <si>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</si>
  <si>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</si>
  <si>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</si>
  <si>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</si>
  <si>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</si>
  <si>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</si>
  <si>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</si>
  <si>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</si>
  <si>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</si>
  <si>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</si>
  <si>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</si>
  <si>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</si>
  <si>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</si>
  <si>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</si>
  <si>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</si>
  <si>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</si>
  <si>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</si>
  <si>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</si>
  <si>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</si>
  <si>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</si>
  <si>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</si>
  <si>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</si>
  <si>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</si>
  <si>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</si>
  <si>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</si>
  <si>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</si>
  <si>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</si>
  <si>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</si>
  <si>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</si>
  <si>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</si>
  <si>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</si>
  <si>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</si>
  <si>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</si>
  <si>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</si>
  <si>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</si>
  <si>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</si>
  <si>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</si>
  <si>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</si>
  <si>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</si>
  <si>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</si>
  <si>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</si>
  <si>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</si>
  <si>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</si>
  <si>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</si>
  <si>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</si>
  <si>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</si>
  <si>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</si>
  <si>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</si>
  <si>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</si>
  <si>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</si>
  <si>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</si>
  <si>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</si>
  <si>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</si>
  <si>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</si>
  <si>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</si>
  <si>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</si>
  <si>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</si>
  <si>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</si>
  <si>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</si>
  <si>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</si>
  <si>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</si>
  <si>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</si>
  <si>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</si>
  <si>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</si>
  <si>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</si>
  <si>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</si>
  <si>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</si>
  <si>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Tito Holch</t>
  </si>
  <si>
    <t>titoholchd@gmail.com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</si>
</sst>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toholch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4" sqref="C4:D4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86BAB1E3-700A-5E42-B281-E827918AD7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5" zoomScale="109" workbookViewId="0">
      <selection activeCell="M16" sqref="M16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49900</v>
      </c>
      <c r="BA7" s="34">
        <f>AZ7-AY7*10</f>
        <v>49890</v>
      </c>
      <c r="BB7" s="34">
        <f>BA7+N23</f>
        <v>49894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0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-90060600</v>
      </c>
      <c r="BA8" s="34">
        <f t="shared" ref="BA8:BA10" si="10">AZ8-AY8*10</f>
        <v>-90060610</v>
      </c>
      <c r="BB8" s="34">
        <f>BA8+N24</f>
        <v>-90060609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2</v>
      </c>
      <c r="F9" s="13">
        <f t="shared" si="3"/>
        <v>2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-40000208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N27" sqref="N27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-19980206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-19990207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2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8" workbookViewId="0">
      <selection activeCell="M17" sqref="M1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3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-40010300</v>
      </c>
      <c r="BA9" s="34">
        <f t="shared" si="10"/>
        <v>-40010310</v>
      </c>
      <c r="BB9" s="34">
        <f>BA9+N25</f>
        <v>-40010307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3</v>
      </c>
      <c r="F10" s="50">
        <f t="shared" si="0"/>
        <v>2</v>
      </c>
      <c r="G10" s="51">
        <f t="shared" si="0"/>
        <v>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3" workbookViewId="0">
      <selection activeCell="M30" sqref="M30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-19980400</v>
      </c>
      <c r="BA10" s="34">
        <f t="shared" si="10"/>
        <v>-19980410</v>
      </c>
      <c r="BB10" s="34">
        <f>BA10+N26</f>
        <v>-19980407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N27" sqref="N2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-70030600</v>
      </c>
      <c r="BA7" s="34">
        <f>AZ7-AY7*10</f>
        <v>-70030610</v>
      </c>
      <c r="BB7" s="34">
        <f>BA7+N23</f>
        <v>-70030609</v>
      </c>
    </row>
    <row r="8" spans="2:54" x14ac:dyDescent="0.2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2" workbookViewId="0">
      <selection activeCell="M16" sqref="M1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3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-70030700</v>
      </c>
      <c r="BA8" s="34">
        <f t="shared" ref="BA8:BA10" si="10">AZ8-AY8*10</f>
        <v>-70030710</v>
      </c>
      <c r="BB8" s="34">
        <f>BA8+N24</f>
        <v>-70030708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N26" sqref="N2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-39990208</v>
      </c>
    </row>
    <row r="9" spans="2:54" x14ac:dyDescent="0.2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">
      <c r="B10" s="48">
        <v>3</v>
      </c>
      <c r="C10" s="49" t="str">
        <f t="shared" si="0"/>
        <v>Suiza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6" workbookViewId="0">
      <selection activeCell="M15" sqref="M1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-29990200</v>
      </c>
      <c r="BA10" s="34">
        <f t="shared" si="10"/>
        <v>-29990210</v>
      </c>
      <c r="BB10" s="34">
        <f>BA10+N26</f>
        <v>-29990206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zoomScale="85" workbookViewId="0">
      <selection activeCell="S23" sqref="S23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1</v>
      </c>
      <c r="D6" s="61"/>
    </row>
    <row r="7" spans="2:19" ht="16" thickBot="1" x14ac:dyDescent="0.25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1</v>
      </c>
      <c r="N12" s="61">
        <v>4</v>
      </c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3</v>
      </c>
      <c r="O13" s="65"/>
    </row>
    <row r="14" spans="2:19" ht="16" thickBot="1" x14ac:dyDescent="0.25">
      <c r="B14" s="59" t="str">
        <f>'GRUPO E'!C8</f>
        <v>España</v>
      </c>
      <c r="C14" s="60">
        <v>1</v>
      </c>
      <c r="D14" s="61">
        <v>4</v>
      </c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>
        <v>3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España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0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>
        <v>3</v>
      </c>
      <c r="O24" s="66"/>
      <c r="V24" s="59" t="s">
        <v>65</v>
      </c>
      <c r="W24" s="71" t="str">
        <f>IF(R20&gt;R21,Q20,IF(R21&gt;R20,Q21,IF(S20&gt;S21,Q20,IF(S21&gt;S20,Q21,""))))</f>
        <v>Inglaterra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>
        <v>2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Argentina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6" thickBot="1" x14ac:dyDescent="0.25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0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>
        <v>4</v>
      </c>
      <c r="J30" s="66"/>
      <c r="Q30" s="62" t="str">
        <f>IF(Q21=L28,L29,IF(Q21=L29,L28,""))</f>
        <v>Belgica</v>
      </c>
      <c r="R30" s="63">
        <v>1</v>
      </c>
      <c r="S30" s="64"/>
    </row>
    <row r="31" spans="2:23" ht="16" thickBot="1" x14ac:dyDescent="0.25">
      <c r="B31" s="62" t="str">
        <f>'GRUPO E'!C9</f>
        <v>Alemania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">
      <c r="B34" s="59" t="str">
        <f>'GRUPO H'!C8</f>
        <v>Portugal</v>
      </c>
      <c r="C34" s="60">
        <v>2</v>
      </c>
      <c r="D34" s="61"/>
      <c r="E34" s="69"/>
    </row>
    <row r="35" spans="2:9" ht="16" thickBot="1" x14ac:dyDescent="0.25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Anónimo</cp:lastModifiedBy>
  <dcterms:created xsi:type="dcterms:W3CDTF">2022-11-02T00:22:23Z</dcterms:created>
  <dcterms:modified xsi:type="dcterms:W3CDTF">2022-11-10T02:14:58Z</dcterms:modified>
</cp:coreProperties>
</file>