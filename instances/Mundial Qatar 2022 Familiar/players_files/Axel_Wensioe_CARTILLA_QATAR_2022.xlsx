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wens\OneDrive\Escritorio\"/>
    </mc:Choice>
  </mc:AlternateContent>
  <xr:revisionPtr revIDLastSave="0" documentId="8_{B9DAA77B-4111-478F-8AFA-E9EC9536D256}" xr6:coauthVersionLast="47" xr6:coauthVersionMax="47" xr10:uidLastSave="{00000000-0000-0000-0000-000000000000}"/>
  <bookViews>
    <workbookView xWindow="20370" yWindow="-120" windowWidth="29040" windowHeight="15720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AP10" i="11"/>
  <c r="W24" i="16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Z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Z9" i="2"/>
  <c r="AK11" i="2"/>
  <c r="AL11" i="2" s="1"/>
  <c r="AP7" i="1"/>
  <c r="AP9" i="1"/>
  <c r="AP8" i="1"/>
  <c r="AQ7" i="1"/>
  <c r="AQ8" i="1"/>
  <c r="AQ10" i="1"/>
  <c r="AQ9" i="1"/>
  <c r="AK8" i="1"/>
  <c r="AP10" i="1" s="1"/>
  <c r="AZ10" i="12" l="1"/>
  <c r="AW8" i="12" s="1"/>
  <c r="AX8" i="12" s="1"/>
  <c r="AY8" i="12" s="1"/>
  <c r="BA8" i="12" s="1"/>
  <c r="BB8" i="12" s="1"/>
  <c r="AZ10" i="11"/>
  <c r="AP10" i="15"/>
  <c r="AZ10" i="15" s="1"/>
  <c r="AP7" i="13"/>
  <c r="AZ7" i="13" s="1"/>
  <c r="AZ7" i="11"/>
  <c r="AW8" i="11" s="1"/>
  <c r="AX8" i="11" s="1"/>
  <c r="AY8" i="11" s="1"/>
  <c r="BA8" i="11" s="1"/>
  <c r="BB8" i="11" s="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W7" i="12"/>
  <c r="AX7" i="12" s="1"/>
  <c r="AY7" i="12" s="1"/>
  <c r="BA7" i="12" s="1"/>
  <c r="BB7" i="12" s="1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10" i="12"/>
  <c r="AX10" i="12" s="1"/>
  <c r="AY10" i="12" s="1"/>
  <c r="BA10" i="12" s="1"/>
  <c r="BB10" i="12" s="1"/>
  <c r="AW9" i="12"/>
  <c r="AX9" i="12" s="1"/>
  <c r="AY9" i="12" s="1"/>
  <c r="BA9" i="12" s="1"/>
  <c r="BB9" i="12" s="1"/>
  <c r="AN9" i="12" s="1"/>
  <c r="AW9" i="11"/>
  <c r="AX9" i="11" s="1"/>
  <c r="AY9" i="11" s="1"/>
  <c r="BA9" i="11" s="1"/>
  <c r="BB9" i="11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8" i="2"/>
  <c r="AX8" i="2" s="1"/>
  <c r="AY8" i="2" s="1"/>
  <c r="BA8" i="2" s="1"/>
  <c r="BB8" i="2" s="1"/>
  <c r="AW9" i="2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9" i="2"/>
  <c r="AY9" i="2" s="1"/>
  <c r="BA9" i="2" s="1"/>
  <c r="BB9" i="2" s="1"/>
  <c r="AN9" i="11" l="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E10" i="11" s="1"/>
  <c r="AN9" i="10"/>
  <c r="AN7" i="10"/>
  <c r="AN8" i="10"/>
  <c r="AN10" i="10"/>
  <c r="AN8" i="2"/>
  <c r="AN7" i="2"/>
  <c r="AN9" i="2"/>
  <c r="AN10" i="2"/>
  <c r="BA7" i="1"/>
  <c r="BB7" i="1" s="1"/>
  <c r="AN7" i="1" s="1"/>
  <c r="F8" i="12" l="1"/>
  <c r="D8" i="12"/>
  <c r="G8" i="12"/>
  <c r="E8" i="11"/>
  <c r="G11" i="11"/>
  <c r="G10" i="11"/>
  <c r="D8" i="11"/>
  <c r="G8" i="11"/>
  <c r="F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<sst xmlns="http://schemas.openxmlformats.org/spreadsheetml/2006/main" count="454" uniqueCount="79">
  <si>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</si>
  <si>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</si>
  <si>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</si>
  <si>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</si>
  <si>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</si>
  <si>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</si>
  <si>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</si>
  <si>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</si>
  <si>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</si>
  <si>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</si>
  <si>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</si>
  <si>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</si>
  <si>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</si>
  <si>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</si>
  <si>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</si>
  <si>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</si>
  <si>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</si>
  <si>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</si>
  <si>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</si>
  <si>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</si>
  <si>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</si>
  <si>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</si>
  <si>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</si>
  <si>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</si>
  <si>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</si>
  <si>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</si>
  <si>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</si>
  <si>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</si>
  <si>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</si>
  <si>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</si>
  <si>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</si>
  <si>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</si>
  <si>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</si>
  <si>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</si>
  <si>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</si>
  <si>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</si>
  <si>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</si>
  <si>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</si>
  <si>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</si>
  <si>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</si>
  <si>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</si>
  <si>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</si>
  <si>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</si>
  <si>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</si>
  <si>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</si>
  <si>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</si>
  <si>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</si>
  <si>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</si>
  <si>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</si>
  <si>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</si>
  <si>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</si>
  <si>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</si>
  <si>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</si>
  <si>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</si>
  <si>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</si>
  <si>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</si>
  <si>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</si>
  <si>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</si>
  <si>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</si>
  <si>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</si>
  <si>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</si>
  <si>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</si>
  <si>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</si>
  <si>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</si>
  <si>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</si>
  <si>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</si>
  <si>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</si>
  <si>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</si>
  <si>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</si>
  <si>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</si>
  <si>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</si>
  <si>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</si>
  <si>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</si>
  <si>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</si>
  <si>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</si>
  <si>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</si>
  <si>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</si>
  <si>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Axel Wensioe</t>
  </si>
  <si>
    <t>awensioe@gmail.com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</si>
</sst>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wensio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D6" sqref="D6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AD955DF0-2852-4668-A96E-BF3DC3BD86D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M25" sqref="M25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1</v>
      </c>
      <c r="AQ7" s="34">
        <f>AR7-AS7</f>
        <v>-5</v>
      </c>
      <c r="AR7" s="34">
        <f>SUMIF($K$7:$K$12,AO7,$L$7:$L$12) + SUMIF($N$7:$N$12,AO7,$M$7:$M$12)</f>
        <v>2</v>
      </c>
      <c r="AS7" s="34">
        <f>SUMIF($K$7:$K$12,AO7,$M$7:$M$12) + SUMIF($N$7:$N$12,AO7,$L$7:$L$12)</f>
        <v>7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-9950200</v>
      </c>
      <c r="BA7" s="34">
        <f>AZ7-AY7*10</f>
        <v>-9950210</v>
      </c>
      <c r="BB7" s="34">
        <f>BA7+N23</f>
        <v>-9950206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7</v>
      </c>
      <c r="F8" s="9">
        <f t="shared" si="3"/>
        <v>2</v>
      </c>
      <c r="G8" s="10">
        <f t="shared" si="3"/>
        <v>5</v>
      </c>
      <c r="I8" s="18">
        <v>2</v>
      </c>
      <c r="J8" s="19">
        <v>44886</v>
      </c>
      <c r="K8" s="20" t="s">
        <v>14</v>
      </c>
      <c r="L8" s="21">
        <v>1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1</v>
      </c>
      <c r="AK8" s="34">
        <f t="shared" ref="AK8:AK12" si="4">IF(AJ8=3,0,IF(AJ8=1,1,3))</f>
        <v>1</v>
      </c>
      <c r="AL8" s="34" t="str">
        <f t="shared" si="2"/>
        <v>SIN GANADOR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-90050700</v>
      </c>
      <c r="BA8" s="34">
        <f t="shared" ref="BA8:BA10" si="10">AZ8-AY8*10</f>
        <v>-90050710</v>
      </c>
      <c r="BB8" s="34">
        <f>BA8+N24</f>
        <v>-90050709</v>
      </c>
    </row>
    <row r="9" spans="2:54" x14ac:dyDescent="0.25">
      <c r="B9" s="11">
        <v>2</v>
      </c>
      <c r="C9" s="12" t="str">
        <f t="shared" si="3"/>
        <v>Senegal</v>
      </c>
      <c r="D9" s="13">
        <f t="shared" si="3"/>
        <v>6</v>
      </c>
      <c r="E9" s="13">
        <f t="shared" si="3"/>
        <v>6</v>
      </c>
      <c r="F9" s="13">
        <f t="shared" si="3"/>
        <v>4</v>
      </c>
      <c r="G9" s="14">
        <f t="shared" si="3"/>
        <v>2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3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6</v>
      </c>
      <c r="AQ9" s="34">
        <f t="shared" ref="AQ9:AQ10" si="11">AR9-AS9</f>
        <v>2</v>
      </c>
      <c r="AR9" s="34">
        <f t="shared" si="5"/>
        <v>6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-60020600</v>
      </c>
      <c r="BA9" s="34">
        <f t="shared" si="10"/>
        <v>-60020610</v>
      </c>
      <c r="BB9" s="34">
        <f>BA9+N25</f>
        <v>-60020608</v>
      </c>
    </row>
    <row r="10" spans="2:54" x14ac:dyDescent="0.25">
      <c r="B10" s="48">
        <v>3</v>
      </c>
      <c r="C10" s="49" t="str">
        <f t="shared" si="3"/>
        <v>Ecuador</v>
      </c>
      <c r="D10" s="50">
        <f t="shared" si="3"/>
        <v>1</v>
      </c>
      <c r="E10" s="50">
        <f t="shared" si="3"/>
        <v>3</v>
      </c>
      <c r="F10" s="50">
        <f t="shared" si="3"/>
        <v>5</v>
      </c>
      <c r="G10" s="51">
        <f t="shared" si="3"/>
        <v>-2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-9980300</v>
      </c>
      <c r="BA10" s="34">
        <f t="shared" si="10"/>
        <v>-9980310</v>
      </c>
      <c r="BB10" s="34">
        <f>BA10+N26</f>
        <v>-9980307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1</v>
      </c>
      <c r="E11" s="54">
        <f t="shared" si="3"/>
        <v>2</v>
      </c>
      <c r="F11" s="54">
        <f t="shared" si="3"/>
        <v>7</v>
      </c>
      <c r="G11" s="55">
        <f t="shared" si="3"/>
        <v>-5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2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0</v>
      </c>
      <c r="AK11" s="34">
        <f t="shared" si="4"/>
        <v>3</v>
      </c>
      <c r="AL11" s="34" t="str">
        <f t="shared" si="2"/>
        <v>Senegal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1</v>
      </c>
      <c r="N24" s="35">
        <f>IF(J24="",0,M24)</f>
        <v>1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2</v>
      </c>
      <c r="N25" s="35">
        <f>IF(J25="",0,M25)</f>
        <v>2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3</v>
      </c>
      <c r="N26" s="35">
        <f>IF(J26="",0,M26)</f>
        <v>3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M25" sqref="M25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4</v>
      </c>
      <c r="J8" s="19">
        <v>44886</v>
      </c>
      <c r="K8" s="20" t="s">
        <v>31</v>
      </c>
      <c r="L8" s="21">
        <v>1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-40000400</v>
      </c>
      <c r="BA8" s="34">
        <f t="shared" ref="BA8:BA10" si="10">AZ8-AY8*10</f>
        <v>-40000410</v>
      </c>
      <c r="BB8" s="34">
        <f>BA8+N24</f>
        <v>-40000407</v>
      </c>
    </row>
    <row r="9" spans="2:54" x14ac:dyDescent="0.25">
      <c r="B9" s="11">
        <v>2</v>
      </c>
      <c r="C9" s="12" t="str">
        <f t="shared" si="0"/>
        <v>Gales</v>
      </c>
      <c r="D9" s="13">
        <f t="shared" si="0"/>
        <v>4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-7</v>
      </c>
      <c r="AR9" s="34">
        <f t="shared" si="5"/>
        <v>0</v>
      </c>
      <c r="AS9" s="34">
        <f t="shared" si="6"/>
        <v>7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70000</v>
      </c>
      <c r="BA9" s="34">
        <f t="shared" si="10"/>
        <v>69990</v>
      </c>
      <c r="BB9" s="34">
        <f>BA9+N25</f>
        <v>69994</v>
      </c>
    </row>
    <row r="10" spans="2:54" x14ac:dyDescent="0.25">
      <c r="B10" s="48">
        <v>3</v>
      </c>
      <c r="C10" s="49" t="str">
        <f t="shared" si="0"/>
        <v>USA</v>
      </c>
      <c r="D10" s="50">
        <f t="shared" si="0"/>
        <v>4</v>
      </c>
      <c r="E10" s="50">
        <f t="shared" si="0"/>
        <v>4</v>
      </c>
      <c r="F10" s="50">
        <f t="shared" si="0"/>
        <v>4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3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1</v>
      </c>
      <c r="AR10" s="34">
        <f>SUMIF($K$7:$K$12,AO10,$L$7:$L$12) + SUMIF($N$7:$N$12,AO10,$M$7:$M$12)</f>
        <v>4</v>
      </c>
      <c r="AS10" s="34">
        <f>SUMIF($K$7:$K$12,AO10,$M$7:$M$12) + SUMIF($N$7:$N$12,AO10,$L$7:$L$12)</f>
        <v>3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-40010400</v>
      </c>
      <c r="BA10" s="34">
        <f t="shared" si="10"/>
        <v>-40010410</v>
      </c>
      <c r="BB10" s="34">
        <f>BA10+N26</f>
        <v>-40010408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0</v>
      </c>
      <c r="F11" s="54">
        <f t="shared" si="0"/>
        <v>7</v>
      </c>
      <c r="G11" s="55">
        <f t="shared" si="0"/>
        <v>-7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2</v>
      </c>
      <c r="N26" s="35">
        <f>IF(J26="",0,M26)</f>
        <v>2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M26" sqref="M2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2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9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-90080900</v>
      </c>
      <c r="BA7" s="34">
        <f>AZ7-AY7*10</f>
        <v>-90080910</v>
      </c>
      <c r="BB7" s="34">
        <f>BA7+N23</f>
        <v>-90080909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9</v>
      </c>
      <c r="F8" s="9">
        <f t="shared" si="0"/>
        <v>1</v>
      </c>
      <c r="G8" s="10">
        <f t="shared" si="0"/>
        <v>8</v>
      </c>
      <c r="I8" s="18">
        <v>6</v>
      </c>
      <c r="J8" s="19">
        <v>44887</v>
      </c>
      <c r="K8" s="20" t="s">
        <v>35</v>
      </c>
      <c r="L8" s="21">
        <v>4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3</v>
      </c>
      <c r="AQ8" s="34">
        <f>AR8-AS8</f>
        <v>-3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-29970300</v>
      </c>
      <c r="BA8" s="34">
        <f t="shared" ref="BA8:BA10" si="10">AZ8-AY8*10</f>
        <v>-29970310</v>
      </c>
      <c r="BB8" s="34">
        <f>BA8+N24</f>
        <v>-29970307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6</v>
      </c>
      <c r="AQ9" s="34">
        <f t="shared" ref="AQ9:AQ10" si="11">AR9-AS9</f>
        <v>2</v>
      </c>
      <c r="AR9" s="34">
        <f t="shared" si="5"/>
        <v>5</v>
      </c>
      <c r="AS9" s="34">
        <f t="shared" si="6"/>
        <v>3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-60020500</v>
      </c>
      <c r="BA9" s="34">
        <f t="shared" si="10"/>
        <v>-60020510</v>
      </c>
      <c r="BB9" s="34">
        <f>BA9+N25</f>
        <v>-60020508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3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0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1</v>
      </c>
      <c r="AS10" s="34">
        <f>SUMIF($K$7:$K$12,AO10,$M$7:$M$12) + SUMIF($N$7:$N$12,AO10,$L$7:$L$12)</f>
        <v>8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69900</v>
      </c>
      <c r="BA10" s="34">
        <f t="shared" si="10"/>
        <v>69890</v>
      </c>
      <c r="BB10" s="34">
        <f>BA10+N26</f>
        <v>69894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1</v>
      </c>
      <c r="F11" s="54">
        <f t="shared" si="0"/>
        <v>8</v>
      </c>
      <c r="G11" s="55">
        <f t="shared" si="0"/>
        <v>-7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2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J25" sqref="J25:L2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-90060700</v>
      </c>
      <c r="BA7" s="34">
        <f>AZ7-AY7*10</f>
        <v>-90060710</v>
      </c>
      <c r="BB7" s="34">
        <f>BA7+N23</f>
        <v>-90060709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8</v>
      </c>
      <c r="J8" s="19">
        <v>44887</v>
      </c>
      <c r="K8" s="20" t="s">
        <v>40</v>
      </c>
      <c r="L8" s="21">
        <v>2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-40000400</v>
      </c>
      <c r="BA8" s="34">
        <f t="shared" ref="BA8:BA10" si="10">AZ8-AY8*10</f>
        <v>-40000410</v>
      </c>
      <c r="BB8" s="34">
        <f>BA8+N24</f>
        <v>-40000408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2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1</v>
      </c>
      <c r="AS9" s="34">
        <f t="shared" si="6"/>
        <v>6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49900</v>
      </c>
      <c r="BA9" s="34">
        <f t="shared" si="10"/>
        <v>49890</v>
      </c>
      <c r="BB9" s="34">
        <f>BA9+N25</f>
        <v>49894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4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24</v>
      </c>
      <c r="J10" s="19">
        <v>44891</v>
      </c>
      <c r="K10" s="20" t="s">
        <v>40</v>
      </c>
      <c r="L10" s="21">
        <v>3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-39990300</v>
      </c>
      <c r="BA10" s="34">
        <f t="shared" si="10"/>
        <v>-39990310</v>
      </c>
      <c r="BB10" s="34">
        <f>BA10+N26</f>
        <v>-39990307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1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M25" sqref="M2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1</v>
      </c>
      <c r="AR7" s="34">
        <f>SUMIF($K$7:$K$12,AO7,$L$7:$L$12) + SUMIF($N$7:$N$12,AO7,$M$7:$M$12)</f>
        <v>5</v>
      </c>
      <c r="AS7" s="34">
        <f>SUMIF($K$7:$K$12,AO7,$M$7:$M$12) + SUMIF($N$7:$N$12,AO7,$L$7:$L$12)</f>
        <v>4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-60010500</v>
      </c>
      <c r="BA7" s="34">
        <f>AZ7-AY7*10</f>
        <v>-60010510</v>
      </c>
      <c r="BB7" s="34">
        <f>BA7+N23</f>
        <v>-60010508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-90060800</v>
      </c>
      <c r="BA8" s="34">
        <f t="shared" ref="BA8:BA10" si="10">AZ8-AY8*10</f>
        <v>-90060810</v>
      </c>
      <c r="BB8" s="34">
        <f>BA8+N24</f>
        <v>-90060809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-9970200</v>
      </c>
      <c r="BA9" s="34">
        <f t="shared" si="10"/>
        <v>-9970210</v>
      </c>
      <c r="BB9" s="34">
        <f>BA9+N25</f>
        <v>-9970207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1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3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-9960200</v>
      </c>
      <c r="BA10" s="34">
        <f t="shared" si="10"/>
        <v>-9960210</v>
      </c>
      <c r="BB10" s="34">
        <f>BA10+N26</f>
        <v>-9960206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1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1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M26" sqref="M2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3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7</v>
      </c>
      <c r="AS7" s="34">
        <f>SUMIF($K$7:$K$12,AO7,$M$7:$M$12) + SUMIF($N$7:$N$12,AO7,$L$7:$L$12)</f>
        <v>3</v>
      </c>
      <c r="AV7" s="34" t="str">
        <f>AO7</f>
        <v>Belgica</v>
      </c>
      <c r="AW7" s="34" t="str">
        <f>IF(AZ7=AZ8,AV8,IF(AZ7=AZ9,AV9,IF(AZ7=AZ10,AV10,"")))</f>
        <v>Croacia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-70040700</v>
      </c>
      <c r="BA7" s="34">
        <f>AZ7-AY7*10</f>
        <v>-70040700</v>
      </c>
      <c r="BB7" s="34">
        <f>BA7+N23</f>
        <v>-70040698</v>
      </c>
    </row>
    <row r="8" spans="2:54" x14ac:dyDescent="0.25">
      <c r="B8" s="7">
        <v>1</v>
      </c>
      <c r="C8" s="8" t="str">
        <f t="shared" ref="C8:G11" si="0">IFERROR(VLOOKUP($B8,$AN$7:$AS$11,C$5,FALSE),"")</f>
        <v>Croacia</v>
      </c>
      <c r="D8" s="9">
        <f t="shared" si="0"/>
        <v>7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12</v>
      </c>
      <c r="J8" s="19">
        <v>44888</v>
      </c>
      <c r="K8" s="20" t="s">
        <v>48</v>
      </c>
      <c r="L8" s="21">
        <v>3</v>
      </c>
      <c r="M8" s="22">
        <v>1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1</v>
      </c>
      <c r="AO8" s="34" t="s">
        <v>49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Croacia</v>
      </c>
      <c r="AW8" s="34" t="str">
        <f>IF(AZ8=AZ9,AV9,IF(AZ8=AZ10,AV10,IF(AZ8=AZ7,AV7,"")))</f>
        <v>Belgica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-70040700</v>
      </c>
      <c r="BA8" s="34">
        <f t="shared" ref="BA8:BA10" si="10">AZ8-AY8*10</f>
        <v>-70040700</v>
      </c>
      <c r="BB8" s="34">
        <f>BA8+N24</f>
        <v>-70040699</v>
      </c>
    </row>
    <row r="9" spans="2:54" x14ac:dyDescent="0.25">
      <c r="B9" s="11">
        <v>2</v>
      </c>
      <c r="C9" s="12" t="str">
        <f t="shared" si="0"/>
        <v>Belgica</v>
      </c>
      <c r="D9" s="13">
        <f t="shared" si="0"/>
        <v>7</v>
      </c>
      <c r="E9" s="13">
        <f t="shared" si="0"/>
        <v>7</v>
      </c>
      <c r="F9" s="13">
        <f t="shared" si="0"/>
        <v>3</v>
      </c>
      <c r="G9" s="14">
        <f t="shared" si="0"/>
        <v>4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2</v>
      </c>
      <c r="AS9" s="34">
        <f t="shared" si="6"/>
        <v>7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49800</v>
      </c>
      <c r="BA9" s="34">
        <f t="shared" si="10"/>
        <v>49790</v>
      </c>
      <c r="BB9" s="34">
        <f>BA9+N25</f>
        <v>49794</v>
      </c>
    </row>
    <row r="10" spans="2:54" x14ac:dyDescent="0.25">
      <c r="B10" s="48">
        <v>3</v>
      </c>
      <c r="C10" s="49" t="str">
        <f t="shared" si="0"/>
        <v>Canada</v>
      </c>
      <c r="D10" s="50">
        <f t="shared" si="0"/>
        <v>3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3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-29970300</v>
      </c>
      <c r="BA10" s="34">
        <f t="shared" si="10"/>
        <v>-29970310</v>
      </c>
      <c r="BB10" s="34">
        <f>BA10+N26</f>
        <v>-29970307</v>
      </c>
    </row>
    <row r="11" spans="2:54" ht="15.75" thickBot="1" x14ac:dyDescent="0.3">
      <c r="B11" s="52">
        <v>4</v>
      </c>
      <c r="C11" s="53" t="str">
        <f t="shared" si="0"/>
        <v>Marruecos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2</v>
      </c>
      <c r="M11" s="22">
        <v>2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2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3</v>
      </c>
      <c r="AK12" s="34">
        <f t="shared" si="3"/>
        <v>0</v>
      </c>
      <c r="AL12" s="34" t="str">
        <f t="shared" si="4"/>
        <v>Canada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M24" sqref="M2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9</v>
      </c>
      <c r="AS7" s="34">
        <f>SUMIF($K$7:$K$12,AO7,$M$7:$M$12) + SUMIF($N$7:$N$12,AO7,$L$7:$L$12)</f>
        <v>3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-90060900</v>
      </c>
      <c r="BA7" s="34">
        <f>AZ7-AY7*10</f>
        <v>-90060910</v>
      </c>
      <c r="BB7" s="34">
        <f>BA7+N23</f>
        <v>-90060909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9</v>
      </c>
      <c r="F8" s="9">
        <f t="shared" si="0"/>
        <v>3</v>
      </c>
      <c r="G8" s="10">
        <f t="shared" si="0"/>
        <v>6</v>
      </c>
      <c r="I8" s="18">
        <v>14</v>
      </c>
      <c r="J8" s="19">
        <v>44889</v>
      </c>
      <c r="K8" s="20" t="s">
        <v>10</v>
      </c>
      <c r="L8" s="21">
        <v>3</v>
      </c>
      <c r="M8" s="22">
        <v>1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1</v>
      </c>
      <c r="AQ8" s="34">
        <f>AR8-AS8</f>
        <v>-3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Suiza</v>
      </c>
      <c r="AW8" s="34" t="str">
        <f>IF(AZ8=AZ9,AV9,IF(AZ8=AZ10,AV10,IF(AZ8=AZ7,AV7,"")))</f>
        <v>Camerun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-9970300</v>
      </c>
      <c r="BA8" s="34">
        <f t="shared" ref="BA8:BA10" si="10">AZ8-AY8*10</f>
        <v>-9970300</v>
      </c>
      <c r="BB8" s="34">
        <f>BA8+N24</f>
        <v>-9970298</v>
      </c>
    </row>
    <row r="9" spans="2:54" x14ac:dyDescent="0.25">
      <c r="B9" s="11">
        <v>2</v>
      </c>
      <c r="C9" s="12" t="str">
        <f t="shared" si="0"/>
        <v>Serbia</v>
      </c>
      <c r="D9" s="13">
        <f t="shared" si="0"/>
        <v>6</v>
      </c>
      <c r="E9" s="13">
        <f t="shared" si="0"/>
        <v>5</v>
      </c>
      <c r="F9" s="13">
        <f t="shared" si="0"/>
        <v>5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2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6</v>
      </c>
      <c r="AQ9" s="34">
        <f t="shared" ref="AQ9:AQ10" si="11">AR9-AS9</f>
        <v>0</v>
      </c>
      <c r="AR9" s="34">
        <f t="shared" si="5"/>
        <v>5</v>
      </c>
      <c r="AS9" s="34">
        <f t="shared" si="6"/>
        <v>5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-60000500</v>
      </c>
      <c r="BA9" s="34">
        <f t="shared" si="10"/>
        <v>-60000510</v>
      </c>
      <c r="BB9" s="34">
        <f>BA9+N25</f>
        <v>-60000506</v>
      </c>
    </row>
    <row r="10" spans="2:54" x14ac:dyDescent="0.25">
      <c r="B10" s="48">
        <v>3</v>
      </c>
      <c r="C10" s="49" t="str">
        <f t="shared" si="0"/>
        <v>Suiza</v>
      </c>
      <c r="D10" s="50">
        <f t="shared" si="0"/>
        <v>1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Camerun</v>
      </c>
      <c r="AW10" s="34" t="str">
        <f>IF(AZ10=AZ7,AV7,IF(AZ10=AZ8,AV8,IF(AZ10=AZ9,AV9,"")))</f>
        <v>Suiza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-9970300</v>
      </c>
      <c r="BA10" s="34">
        <f t="shared" si="10"/>
        <v>-9970300</v>
      </c>
      <c r="BB10" s="34">
        <f>BA10+N26</f>
        <v>-9970297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1</v>
      </c>
      <c r="E11" s="54">
        <f t="shared" si="0"/>
        <v>3</v>
      </c>
      <c r="F11" s="54">
        <f t="shared" si="0"/>
        <v>6</v>
      </c>
      <c r="G11" s="55">
        <f t="shared" si="0"/>
        <v>-3</v>
      </c>
      <c r="I11" s="23">
        <f>I9+16</f>
        <v>45</v>
      </c>
      <c r="J11" s="24">
        <v>44897</v>
      </c>
      <c r="K11" s="25" t="s">
        <v>53</v>
      </c>
      <c r="L11" s="21">
        <v>2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3</v>
      </c>
      <c r="AK11" s="34">
        <f t="shared" si="3"/>
        <v>0</v>
      </c>
      <c r="AL11" s="34" t="str">
        <f t="shared" si="4"/>
        <v>Serbia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M25" sqref="M2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1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5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-70020500</v>
      </c>
      <c r="BA7" s="34">
        <f>AZ7-AY7*10</f>
        <v>-70020510</v>
      </c>
      <c r="BB7" s="34">
        <f>BA7+N23</f>
        <v>-70020509</v>
      </c>
    </row>
    <row r="8" spans="2:54" x14ac:dyDescent="0.2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7</v>
      </c>
      <c r="E8" s="9">
        <f t="shared" si="0"/>
        <v>5</v>
      </c>
      <c r="F8" s="9">
        <f t="shared" si="0"/>
        <v>3</v>
      </c>
      <c r="G8" s="10">
        <f t="shared" si="0"/>
        <v>2</v>
      </c>
      <c r="I8" s="18">
        <v>16</v>
      </c>
      <c r="J8" s="19">
        <v>44889</v>
      </c>
      <c r="K8" s="20" t="s">
        <v>57</v>
      </c>
      <c r="L8" s="21">
        <v>2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5</v>
      </c>
      <c r="AQ8" s="34">
        <f>AR8-AS8</f>
        <v>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-50010500</v>
      </c>
      <c r="BA8" s="34">
        <f t="shared" ref="BA8:BA10" si="10">AZ8-AY8*10</f>
        <v>-50010510</v>
      </c>
      <c r="BB8" s="34">
        <f>BA8+N24</f>
        <v>-50010508</v>
      </c>
    </row>
    <row r="9" spans="2:54" x14ac:dyDescent="0.25">
      <c r="B9" s="11">
        <v>2</v>
      </c>
      <c r="C9" s="12" t="str">
        <f t="shared" si="0"/>
        <v>Uruguay</v>
      </c>
      <c r="D9" s="13">
        <f t="shared" si="0"/>
        <v>5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2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0</v>
      </c>
      <c r="AQ9" s="34">
        <f t="shared" ref="AQ9:AQ10" si="11">AR9-AS9</f>
        <v>-3</v>
      </c>
      <c r="AR9" s="34">
        <f t="shared" si="5"/>
        <v>3</v>
      </c>
      <c r="AS9" s="34">
        <f t="shared" si="6"/>
        <v>6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29700</v>
      </c>
      <c r="BA9" s="34">
        <f t="shared" si="10"/>
        <v>29690</v>
      </c>
      <c r="BB9" s="34">
        <f>BA9+N25</f>
        <v>29694</v>
      </c>
    </row>
    <row r="10" spans="2:54" x14ac:dyDescent="0.25">
      <c r="B10" s="48">
        <v>3</v>
      </c>
      <c r="C10" s="49" t="str">
        <f t="shared" si="0"/>
        <v>Gana</v>
      </c>
      <c r="D10" s="50">
        <f t="shared" si="0"/>
        <v>4</v>
      </c>
      <c r="E10" s="50">
        <f t="shared" si="0"/>
        <v>5</v>
      </c>
      <c r="F10" s="50">
        <f t="shared" si="0"/>
        <v>5</v>
      </c>
      <c r="G10" s="51">
        <f t="shared" si="0"/>
        <v>0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5</v>
      </c>
      <c r="AS10" s="34">
        <f>SUMIF($K$7:$K$12,AO10,$M$7:$M$12) + SUMIF($N$7:$N$12,AO10,$L$7:$L$12)</f>
        <v>5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-40000500</v>
      </c>
      <c r="BA10" s="34">
        <f t="shared" si="10"/>
        <v>-40000510</v>
      </c>
      <c r="BB10" s="34">
        <f>BA10+N26</f>
        <v>-40000507</v>
      </c>
    </row>
    <row r="11" spans="2:54" ht="15.75" thickBot="1" x14ac:dyDescent="0.3">
      <c r="B11" s="52">
        <v>4</v>
      </c>
      <c r="C11" s="53" t="str">
        <f t="shared" si="0"/>
        <v>Corea</v>
      </c>
      <c r="D11" s="54">
        <f t="shared" si="0"/>
        <v>0</v>
      </c>
      <c r="E11" s="54">
        <f t="shared" si="0"/>
        <v>3</v>
      </c>
      <c r="F11" s="54">
        <f t="shared" si="0"/>
        <v>6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2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workbookViewId="0">
      <selection activeCell="R23" sqref="R23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Gales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1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3</v>
      </c>
      <c r="D10" s="61"/>
      <c r="E10" s="69"/>
      <c r="J10" s="66"/>
    </row>
    <row r="11" spans="2:19" ht="15.75" thickBot="1" x14ac:dyDescent="0.3">
      <c r="B11" s="62" t="str">
        <f>'GRUPO D'!C9</f>
        <v>Dinamarca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1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2</v>
      </c>
      <c r="D14" s="61"/>
      <c r="J14" s="66"/>
      <c r="O14" s="66"/>
    </row>
    <row r="15" spans="2:19" ht="15.75" thickBot="1" x14ac:dyDescent="0.3">
      <c r="B15" s="62" t="str">
        <f>'GRUPO F'!C9</f>
        <v>Belgica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3</v>
      </c>
      <c r="D18" s="61"/>
      <c r="E18" s="69"/>
      <c r="O18" s="66"/>
    </row>
    <row r="19" spans="2:23" ht="15.75" thickBot="1" x14ac:dyDescent="0.3">
      <c r="B19" s="62" t="str">
        <f>'GRUPO H'!C9</f>
        <v>Uruguay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Brasil</v>
      </c>
      <c r="R20" s="60">
        <v>2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1</v>
      </c>
      <c r="S21" s="64"/>
    </row>
    <row r="22" spans="2:23" ht="15.75" thickBot="1" x14ac:dyDescent="0.3">
      <c r="B22" s="59" t="str">
        <f>'GRUPO B'!C8</f>
        <v>Inglaterra</v>
      </c>
      <c r="C22" s="60">
        <v>2</v>
      </c>
      <c r="D22" s="61"/>
      <c r="O22" s="66"/>
    </row>
    <row r="23" spans="2:23" ht="15.75" thickBot="1" x14ac:dyDescent="0.3">
      <c r="B23" s="62" t="str">
        <f>'GRUPO A'!C9</f>
        <v>Senegal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Francia</v>
      </c>
    </row>
    <row r="26" spans="2:23" ht="15.75" thickBot="1" x14ac:dyDescent="0.3">
      <c r="B26" s="59" t="str">
        <f>'GRUPO D'!C8</f>
        <v>Francia</v>
      </c>
      <c r="C26" s="60">
        <v>3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5.75" thickBot="1" x14ac:dyDescent="0.3">
      <c r="B27" s="62" t="str">
        <f>'GRUPO C'!C9</f>
        <v>Polonia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Francia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Croacia</v>
      </c>
      <c r="M29" s="63">
        <v>1</v>
      </c>
      <c r="N29" s="64"/>
      <c r="Q29" s="59" t="str">
        <f>IF(Q20=L12,L13,IF(Q20=L13,L12,""))</f>
        <v>Argentina</v>
      </c>
      <c r="R29" s="60">
        <v>3</v>
      </c>
      <c r="S29" s="61"/>
    </row>
    <row r="30" spans="2:23" ht="15.75" thickBot="1" x14ac:dyDescent="0.3">
      <c r="B30" s="59" t="str">
        <f>'GRUPO F'!C8</f>
        <v>Croacia</v>
      </c>
      <c r="C30" s="60">
        <v>2</v>
      </c>
      <c r="D30" s="61">
        <v>5</v>
      </c>
      <c r="J30" s="66"/>
      <c r="Q30" s="62" t="str">
        <f>IF(Q21=L28,L29,IF(Q21=L29,L28,""))</f>
        <v>Croacia</v>
      </c>
      <c r="R30" s="63">
        <v>1</v>
      </c>
      <c r="S30" s="64"/>
    </row>
    <row r="31" spans="2:23" ht="15.75" thickBot="1" x14ac:dyDescent="0.3">
      <c r="B31" s="62" t="str">
        <f>'GRUPO E'!C9</f>
        <v>España</v>
      </c>
      <c r="C31" s="63">
        <v>2</v>
      </c>
      <c r="D31" s="64">
        <v>3</v>
      </c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Croacia</v>
      </c>
      <c r="H32" s="60">
        <v>2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1</v>
      </c>
      <c r="I33" s="64"/>
    </row>
    <row r="34" spans="2:9" x14ac:dyDescent="0.25">
      <c r="B34" s="59" t="str">
        <f>'GRUPO H'!C8</f>
        <v>Portugal</v>
      </c>
      <c r="C34" s="60">
        <v>1</v>
      </c>
      <c r="D34" s="61">
        <v>5</v>
      </c>
      <c r="E34" s="69"/>
    </row>
    <row r="35" spans="2:9" ht="15.75" thickBot="1" x14ac:dyDescent="0.3">
      <c r="B35" s="62" t="str">
        <f>'GRUPO G'!C9</f>
        <v>Serbia</v>
      </c>
      <c r="C35" s="63">
        <v>1</v>
      </c>
      <c r="D35" s="64">
        <v>2</v>
      </c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Axel Wensioe</cp:lastModifiedBy>
  <dcterms:created xsi:type="dcterms:W3CDTF">2022-11-02T00:22:23Z</dcterms:created>
  <dcterms:modified xsi:type="dcterms:W3CDTF">2022-11-15T01:27:58Z</dcterms:modified>
</cp:coreProperties>
</file>