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6999\Downloads\"/>
    </mc:Choice>
  </mc:AlternateContent>
  <xr:revisionPtr revIDLastSave="0" documentId="13_ncr:1_{D035D36A-60EA-47C5-9C55-4950DBA9C394}" xr6:coauthVersionLast="47" xr6:coauthVersionMax="47" xr10:uidLastSave="{00000000-0000-0000-0000-000000000000}"/>
  <bookViews>
    <workbookView xWindow="-120" yWindow="-120" windowWidth="20730" windowHeight="11160" firstSheet="2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P10" i="12"/>
  <c r="AP10" i="11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Z9" i="12"/>
  <c r="AZ10" i="12"/>
  <c r="AW10" i="12" s="1"/>
  <c r="AX10" i="12" s="1"/>
  <c r="AY10" i="12" s="1"/>
  <c r="BA10" i="12" s="1"/>
  <c r="BB10" i="12" s="1"/>
  <c r="AZ8" i="11"/>
  <c r="AZ10" i="11"/>
  <c r="AZ8" i="10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8" i="12"/>
  <c r="AX8" i="12" s="1"/>
  <c r="AY8" i="12" s="1"/>
  <c r="BA8" i="12" s="1"/>
  <c r="BB8" i="12" s="1"/>
  <c r="AW9" i="12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7" i="12"/>
  <c r="AX7" i="12" s="1"/>
  <c r="AY7" i="12" s="1"/>
  <c r="BA7" i="12" s="1"/>
  <c r="BB7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9" i="12"/>
  <c r="AY9" i="12" s="1"/>
  <c r="BA9" i="12" s="1"/>
  <c r="BB9" i="12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F10" i="11"/>
  <c r="E8" i="11"/>
  <c r="G8" i="11"/>
  <c r="G10" i="11"/>
  <c r="D8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<sst xmlns="http://schemas.openxmlformats.org/spreadsheetml/2006/main" count="454" uniqueCount="79">
  <si>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</si>
  <si>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</si>
  <si>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</si>
  <si>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</si>
  <si>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</si>
  <si>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</si>
  <si>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</si>
  <si>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</si>
  <si>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</si>
  <si>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</si>
  <si>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</si>
  <si>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</si>
  <si>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</si>
  <si>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</si>
  <si>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</si>
  <si>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</si>
  <si>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</si>
  <si>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</si>
  <si>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</si>
  <si>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</si>
  <si>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</si>
  <si>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</si>
  <si>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</si>
  <si>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</si>
  <si>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</si>
  <si>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</si>
  <si>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</si>
  <si>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</si>
  <si>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</si>
  <si>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</si>
  <si>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</si>
  <si>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</si>
  <si>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</si>
  <si>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</si>
  <si>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</si>
  <si>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</si>
  <si>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</si>
  <si>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</si>
  <si>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</si>
  <si>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</si>
  <si>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</si>
  <si>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</si>
  <si>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</si>
  <si>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</si>
  <si>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</si>
  <si>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</si>
  <si>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</si>
  <si>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</si>
  <si>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</si>
  <si>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</si>
  <si>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</si>
  <si>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</si>
  <si>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</si>
  <si>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</si>
  <si>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</si>
  <si>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</si>
  <si>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</si>
  <si>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</si>
  <si>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</si>
  <si>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</si>
  <si>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</si>
  <si>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</si>
  <si>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</si>
  <si>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</si>
  <si>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</si>
  <si>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</si>
  <si>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</si>
  <si>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</si>
  <si>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</si>
  <si>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</si>
  <si>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</si>
  <si>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</si>
  <si>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</si>
  <si>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</si>
  <si>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</si>
  <si>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</si>
  <si>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</si>
  <si>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Cristobal Eyzaguirre</t>
  </si>
  <si>
    <t>cristobale00@gmail.com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</si>
</sst>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istobale00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D8" sqref="D8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78" t="s">
        <v>74</v>
      </c>
      <c r="C2" s="79"/>
      <c r="D2" s="80"/>
    </row>
    <row r="3" spans="2:4" x14ac:dyDescent="0.25">
      <c r="B3" s="76" t="s">
        <v>75</v>
      </c>
      <c r="C3" s="81" t="s">
        <v>77</v>
      </c>
      <c r="D3" s="82"/>
    </row>
    <row r="4" spans="2:4" ht="15.75" thickBot="1" x14ac:dyDescent="0.3">
      <c r="B4" s="77" t="s">
        <v>76</v>
      </c>
      <c r="C4" s="83" t="s">
        <v>78</v>
      </c>
      <c r="D4" s="84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EEFA8DAE-62FF-42D5-9733-A4BFB46AFF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0" sqref="L10"/>
    </sheetView>
  </sheetViews>
  <sheetFormatPr baseColWidth="10" defaultRowHeight="15" x14ac:dyDescent="0.25"/>
  <cols>
    <col min="15" max="34" width="11.42578125" style="34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3</v>
      </c>
      <c r="N7" s="16" t="s">
        <v>13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-6</v>
      </c>
      <c r="AR7" s="34">
        <f>SUMIF($K$7:$K$12,AO7,$L$7:$L$12) + SUMIF($N$7:$N$12,AO7,$M$7:$M$12)</f>
        <v>1</v>
      </c>
      <c r="AS7" s="34">
        <f>SUMIF($K$7:$K$12,AO7,$M$7:$M$12) + SUMIF($N$7:$N$12,AO7,$L$7:$L$12)</f>
        <v>7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59900</v>
      </c>
      <c r="BA7" s="34">
        <f>AZ7-AY7*10</f>
        <v>59890</v>
      </c>
      <c r="BB7" s="34">
        <f>BA7+N23</f>
        <v>59891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8</v>
      </c>
      <c r="F8" s="9">
        <f t="shared" si="3"/>
        <v>1</v>
      </c>
      <c r="G8" s="10">
        <f t="shared" si="3"/>
        <v>7</v>
      </c>
      <c r="I8" s="18">
        <v>2</v>
      </c>
      <c r="J8" s="19">
        <v>44886</v>
      </c>
      <c r="K8" s="20" t="s">
        <v>14</v>
      </c>
      <c r="L8" s="21">
        <v>1</v>
      </c>
      <c r="M8" s="22">
        <v>3</v>
      </c>
      <c r="N8" s="18" t="s">
        <v>11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-90070800</v>
      </c>
      <c r="BA8" s="34">
        <f t="shared" ref="BA8:BA10" si="10">AZ8-AY8*10</f>
        <v>-90070810</v>
      </c>
      <c r="BB8" s="34">
        <f>BA8+N24</f>
        <v>-90070808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6</v>
      </c>
      <c r="E9" s="13">
        <f t="shared" si="3"/>
        <v>5</v>
      </c>
      <c r="F9" s="13">
        <f t="shared" si="3"/>
        <v>3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-29970100</v>
      </c>
      <c r="BA9" s="34">
        <f t="shared" si="10"/>
        <v>-29970110</v>
      </c>
      <c r="BB9" s="34">
        <f>BA9+N25</f>
        <v>-29970107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1</v>
      </c>
      <c r="F10" s="50">
        <f t="shared" si="3"/>
        <v>4</v>
      </c>
      <c r="G10" s="51">
        <f t="shared" si="3"/>
        <v>-3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5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-60020500</v>
      </c>
      <c r="BA10" s="34">
        <f t="shared" si="10"/>
        <v>-60020510</v>
      </c>
      <c r="BB10" s="34">
        <f>BA10+N26</f>
        <v>-60020506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7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0</v>
      </c>
      <c r="N11" s="23" t="s">
        <v>12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14</v>
      </c>
      <c r="K23" s="104"/>
      <c r="L23" s="105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13</v>
      </c>
      <c r="K24" s="86"/>
      <c r="L24" s="87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12</v>
      </c>
      <c r="K25" s="86"/>
      <c r="L25" s="87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11</v>
      </c>
      <c r="K26" s="89"/>
      <c r="L26" s="90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RowHeight="15" x14ac:dyDescent="0.25"/>
  <cols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29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6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-90050600</v>
      </c>
      <c r="BA7" s="34">
        <f>AZ7-AY7*10</f>
        <v>-90050610</v>
      </c>
      <c r="BB7" s="34">
        <f>BA7+N23</f>
        <v>-90050609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6</v>
      </c>
      <c r="F8" s="9">
        <f t="shared" si="0"/>
        <v>1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0</v>
      </c>
      <c r="M8" s="22">
        <v>2</v>
      </c>
      <c r="N8" s="18" t="s">
        <v>33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4</v>
      </c>
      <c r="AO8" s="34" t="s">
        <v>31</v>
      </c>
      <c r="AP8" s="34">
        <f>SUMIF($K$7:$K$12,AO8,$AJ$7:$AJ$12) + SUMIF($N$7:$N$12,AO8,$AK$7:$AK$12)</f>
        <v>1</v>
      </c>
      <c r="AQ8" s="34">
        <f>AR8-AS8</f>
        <v>-4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-9960100</v>
      </c>
      <c r="BA8" s="34">
        <f t="shared" ref="BA8:BA10" si="10">AZ8-AY8*10</f>
        <v>-9960110</v>
      </c>
      <c r="BB8" s="34">
        <f>BA8+N24</f>
        <v>-9960108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2</v>
      </c>
      <c r="M9" s="22">
        <v>1</v>
      </c>
      <c r="N9" s="23" t="s">
        <v>32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3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Iran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0</v>
      </c>
      <c r="N10" s="18" t="s">
        <v>31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6</v>
      </c>
      <c r="AQ10" s="34">
        <f t="shared" si="11"/>
        <v>2</v>
      </c>
      <c r="AR10" s="34">
        <f>SUMIF($K$7:$K$12,AO10,$L$7:$L$12) + SUMIF($N$7:$N$12,AO10,$M$7:$M$12)</f>
        <v>5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-60020500</v>
      </c>
      <c r="BA10" s="34">
        <f t="shared" si="10"/>
        <v>-60020510</v>
      </c>
      <c r="BB10" s="34">
        <f>BA10+N26</f>
        <v>-60020506</v>
      </c>
    </row>
    <row r="11" spans="2:54" ht="15.75" thickBot="1" x14ac:dyDescent="0.3">
      <c r="B11" s="52">
        <v>4</v>
      </c>
      <c r="C11" s="53" t="str">
        <f t="shared" si="0"/>
        <v>USA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1</v>
      </c>
      <c r="N12" s="26" t="s">
        <v>31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Iran_USA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34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2</v>
      </c>
      <c r="N7" s="16" t="s">
        <v>37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10</v>
      </c>
      <c r="AS7" s="34">
        <f>SUMIF($K$7:$K$12,AO7,$M$7:$M$12) + SUMIF($N$7:$N$12,AO7,$L$7:$L$12)</f>
        <v>3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-90071000</v>
      </c>
      <c r="BA7" s="34">
        <f>AZ7-AY7*10</f>
        <v>-90071010</v>
      </c>
      <c r="BB7" s="34">
        <f>BA7+N23</f>
        <v>-90071009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10</v>
      </c>
      <c r="F8" s="9">
        <f t="shared" si="0"/>
        <v>3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4</v>
      </c>
      <c r="M8" s="22">
        <v>0</v>
      </c>
      <c r="N8" s="18" t="s">
        <v>38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-40000600</v>
      </c>
      <c r="BA8" s="34">
        <f t="shared" ref="BA8:BA10" si="10">AZ8-AY8*10</f>
        <v>-40000610</v>
      </c>
      <c r="BB8" s="34">
        <f>BA8+N24</f>
        <v>-40000608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6</v>
      </c>
      <c r="F9" s="13">
        <f t="shared" si="0"/>
        <v>6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-40000500</v>
      </c>
      <c r="BA9" s="34">
        <f t="shared" si="10"/>
        <v>-40000510</v>
      </c>
      <c r="BB9" s="34">
        <f>BA9+N25</f>
        <v>-40000507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4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3</v>
      </c>
      <c r="M10" s="22">
        <v>2</v>
      </c>
      <c r="N10" s="18" t="s">
        <v>36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1</v>
      </c>
      <c r="AS10" s="34">
        <f>SUMIF($K$7:$K$12,AO10,$M$7:$M$12) + SUMIF($N$7:$N$12,AO10,$L$7:$L$12)</f>
        <v>8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69900</v>
      </c>
      <c r="BA10" s="34">
        <f t="shared" si="10"/>
        <v>69890</v>
      </c>
      <c r="BB10" s="34">
        <f>BA10+N26</f>
        <v>69894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1</v>
      </c>
      <c r="F11" s="54">
        <f t="shared" si="0"/>
        <v>8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3</v>
      </c>
      <c r="N11" s="23" t="s">
        <v>35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35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36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37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38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M10" sqref="M10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39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3</v>
      </c>
      <c r="AO7" s="34" t="s">
        <v>40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5</v>
      </c>
      <c r="AS7" s="34">
        <f>SUMIF($K$7:$K$12,AO7,$M$7:$M$12) + SUMIF($N$7:$N$12,AO7,$L$7:$L$12)</f>
        <v>6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-39990500</v>
      </c>
      <c r="BA7" s="34">
        <f>AZ7-AY7*10</f>
        <v>-39990510</v>
      </c>
      <c r="BB7" s="34">
        <f>BA7+N23</f>
        <v>-39990509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2</v>
      </c>
      <c r="M8" s="22">
        <v>1</v>
      </c>
      <c r="N8" s="18" t="s">
        <v>43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25">
      <c r="B9" s="11">
        <v>2</v>
      </c>
      <c r="C9" s="12" t="str">
        <f t="shared" si="0"/>
        <v>Tunez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2</v>
      </c>
      <c r="M9" s="22">
        <v>0</v>
      </c>
      <c r="N9" s="23" t="s">
        <v>43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Tunez_Australia</v>
      </c>
      <c r="AJ9" s="34">
        <f t="shared" si="2"/>
        <v>3</v>
      </c>
      <c r="AK9" s="34">
        <f t="shared" si="3"/>
        <v>0</v>
      </c>
      <c r="AL9" s="34" t="str">
        <f t="shared" si="4"/>
        <v>Tunez</v>
      </c>
      <c r="AN9" s="34">
        <f>_xlfn.RANK.EQ(BB9,BB$7:BB$11,1)</f>
        <v>2</v>
      </c>
      <c r="AO9" s="34" t="s">
        <v>42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-40000407</v>
      </c>
    </row>
    <row r="10" spans="2:54" x14ac:dyDescent="0.25">
      <c r="B10" s="48">
        <v>3</v>
      </c>
      <c r="C10" s="49" t="str">
        <f t="shared" si="0"/>
        <v>Francia</v>
      </c>
      <c r="D10" s="50">
        <f t="shared" si="0"/>
        <v>4</v>
      </c>
      <c r="E10" s="50">
        <f t="shared" si="0"/>
        <v>5</v>
      </c>
      <c r="F10" s="50">
        <f t="shared" si="0"/>
        <v>6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3</v>
      </c>
      <c r="N10" s="18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2</v>
      </c>
      <c r="M11" s="22">
        <v>2</v>
      </c>
      <c r="N11" s="23" t="s">
        <v>40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Tunez_Francia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41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42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43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70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-60020600</v>
      </c>
      <c r="BA7" s="34">
        <f>AZ7-AY7*10</f>
        <v>-60020610</v>
      </c>
      <c r="BB7" s="34">
        <f>BA7+N23</f>
        <v>-60020609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3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-90040700</v>
      </c>
      <c r="BA8" s="34">
        <f t="shared" ref="BA8:BA10" si="10">AZ8-AY8*10</f>
        <v>-90040710</v>
      </c>
      <c r="BB8" s="34">
        <f>BA8+N24</f>
        <v>-90040708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3</v>
      </c>
      <c r="M9" s="22">
        <v>1</v>
      </c>
      <c r="N9" s="23" t="s">
        <v>47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-30000500</v>
      </c>
      <c r="BA9" s="34">
        <f t="shared" si="10"/>
        <v>-30000510</v>
      </c>
      <c r="BB9" s="34">
        <f>BA9+N25</f>
        <v>-30000507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59900</v>
      </c>
      <c r="BA10" s="34">
        <f t="shared" si="10"/>
        <v>59890</v>
      </c>
      <c r="BB10" s="34">
        <f>BA10+N26</f>
        <v>59894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44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46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47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71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6</v>
      </c>
      <c r="AS7" s="34">
        <f>SUMIF($K$7:$K$12,AO7,$M$7:$M$12) + SUMIF($N$7:$N$12,AO7,$L$7:$L$12)</f>
        <v>5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-60010600</v>
      </c>
      <c r="BA7" s="34">
        <f>AZ7-AY7*10</f>
        <v>-60010610</v>
      </c>
      <c r="BB7" s="34">
        <f>BA7+N23</f>
        <v>-60010609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9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12</v>
      </c>
      <c r="J8" s="19">
        <v>44888</v>
      </c>
      <c r="K8" s="20" t="s">
        <v>48</v>
      </c>
      <c r="L8" s="21">
        <v>2</v>
      </c>
      <c r="M8" s="22">
        <v>1</v>
      </c>
      <c r="N8" s="18" t="s">
        <v>51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-90060800</v>
      </c>
      <c r="BA8" s="34">
        <f t="shared" ref="BA8:BA10" si="10">AZ8-AY8*10</f>
        <v>-90060810</v>
      </c>
      <c r="BB8" s="34">
        <f>BA8+N24</f>
        <v>-90060808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6</v>
      </c>
      <c r="F9" s="13">
        <f t="shared" si="0"/>
        <v>5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-29980200</v>
      </c>
      <c r="BA9" s="34">
        <f t="shared" si="10"/>
        <v>-29980210</v>
      </c>
      <c r="BB9" s="34">
        <f>BA9+N25</f>
        <v>-29980207</v>
      </c>
    </row>
    <row r="10" spans="2:54" x14ac:dyDescent="0.25">
      <c r="B10" s="48">
        <v>3</v>
      </c>
      <c r="C10" s="49" t="str">
        <f t="shared" si="0"/>
        <v>Marruecos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0</v>
      </c>
      <c r="N10" s="18" t="s">
        <v>51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3</v>
      </c>
      <c r="M11" s="22">
        <v>2</v>
      </c>
      <c r="N11" s="23" t="s">
        <v>48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1</v>
      </c>
      <c r="N12" s="26" t="s">
        <v>50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48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49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50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51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72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-29970200</v>
      </c>
      <c r="BA8" s="34">
        <f t="shared" ref="BA8:BA10" si="10">AZ8-AY8*10</f>
        <v>-29970210</v>
      </c>
      <c r="BB8" s="34">
        <f>BA8+N24</f>
        <v>-29970208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6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6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-60000500</v>
      </c>
      <c r="BA9" s="34">
        <f t="shared" si="10"/>
        <v>-60000510</v>
      </c>
      <c r="BB9" s="34">
        <f>BA9+N25</f>
        <v>-60000507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10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52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53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54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1" t="s">
        <v>73</v>
      </c>
      <c r="C3" s="92"/>
      <c r="D3" s="92"/>
      <c r="E3" s="92"/>
      <c r="F3" s="92"/>
      <c r="G3" s="93"/>
    </row>
    <row r="4" spans="2:54" ht="15.75" thickBot="1" x14ac:dyDescent="0.3">
      <c r="B4" s="94"/>
      <c r="C4" s="95"/>
      <c r="D4" s="95"/>
      <c r="E4" s="95"/>
      <c r="F4" s="95"/>
      <c r="G4" s="96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97" t="s">
        <v>1</v>
      </c>
      <c r="C6" s="98"/>
      <c r="D6" s="98"/>
      <c r="E6" s="98"/>
      <c r="F6" s="98"/>
      <c r="G6" s="99"/>
      <c r="J6" s="15" t="s">
        <v>8</v>
      </c>
      <c r="K6" s="100" t="s">
        <v>9</v>
      </c>
      <c r="L6" s="101"/>
      <c r="M6" s="101"/>
      <c r="N6" s="10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-60020400</v>
      </c>
      <c r="BA7" s="34">
        <f>AZ7-AY7*10</f>
        <v>-60020410</v>
      </c>
      <c r="BB7" s="34">
        <f>BA7+N23</f>
        <v>-60020409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-90030500</v>
      </c>
      <c r="BA8" s="34">
        <f t="shared" ref="BA8:BA10" si="10">AZ8-AY8*10</f>
        <v>-90030510</v>
      </c>
      <c r="BB8" s="34">
        <f>BA8+N24</f>
        <v>-90030508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0</v>
      </c>
      <c r="N9" s="23" t="s">
        <v>58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-30000300</v>
      </c>
      <c r="BA9" s="34">
        <f t="shared" si="10"/>
        <v>-30000310</v>
      </c>
      <c r="BB9" s="34">
        <f>BA9+N25</f>
        <v>-30000307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3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78" t="s">
        <v>23</v>
      </c>
      <c r="K22" s="79"/>
      <c r="L22" s="79"/>
      <c r="M22" s="80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3" t="s">
        <v>57</v>
      </c>
      <c r="K23" s="104"/>
      <c r="L23" s="105"/>
      <c r="M23" s="42">
        <v>1</v>
      </c>
      <c r="N23" s="35">
        <f>IF(J23="",0,M23)</f>
        <v>1</v>
      </c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85" t="s">
        <v>55</v>
      </c>
      <c r="K24" s="86"/>
      <c r="L24" s="87"/>
      <c r="M24" s="43">
        <v>2</v>
      </c>
      <c r="N24" s="35">
        <f>IF(J24="",0,M24)</f>
        <v>2</v>
      </c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85" t="s">
        <v>56</v>
      </c>
      <c r="K25" s="86"/>
      <c r="L25" s="87"/>
      <c r="M25" s="43">
        <v>3</v>
      </c>
      <c r="N25" s="35">
        <f>IF(J25="",0,M25)</f>
        <v>3</v>
      </c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88" t="s">
        <v>58</v>
      </c>
      <c r="K26" s="89"/>
      <c r="L26" s="90"/>
      <c r="M26" s="44">
        <v>4</v>
      </c>
      <c r="N26" s="35">
        <f>IF(J26="",0,M26)</f>
        <v>4</v>
      </c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R22" sqref="R22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06" t="s">
        <v>69</v>
      </c>
      <c r="C2" s="107"/>
      <c r="D2" s="108"/>
    </row>
    <row r="3" spans="2:19" ht="15.75" thickBot="1" x14ac:dyDescent="0.3"/>
    <row r="4" spans="2:19" ht="15.75" thickBot="1" x14ac:dyDescent="0.3">
      <c r="G4" s="106" t="s">
        <v>59</v>
      </c>
      <c r="H4" s="107"/>
      <c r="I4" s="108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06" t="s">
        <v>60</v>
      </c>
      <c r="M8" s="107"/>
      <c r="N8" s="108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Tunez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06" t="s">
        <v>63</v>
      </c>
      <c r="R16" s="107"/>
      <c r="S16" s="108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Uruguay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09" t="s">
        <v>64</v>
      </c>
      <c r="W23" s="102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1</v>
      </c>
      <c r="I25" s="64"/>
      <c r="J25" s="65"/>
      <c r="O25" s="66"/>
      <c r="Q25" s="106" t="s">
        <v>66</v>
      </c>
      <c r="R25" s="107"/>
      <c r="S25" s="108"/>
      <c r="V25" s="72" t="s">
        <v>67</v>
      </c>
      <c r="W25" s="73" t="str">
        <f>IF(W24=Q20,Q21,IF(W24=Q21,Q20,""))</f>
        <v>Uruguay</v>
      </c>
    </row>
    <row r="26" spans="2:23" ht="15.75" thickBot="1" x14ac:dyDescent="0.3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Mexico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>
        <v>1</v>
      </c>
      <c r="Q29" s="59" t="str">
        <f>IF(Q20=L12,L13,IF(Q20=L13,L12,""))</f>
        <v>Argentina</v>
      </c>
      <c r="R29" s="60">
        <v>2</v>
      </c>
      <c r="S29" s="61"/>
    </row>
    <row r="30" spans="2:23" ht="15.75" thickBot="1" x14ac:dyDescent="0.3">
      <c r="B30" s="59" t="str">
        <f>'GRUPO F'!C8</f>
        <v>Croacia</v>
      </c>
      <c r="C30" s="60">
        <v>3</v>
      </c>
      <c r="D30" s="61"/>
      <c r="J30" s="66"/>
      <c r="Q30" s="62" t="str">
        <f>IF(Q21=L28,L29,IF(Q21=L29,L28,""))</f>
        <v>Inglaterra</v>
      </c>
      <c r="R30" s="63">
        <v>0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Croacia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25">
      <c r="B34" s="59" t="str">
        <f>'GRUPO H'!C8</f>
        <v>Uruguay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1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56999</cp:lastModifiedBy>
  <dcterms:created xsi:type="dcterms:W3CDTF">2022-11-02T00:22:23Z</dcterms:created>
  <dcterms:modified xsi:type="dcterms:W3CDTF">2022-11-16T13:29:58Z</dcterms:modified>
</cp:coreProperties>
</file>