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BCBA2497-E73E-4531-A6C7-F18DFCE6A9B5}" xr6:coauthVersionLast="47" xr6:coauthVersionMax="47" xr10:uidLastSave="{00000000-0000-0000-0000-000000000000}"/>
  <bookViews>
    <workbookView xWindow="20370" yWindow="-120" windowWidth="29040" windowHeight="1584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P8" i="14" l="1"/>
  <c r="AZ8" i="14" s="1"/>
  <c r="AZ10" i="12"/>
  <c r="AZ7" i="12"/>
  <c r="AW7" i="12" s="1"/>
  <c r="AX7" i="12" s="1"/>
  <c r="AY7" i="12" s="1"/>
  <c r="BA7" i="12" s="1"/>
  <c r="BB7" i="12" s="1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N9" i="12" s="1"/>
  <c r="AW8" i="12"/>
  <c r="AX8" i="12" s="1"/>
  <c r="AY8" i="12" s="1"/>
  <c r="BA8" i="12" s="1"/>
  <c r="BB8" i="12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2"/>
  <c r="AW8" i="2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X9" i="2"/>
  <c r="AY9" i="2" s="1"/>
  <c r="BA9" i="2" s="1"/>
  <c r="BB9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G10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F10" i="11"/>
  <c r="D8" i="11"/>
  <c r="G11" i="11"/>
  <c r="E8" i="11"/>
  <c r="G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<sst xmlns="http://schemas.openxmlformats.org/spreadsheetml/2006/main" count="454" uniqueCount="79">
  <si>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</si>
  <si>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</si>
  <si>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</si>
  <si>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</si>
  <si>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</si>
  <si>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</si>
  <si>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</si>
  <si>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</si>
  <si>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</si>
  <si>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</si>
  <si>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</si>
  <si>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</si>
  <si>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</si>
  <si>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</si>
  <si>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</si>
  <si>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</si>
  <si>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</si>
  <si>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</si>
  <si>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</si>
  <si>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</si>
  <si>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</si>
  <si>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</si>
  <si>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</si>
  <si>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</si>
  <si>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</si>
  <si>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</si>
  <si>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</si>
  <si>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</si>
  <si>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</si>
  <si>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</si>
  <si>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</si>
  <si>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</si>
  <si>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</si>
  <si>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</si>
  <si>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</si>
  <si>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</si>
  <si>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</si>
  <si>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</si>
  <si>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</si>
  <si>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</si>
  <si>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</si>
  <si>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</si>
  <si>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</si>
  <si>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</si>
  <si>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</si>
  <si>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</si>
  <si>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</si>
  <si>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</si>
  <si>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</si>
  <si>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</si>
  <si>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</si>
  <si>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</si>
  <si>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</si>
  <si>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</si>
  <si>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</si>
  <si>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</si>
  <si>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</si>
  <si>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</si>
  <si>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</si>
  <si>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</si>
  <si>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</si>
  <si>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</si>
  <si>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</si>
  <si>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</si>
  <si>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</si>
  <si>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</si>
  <si>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</si>
  <si>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</si>
  <si>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</si>
  <si>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</si>
  <si>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</si>
  <si>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</si>
  <si>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</si>
  <si>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</si>
  <si>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</si>
  <si>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</si>
  <si>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</si>
  <si>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Clara Vial</t>
  </si>
  <si>
    <t>a.c.vial@colegiolosandes.cl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</si>
</sst>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.c.vial@colegiolos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5" sqref="D5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E8FE3E87-6478-481A-A385-E2F39CF9F3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3" sqref="M13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2</v>
      </c>
      <c r="AQ7" s="34">
        <f>AR7-AS7</f>
        <v>-1</v>
      </c>
      <c r="AR7" s="34">
        <f>SUMIF($K$7:$K$12,AO7,$L$7:$L$12) + SUMIF($N$7:$N$12,AO7,$M$7:$M$12)</f>
        <v>2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-19990200</v>
      </c>
      <c r="BA7" s="34">
        <f>AZ7-AY7*10</f>
        <v>-19990210</v>
      </c>
      <c r="BB7" s="34">
        <f>BA7+N23</f>
        <v>-19990209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3</v>
      </c>
      <c r="F8" s="9">
        <f t="shared" si="3"/>
        <v>1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-70020308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2</v>
      </c>
      <c r="F9" s="13">
        <f t="shared" si="3"/>
        <v>1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2</v>
      </c>
      <c r="AS9" s="34">
        <f t="shared" si="6"/>
        <v>1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-60010200</v>
      </c>
      <c r="BA9" s="34">
        <f t="shared" si="10"/>
        <v>-60010210</v>
      </c>
      <c r="BB9" s="34">
        <f>BA9+N25</f>
        <v>-60010207</v>
      </c>
    </row>
    <row r="10" spans="2:54" x14ac:dyDescent="0.25">
      <c r="B10" s="48">
        <v>3</v>
      </c>
      <c r="C10" s="49" t="str">
        <f t="shared" si="3"/>
        <v>Qatar</v>
      </c>
      <c r="D10" s="50">
        <f t="shared" si="3"/>
        <v>2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4</v>
      </c>
      <c r="AO10" s="34" t="s">
        <v>11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-9980100</v>
      </c>
      <c r="BA10" s="34">
        <f t="shared" si="10"/>
        <v>-9980110</v>
      </c>
      <c r="BB10" s="34">
        <f>BA10+N26</f>
        <v>-9980106</v>
      </c>
    </row>
    <row r="11" spans="2:54" ht="15.75" thickBot="1" x14ac:dyDescent="0.3">
      <c r="B11" s="52">
        <v>4</v>
      </c>
      <c r="C11" s="53" t="str">
        <f t="shared" si="3"/>
        <v>Ecuador</v>
      </c>
      <c r="D11" s="54">
        <f t="shared" si="3"/>
        <v>1</v>
      </c>
      <c r="E11" s="54">
        <f t="shared" si="3"/>
        <v>1</v>
      </c>
      <c r="F11" s="54">
        <f t="shared" si="3"/>
        <v>3</v>
      </c>
      <c r="G11" s="55">
        <f t="shared" si="3"/>
        <v>-2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1</v>
      </c>
      <c r="AK12" s="34">
        <f t="shared" si="4"/>
        <v>1</v>
      </c>
      <c r="AL12" s="34" t="str">
        <f t="shared" si="2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-70030400</v>
      </c>
      <c r="BA7" s="34">
        <f>AZ7-AY7*10</f>
        <v>-70030410</v>
      </c>
      <c r="BB7" s="34">
        <f>BA7+N23</f>
        <v>-70030409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0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-40000100</v>
      </c>
      <c r="BA8" s="34">
        <f t="shared" ref="BA8:BA10" si="10">AZ8-AY8*10</f>
        <v>-40000110</v>
      </c>
      <c r="BB8" s="34">
        <f>BA8+N24</f>
        <v>-40000108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49993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1</v>
      </c>
      <c r="F10" s="50">
        <f t="shared" si="0"/>
        <v>1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2</v>
      </c>
      <c r="AR10" s="34">
        <f>SUMIF($K$7:$K$12,AO10,$L$7:$L$12) + SUMIF($N$7:$N$12,AO10,$M$7:$M$12)</f>
        <v>3</v>
      </c>
      <c r="AS10" s="34">
        <f>SUMIF($K$7:$K$12,AO10,$M$7:$M$12) + SUMIF($N$7:$N$12,AO10,$L$7:$L$12)</f>
        <v>1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-50020300</v>
      </c>
      <c r="BA10" s="34">
        <f t="shared" si="10"/>
        <v>-50020310</v>
      </c>
      <c r="BB10" s="34">
        <f>BA10+N26</f>
        <v>-50020306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-39990200</v>
      </c>
      <c r="BA8" s="34">
        <f t="shared" ref="BA8:BA10" si="10">AZ8-AY8*10</f>
        <v>-39990210</v>
      </c>
      <c r="BB8" s="34">
        <f>BA8+N24</f>
        <v>-39990208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2</v>
      </c>
      <c r="F9" s="13">
        <f t="shared" si="0"/>
        <v>3</v>
      </c>
      <c r="G9" s="14">
        <f t="shared" si="0"/>
        <v>-1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-39990100</v>
      </c>
      <c r="BA9" s="34">
        <f t="shared" si="10"/>
        <v>-39990110</v>
      </c>
      <c r="BB9" s="34">
        <f>BA9+N25</f>
        <v>-39990107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-70020300</v>
      </c>
      <c r="BA7" s="34">
        <f>AZ7-AY7*10</f>
        <v>-70020310</v>
      </c>
      <c r="BB7" s="34">
        <f>BA7+N23</f>
        <v>-70020309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-70030400</v>
      </c>
      <c r="BA8" s="34">
        <f t="shared" ref="BA8:BA10" si="10">AZ8-AY8*10</f>
        <v>-70030410</v>
      </c>
      <c r="BB8" s="34">
        <f>BA8+N24</f>
        <v>-70030408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7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0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-9970000</v>
      </c>
      <c r="BA9" s="34">
        <f t="shared" si="10"/>
        <v>-9970010</v>
      </c>
      <c r="BB9" s="34">
        <f>BA9+N25</f>
        <v>-9970007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0</v>
      </c>
      <c r="F10" s="50">
        <f t="shared" si="0"/>
        <v>2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0</v>
      </c>
      <c r="AS10" s="34">
        <f>SUMIF($K$7:$K$12,AO10,$M$7:$M$12) + SUMIF($N$7:$N$12,AO10,$L$7:$L$12)</f>
        <v>2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-9980000</v>
      </c>
      <c r="BA10" s="34">
        <f t="shared" si="10"/>
        <v>-9980010</v>
      </c>
      <c r="BB10" s="34">
        <f>BA10+N26</f>
        <v>-9980006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0</v>
      </c>
      <c r="F11" s="54">
        <f t="shared" si="0"/>
        <v>3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-90030400</v>
      </c>
      <c r="BA7" s="34">
        <f>AZ7-AY7*10</f>
        <v>-90030410</v>
      </c>
      <c r="BB7" s="34">
        <f>BA7+N23</f>
        <v>-90030409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-29990200</v>
      </c>
      <c r="BA9" s="34">
        <f t="shared" si="10"/>
        <v>-29990210</v>
      </c>
      <c r="BB9" s="34">
        <f>BA9+N25</f>
        <v>-29990207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-50020400</v>
      </c>
      <c r="BA7" s="34">
        <f>AZ7-AY7*10</f>
        <v>-50020410</v>
      </c>
      <c r="BB7" s="34">
        <f>BA7+N23</f>
        <v>-50020409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1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-70030400</v>
      </c>
      <c r="BA8" s="34">
        <f t="shared" ref="BA8:BA10" si="10">AZ8-AY8*10</f>
        <v>-70030410</v>
      </c>
      <c r="BB8" s="34">
        <f>BA8+N24</f>
        <v>-70030408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5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-19980200</v>
      </c>
      <c r="BA10" s="34">
        <f t="shared" si="10"/>
        <v>-19980210</v>
      </c>
      <c r="BB10" s="34">
        <f>BA10+N26</f>
        <v>-19980206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D8" sqref="D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2</v>
      </c>
      <c r="AQ8" s="34">
        <f>AR8-AS8</f>
        <v>-2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-19980300</v>
      </c>
      <c r="BA8" s="34">
        <f t="shared" ref="BA8:BA10" si="10">AZ8-AY8*10</f>
        <v>-19980310</v>
      </c>
      <c r="BB8" s="34">
        <f>BA8+N24</f>
        <v>-19980308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2</v>
      </c>
      <c r="E9" s="13">
        <f t="shared" si="0"/>
        <v>3</v>
      </c>
      <c r="F9" s="13">
        <f t="shared" si="0"/>
        <v>5</v>
      </c>
      <c r="G9" s="14">
        <f t="shared" si="0"/>
        <v>-2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2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-19970200</v>
      </c>
      <c r="BA9" s="34">
        <f t="shared" si="10"/>
        <v>-19970210</v>
      </c>
      <c r="BB9" s="34">
        <f>BA9+N25</f>
        <v>-19970207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-19980200</v>
      </c>
      <c r="BA10" s="34">
        <f t="shared" si="10"/>
        <v>-19980210</v>
      </c>
      <c r="BB10" s="34">
        <f>BA10+N26</f>
        <v>-19980206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2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3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-9980300</v>
      </c>
      <c r="BA9" s="34">
        <f t="shared" si="10"/>
        <v>-9980310</v>
      </c>
      <c r="BB9" s="34">
        <f>BA9+N25</f>
        <v>-9980307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-9950100</v>
      </c>
      <c r="BA10" s="34">
        <f t="shared" si="10"/>
        <v>-9950110</v>
      </c>
      <c r="BB10" s="34">
        <f>BA10+N26</f>
        <v>-9950106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S30" sqref="S30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3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0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Portugal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Portugal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0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Argentina</v>
      </c>
    </row>
    <row r="26" spans="2:23" ht="15.75" thickBot="1" x14ac:dyDescent="0.3">
      <c r="B26" s="59" t="str">
        <f>'GRUPO D'!C8</f>
        <v>Dinamarca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0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2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5.75" thickBot="1" x14ac:dyDescent="0.3">
      <c r="B30" s="59" t="str">
        <f>'GRUPO F'!C8</f>
        <v>Croacia</v>
      </c>
      <c r="C30" s="60">
        <v>2</v>
      </c>
      <c r="D30" s="61"/>
      <c r="J30" s="66"/>
      <c r="Q30" s="62" t="str">
        <f>IF(Q21=L28,L29,IF(Q21=L29,L28,""))</f>
        <v>Inglaterra</v>
      </c>
      <c r="R30" s="63">
        <v>1</v>
      </c>
      <c r="S30" s="64"/>
    </row>
    <row r="31" spans="2:23" ht="15.75" thickBot="1" x14ac:dyDescent="0.3">
      <c r="B31" s="62" t="str">
        <f>'GRUPO E'!C9</f>
        <v>Alemania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Croacia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2</v>
      </c>
      <c r="I33" s="64"/>
    </row>
    <row r="34" spans="2:9" x14ac:dyDescent="0.25">
      <c r="B34" s="59" t="str">
        <f>'GRUPO H'!C8</f>
        <v>Portugal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2022-11-19T22:32:44Z</dcterms:modified>
</cp:coreProperties>
</file>