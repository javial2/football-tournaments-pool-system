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d\Downloads\"/>
    </mc:Choice>
  </mc:AlternateContent>
  <xr:revisionPtr revIDLastSave="0" documentId="13_ncr:1_{17D8A443-4F93-4613-8242-C105713A8328}" xr6:coauthVersionLast="47" xr6:coauthVersionMax="47" xr10:uidLastSave="{00000000-0000-0000-0000-000000000000}"/>
  <bookViews>
    <workbookView xWindow="-108" yWindow="-108" windowWidth="23256" windowHeight="12456" firstSheet="1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K12" i="14"/>
  <c r="AP9" i="14" s="1"/>
  <c r="AQ10" i="13"/>
  <c r="AQ8" i="13"/>
  <c r="AQ7" i="13"/>
  <c r="AQ9" i="13"/>
  <c r="AP10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5" l="1"/>
  <c r="AZ7" i="14"/>
  <c r="AP8" i="14"/>
  <c r="AZ8" i="14" s="1"/>
  <c r="AZ10" i="13"/>
  <c r="AZ10" i="12"/>
  <c r="AZ10" i="11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W7" i="12"/>
  <c r="AX7" i="12" s="1"/>
  <c r="AY7" i="12" s="1"/>
  <c r="BA7" i="12" s="1"/>
  <c r="BB7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N9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Y10" i="2"/>
  <c r="BA10" i="2" s="1"/>
  <c r="BB10" i="2" s="1"/>
  <c r="AX8" i="2"/>
  <c r="AY8" i="2" s="1"/>
  <c r="BA8" i="2" s="1"/>
  <c r="BB8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G8" i="12"/>
  <c r="AN10" i="11"/>
  <c r="AN8" i="11"/>
  <c r="AN7" i="11"/>
  <c r="E10" i="11" s="1"/>
  <c r="G10" i="11"/>
  <c r="E8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D8" i="11"/>
  <c r="G11" i="11"/>
  <c r="G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<sst xmlns="http://schemas.openxmlformats.org/spreadsheetml/2006/main" count="454" uniqueCount="79">
  <si>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</si>
  <si>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</si>
  <si>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</si>
  <si>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</si>
  <si>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</si>
  <si>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</si>
  <si>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</si>
  <si>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</si>
  <si>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</si>
  <si>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</si>
  <si>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</si>
  <si>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</si>
  <si>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</si>
  <si>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</si>
  <si>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</si>
  <si>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</si>
  <si>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</si>
  <si>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</si>
  <si>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</si>
  <si>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</si>
  <si>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</si>
  <si>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</si>
  <si>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</si>
  <si>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</si>
  <si>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</si>
  <si>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</si>
  <si>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</si>
  <si>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</si>
  <si>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</si>
  <si>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</si>
  <si>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</si>
  <si>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</si>
  <si>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</si>
  <si>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</si>
  <si>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</si>
  <si>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</si>
  <si>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</si>
  <si>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</si>
  <si>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</si>
  <si>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</si>
  <si>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</si>
  <si>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</si>
  <si>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</si>
  <si>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</si>
  <si>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</si>
  <si>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</si>
  <si>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</si>
  <si>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</si>
  <si>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</si>
  <si>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</si>
  <si>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</si>
  <si>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</si>
  <si>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</si>
  <si>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</si>
  <si>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</si>
  <si>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</si>
  <si>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</si>
  <si>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</si>
  <si>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</si>
  <si>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</si>
  <si>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</si>
  <si>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</si>
  <si>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</si>
  <si>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</si>
  <si>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</si>
  <si>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</si>
  <si>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</si>
  <si>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</si>
  <si>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</si>
  <si>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</si>
  <si>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</si>
  <si>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</si>
  <si>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</si>
  <si>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</si>
  <si>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</si>
  <si>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</si>
  <si>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</si>
  <si>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Loreto Rasmussen</t>
  </si>
  <si>
    <t>rasmussenloreto@gmail.com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</si>
</sst>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smussenloret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10" sqref="D10"/>
    </sheetView>
  </sheetViews>
  <sheetFormatPr baseColWidth="10" defaultRowHeight="14.4" x14ac:dyDescent="0.3"/>
  <sheetData>
    <row r="1" spans="2:4" ht="15" thickBot="1" x14ac:dyDescent="0.35"/>
    <row r="2" spans="2:4" ht="15" thickBot="1" x14ac:dyDescent="0.35">
      <c r="B2" s="78" t="s">
        <v>74</v>
      </c>
      <c r="C2" s="79"/>
      <c r="D2" s="80"/>
    </row>
    <row r="3" spans="2:4" x14ac:dyDescent="0.3">
      <c r="B3" s="76" t="s">
        <v>75</v>
      </c>
      <c r="C3" s="81" t="s">
        <v>77</v>
      </c>
      <c r="D3" s="82"/>
    </row>
    <row r="4" spans="2:4" ht="15" thickBot="1" x14ac:dyDescent="0.3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28E41033-76AD-5246-9E46-F4D704036F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3" workbookViewId="0">
      <selection activeCell="N20" sqref="N20"/>
    </sheetView>
  </sheetViews>
  <sheetFormatPr baseColWidth="10" defaultColWidth="11.44140625" defaultRowHeight="14.4" x14ac:dyDescent="0.3"/>
  <cols>
    <col min="1" max="14" width="10.77734375" customWidth="1"/>
    <col min="15" max="34" width="11.44140625" style="34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-9970200</v>
      </c>
      <c r="BA7" s="34">
        <f>AZ7-AY7*10</f>
        <v>-9970210</v>
      </c>
      <c r="BB7" s="34">
        <f>BA7+N23</f>
        <v>-9970206</v>
      </c>
    </row>
    <row r="8" spans="2:54" x14ac:dyDescent="0.3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3</v>
      </c>
      <c r="G8" s="10">
        <f t="shared" si="3"/>
        <v>3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-90030600</v>
      </c>
      <c r="BA8" s="34">
        <f t="shared" ref="BA8:BA10" si="10">AZ8-AY8*10</f>
        <v>-90030610</v>
      </c>
      <c r="BB8" s="34">
        <f>BA8+N24</f>
        <v>-90030609</v>
      </c>
    </row>
    <row r="9" spans="2:54" x14ac:dyDescent="0.3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3">
      <c r="B10" s="48">
        <v>3</v>
      </c>
      <c r="C10" s="49" t="str">
        <f t="shared" si="3"/>
        <v>Ecuador</v>
      </c>
      <c r="D10" s="50">
        <f t="shared" si="3"/>
        <v>1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" thickBot="1" x14ac:dyDescent="0.35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5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3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14" ht="15" thickBot="1" x14ac:dyDescent="0.35"/>
    <row r="22" spans="2:1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2</v>
      </c>
      <c r="N25" s="35">
        <f>IF(J25="",0,M25)</f>
        <v>2</v>
      </c>
    </row>
    <row r="26" spans="2:1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3" workbookViewId="0">
      <selection activeCell="O23" sqref="O23"/>
    </sheetView>
  </sheetViews>
  <sheetFormatPr baseColWidth="10" defaultColWidth="11.44140625" defaultRowHeight="14.4" x14ac:dyDescent="0.3"/>
  <cols>
    <col min="1" max="14" width="10.7773437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29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3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59994</v>
      </c>
    </row>
    <row r="10" spans="2:54" x14ac:dyDescent="0.3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-40010407</v>
      </c>
    </row>
    <row r="11" spans="2:54" ht="15" thickBot="1" x14ac:dyDescent="0.3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3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2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3" workbookViewId="0">
      <selection activeCell="L16" sqref="L16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34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-40010600</v>
      </c>
      <c r="BA8" s="34">
        <f t="shared" ref="BA8:BA10" si="10">AZ8-AY8*10</f>
        <v>-40010610</v>
      </c>
      <c r="BB8" s="34">
        <f>BA8+N24</f>
        <v>-40010608</v>
      </c>
    </row>
    <row r="9" spans="2:54" x14ac:dyDescent="0.3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-40010507</v>
      </c>
    </row>
    <row r="10" spans="2:54" x14ac:dyDescent="0.3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" thickBot="1" x14ac:dyDescent="0.3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3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5" sqref="M15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3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3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3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" thickBot="1" x14ac:dyDescent="0.35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3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8" sqref="M18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-60020608</v>
      </c>
    </row>
    <row r="8" spans="2:54" x14ac:dyDescent="0.3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3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3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" thickBot="1" x14ac:dyDescent="0.35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3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7" sqref="L17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71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3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-60030400</v>
      </c>
      <c r="BA8" s="34">
        <f t="shared" ref="BA8:BA10" si="10">AZ8-AY8*10</f>
        <v>-60030410</v>
      </c>
      <c r="BB8" s="34">
        <f>BA8+N24</f>
        <v>-60030408</v>
      </c>
    </row>
    <row r="9" spans="2:54" x14ac:dyDescent="0.3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4</v>
      </c>
      <c r="F9" s="13">
        <f t="shared" si="0"/>
        <v>1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3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" thickBot="1" x14ac:dyDescent="0.3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" thickBot="1" x14ac:dyDescent="0.3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3" workbookViewId="0">
      <selection activeCell="L17" sqref="L17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72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2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10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-90091000</v>
      </c>
      <c r="BA7" s="34">
        <f>AZ7-AY7*10</f>
        <v>-90091010</v>
      </c>
      <c r="BB7" s="34">
        <f>BA7+N23</f>
        <v>-90091009</v>
      </c>
    </row>
    <row r="8" spans="2:54" x14ac:dyDescent="0.3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1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>Serbia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-9960200</v>
      </c>
      <c r="BA8" s="34">
        <f t="shared" ref="BA8:BA10" si="10">AZ8-AY8*10</f>
        <v>-9960200</v>
      </c>
      <c r="BB8" s="34">
        <f>BA8+N24</f>
        <v>-9960198</v>
      </c>
    </row>
    <row r="9" spans="2:54" x14ac:dyDescent="0.3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>Suiza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-9960200</v>
      </c>
      <c r="BA9" s="34">
        <f t="shared" si="10"/>
        <v>-9960200</v>
      </c>
      <c r="BB9" s="34">
        <f>BA9+N25</f>
        <v>-9960196</v>
      </c>
    </row>
    <row r="10" spans="2:54" x14ac:dyDescent="0.3">
      <c r="B10" s="48">
        <v>3</v>
      </c>
      <c r="C10" s="49" t="str">
        <f t="shared" si="0"/>
        <v>Suiza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-59990400</v>
      </c>
      <c r="BA10" s="34">
        <f t="shared" si="10"/>
        <v>-59990410</v>
      </c>
      <c r="BB10" s="34">
        <f>BA10+N26</f>
        <v>-59990407</v>
      </c>
    </row>
    <row r="11" spans="2:54" ht="15" thickBot="1" x14ac:dyDescent="0.35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4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1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6" sqref="M16"/>
    </sheetView>
  </sheetViews>
  <sheetFormatPr baseColWidth="10" defaultColWidth="11.44140625" defaultRowHeight="14.4" x14ac:dyDescent="0.3"/>
  <cols>
    <col min="1" max="2" width="10.77734375" customWidth="1"/>
    <col min="3" max="3" width="13.6640625" bestFit="1" customWidth="1"/>
    <col min="4" max="10" width="10.77734375"/>
    <col min="11" max="11" width="13.6640625" bestFit="1" customWidth="1"/>
    <col min="12" max="13" width="10.777343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77734375" style="34" bestFit="1" customWidth="1"/>
    <col min="51" max="51" width="13" style="34" bestFit="1" customWidth="1"/>
    <col min="52" max="52" width="29.777343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73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-90030700</v>
      </c>
      <c r="BA7" s="34">
        <f>AZ7-AY7*10</f>
        <v>-90030710</v>
      </c>
      <c r="BB7" s="34">
        <f>BA7+N23</f>
        <v>-90030709</v>
      </c>
    </row>
    <row r="8" spans="2:54" x14ac:dyDescent="0.3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3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29793</v>
      </c>
    </row>
    <row r="10" spans="2:54" x14ac:dyDescent="0.3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5" thickBot="1" x14ac:dyDescent="0.3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3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M23:M26" name="Prioridades Grupo A"/>
    <protectedRange sqref="L7:M12" name="Resultados Grupo A_2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6" zoomScaleNormal="100" workbookViewId="0">
      <selection activeCell="R34" sqref="R34"/>
    </sheetView>
  </sheetViews>
  <sheetFormatPr baseColWidth="10" defaultRowHeight="14.4" x14ac:dyDescent="0.3"/>
  <cols>
    <col min="3" max="3" width="11.33203125" bestFit="1" customWidth="1"/>
    <col min="4" max="4" width="9.109375" bestFit="1" customWidth="1"/>
    <col min="9" max="9" width="9.109375" bestFit="1" customWidth="1"/>
    <col min="14" max="14" width="9.109375" bestFit="1" customWidth="1"/>
  </cols>
  <sheetData>
    <row r="1" spans="2:19" ht="15" thickBot="1" x14ac:dyDescent="0.35"/>
    <row r="2" spans="2:19" ht="15" thickBot="1" x14ac:dyDescent="0.35">
      <c r="B2" s="106" t="s">
        <v>69</v>
      </c>
      <c r="C2" s="107"/>
      <c r="D2" s="108"/>
    </row>
    <row r="3" spans="2:19" ht="15" thickBot="1" x14ac:dyDescent="0.35"/>
    <row r="4" spans="2:19" ht="15" thickBot="1" x14ac:dyDescent="0.35">
      <c r="G4" s="106" t="s">
        <v>59</v>
      </c>
      <c r="H4" s="107"/>
      <c r="I4" s="108"/>
    </row>
    <row r="5" spans="2:19" ht="15" thickBot="1" x14ac:dyDescent="0.35">
      <c r="B5" s="56">
        <v>49</v>
      </c>
      <c r="C5" s="57" t="s">
        <v>61</v>
      </c>
      <c r="D5" s="58" t="s">
        <v>62</v>
      </c>
    </row>
    <row r="6" spans="2:19" ht="15" thickBot="1" x14ac:dyDescent="0.35">
      <c r="B6" s="59" t="str">
        <f>'GRUPO A'!C8</f>
        <v>Holanda</v>
      </c>
      <c r="C6" s="60">
        <v>2</v>
      </c>
      <c r="D6" s="61"/>
    </row>
    <row r="7" spans="2:19" ht="15" thickBot="1" x14ac:dyDescent="0.35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35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" thickBot="1" x14ac:dyDescent="0.3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35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35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35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" thickBot="1" x14ac:dyDescent="0.3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" thickBot="1" x14ac:dyDescent="0.35">
      <c r="B14" s="59" t="str">
        <f>'GRUPO E'!C8</f>
        <v>Alemania</v>
      </c>
      <c r="C14" s="60">
        <v>2</v>
      </c>
      <c r="D14" s="61"/>
      <c r="J14" s="66"/>
      <c r="O14" s="66"/>
    </row>
    <row r="15" spans="2:19" ht="15" thickBot="1" x14ac:dyDescent="0.3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3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" thickBot="1" x14ac:dyDescent="0.3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35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35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35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" thickBot="1" x14ac:dyDescent="0.3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" thickBot="1" x14ac:dyDescent="0.35">
      <c r="B22" s="59" t="str">
        <f>'GRUPO B'!C8</f>
        <v>Inglaterra</v>
      </c>
      <c r="C22" s="60">
        <v>1</v>
      </c>
      <c r="D22" s="61"/>
      <c r="O22" s="66"/>
    </row>
    <row r="23" spans="2:23" ht="15" thickBot="1" x14ac:dyDescent="0.35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" thickBot="1" x14ac:dyDescent="0.3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3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5" thickBot="1" x14ac:dyDescent="0.3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35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35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3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0</v>
      </c>
      <c r="N29" s="64"/>
      <c r="Q29" s="59" t="str">
        <f>IF(Q20=L12,L13,IF(Q20=L13,L12,""))</f>
        <v>Argentina</v>
      </c>
      <c r="R29" s="60">
        <v>3</v>
      </c>
      <c r="S29" s="61"/>
    </row>
    <row r="30" spans="2:23" ht="15" thickBot="1" x14ac:dyDescent="0.35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España</v>
      </c>
      <c r="R30" s="63">
        <v>1</v>
      </c>
      <c r="S30" s="64"/>
    </row>
    <row r="31" spans="2:23" ht="15" thickBot="1" x14ac:dyDescent="0.35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35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5" thickBot="1" x14ac:dyDescent="0.3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3">
      <c r="B34" s="59" t="str">
        <f>'GRUPO H'!C8</f>
        <v>Portugal</v>
      </c>
      <c r="C34" s="60">
        <v>2</v>
      </c>
      <c r="D34" s="61"/>
      <c r="E34" s="69"/>
    </row>
    <row r="35" spans="2:9" ht="15" thickBot="1" x14ac:dyDescent="0.35">
      <c r="B35" s="62" t="str">
        <f>'GRUPO G'!C9</f>
        <v>Camerun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Antonio Rodríguez Escala</cp:lastModifiedBy>
  <dcterms:created xsi:type="dcterms:W3CDTF">2022-11-02T00:22:23Z</dcterms:created>
  <dcterms:modified xsi:type="dcterms:W3CDTF">2022-11-14T19:04:55Z</dcterms:modified>
</cp:coreProperties>
</file>