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eresita\Downloads\"/>
    </mc:Choice>
  </mc:AlternateContent>
  <bookViews>
    <workbookView xWindow="0" yWindow="0" windowWidth="20490" windowHeight="5655" firstSheet="2" activeTab="9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8" i="14"/>
  <c r="AZ8" i="14" s="1"/>
  <c r="AP10" i="13"/>
  <c r="AZ10" i="13" s="1"/>
  <c r="AP8" i="13"/>
  <c r="AZ8" i="13" s="1"/>
  <c r="AZ10" i="12"/>
  <c r="AZ9" i="12"/>
  <c r="AZ10" i="11"/>
  <c r="AZ9" i="11"/>
  <c r="AZ8" i="10"/>
  <c r="AP10" i="15"/>
  <c r="AZ10" i="15" s="1"/>
  <c r="AP7" i="13"/>
  <c r="AZ7" i="13" s="1"/>
  <c r="AZ7" i="11"/>
  <c r="AW10" i="11" s="1"/>
  <c r="AX10" i="11" s="1"/>
  <c r="AY10" i="11" s="1"/>
  <c r="BA10" i="11" s="1"/>
  <c r="BB10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W8" i="12"/>
  <c r="AX8" i="12" s="1"/>
  <c r="AY8" i="12" s="1"/>
  <c r="BA8" i="12" s="1"/>
  <c r="BB8" i="12" s="1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9" i="12"/>
  <c r="AX9" i="12" s="1"/>
  <c r="AY9" i="12" s="1"/>
  <c r="BA9" i="12" s="1"/>
  <c r="BB9" i="12" s="1"/>
  <c r="AN9" i="12" s="1"/>
  <c r="AW7" i="1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7" i="11"/>
  <c r="AY7" i="11" s="1"/>
  <c r="BA7" i="11" s="1"/>
  <c r="BB7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F8" i="12"/>
  <c r="D8" i="12"/>
  <c r="G8" i="12"/>
  <c r="F10" i="11"/>
  <c r="G10" i="11"/>
  <c r="D8" i="11"/>
  <c r="G11" i="11"/>
  <c r="E8" i="11"/>
  <c r="G8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<sst xmlns="http://schemas.openxmlformats.org/spreadsheetml/2006/main" count="454" uniqueCount="79">
  <si>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</si>
  <si>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</si>
  <si>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</si>
  <si>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</si>
  <si>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</si>
  <si>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</si>
  <si>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</si>
  <si>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</si>
  <si>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</si>
  <si>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</si>
  <si>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</si>
  <si>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</si>
  <si>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</si>
  <si>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</si>
  <si>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</si>
  <si>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</si>
  <si>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</si>
  <si>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</si>
  <si>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</si>
  <si>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</si>
  <si>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</si>
  <si>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</si>
  <si>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</si>
  <si>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</si>
  <si>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</si>
  <si>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</si>
  <si>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</si>
  <si>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</si>
  <si>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</si>
  <si>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</si>
  <si>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</si>
  <si>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</si>
  <si>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</si>
  <si>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</si>
  <si>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</si>
  <si>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</si>
  <si>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</si>
  <si>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</si>
  <si>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</si>
  <si>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</si>
  <si>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</si>
  <si>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</si>
  <si>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</si>
  <si>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</si>
  <si>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</si>
  <si>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</si>
  <si>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</si>
  <si>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</si>
  <si>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</si>
  <si>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</si>
  <si>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</si>
  <si>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</si>
  <si>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</si>
  <si>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</si>
  <si>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</si>
  <si>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</si>
  <si>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</si>
  <si>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</si>
  <si>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</si>
  <si>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</si>
  <si>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</si>
  <si>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</si>
  <si>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</si>
  <si>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</si>
  <si>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</si>
  <si>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</si>
  <si>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</si>
  <si>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</si>
  <si>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</si>
  <si>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</si>
  <si>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</si>
  <si>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</si>
  <si>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</si>
  <si>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</si>
  <si>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</si>
  <si>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</si>
  <si>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</si>
  <si>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Teresita Mercandino</t>
  </si>
  <si>
    <t xml:space="preserve">Teremercandino@gmail.com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</si>
</sst>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remercandin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"/>
  <sheetViews>
    <sheetView workbookViewId="0">
      <selection activeCell="E10" sqref="E10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2" sqref="L12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2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1</v>
      </c>
      <c r="AK7" s="34">
        <f>IF(AJ7=3,0,IF(AJ7=1,1,3))</f>
        <v>1</v>
      </c>
      <c r="AL7" s="34" t="str">
        <f t="shared" ref="AL7:AL12" si="2">IF(AJ7&gt;AK7,K7,IF(AK7&gt;AJ7,N7,"SIN GANADOR"))</f>
        <v>SIN GANADOR</v>
      </c>
      <c r="AN7" s="34">
        <f>_xlfn.RANK.EQ(BB7,BB$7:BB$11,1)</f>
        <v>2</v>
      </c>
      <c r="AO7" s="34" t="s">
        <v>14</v>
      </c>
      <c r="AP7" s="34">
        <f>SUMIF($K$7:$K$12,AO7,$AJ$7:$AJ$12) + SUMIF($N$7:$N$12,AO7,$AK$7:$AK$12)</f>
        <v>4</v>
      </c>
      <c r="AQ7" s="34">
        <f>AR7-AS7</f>
        <v>0</v>
      </c>
      <c r="AR7" s="34">
        <f>SUMIF($K$7:$K$12,AO7,$L$7:$L$12) + SUMIF($N$7:$N$12,AO7,$M$7:$M$12)</f>
        <v>4</v>
      </c>
      <c r="AS7" s="34">
        <f>SUMIF($K$7:$K$12,AO7,$M$7:$M$12) + SUMIF($N$7:$N$12,AO7,$L$7:$L$12)</f>
        <v>4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-40000400</v>
      </c>
      <c r="BA7" s="34">
        <f>AZ7-AY7*10</f>
        <v>-40000410</v>
      </c>
      <c r="BB7" s="34">
        <f>BA7+N23</f>
        <v>-40000409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7</v>
      </c>
      <c r="F8" s="9">
        <f t="shared" si="3"/>
        <v>3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2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3</v>
      </c>
      <c r="AK8" s="34">
        <f t="shared" ref="AK8:AK12" si="4">IF(AJ8=3,0,IF(AJ8=1,1,3))</f>
        <v>0</v>
      </c>
      <c r="AL8" s="34" t="str">
        <f t="shared" si="2"/>
        <v>Qatar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-70040700</v>
      </c>
      <c r="BA8" s="34">
        <f t="shared" ref="BA8:BA10" si="10">AZ8-AY8*10</f>
        <v>-70040710</v>
      </c>
      <c r="BB8" s="34">
        <f>BA8+N24</f>
        <v>-70040708</v>
      </c>
    </row>
    <row r="9" spans="2:54" x14ac:dyDescent="0.25">
      <c r="B9" s="11">
        <v>2</v>
      </c>
      <c r="C9" s="12" t="str">
        <f t="shared" si="3"/>
        <v>Qatar</v>
      </c>
      <c r="D9" s="13">
        <f t="shared" si="3"/>
        <v>4</v>
      </c>
      <c r="E9" s="13">
        <f t="shared" si="3"/>
        <v>4</v>
      </c>
      <c r="F9" s="13">
        <f t="shared" si="3"/>
        <v>4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4</v>
      </c>
      <c r="AO9" s="34" t="s">
        <v>12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-19990400</v>
      </c>
      <c r="BA9" s="34">
        <f t="shared" si="10"/>
        <v>-19990410</v>
      </c>
      <c r="BB9" s="34">
        <f>BA9+N25</f>
        <v>-19990407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3</v>
      </c>
      <c r="F10" s="50">
        <f t="shared" si="3"/>
        <v>6</v>
      </c>
      <c r="G10" s="51">
        <f t="shared" si="3"/>
        <v>-3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-29970300</v>
      </c>
      <c r="BA10" s="34">
        <f t="shared" si="10"/>
        <v>-29970310</v>
      </c>
      <c r="BB10" s="34">
        <f>BA10+N26</f>
        <v>-29970306</v>
      </c>
    </row>
    <row r="11" spans="2:54" ht="15.75" thickBot="1" x14ac:dyDescent="0.3">
      <c r="B11" s="52">
        <v>4</v>
      </c>
      <c r="C11" s="53" t="str">
        <f t="shared" si="3"/>
        <v>Senegal</v>
      </c>
      <c r="D11" s="54">
        <f t="shared" si="3"/>
        <v>2</v>
      </c>
      <c r="E11" s="54">
        <f t="shared" si="3"/>
        <v>4</v>
      </c>
      <c r="F11" s="54">
        <f t="shared" si="3"/>
        <v>5</v>
      </c>
      <c r="G11" s="55">
        <f t="shared" si="3"/>
        <v>-1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1" sqref="M11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USA</v>
      </c>
      <c r="AW8" s="34" t="str">
        <f>IF(AZ8=AZ9,AV9,IF(AZ8=AZ10,AV10,IF(AZ8=AZ7,AV7,"")))</f>
        <v>Gales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-40000500</v>
      </c>
      <c r="BA8" s="34">
        <f t="shared" ref="BA8:BA10" si="10">AZ8-AY8*10</f>
        <v>-40000500</v>
      </c>
      <c r="BB8" s="34">
        <f>BA8+N24</f>
        <v>-40000498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4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59893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5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>USA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-40000500</v>
      </c>
      <c r="BA10" s="34">
        <f t="shared" si="10"/>
        <v>-40000500</v>
      </c>
      <c r="BB10" s="34">
        <f>BA10+N26</f>
        <v>-40000496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9" sqref="M9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-70060800</v>
      </c>
      <c r="BA7" s="34">
        <f>AZ7-AY7*10</f>
        <v>-70060810</v>
      </c>
      <c r="BB7" s="34">
        <f>BA7+N23</f>
        <v>-70060809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1</v>
      </c>
      <c r="AQ8" s="34">
        <f>AR8-AS8</f>
        <v>-4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-9960200</v>
      </c>
      <c r="BA8" s="34">
        <f t="shared" ref="BA8:BA10" si="10">AZ8-AY8*10</f>
        <v>-9960210</v>
      </c>
      <c r="BB8" s="34">
        <f>BA8+N24</f>
        <v>-9960208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7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7</v>
      </c>
      <c r="AQ9" s="34">
        <f t="shared" ref="AQ9:AQ10" si="11">AR9-AS9</f>
        <v>3</v>
      </c>
      <c r="AR9" s="34">
        <f t="shared" si="5"/>
        <v>6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-70030600</v>
      </c>
      <c r="BA9" s="34">
        <f t="shared" si="10"/>
        <v>-70030610</v>
      </c>
      <c r="BB9" s="34">
        <f>BA9+N25</f>
        <v>-70030607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1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-9950100</v>
      </c>
      <c r="BA10" s="34">
        <f t="shared" si="10"/>
        <v>-9950110</v>
      </c>
      <c r="BB10" s="34">
        <f>BA10+N26</f>
        <v>-9950106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2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2" sqref="L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4</v>
      </c>
      <c r="AO7" s="34" t="s">
        <v>40</v>
      </c>
      <c r="AP7" s="34">
        <f>SUMIF($K$7:$K$12,AO7,$AJ$7:$AJ$12) + SUMIF($N$7:$N$12,AO7,$AK$7:$AK$12)</f>
        <v>1</v>
      </c>
      <c r="AQ7" s="34">
        <f>AR7-AS7</f>
        <v>-3</v>
      </c>
      <c r="AR7" s="34">
        <f>SUMIF($K$7:$K$12,AO7,$L$7:$L$12) + SUMIF($N$7:$N$12,AO7,$M$7:$M$12)</f>
        <v>2</v>
      </c>
      <c r="AS7" s="34">
        <f>SUMIF($K$7:$K$12,AO7,$M$7:$M$12) + SUMIF($N$7:$N$12,AO7,$L$7:$L$12)</f>
        <v>5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-9970200</v>
      </c>
      <c r="BA7" s="34">
        <f>AZ7-AY7*10</f>
        <v>-9970210</v>
      </c>
      <c r="BB7" s="34">
        <f>BA7+N23</f>
        <v>-9970209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8</v>
      </c>
      <c r="J8" s="19">
        <v>44887</v>
      </c>
      <c r="K8" s="20" t="s">
        <v>40</v>
      </c>
      <c r="L8" s="21">
        <v>1</v>
      </c>
      <c r="M8" s="22">
        <v>2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Australia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-70030500</v>
      </c>
      <c r="BA8" s="34">
        <f t="shared" ref="BA8:BA10" si="10">AZ8-AY8*10</f>
        <v>-70030510</v>
      </c>
      <c r="BB8" s="34">
        <f>BA8+N24</f>
        <v>-70030508</v>
      </c>
    </row>
    <row r="9" spans="2:54" x14ac:dyDescent="0.25">
      <c r="B9" s="11">
        <v>2</v>
      </c>
      <c r="C9" s="12" t="str">
        <f t="shared" si="0"/>
        <v>Australia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1</v>
      </c>
      <c r="AS9" s="34">
        <f t="shared" si="6"/>
        <v>2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-19990100</v>
      </c>
      <c r="BA9" s="34">
        <f t="shared" si="10"/>
        <v>-19990110</v>
      </c>
      <c r="BB9" s="34">
        <f>BA9+N25</f>
        <v>-19990107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2</v>
      </c>
      <c r="E10" s="50">
        <f t="shared" si="0"/>
        <v>1</v>
      </c>
      <c r="F10" s="50">
        <f t="shared" si="0"/>
        <v>2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3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0</v>
      </c>
      <c r="AK10" s="34">
        <f t="shared" si="3"/>
        <v>3</v>
      </c>
      <c r="AL10" s="34" t="str">
        <f t="shared" si="4"/>
        <v>Dinamarca</v>
      </c>
      <c r="AN10" s="34">
        <f>_xlfn.RANK.EQ(BB10,BB$7:BB$11,1)</f>
        <v>2</v>
      </c>
      <c r="AO10" s="34" t="s">
        <v>43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-50010400</v>
      </c>
      <c r="BA10" s="34">
        <f t="shared" si="10"/>
        <v>-50010410</v>
      </c>
      <c r="BB10" s="34">
        <f>BA10+N26</f>
        <v>-50010406</v>
      </c>
    </row>
    <row r="11" spans="2:54" ht="15.75" thickBot="1" x14ac:dyDescent="0.3">
      <c r="B11" s="52">
        <v>4</v>
      </c>
      <c r="C11" s="53" t="str">
        <f t="shared" si="0"/>
        <v>Francia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0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2" sqref="L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-70030700</v>
      </c>
      <c r="BA7" s="34">
        <f>AZ7-AY7*10</f>
        <v>-70030710</v>
      </c>
      <c r="BB7" s="34">
        <f>BA7+N23</f>
        <v>-70030709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-70050700</v>
      </c>
      <c r="BA8" s="34">
        <f t="shared" ref="BA8:BA10" si="10">AZ8-AY8*10</f>
        <v>-70050710</v>
      </c>
      <c r="BB8" s="34">
        <f>BA8+N24</f>
        <v>-70050708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7</v>
      </c>
      <c r="E9" s="13">
        <f t="shared" si="0"/>
        <v>7</v>
      </c>
      <c r="F9" s="13">
        <f t="shared" si="0"/>
        <v>4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2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0</v>
      </c>
      <c r="AQ9" s="34">
        <f t="shared" ref="AQ9:AQ10" si="11">AR9-AS9</f>
        <v>-7</v>
      </c>
      <c r="AR9" s="34">
        <f t="shared" si="5"/>
        <v>1</v>
      </c>
      <c r="AS9" s="34">
        <f t="shared" si="6"/>
        <v>8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69900</v>
      </c>
      <c r="BA9" s="34">
        <f t="shared" si="10"/>
        <v>69890</v>
      </c>
      <c r="BB9" s="34">
        <f>BA9+N25</f>
        <v>69893</v>
      </c>
    </row>
    <row r="10" spans="2:54" x14ac:dyDescent="0.25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-29990300</v>
      </c>
      <c r="BA10" s="34">
        <f t="shared" si="10"/>
        <v>-29990310</v>
      </c>
      <c r="BB10" s="34">
        <f>BA10+N26</f>
        <v>-29990306</v>
      </c>
    </row>
    <row r="11" spans="2:54" ht="15.75" thickBot="1" x14ac:dyDescent="0.3">
      <c r="B11" s="52">
        <v>4</v>
      </c>
      <c r="C11" s="53" t="str">
        <f t="shared" si="0"/>
        <v>Japon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3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2" sqref="L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-70030700</v>
      </c>
      <c r="BA7" s="34">
        <f>AZ7-AY7*10</f>
        <v>-70030710</v>
      </c>
      <c r="BB7" s="34">
        <f>BA7+N23</f>
        <v>-70030709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-40000600</v>
      </c>
      <c r="BA8" s="34">
        <f t="shared" ref="BA8:BA10" si="10">AZ8-AY8*10</f>
        <v>-40000610</v>
      </c>
      <c r="BB8" s="34">
        <f>BA8+N24</f>
        <v>-40000608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4</v>
      </c>
      <c r="E9" s="13">
        <f t="shared" si="0"/>
        <v>6</v>
      </c>
      <c r="F9" s="13">
        <f t="shared" si="0"/>
        <v>6</v>
      </c>
      <c r="G9" s="14">
        <f t="shared" si="0"/>
        <v>0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2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-40000500</v>
      </c>
      <c r="BA9" s="34">
        <f t="shared" si="10"/>
        <v>-40000510</v>
      </c>
      <c r="BB9" s="34">
        <f>BA9+N25</f>
        <v>-40000507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4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2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-9970306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3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2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2" sqref="L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2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4</v>
      </c>
      <c r="AO8" s="34" t="s">
        <v>52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-9970300</v>
      </c>
      <c r="BA8" s="34">
        <f t="shared" ref="BA8:BA10" si="10">AZ8-AY8*10</f>
        <v>-9970310</v>
      </c>
      <c r="BB8" s="34">
        <f>BA8+N24</f>
        <v>-9970308</v>
      </c>
    </row>
    <row r="9" spans="2:54" x14ac:dyDescent="0.25">
      <c r="B9" s="11">
        <v>2</v>
      </c>
      <c r="C9" s="12" t="str">
        <f t="shared" si="0"/>
        <v>Camerun</v>
      </c>
      <c r="D9" s="13">
        <f t="shared" si="0"/>
        <v>4</v>
      </c>
      <c r="E9" s="13">
        <f t="shared" si="0"/>
        <v>5</v>
      </c>
      <c r="F9" s="13">
        <f t="shared" si="0"/>
        <v>7</v>
      </c>
      <c r="G9" s="14">
        <f t="shared" si="0"/>
        <v>-2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2</v>
      </c>
      <c r="AQ9" s="34">
        <f t="shared" ref="AQ9:AQ10" si="11">AR9-AS9</f>
        <v>-2</v>
      </c>
      <c r="AR9" s="34">
        <f t="shared" si="5"/>
        <v>5</v>
      </c>
      <c r="AS9" s="34">
        <f t="shared" si="6"/>
        <v>7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-19980500</v>
      </c>
      <c r="BA9" s="34">
        <f t="shared" si="10"/>
        <v>-19980510</v>
      </c>
      <c r="BB9" s="34">
        <f>BA9+N25</f>
        <v>-19980507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2</v>
      </c>
      <c r="E10" s="50">
        <f t="shared" si="0"/>
        <v>5</v>
      </c>
      <c r="F10" s="50">
        <f t="shared" si="0"/>
        <v>7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4</v>
      </c>
      <c r="AQ10" s="34">
        <f t="shared" si="11"/>
        <v>-2</v>
      </c>
      <c r="AR10" s="34">
        <f>SUMIF($K$7:$K$12,AO10,$L$7:$L$12) + SUMIF($N$7:$N$12,AO10,$M$7:$M$12)</f>
        <v>5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-39980500</v>
      </c>
      <c r="BA10" s="34">
        <f t="shared" si="10"/>
        <v>-39980510</v>
      </c>
      <c r="BB10" s="34">
        <f>BA10+N26</f>
        <v>-39980506</v>
      </c>
    </row>
    <row r="11" spans="2:54" ht="15.75" thickBot="1" x14ac:dyDescent="0.3">
      <c r="B11" s="52">
        <v>4</v>
      </c>
      <c r="C11" s="53" t="str">
        <f t="shared" si="0"/>
        <v>Suiza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2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4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K15" sqref="K1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3</v>
      </c>
      <c r="AO7" s="34" t="s">
        <v>57</v>
      </c>
      <c r="AP7" s="34">
        <f>SUMIF($K$7:$K$12,AO7,$AJ$7:$AJ$12) + SUMIF($N$7:$N$12,AO7,$AK$7:$AK$12)</f>
        <v>2</v>
      </c>
      <c r="AQ7" s="34">
        <f>AR7-AS7</f>
        <v>-1</v>
      </c>
      <c r="AR7" s="34">
        <f>SUMIF($K$7:$K$12,AO7,$L$7:$L$12) + SUMIF($N$7:$N$12,AO7,$M$7:$M$12)</f>
        <v>5</v>
      </c>
      <c r="AS7" s="34">
        <f>SUMIF($K$7:$K$12,AO7,$M$7:$M$12) + SUMIF($N$7:$N$12,AO7,$L$7:$L$12)</f>
        <v>6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-19990500</v>
      </c>
      <c r="BA7" s="34">
        <f>AZ7-AY7*10</f>
        <v>-19990510</v>
      </c>
      <c r="BB7" s="34">
        <f>BA7+N23</f>
        <v>-19990509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5</v>
      </c>
      <c r="F8" s="9">
        <f t="shared" si="0"/>
        <v>3</v>
      </c>
      <c r="G8" s="10">
        <f t="shared" si="0"/>
        <v>2</v>
      </c>
      <c r="I8" s="18">
        <v>16</v>
      </c>
      <c r="J8" s="19">
        <v>44889</v>
      </c>
      <c r="K8" s="20" t="s">
        <v>57</v>
      </c>
      <c r="L8" s="21">
        <v>2</v>
      </c>
      <c r="M8" s="22">
        <v>3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Gana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-70020500</v>
      </c>
      <c r="BA8" s="34">
        <f t="shared" ref="BA8:BA10" si="10">AZ8-AY8*10</f>
        <v>-70020510</v>
      </c>
      <c r="BB8" s="34">
        <f>BA8+N24</f>
        <v>-70020508</v>
      </c>
    </row>
    <row r="9" spans="2:54" x14ac:dyDescent="0.25">
      <c r="B9" s="11">
        <v>2</v>
      </c>
      <c r="C9" s="12" t="str">
        <f t="shared" si="0"/>
        <v>Gana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-19990300</v>
      </c>
      <c r="BA9" s="34">
        <f t="shared" si="10"/>
        <v>-19990310</v>
      </c>
      <c r="BB9" s="34">
        <f>BA9+N25</f>
        <v>-19990307</v>
      </c>
    </row>
    <row r="10" spans="2:54" x14ac:dyDescent="0.25">
      <c r="B10" s="48">
        <v>3</v>
      </c>
      <c r="C10" s="49" t="str">
        <f t="shared" si="0"/>
        <v>Portugal</v>
      </c>
      <c r="D10" s="50">
        <f t="shared" si="0"/>
        <v>2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2</v>
      </c>
      <c r="AO10" s="34" t="s">
        <v>58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-40000406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2</v>
      </c>
      <c r="E11" s="54">
        <f t="shared" si="0"/>
        <v>3</v>
      </c>
      <c r="F11" s="54">
        <f t="shared" si="0"/>
        <v>4</v>
      </c>
      <c r="G11" s="55">
        <f t="shared" si="0"/>
        <v>-1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5"/>
  <sheetViews>
    <sheetView tabSelected="1" topLeftCell="H9" workbookViewId="0">
      <selection activeCell="U29" sqref="U29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3</v>
      </c>
      <c r="D6" s="61"/>
    </row>
    <row r="7" spans="2:19" ht="15.75" thickBot="1" x14ac:dyDescent="0.3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Australia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0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3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Gana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Belgica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Qatar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0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Belgica</v>
      </c>
    </row>
    <row r="26" spans="2:23" ht="15.75" thickBot="1" x14ac:dyDescent="0.3">
      <c r="B26" s="59" t="str">
        <f>'GRUPO D'!C8</f>
        <v>Dinamarca</v>
      </c>
      <c r="C26" s="60">
        <v>1</v>
      </c>
      <c r="D26" s="61">
        <v>5</v>
      </c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.75" thickBot="1" x14ac:dyDescent="0.3">
      <c r="B27" s="62" t="str">
        <f>'GRUPO C'!C9</f>
        <v>Polonia</v>
      </c>
      <c r="C27" s="63">
        <v>1</v>
      </c>
      <c r="D27" s="64">
        <v>4</v>
      </c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0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2</v>
      </c>
      <c r="N29" s="64"/>
      <c r="Q29" s="59" t="str">
        <f>IF(Q20=L12,L13,IF(Q20=L13,L12,""))</f>
        <v>Brasil</v>
      </c>
      <c r="R29" s="60">
        <v>2</v>
      </c>
      <c r="S29" s="61"/>
    </row>
    <row r="30" spans="2:23" ht="15.75" thickBot="1" x14ac:dyDescent="0.3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Inglaterra</v>
      </c>
      <c r="R30" s="63">
        <v>1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2</v>
      </c>
      <c r="I32" s="61">
        <v>6</v>
      </c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2</v>
      </c>
      <c r="I33" s="64">
        <v>5</v>
      </c>
    </row>
    <row r="34" spans="2:9" x14ac:dyDescent="0.25">
      <c r="B34" s="59" t="str">
        <f>'GRUPO H'!C8</f>
        <v>Uruguay</v>
      </c>
      <c r="C34" s="60">
        <v>1</v>
      </c>
      <c r="D34" s="61"/>
      <c r="E34" s="69"/>
    </row>
    <row r="35" spans="2:9" ht="15.75" thickBot="1" x14ac:dyDescent="0.3">
      <c r="B35" s="62" t="str">
        <f>'GRUPO G'!C9</f>
        <v>Camerun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Teresita</cp:lastModifiedBy>
  <dcterms:created xsi:type="dcterms:W3CDTF">2022-11-02T00:22:23Z</dcterms:created>
  <dcterms:modified xsi:type="dcterms:W3CDTF">2022-11-20T14:31:15Z</dcterms:modified>
</cp:coreProperties>
</file>