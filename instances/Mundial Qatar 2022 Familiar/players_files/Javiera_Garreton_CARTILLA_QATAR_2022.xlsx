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bal\Downloads\"/>
    </mc:Choice>
  </mc:AlternateContent>
  <xr:revisionPtr revIDLastSave="0" documentId="13_ncr:1_{92236216-85DD-4894-BD22-E4D399C7F1BC}" xr6:coauthVersionLast="47" xr6:coauthVersionMax="47" xr10:uidLastSave="{00000000-0000-0000-0000-000000000000}"/>
  <bookViews>
    <workbookView xWindow="-120" yWindow="-120" windowWidth="20730" windowHeight="11310" firstSheet="2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/>
  <c r="I9" i="15"/>
  <c r="I11" i="15"/>
  <c r="I11" i="14"/>
  <c r="I10" i="14"/>
  <c r="I12" i="14"/>
  <c r="I9" i="14"/>
  <c r="I10" i="13"/>
  <c r="I12" i="13"/>
  <c r="I9" i="13"/>
  <c r="I11" i="13"/>
  <c r="I10" i="12"/>
  <c r="I12" i="12"/>
  <c r="I9" i="12"/>
  <c r="I11" i="12"/>
  <c r="I10" i="11"/>
  <c r="I12" i="11"/>
  <c r="I9" i="11"/>
  <c r="I11" i="11"/>
  <c r="I10" i="10"/>
  <c r="I12" i="10"/>
  <c r="I9" i="10"/>
  <c r="I11" i="10"/>
  <c r="I10" i="2"/>
  <c r="I12" i="2"/>
  <c r="I9" i="2"/>
  <c r="I11" i="2"/>
  <c r="I10" i="1"/>
  <c r="I12" i="1"/>
  <c r="I9" i="1"/>
  <c r="I11" i="1"/>
  <c r="G33" i="16"/>
  <c r="L29" i="16"/>
  <c r="AJ8" i="13"/>
  <c r="AP7" i="13"/>
  <c r="AR7" i="13"/>
  <c r="AS7" i="13"/>
  <c r="AQ7" i="13"/>
  <c r="AZ7" i="13"/>
  <c r="AP8" i="13"/>
  <c r="AR8" i="13"/>
  <c r="AS8" i="13"/>
  <c r="AQ8" i="13"/>
  <c r="AZ8" i="13"/>
  <c r="AP9" i="13"/>
  <c r="AR9" i="13"/>
  <c r="AS9" i="13"/>
  <c r="AQ9" i="13"/>
  <c r="AZ9" i="13"/>
  <c r="AK8" i="13"/>
  <c r="AP10" i="13"/>
  <c r="AR10" i="13"/>
  <c r="AS10" i="13"/>
  <c r="AQ10" i="13"/>
  <c r="AZ10" i="13"/>
  <c r="AW7" i="13"/>
  <c r="AX7" i="13"/>
  <c r="AY7" i="13"/>
  <c r="BA7" i="13"/>
  <c r="BB7" i="13"/>
  <c r="AW8" i="13"/>
  <c r="AX8" i="13"/>
  <c r="AY8" i="13"/>
  <c r="BA8" i="13"/>
  <c r="BB8" i="13"/>
  <c r="AW9" i="13"/>
  <c r="AX9" i="13"/>
  <c r="AY9" i="13"/>
  <c r="BA9" i="13"/>
  <c r="BB9" i="13"/>
  <c r="AW10" i="13"/>
  <c r="AX10" i="13"/>
  <c r="AY10" i="13"/>
  <c r="BA10" i="13"/>
  <c r="BB10" i="13"/>
  <c r="AN7" i="13"/>
  <c r="C8" i="13"/>
  <c r="B30" i="16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/>
  <c r="AJ8" i="15"/>
  <c r="AJ10" i="15"/>
  <c r="AP7" i="15"/>
  <c r="AJ11" i="15"/>
  <c r="AV10" i="15"/>
  <c r="AS10" i="15"/>
  <c r="AR10" i="15"/>
  <c r="AK10" i="15"/>
  <c r="AL10" i="15"/>
  <c r="AV9" i="15"/>
  <c r="AS9" i="15"/>
  <c r="AR9" i="15"/>
  <c r="AJ9" i="15"/>
  <c r="AV8" i="15"/>
  <c r="AS8" i="15"/>
  <c r="AR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Q10" i="14"/>
  <c r="AJ10" i="14"/>
  <c r="AV9" i="14"/>
  <c r="AS9" i="14"/>
  <c r="AR9" i="14"/>
  <c r="AJ9" i="14"/>
  <c r="AK9" i="14"/>
  <c r="AL9" i="14"/>
  <c r="AV8" i="14"/>
  <c r="AS8" i="14"/>
  <c r="AR8" i="14"/>
  <c r="AJ8" i="14"/>
  <c r="AK8" i="14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J10" i="13"/>
  <c r="AV9" i="13"/>
  <c r="AJ9" i="13"/>
  <c r="AK9" i="13"/>
  <c r="AL9" i="13"/>
  <c r="AV8" i="13"/>
  <c r="AV7" i="13"/>
  <c r="AJ7" i="13"/>
  <c r="N27" i="12"/>
  <c r="N26" i="12"/>
  <c r="I26" i="12"/>
  <c r="N25" i="12"/>
  <c r="I25" i="12"/>
  <c r="N24" i="12"/>
  <c r="I24" i="12"/>
  <c r="N23" i="12"/>
  <c r="I23" i="12"/>
  <c r="AJ12" i="12"/>
  <c r="AJ8" i="12"/>
  <c r="AK8" i="12"/>
  <c r="AJ9" i="12"/>
  <c r="AK9" i="12"/>
  <c r="AP10" i="12"/>
  <c r="AJ11" i="12"/>
  <c r="AV10" i="12"/>
  <c r="AS10" i="12"/>
  <c r="AR10" i="12"/>
  <c r="AJ10" i="12"/>
  <c r="AV9" i="12"/>
  <c r="AS9" i="12"/>
  <c r="AR9" i="12"/>
  <c r="AV8" i="12"/>
  <c r="AS8" i="12"/>
  <c r="AR8" i="12"/>
  <c r="AL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8" i="11"/>
  <c r="AL8" i="11" s="1"/>
  <c r="AK8" i="11"/>
  <c r="AP10" i="11" s="1"/>
  <c r="AZ10" i="11" s="1"/>
  <c r="AJ9" i="11"/>
  <c r="AK9" i="11"/>
  <c r="AJ11" i="11"/>
  <c r="AV10" i="11"/>
  <c r="AS10" i="11"/>
  <c r="AR10" i="11"/>
  <c r="AQ10" i="11" s="1"/>
  <c r="AJ10" i="11"/>
  <c r="AK10" i="11"/>
  <c r="AL10" i="11"/>
  <c r="AV9" i="11"/>
  <c r="AS9" i="11"/>
  <c r="AR9" i="11"/>
  <c r="AL9" i="11"/>
  <c r="AV8" i="11"/>
  <c r="AS8" i="11"/>
  <c r="AQ8" i="11" s="1"/>
  <c r="AR8" i="11"/>
  <c r="AV7" i="11"/>
  <c r="AS7" i="11"/>
  <c r="AQ7" i="11" s="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/>
  <c r="AL10" i="10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7" i="2"/>
  <c r="AK7" i="2"/>
  <c r="AJ9" i="2"/>
  <c r="AK9" i="2"/>
  <c r="AP9" i="2"/>
  <c r="AJ11" i="2"/>
  <c r="AV10" i="2"/>
  <c r="AS10" i="2"/>
  <c r="AR10" i="2"/>
  <c r="AJ10" i="2"/>
  <c r="AK10" i="2"/>
  <c r="AL10" i="2"/>
  <c r="AV9" i="2"/>
  <c r="AS9" i="2"/>
  <c r="AR9" i="2"/>
  <c r="AL9" i="2"/>
  <c r="AV8" i="2"/>
  <c r="AS8" i="2"/>
  <c r="AR8" i="2"/>
  <c r="AJ8" i="2"/>
  <c r="AV7" i="2"/>
  <c r="AS7" i="2"/>
  <c r="AR7" i="2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/>
  <c r="AJ12" i="1"/>
  <c r="AK12" i="1"/>
  <c r="AL12" i="1"/>
  <c r="AJ11" i="1"/>
  <c r="AK11" i="1"/>
  <c r="AL11" i="1"/>
  <c r="AV10" i="1"/>
  <c r="AJ10" i="1"/>
  <c r="AK10" i="1"/>
  <c r="AL10" i="1"/>
  <c r="AV9" i="1"/>
  <c r="AJ9" i="1"/>
  <c r="AK9" i="1"/>
  <c r="AL9" i="1"/>
  <c r="AV8" i="1"/>
  <c r="AJ8" i="1"/>
  <c r="AV7" i="1"/>
  <c r="L13" i="16"/>
  <c r="Q20" i="16"/>
  <c r="W24" i="16"/>
  <c r="W25" i="16" s="1"/>
  <c r="AQ8" i="15"/>
  <c r="AQ7" i="15"/>
  <c r="AZ7" i="15"/>
  <c r="AQ9" i="15"/>
  <c r="AQ10" i="15"/>
  <c r="AK11" i="15"/>
  <c r="AP8" i="15"/>
  <c r="AZ8" i="15"/>
  <c r="AK8" i="15"/>
  <c r="AL8" i="15"/>
  <c r="AL12" i="15"/>
  <c r="AK7" i="15"/>
  <c r="AK9" i="15"/>
  <c r="AL9" i="15"/>
  <c r="AQ9" i="14"/>
  <c r="AQ8" i="14"/>
  <c r="AQ7" i="14"/>
  <c r="AL8" i="14"/>
  <c r="AK10" i="14"/>
  <c r="AL10" i="14"/>
  <c r="AK7" i="14"/>
  <c r="AK11" i="14"/>
  <c r="AP8" i="14"/>
  <c r="AZ8" i="14"/>
  <c r="AK12" i="14"/>
  <c r="AP7" i="14"/>
  <c r="AZ7" i="14"/>
  <c r="AP9" i="14"/>
  <c r="AK10" i="13"/>
  <c r="AL8" i="13"/>
  <c r="AL10" i="13"/>
  <c r="AK7" i="13"/>
  <c r="AK12" i="13"/>
  <c r="AK11" i="13"/>
  <c r="AL11" i="13"/>
  <c r="AL12" i="13"/>
  <c r="AQ9" i="12"/>
  <c r="AQ8" i="12"/>
  <c r="AQ7" i="12"/>
  <c r="AK10" i="12"/>
  <c r="AL10" i="12"/>
  <c r="AQ10" i="12"/>
  <c r="AZ10" i="12"/>
  <c r="AK7" i="12"/>
  <c r="AP9" i="12"/>
  <c r="AZ9" i="12"/>
  <c r="AL9" i="12"/>
  <c r="AL7" i="12"/>
  <c r="AK11" i="12"/>
  <c r="AP7" i="12"/>
  <c r="AZ7" i="12"/>
  <c r="AK12" i="12"/>
  <c r="AP8" i="12"/>
  <c r="AZ8" i="12"/>
  <c r="AQ9" i="11"/>
  <c r="AZ9" i="11" s="1"/>
  <c r="AK7" i="11"/>
  <c r="AL7" i="11"/>
  <c r="AK11" i="11"/>
  <c r="AK12" i="11"/>
  <c r="AP8" i="11"/>
  <c r="AZ8" i="11" s="1"/>
  <c r="AP9" i="11"/>
  <c r="AQ10" i="10"/>
  <c r="AQ7" i="10"/>
  <c r="AQ9" i="10"/>
  <c r="AQ8" i="10"/>
  <c r="AK7" i="10"/>
  <c r="AL7" i="10"/>
  <c r="AK11" i="10"/>
  <c r="AL11" i="10"/>
  <c r="AK12" i="10"/>
  <c r="AP8" i="10"/>
  <c r="AZ8" i="10"/>
  <c r="AK8" i="10"/>
  <c r="AL8" i="10"/>
  <c r="AK9" i="10"/>
  <c r="AL9" i="10"/>
  <c r="AQ9" i="2"/>
  <c r="AQ8" i="2"/>
  <c r="AQ7" i="2"/>
  <c r="AQ10" i="2"/>
  <c r="AK12" i="2"/>
  <c r="AP8" i="2"/>
  <c r="AL7" i="2"/>
  <c r="AK8" i="2"/>
  <c r="AP10" i="2"/>
  <c r="AZ9" i="2"/>
  <c r="AK11" i="2"/>
  <c r="AL11" i="2"/>
  <c r="AP7" i="1"/>
  <c r="AP9" i="1"/>
  <c r="AP8" i="1"/>
  <c r="AQ7" i="1"/>
  <c r="AQ8" i="1"/>
  <c r="AQ10" i="1"/>
  <c r="AQ9" i="1"/>
  <c r="AK8" i="1"/>
  <c r="AP10" i="1"/>
  <c r="AP10" i="15"/>
  <c r="AZ10" i="15"/>
  <c r="AP10" i="10"/>
  <c r="AZ10" i="10"/>
  <c r="AZ8" i="2"/>
  <c r="AP7" i="2"/>
  <c r="AZ7" i="2"/>
  <c r="AZ10" i="2"/>
  <c r="AW7" i="2"/>
  <c r="AX7" i="2"/>
  <c r="AY7" i="2"/>
  <c r="BA7" i="2"/>
  <c r="BB7" i="2"/>
  <c r="AZ7" i="1"/>
  <c r="AP9" i="15"/>
  <c r="AZ9" i="15"/>
  <c r="AL11" i="15"/>
  <c r="AL7" i="15"/>
  <c r="AZ9" i="14"/>
  <c r="AL7" i="14"/>
  <c r="AP10" i="14"/>
  <c r="AZ10" i="14"/>
  <c r="AW7" i="14"/>
  <c r="AX7" i="14"/>
  <c r="AY7" i="14"/>
  <c r="BA7" i="14"/>
  <c r="BB7" i="14"/>
  <c r="AL12" i="14"/>
  <c r="AL11" i="14"/>
  <c r="AL7" i="13"/>
  <c r="AW10" i="12"/>
  <c r="AX10" i="12"/>
  <c r="AY10" i="12"/>
  <c r="BA10" i="12"/>
  <c r="BB10" i="12"/>
  <c r="AW8" i="12"/>
  <c r="AX8" i="12"/>
  <c r="AY8" i="12"/>
  <c r="BA8" i="12"/>
  <c r="BB8" i="12"/>
  <c r="AW9" i="12"/>
  <c r="AW7" i="12"/>
  <c r="AX7" i="12"/>
  <c r="AY7" i="12"/>
  <c r="BA7" i="12"/>
  <c r="BB7" i="12"/>
  <c r="AL11" i="12"/>
  <c r="AL12" i="12"/>
  <c r="AL12" i="11"/>
  <c r="AL11" i="11"/>
  <c r="AP9" i="10"/>
  <c r="AZ9" i="10"/>
  <c r="AL12" i="10"/>
  <c r="AP7" i="10"/>
  <c r="AZ7" i="10"/>
  <c r="AW8" i="2"/>
  <c r="AW9" i="2"/>
  <c r="AL8" i="2"/>
  <c r="AL12" i="2"/>
  <c r="AZ10" i="1"/>
  <c r="AZ9" i="1"/>
  <c r="AL7" i="1"/>
  <c r="AZ8" i="1"/>
  <c r="AL8" i="1"/>
  <c r="AW10" i="15"/>
  <c r="AX10" i="15"/>
  <c r="AY10" i="15"/>
  <c r="BA10" i="15"/>
  <c r="BB10" i="15"/>
  <c r="AW10" i="2"/>
  <c r="AX10" i="2"/>
  <c r="AW9" i="1"/>
  <c r="AX9" i="1"/>
  <c r="AY9" i="1"/>
  <c r="BA9" i="1"/>
  <c r="BB9" i="1"/>
  <c r="AW10" i="1"/>
  <c r="AX10" i="1"/>
  <c r="AY10" i="1"/>
  <c r="BA10" i="1"/>
  <c r="BB10" i="1"/>
  <c r="AW8" i="1"/>
  <c r="AX8" i="1"/>
  <c r="AY8" i="1"/>
  <c r="BA8" i="1"/>
  <c r="BB8" i="1"/>
  <c r="AW7" i="1"/>
  <c r="AX7" i="1"/>
  <c r="AY7" i="1"/>
  <c r="AW7" i="15"/>
  <c r="AX7" i="15"/>
  <c r="AY7" i="15"/>
  <c r="BA7" i="15"/>
  <c r="BB7" i="15"/>
  <c r="AW9" i="15"/>
  <c r="AX9" i="15"/>
  <c r="AY9" i="15"/>
  <c r="BA9" i="15"/>
  <c r="BB9" i="15"/>
  <c r="AW8" i="15"/>
  <c r="AX8" i="15"/>
  <c r="AY8" i="15"/>
  <c r="BA8" i="15"/>
  <c r="BB8" i="15"/>
  <c r="AW9" i="14"/>
  <c r="AX9" i="14"/>
  <c r="AY9" i="14"/>
  <c r="BA9" i="14"/>
  <c r="BB9" i="14"/>
  <c r="AW8" i="14"/>
  <c r="AX8" i="14"/>
  <c r="AY8" i="14"/>
  <c r="BA8" i="14"/>
  <c r="BB8" i="14"/>
  <c r="AW10" i="14"/>
  <c r="AX10" i="14"/>
  <c r="AY10" i="14"/>
  <c r="BA10" i="14"/>
  <c r="BB10" i="14"/>
  <c r="AX9" i="12"/>
  <c r="AY9" i="12"/>
  <c r="BA9" i="12"/>
  <c r="BB9" i="12"/>
  <c r="AN9" i="12"/>
  <c r="AW7" i="10"/>
  <c r="AX7" i="10"/>
  <c r="AY7" i="10"/>
  <c r="BA7" i="10"/>
  <c r="BB7" i="10"/>
  <c r="AW9" i="10"/>
  <c r="AX9" i="10"/>
  <c r="AY9" i="10"/>
  <c r="BA9" i="10"/>
  <c r="BB9" i="10"/>
  <c r="AW10" i="10"/>
  <c r="AX10" i="10"/>
  <c r="AY10" i="10"/>
  <c r="BA10" i="10"/>
  <c r="BB10" i="10"/>
  <c r="AW8" i="10"/>
  <c r="AX8" i="10"/>
  <c r="AY8" i="10"/>
  <c r="BA8" i="10"/>
  <c r="BB8" i="10"/>
  <c r="AY10" i="2"/>
  <c r="BA10" i="2"/>
  <c r="BB10" i="2"/>
  <c r="AX8" i="2"/>
  <c r="AY8" i="2"/>
  <c r="BA8" i="2"/>
  <c r="BB8" i="2"/>
  <c r="AX9" i="2"/>
  <c r="AY9" i="2"/>
  <c r="BA9" i="2"/>
  <c r="BB9" i="2"/>
  <c r="AN9" i="15"/>
  <c r="AN8" i="15"/>
  <c r="AN7" i="15"/>
  <c r="AN10" i="15"/>
  <c r="AN10" i="14"/>
  <c r="AN8" i="14"/>
  <c r="AN9" i="14"/>
  <c r="AN7" i="14"/>
  <c r="AN10" i="13"/>
  <c r="AN9" i="13"/>
  <c r="AN8" i="13"/>
  <c r="AN8" i="12"/>
  <c r="AN10" i="12"/>
  <c r="AN7" i="12"/>
  <c r="C8" i="12"/>
  <c r="B14" i="16"/>
  <c r="G8" i="12"/>
  <c r="D8" i="12"/>
  <c r="F8" i="12"/>
  <c r="AN9" i="10"/>
  <c r="AN7" i="10"/>
  <c r="AN8" i="10"/>
  <c r="AN10" i="10"/>
  <c r="AN8" i="2"/>
  <c r="AN7" i="2"/>
  <c r="AN9" i="2"/>
  <c r="AN10" i="2"/>
  <c r="BA7" i="1"/>
  <c r="BB7" i="1"/>
  <c r="AN7" i="1"/>
  <c r="E8" i="12"/>
  <c r="F11" i="12"/>
  <c r="C11" i="2"/>
  <c r="D9" i="12"/>
  <c r="G9" i="12"/>
  <c r="C11" i="12"/>
  <c r="D11" i="15"/>
  <c r="E10" i="15"/>
  <c r="F9" i="15"/>
  <c r="G8" i="15"/>
  <c r="C8" i="15"/>
  <c r="B34" i="16"/>
  <c r="F11" i="15"/>
  <c r="G10" i="15"/>
  <c r="C10" i="15"/>
  <c r="D9" i="15"/>
  <c r="E11" i="15"/>
  <c r="G9" i="15"/>
  <c r="C9" i="15"/>
  <c r="B19" i="16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/>
  <c r="G8" i="14"/>
  <c r="C8" i="14"/>
  <c r="B18" i="16"/>
  <c r="G17" i="16"/>
  <c r="G11" i="13"/>
  <c r="F9" i="13"/>
  <c r="D11" i="13"/>
  <c r="F10" i="13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/>
  <c r="G16" i="16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/>
  <c r="E10" i="12"/>
  <c r="D11" i="10"/>
  <c r="E10" i="10"/>
  <c r="F9" i="10"/>
  <c r="G8" i="10"/>
  <c r="C8" i="10"/>
  <c r="B10" i="16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/>
  <c r="F8" i="2"/>
  <c r="D11" i="2"/>
  <c r="G11" i="2"/>
  <c r="E8" i="2"/>
  <c r="F11" i="2"/>
  <c r="C9" i="2"/>
  <c r="B7" i="16"/>
  <c r="E11" i="2"/>
  <c r="F10" i="2"/>
  <c r="D8" i="2"/>
  <c r="E10" i="2"/>
  <c r="C8" i="2"/>
  <c r="B22" i="16"/>
  <c r="G10" i="2"/>
  <c r="C10" i="2"/>
  <c r="D10" i="2"/>
  <c r="G8" i="2"/>
  <c r="F9" i="2"/>
  <c r="D9" i="2"/>
  <c r="E9" i="2"/>
  <c r="G9" i="2"/>
  <c r="AN10" i="1"/>
  <c r="AN9" i="1"/>
  <c r="AN8" i="1"/>
  <c r="D10" i="1"/>
  <c r="F9" i="1"/>
  <c r="D9" i="1"/>
  <c r="E9" i="1"/>
  <c r="C9" i="1"/>
  <c r="B23" i="16"/>
  <c r="G24" i="16"/>
  <c r="Q21" i="16"/>
  <c r="G9" i="1"/>
  <c r="C10" i="1"/>
  <c r="F11" i="1"/>
  <c r="C11" i="1"/>
  <c r="D11" i="1"/>
  <c r="G11" i="1"/>
  <c r="E8" i="1"/>
  <c r="E10" i="1"/>
  <c r="F8" i="1"/>
  <c r="C8" i="1"/>
  <c r="B6" i="16"/>
  <c r="G8" i="16"/>
  <c r="L12" i="16"/>
  <c r="Q29" i="16" s="1"/>
  <c r="F10" i="1"/>
  <c r="G8" i="1"/>
  <c r="D8" i="1"/>
  <c r="E11" i="1"/>
  <c r="G10" i="1"/>
  <c r="AP7" i="11" l="1"/>
  <c r="AZ7" i="11" s="1"/>
  <c r="AW7" i="11" l="1"/>
  <c r="AX7" i="11" s="1"/>
  <c r="AY7" i="11" s="1"/>
  <c r="BA7" i="11" s="1"/>
  <c r="BB7" i="11" s="1"/>
  <c r="AN7" i="11" s="1"/>
  <c r="AW10" i="11"/>
  <c r="AX10" i="11" s="1"/>
  <c r="AY10" i="11" s="1"/>
  <c r="BA10" i="11" s="1"/>
  <c r="BB10" i="11" s="1"/>
  <c r="AW8" i="11"/>
  <c r="AX8" i="11" s="1"/>
  <c r="AY8" i="11" s="1"/>
  <c r="BA8" i="11" s="1"/>
  <c r="BB8" i="11" s="1"/>
  <c r="AW9" i="11"/>
  <c r="AX9" i="11" s="1"/>
  <c r="AY9" i="11" s="1"/>
  <c r="BA9" i="11" s="1"/>
  <c r="BB9" i="11" s="1"/>
  <c r="G8" i="11" l="1"/>
  <c r="C8" i="11"/>
  <c r="B26" i="16" s="1"/>
  <c r="G25" i="16" s="1"/>
  <c r="L28" i="16" s="1"/>
  <c r="Q30" i="16" s="1"/>
  <c r="W26" i="16" s="1"/>
  <c r="E8" i="11"/>
  <c r="F8" i="11"/>
  <c r="D8" i="11"/>
  <c r="AN8" i="11"/>
  <c r="G10" i="11" s="1"/>
  <c r="AN10" i="11"/>
  <c r="AN9" i="11"/>
  <c r="E9" i="11" l="1"/>
  <c r="D11" i="11"/>
  <c r="C11" i="11"/>
  <c r="F9" i="11"/>
  <c r="G9" i="11"/>
  <c r="G11" i="11"/>
  <c r="D10" i="11"/>
  <c r="E11" i="11"/>
  <c r="F10" i="11"/>
  <c r="D9" i="11"/>
  <c r="F11" i="11"/>
  <c r="C9" i="11"/>
  <c r="B11" i="16" s="1"/>
  <c r="C10" i="11"/>
  <c r="E10" i="11"/>
</calcChain>
</file>

<file path=xl/sharedStrings.xml><?xml version="1.0" encoding="utf-8"?>
<sst xmlns="http://schemas.openxmlformats.org/spreadsheetml/2006/main" count="454" uniqueCount="79">
  <si>
    <t>Información del Jugador</t>
  </si>
  <si>
    <t>Nombre</t>
  </si>
  <si>
    <t>Javiera Garreton</t>
  </si>
  <si>
    <t>Mail</t>
  </si>
  <si>
    <t>Javigarreton1119@gmail.com</t>
  </si>
  <si>
    <t>GRUPO A</t>
  </si>
  <si>
    <t>Tabla de Posiciones</t>
  </si>
  <si>
    <t>Fecha</t>
  </si>
  <si>
    <t>Partidos</t>
  </si>
  <si>
    <t>Ganador</t>
  </si>
  <si>
    <t>Orden</t>
  </si>
  <si>
    <t>Equipo</t>
  </si>
  <si>
    <t>Puntos</t>
  </si>
  <si>
    <t>DG</t>
  </si>
  <si>
    <t>GF</t>
  </si>
  <si>
    <t>GC</t>
  </si>
  <si>
    <t>Empatado Con</t>
  </si>
  <si>
    <t xml:space="preserve">Ganador? </t>
  </si>
  <si>
    <t>Formula Rank</t>
  </si>
  <si>
    <t>Formula Rank Con Duelo Directo</t>
  </si>
  <si>
    <t>Formula Rank Con Prioridad</t>
  </si>
  <si>
    <t>Posición</t>
  </si>
  <si>
    <t>Senegal</t>
  </si>
  <si>
    <t>Holanda</t>
  </si>
  <si>
    <t>Qatar</t>
  </si>
  <si>
    <t>Ecuador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</si>
  <si>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</si>
  <si>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</si>
  <si>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</si>
  <si>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</si>
  <si>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</si>
  <si>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</si>
  <si>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</si>
  <si>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</si>
  <si>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</si>
  <si>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Iran</t>
  </si>
  <si>
    <t>USA</t>
  </si>
  <si>
    <t>Gales</t>
  </si>
  <si>
    <t>GRUPO C</t>
  </si>
  <si>
    <t>Mexico</t>
  </si>
  <si>
    <t>Polonia</t>
  </si>
  <si>
    <t>Argentina</t>
  </si>
  <si>
    <t>Arabia Saudita</t>
  </si>
  <si>
    <t>GRUPO D</t>
  </si>
  <si>
    <t>Dinamarca</t>
  </si>
  <si>
    <t>Tunez</t>
  </si>
  <si>
    <t>Francia</t>
  </si>
  <si>
    <t>Australia</t>
  </si>
  <si>
    <t>GRUPO E</t>
  </si>
  <si>
    <t>Alemania</t>
  </si>
  <si>
    <t>Japon</t>
  </si>
  <si>
    <t>España</t>
  </si>
  <si>
    <t>Costa Rica</t>
  </si>
  <si>
    <t>GRUPO F</t>
  </si>
  <si>
    <t>Marruecos</t>
  </si>
  <si>
    <t>Croacia</t>
  </si>
  <si>
    <t>Belgica</t>
  </si>
  <si>
    <t>Canada</t>
  </si>
  <si>
    <t>GRUPO G</t>
  </si>
  <si>
    <t>Suiza</t>
  </si>
  <si>
    <t>Camerun</t>
  </si>
  <si>
    <t>Brasil</t>
  </si>
  <si>
    <t>Serbia</t>
  </si>
  <si>
    <t>GRUPO H</t>
  </si>
  <si>
    <t>Uruguay</t>
  </si>
  <si>
    <t>Corea</t>
  </si>
  <si>
    <t>Portugal</t>
  </si>
  <si>
    <t>Gana</t>
  </si>
  <si>
    <t>Octavos de Final</t>
  </si>
  <si>
    <t>Cuartos de Final</t>
  </si>
  <si>
    <t>Resultado</t>
  </si>
  <si>
    <t>Penales</t>
  </si>
  <si>
    <t>Semi Final</t>
  </si>
  <si>
    <t>Final</t>
  </si>
  <si>
    <t>RESULTADOS TORNEO</t>
  </si>
  <si>
    <t>CAMPEÓN</t>
  </si>
  <si>
    <t>Tercer y Cuarto Lugar</t>
  </si>
  <si>
    <t>SUB CAMPEÓN</t>
  </si>
  <si>
    <t>TERCER LUGAR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</si>
</sst>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yperlink" xfId="2" xr:uid="{00000000-000B-0000-0000-000008000000}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vigarreton1119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C4" sqref="C4:D4"/>
    </sheetView>
  </sheetViews>
  <sheetFormatPr baseColWidth="10" defaultColWidth="10.7109375" defaultRowHeight="15" x14ac:dyDescent="0.25"/>
  <sheetData>
    <row r="1" spans="2:4" ht="15.75" thickBot="1" x14ac:dyDescent="0.3"/>
    <row r="2" spans="2:4" ht="15.75" thickBot="1" x14ac:dyDescent="0.3">
      <c r="B2" s="78" t="s">
        <v>0</v>
      </c>
      <c r="C2" s="79"/>
      <c r="D2" s="80"/>
    </row>
    <row r="3" spans="2:4" x14ac:dyDescent="0.25">
      <c r="B3" s="76" t="s">
        <v>1</v>
      </c>
      <c r="C3" s="81" t="s">
        <v>2</v>
      </c>
      <c r="D3" s="82"/>
    </row>
    <row r="4" spans="2:4" ht="15.75" thickBot="1" x14ac:dyDescent="0.3">
      <c r="B4" s="77" t="s">
        <v>3</v>
      </c>
      <c r="C4" s="83" t="s">
        <v>4</v>
      </c>
      <c r="D4" s="84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:D4" r:id="rId1" display="Javigarreton1119@gmail.com" xr:uid="{7F353E0C-AA16-F042-BF92-1284E1062EB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topLeftCell="E7" workbookViewId="0">
      <selection activeCell="M12" sqref="M12"/>
    </sheetView>
  </sheetViews>
  <sheetFormatPr baseColWidth="10" defaultColWidth="11.42578125" defaultRowHeight="15" x14ac:dyDescent="0.25"/>
  <cols>
    <col min="1" max="14" width="10.7109375" customWidth="1"/>
    <col min="15" max="34" width="11.42578125" style="34"/>
    <col min="35" max="35" width="20" style="34" bestFit="1" customWidth="1"/>
    <col min="36" max="46" width="11.42578125" style="34"/>
    <col min="47" max="47" width="10.28515625" style="34" bestFit="1" customWidth="1"/>
    <col min="48" max="48" width="13.7109375" style="34" bestFit="1" customWidth="1"/>
    <col min="49" max="49" width="10.285156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5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6</v>
      </c>
      <c r="C6" s="98"/>
      <c r="D6" s="98"/>
      <c r="E6" s="98"/>
      <c r="F6" s="98"/>
      <c r="G6" s="99"/>
      <c r="J6" s="15" t="s">
        <v>7</v>
      </c>
      <c r="K6" s="100" t="s">
        <v>8</v>
      </c>
      <c r="L6" s="101"/>
      <c r="M6" s="101"/>
      <c r="N6" s="10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34">
        <v>1</v>
      </c>
      <c r="AK6" s="34">
        <v>2</v>
      </c>
      <c r="AL6" s="34" t="s">
        <v>9</v>
      </c>
      <c r="AN6" s="34" t="s">
        <v>10</v>
      </c>
      <c r="AO6" s="34" t="s">
        <v>11</v>
      </c>
      <c r="AP6" s="34" t="s">
        <v>12</v>
      </c>
      <c r="AQ6" s="34" t="s">
        <v>13</v>
      </c>
      <c r="AR6" s="34" t="s">
        <v>14</v>
      </c>
      <c r="AS6" s="34" t="s">
        <v>15</v>
      </c>
      <c r="AV6" s="34" t="s">
        <v>11</v>
      </c>
      <c r="AW6" s="34" t="s">
        <v>16</v>
      </c>
      <c r="AX6" s="34" t="s">
        <v>9</v>
      </c>
      <c r="AY6" s="34" t="s">
        <v>17</v>
      </c>
      <c r="AZ6" s="34" t="s">
        <v>18</v>
      </c>
      <c r="BA6" s="34" t="s">
        <v>19</v>
      </c>
      <c r="BB6" s="34" t="s">
        <v>20</v>
      </c>
    </row>
    <row r="7" spans="2:54" ht="15.75" thickBot="1" x14ac:dyDescent="0.3">
      <c r="B7" s="3" t="s">
        <v>21</v>
      </c>
      <c r="C7" s="4" t="s">
        <v>11</v>
      </c>
      <c r="D7" s="5" t="s">
        <v>12</v>
      </c>
      <c r="E7" s="5" t="s">
        <v>14</v>
      </c>
      <c r="F7" s="5" t="s">
        <v>15</v>
      </c>
      <c r="G7" s="6" t="s">
        <v>13</v>
      </c>
      <c r="I7" s="16">
        <v>1</v>
      </c>
      <c r="J7" s="29">
        <v>44886</v>
      </c>
      <c r="K7" s="17" t="s">
        <v>22</v>
      </c>
      <c r="L7" s="30">
        <v>0</v>
      </c>
      <c r="M7" s="31">
        <v>3</v>
      </c>
      <c r="N7" s="16" t="s">
        <v>23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24</v>
      </c>
      <c r="AP7" s="34">
        <f>SUMIF($K$7:$K$12,AO7,$AJ$7:$AJ$12) + SUMIF($N$7:$N$12,AO7,$AK$7:$AK$12)</f>
        <v>1</v>
      </c>
      <c r="AQ7" s="34">
        <f>AR7-AS7</f>
        <v>-4</v>
      </c>
      <c r="AR7" s="34">
        <f>SUMIF($K$7:$K$12,AO7,$L$7:$L$12) + SUMIF($N$7:$N$12,AO7,$M$7:$M$12)</f>
        <v>1</v>
      </c>
      <c r="AS7" s="34">
        <f>SUMIF($K$7:$K$12,AO7,$M$7:$M$12) + SUMIF($N$7:$N$12,AO7,$L$7:$L$12)</f>
        <v>5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-9960100</v>
      </c>
      <c r="BA7" s="34">
        <f>AZ7-AY7*10</f>
        <v>-9960110</v>
      </c>
      <c r="BB7" s="34">
        <f>BA7+N23</f>
        <v>-9960109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8</v>
      </c>
      <c r="F8" s="9">
        <f t="shared" si="3"/>
        <v>0</v>
      </c>
      <c r="G8" s="10">
        <f t="shared" si="3"/>
        <v>8</v>
      </c>
      <c r="I8" s="18">
        <v>2</v>
      </c>
      <c r="J8" s="19">
        <v>44886</v>
      </c>
      <c r="K8" s="20" t="s">
        <v>24</v>
      </c>
      <c r="L8" s="21">
        <v>1</v>
      </c>
      <c r="M8" s="22">
        <v>1</v>
      </c>
      <c r="N8" s="18" t="s">
        <v>25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 t="str">
        <f t="shared" si="0"/>
        <v>Qatar_Ecuador</v>
      </c>
      <c r="AJ8" s="34">
        <f t="shared" si="1"/>
        <v>1</v>
      </c>
      <c r="AK8" s="34">
        <f t="shared" ref="AK8:AK12" si="4">IF(AJ8=3,0,IF(AJ8=1,1,3))</f>
        <v>1</v>
      </c>
      <c r="AL8" s="34" t="str">
        <f t="shared" si="2"/>
        <v>SIN GANADOR</v>
      </c>
      <c r="AN8" s="34">
        <f>_xlfn.RANK.EQ(BB8,BB$7:BB$11,1)</f>
        <v>1</v>
      </c>
      <c r="AO8" s="34" t="s">
        <v>23</v>
      </c>
      <c r="AP8" s="34">
        <f>SUMIF($K$7:$K$12,AO8,$AJ$7:$AJ$12) + SUMIF($N$7:$N$12,AO8,$AK$7:$AK$12)</f>
        <v>9</v>
      </c>
      <c r="AQ8" s="34">
        <f>AR8-AS8</f>
        <v>8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0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-90080800</v>
      </c>
      <c r="BA8" s="34">
        <f t="shared" ref="BA8:BA10" si="10">AZ8-AY8*10</f>
        <v>-90080810</v>
      </c>
      <c r="BB8" s="34">
        <f>BA8+N24</f>
        <v>-90080808</v>
      </c>
    </row>
    <row r="9" spans="2:54" x14ac:dyDescent="0.25">
      <c r="B9" s="11">
        <v>2</v>
      </c>
      <c r="C9" s="12" t="str">
        <f t="shared" si="3"/>
        <v>Ecuador</v>
      </c>
      <c r="D9" s="13">
        <f t="shared" si="3"/>
        <v>4</v>
      </c>
      <c r="E9" s="13">
        <f t="shared" si="3"/>
        <v>2</v>
      </c>
      <c r="F9" s="13">
        <f t="shared" si="3"/>
        <v>3</v>
      </c>
      <c r="G9" s="14">
        <f t="shared" si="3"/>
        <v>-1</v>
      </c>
      <c r="I9" s="23">
        <f>I7+16</f>
        <v>17</v>
      </c>
      <c r="J9" s="24">
        <v>44890</v>
      </c>
      <c r="K9" s="25" t="s">
        <v>24</v>
      </c>
      <c r="L9" s="21">
        <v>0</v>
      </c>
      <c r="M9" s="22">
        <v>1</v>
      </c>
      <c r="N9" s="23" t="s">
        <v>22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3</v>
      </c>
      <c r="AO9" s="34" t="s">
        <v>22</v>
      </c>
      <c r="AP9" s="34">
        <f>SUMIF($K$7:$K$12,AO9,$AJ$7:$AJ$12) + SUMIF($N$7:$N$12,AO9,$AK$7:$AK$12)</f>
        <v>3</v>
      </c>
      <c r="AQ9" s="34">
        <f t="shared" ref="AQ9:AQ10" si="11">AR9-AS9</f>
        <v>-3</v>
      </c>
      <c r="AR9" s="34">
        <f t="shared" si="5"/>
        <v>1</v>
      </c>
      <c r="AS9" s="34">
        <f t="shared" si="6"/>
        <v>4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-29970100</v>
      </c>
      <c r="BA9" s="34">
        <f t="shared" si="10"/>
        <v>-29970110</v>
      </c>
      <c r="BB9" s="34">
        <f>BA9+N25</f>
        <v>-29970107</v>
      </c>
    </row>
    <row r="10" spans="2:54" x14ac:dyDescent="0.25">
      <c r="B10" s="48">
        <v>3</v>
      </c>
      <c r="C10" s="49" t="str">
        <f t="shared" si="3"/>
        <v>Senegal</v>
      </c>
      <c r="D10" s="50">
        <f t="shared" si="3"/>
        <v>3</v>
      </c>
      <c r="E10" s="50">
        <f t="shared" si="3"/>
        <v>1</v>
      </c>
      <c r="F10" s="50">
        <f t="shared" si="3"/>
        <v>4</v>
      </c>
      <c r="G10" s="51">
        <f t="shared" si="3"/>
        <v>-3</v>
      </c>
      <c r="I10" s="18">
        <f>I8+16</f>
        <v>18</v>
      </c>
      <c r="J10" s="19">
        <v>44890</v>
      </c>
      <c r="K10" s="20" t="s">
        <v>23</v>
      </c>
      <c r="L10" s="21">
        <v>2</v>
      </c>
      <c r="M10" s="22">
        <v>0</v>
      </c>
      <c r="N10" s="18" t="s">
        <v>25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2</v>
      </c>
      <c r="AO10" s="34" t="s">
        <v>25</v>
      </c>
      <c r="AP10" s="34">
        <f>SUMIF($K$7:$K$12,AO10,$AJ$7:$AJ$12) + SUMIF($N$7:$N$12,AO10,$AK$7:$AK$12)</f>
        <v>4</v>
      </c>
      <c r="AQ10" s="34">
        <f t="shared" si="11"/>
        <v>-1</v>
      </c>
      <c r="AR10" s="34">
        <f>SUMIF($K$7:$K$12,AO10,$L$7:$L$12) + SUMIF($N$7:$N$12,AO10,$M$7:$M$12)</f>
        <v>2</v>
      </c>
      <c r="AS10" s="34">
        <f>SUMIF($K$7:$K$12,AO10,$M$7:$M$12) + SUMIF($N$7:$N$12,AO10,$L$7:$L$12)</f>
        <v>3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-39990200</v>
      </c>
      <c r="BA10" s="34">
        <f t="shared" si="10"/>
        <v>-39990210</v>
      </c>
      <c r="BB10" s="34">
        <f>BA10+N26</f>
        <v>-39990206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1</v>
      </c>
      <c r="E11" s="54">
        <f t="shared" si="3"/>
        <v>1</v>
      </c>
      <c r="F11" s="54">
        <f t="shared" si="3"/>
        <v>5</v>
      </c>
      <c r="G11" s="55">
        <f t="shared" si="3"/>
        <v>-4</v>
      </c>
      <c r="I11" s="23">
        <f>I9+16</f>
        <v>33</v>
      </c>
      <c r="J11" s="24">
        <v>44894</v>
      </c>
      <c r="K11" s="25" t="s">
        <v>25</v>
      </c>
      <c r="L11" s="21">
        <v>1</v>
      </c>
      <c r="M11" s="22">
        <v>0</v>
      </c>
      <c r="N11" s="23" t="s">
        <v>22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 t="str">
        <f t="shared" si="0"/>
        <v>Ecuador_Senegal</v>
      </c>
      <c r="AJ11" s="34">
        <f t="shared" si="1"/>
        <v>3</v>
      </c>
      <c r="AK11" s="34">
        <f t="shared" si="4"/>
        <v>0</v>
      </c>
      <c r="AL11" s="34" t="str">
        <f t="shared" si="2"/>
        <v>Ecuador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23</v>
      </c>
      <c r="L12" s="32">
        <v>3</v>
      </c>
      <c r="M12" s="33">
        <v>0</v>
      </c>
      <c r="N12" s="26" t="s">
        <v>24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26</v>
      </c>
      <c r="C22" s="37"/>
      <c r="D22" s="37"/>
      <c r="E22" s="37"/>
      <c r="F22" s="37"/>
      <c r="G22" s="37"/>
      <c r="H22" s="38"/>
      <c r="I22" s="34">
        <v>1</v>
      </c>
      <c r="J22" s="78" t="s">
        <v>27</v>
      </c>
      <c r="K22" s="79"/>
      <c r="L22" s="79"/>
      <c r="M22" s="80"/>
    </row>
    <row r="23" spans="2:14" x14ac:dyDescent="0.25">
      <c r="B23" s="39" t="s">
        <v>28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24</v>
      </c>
      <c r="K23" s="104"/>
      <c r="L23" s="105"/>
      <c r="M23" s="42">
        <v>1</v>
      </c>
      <c r="N23" s="35">
        <f>IF(J23="",0,M23)</f>
        <v>1</v>
      </c>
    </row>
    <row r="24" spans="2:14" x14ac:dyDescent="0.25">
      <c r="B24" s="39" t="s">
        <v>29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23</v>
      </c>
      <c r="K24" s="86"/>
      <c r="L24" s="87"/>
      <c r="M24" s="43">
        <v>2</v>
      </c>
      <c r="N24" s="35">
        <f>IF(J24="",0,M24)</f>
        <v>2</v>
      </c>
    </row>
    <row r="25" spans="2:14" x14ac:dyDescent="0.25">
      <c r="B25" s="39" t="s">
        <v>30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22</v>
      </c>
      <c r="K25" s="86"/>
      <c r="L25" s="87"/>
      <c r="M25" s="43">
        <v>3</v>
      </c>
      <c r="N25" s="35">
        <f>IF(J25="",0,M25)</f>
        <v>3</v>
      </c>
    </row>
    <row r="26" spans="2:14" ht="15.75" thickBot="1" x14ac:dyDescent="0.3">
      <c r="B26" s="39" t="s">
        <v>31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25</v>
      </c>
      <c r="K26" s="89"/>
      <c r="L26" s="90"/>
      <c r="M26" s="44">
        <v>4</v>
      </c>
      <c r="N26" s="35">
        <f>IF(J26="",0,M26)</f>
        <v>4</v>
      </c>
    </row>
    <row r="27" spans="2:14" x14ac:dyDescent="0.25">
      <c r="B27" s="39" t="s">
        <v>32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topLeftCell="J1" workbookViewId="0">
      <selection activeCell="O14" sqref="O14"/>
    </sheetView>
  </sheetViews>
  <sheetFormatPr baseColWidth="10" defaultColWidth="11.42578125" defaultRowHeight="15" x14ac:dyDescent="0.25"/>
  <cols>
    <col min="1" max="14" width="10.7109375" customWidth="1"/>
    <col min="35" max="35" width="20" style="34" bestFit="1" customWidth="1"/>
    <col min="36" max="46" width="11.42578125" style="34"/>
    <col min="47" max="47" width="10.28515625" style="34" bestFit="1" customWidth="1"/>
    <col min="48" max="48" width="13.7109375" style="34" bestFit="1" customWidth="1"/>
    <col min="49" max="49" width="10.285156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33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6</v>
      </c>
      <c r="C6" s="98"/>
      <c r="D6" s="98"/>
      <c r="E6" s="98"/>
      <c r="F6" s="98"/>
      <c r="G6" s="99"/>
      <c r="J6" s="15" t="s">
        <v>7</v>
      </c>
      <c r="K6" s="100" t="s">
        <v>8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9</v>
      </c>
      <c r="AN6" s="34" t="s">
        <v>10</v>
      </c>
      <c r="AO6" s="34" t="s">
        <v>11</v>
      </c>
      <c r="AP6" s="34" t="s">
        <v>12</v>
      </c>
      <c r="AQ6" s="34" t="s">
        <v>13</v>
      </c>
      <c r="AR6" s="34" t="s">
        <v>14</v>
      </c>
      <c r="AS6" s="34" t="s">
        <v>15</v>
      </c>
      <c r="AV6" s="34" t="s">
        <v>11</v>
      </c>
      <c r="AW6" s="34" t="s">
        <v>16</v>
      </c>
      <c r="AX6" s="34" t="s">
        <v>9</v>
      </c>
      <c r="AY6" s="34" t="s">
        <v>17</v>
      </c>
      <c r="AZ6" s="34" t="s">
        <v>18</v>
      </c>
      <c r="BA6" s="34" t="s">
        <v>19</v>
      </c>
      <c r="BB6" s="34" t="s">
        <v>20</v>
      </c>
    </row>
    <row r="7" spans="2:54" ht="15.75" thickBot="1" x14ac:dyDescent="0.3">
      <c r="B7" s="3" t="s">
        <v>21</v>
      </c>
      <c r="C7" s="4" t="s">
        <v>11</v>
      </c>
      <c r="D7" s="5" t="s">
        <v>12</v>
      </c>
      <c r="E7" s="5" t="s">
        <v>14</v>
      </c>
      <c r="F7" s="5" t="s">
        <v>15</v>
      </c>
      <c r="G7" s="6" t="s">
        <v>13</v>
      </c>
      <c r="I7" s="16">
        <v>3</v>
      </c>
      <c r="J7" s="29">
        <v>44886</v>
      </c>
      <c r="K7" s="17" t="s">
        <v>34</v>
      </c>
      <c r="L7" s="30">
        <v>4</v>
      </c>
      <c r="M7" s="31">
        <v>0</v>
      </c>
      <c r="N7" s="16" t="s">
        <v>35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34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7</v>
      </c>
      <c r="AS7" s="34">
        <f>SUMIF($K$7:$K$12,AO7,$M$7:$M$12) + SUMIF($N$7:$N$12,AO7,$L$7:$L$12)</f>
        <v>0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-90070700</v>
      </c>
      <c r="BA7" s="34">
        <f>AZ7-AY7*10</f>
        <v>-90070710</v>
      </c>
      <c r="BB7" s="34">
        <f>BA7+N23</f>
        <v>-90070709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7</v>
      </c>
      <c r="F8" s="9">
        <f t="shared" si="0"/>
        <v>0</v>
      </c>
      <c r="G8" s="10">
        <f t="shared" si="0"/>
        <v>7</v>
      </c>
      <c r="I8" s="18">
        <v>4</v>
      </c>
      <c r="J8" s="19">
        <v>44886</v>
      </c>
      <c r="K8" s="20" t="s">
        <v>36</v>
      </c>
      <c r="L8" s="21">
        <v>1</v>
      </c>
      <c r="M8" s="22">
        <v>2</v>
      </c>
      <c r="N8" s="18" t="s">
        <v>37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USA_Gales</v>
      </c>
      <c r="AJ8" s="34">
        <f t="shared" ref="AJ8:AJ12" si="2">IF(L8&gt;M8,3,IF(L8&lt;M8,0,1))</f>
        <v>0</v>
      </c>
      <c r="AK8" s="34">
        <f t="shared" ref="AK8:AK12" si="3">IF(AJ8=3,0,IF(AJ8=1,1,3))</f>
        <v>3</v>
      </c>
      <c r="AL8" s="34" t="str">
        <f t="shared" ref="AL8:AL12" si="4">IF(AJ8&gt;AK8,K8,IF(AK8&gt;AJ8,N8,"SIN GANADOR"))</f>
        <v>Gales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3</v>
      </c>
      <c r="AQ8" s="34">
        <f>AR8-AS8</f>
        <v>-1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-29990300</v>
      </c>
      <c r="BA8" s="34">
        <f t="shared" ref="BA8:BA10" si="10">AZ8-AY8*10</f>
        <v>-29990310</v>
      </c>
      <c r="BB8" s="34">
        <f>BA8+N24</f>
        <v>-29990308</v>
      </c>
    </row>
    <row r="9" spans="2:54" x14ac:dyDescent="0.25">
      <c r="B9" s="11">
        <v>2</v>
      </c>
      <c r="C9" s="12" t="str">
        <f t="shared" si="0"/>
        <v>Gales</v>
      </c>
      <c r="D9" s="13">
        <f t="shared" si="0"/>
        <v>6</v>
      </c>
      <c r="E9" s="13">
        <f t="shared" si="0"/>
        <v>3</v>
      </c>
      <c r="F9" s="13">
        <f t="shared" si="0"/>
        <v>3</v>
      </c>
      <c r="G9" s="14">
        <f t="shared" si="0"/>
        <v>0</v>
      </c>
      <c r="I9" s="23">
        <f>I7+16</f>
        <v>19</v>
      </c>
      <c r="J9" s="24">
        <v>44890</v>
      </c>
      <c r="K9" s="25" t="s">
        <v>37</v>
      </c>
      <c r="L9" s="21">
        <v>1</v>
      </c>
      <c r="M9" s="22">
        <v>0</v>
      </c>
      <c r="N9" s="23" t="s">
        <v>35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35</v>
      </c>
      <c r="AP9" s="34">
        <f>SUMIF($K$7:$K$12,AO9,$AJ$7:$AJ$12) + SUMIF($N$7:$N$12,AO9,$AK$7:$AK$12)</f>
        <v>0</v>
      </c>
      <c r="AQ9" s="34">
        <f t="shared" ref="AQ9:AQ10" si="11">AR9-AS9</f>
        <v>-6</v>
      </c>
      <c r="AR9" s="34">
        <f t="shared" si="5"/>
        <v>1</v>
      </c>
      <c r="AS9" s="34">
        <f t="shared" si="6"/>
        <v>7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59900</v>
      </c>
      <c r="BA9" s="34">
        <f t="shared" si="10"/>
        <v>59890</v>
      </c>
      <c r="BB9" s="34">
        <f>BA9+N25</f>
        <v>59893</v>
      </c>
    </row>
    <row r="10" spans="2:54" x14ac:dyDescent="0.25">
      <c r="B10" s="48">
        <v>3</v>
      </c>
      <c r="C10" s="49" t="str">
        <f t="shared" si="0"/>
        <v>USA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20</v>
      </c>
      <c r="J10" s="19">
        <v>44890</v>
      </c>
      <c r="K10" s="20" t="s">
        <v>34</v>
      </c>
      <c r="L10" s="21">
        <v>1</v>
      </c>
      <c r="M10" s="22">
        <v>0</v>
      </c>
      <c r="N10" s="18" t="s">
        <v>36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37</v>
      </c>
      <c r="AP10" s="34">
        <f>SUMIF($K$7:$K$12,AO10,$AJ$7:$AJ$12) + SUMIF($N$7:$N$12,AO10,$AK$7:$AK$12)</f>
        <v>6</v>
      </c>
      <c r="AQ10" s="34">
        <f t="shared" si="11"/>
        <v>0</v>
      </c>
      <c r="AR10" s="34">
        <f>SUMIF($K$7:$K$12,AO10,$L$7:$L$12) + SUMIF($N$7:$N$12,AO10,$M$7:$M$12)</f>
        <v>3</v>
      </c>
      <c r="AS10" s="34">
        <f>SUMIF($K$7:$K$12,AO10,$M$7:$M$12) + SUMIF($N$7:$N$12,AO10,$L$7:$L$12)</f>
        <v>3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-60000300</v>
      </c>
      <c r="BA10" s="34">
        <f t="shared" si="10"/>
        <v>-60000310</v>
      </c>
      <c r="BB10" s="34">
        <f>BA10+N26</f>
        <v>-60000306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35</v>
      </c>
      <c r="J11" s="24">
        <v>44894</v>
      </c>
      <c r="K11" s="25" t="s">
        <v>37</v>
      </c>
      <c r="L11" s="21">
        <v>0</v>
      </c>
      <c r="M11" s="22">
        <v>2</v>
      </c>
      <c r="N11" s="23" t="s">
        <v>34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.75" thickBot="1" x14ac:dyDescent="0.3">
      <c r="I12" s="26">
        <f>I10+16</f>
        <v>36</v>
      </c>
      <c r="J12" s="27">
        <v>44894</v>
      </c>
      <c r="K12" s="28" t="s">
        <v>35</v>
      </c>
      <c r="L12" s="32">
        <v>1</v>
      </c>
      <c r="M12" s="33">
        <v>2</v>
      </c>
      <c r="N12" s="26" t="s">
        <v>36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26</v>
      </c>
      <c r="C22" s="37"/>
      <c r="D22" s="37"/>
      <c r="E22" s="37"/>
      <c r="F22" s="37"/>
      <c r="G22" s="37"/>
      <c r="H22" s="38"/>
      <c r="I22" s="34">
        <v>1</v>
      </c>
      <c r="J22" s="78" t="s">
        <v>27</v>
      </c>
      <c r="K22" s="79"/>
      <c r="L22" s="79"/>
      <c r="M22" s="80"/>
    </row>
    <row r="23" spans="2:34" x14ac:dyDescent="0.25">
      <c r="B23" s="39" t="s">
        <v>28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34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29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36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30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35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31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37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32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topLeftCell="J1" workbookViewId="0">
      <selection activeCell="L12" sqref="L12"/>
    </sheetView>
  </sheetViews>
  <sheetFormatPr baseColWidth="10" defaultColWidth="11.42578125" defaultRowHeight="15" x14ac:dyDescent="0.25"/>
  <cols>
    <col min="1" max="2" width="10.7109375" customWidth="1"/>
    <col min="3" max="3" width="13.7109375" bestFit="1" customWidth="1"/>
    <col min="4" max="10" width="10.7109375"/>
    <col min="11" max="11" width="13.7109375" bestFit="1" customWidth="1"/>
    <col min="12" max="13" width="10.7109375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28515625" style="34" bestFit="1" customWidth="1"/>
    <col min="48" max="48" width="13.7109375" style="34" bestFit="1" customWidth="1"/>
    <col min="49" max="49" width="10.285156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38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6</v>
      </c>
      <c r="C6" s="98"/>
      <c r="D6" s="98"/>
      <c r="E6" s="98"/>
      <c r="F6" s="98"/>
      <c r="G6" s="99"/>
      <c r="J6" s="15" t="s">
        <v>7</v>
      </c>
      <c r="K6" s="100" t="s">
        <v>8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9</v>
      </c>
      <c r="AN6" s="34" t="s">
        <v>10</v>
      </c>
      <c r="AO6" s="34" t="s">
        <v>11</v>
      </c>
      <c r="AP6" s="34" t="s">
        <v>12</v>
      </c>
      <c r="AQ6" s="34" t="s">
        <v>13</v>
      </c>
      <c r="AR6" s="34" t="s">
        <v>14</v>
      </c>
      <c r="AS6" s="34" t="s">
        <v>15</v>
      </c>
      <c r="AV6" s="34" t="s">
        <v>11</v>
      </c>
      <c r="AW6" s="34" t="s">
        <v>16</v>
      </c>
      <c r="AX6" s="34" t="s">
        <v>9</v>
      </c>
      <c r="AY6" s="34" t="s">
        <v>17</v>
      </c>
      <c r="AZ6" s="34" t="s">
        <v>18</v>
      </c>
      <c r="BA6" s="34" t="s">
        <v>19</v>
      </c>
      <c r="BB6" s="34" t="s">
        <v>20</v>
      </c>
    </row>
    <row r="7" spans="2:54" ht="15.75" thickBot="1" x14ac:dyDescent="0.3">
      <c r="B7" s="3" t="s">
        <v>21</v>
      </c>
      <c r="C7" s="4" t="s">
        <v>11</v>
      </c>
      <c r="D7" s="5" t="s">
        <v>12</v>
      </c>
      <c r="E7" s="5" t="s">
        <v>14</v>
      </c>
      <c r="F7" s="5" t="s">
        <v>15</v>
      </c>
      <c r="G7" s="6" t="s">
        <v>13</v>
      </c>
      <c r="I7" s="16">
        <v>5</v>
      </c>
      <c r="J7" s="29">
        <v>44887</v>
      </c>
      <c r="K7" s="17" t="s">
        <v>39</v>
      </c>
      <c r="L7" s="30">
        <v>1</v>
      </c>
      <c r="M7" s="31">
        <v>1</v>
      </c>
      <c r="N7" s="16" t="s">
        <v>40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41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8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-90060800</v>
      </c>
      <c r="BA7" s="34">
        <f>AZ7-AY7*10</f>
        <v>-90060810</v>
      </c>
      <c r="BB7" s="34">
        <f>BA7+N23</f>
        <v>-90060809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6</v>
      </c>
      <c r="J8" s="19">
        <v>44887</v>
      </c>
      <c r="K8" s="20" t="s">
        <v>41</v>
      </c>
      <c r="L8" s="21">
        <v>3</v>
      </c>
      <c r="M8" s="22">
        <v>0</v>
      </c>
      <c r="N8" s="18" t="s">
        <v>42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2</v>
      </c>
      <c r="AO8" s="34" t="s">
        <v>39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-40000400</v>
      </c>
      <c r="BA8" s="34">
        <f t="shared" ref="BA8:BA10" si="10">AZ8-AY8*10</f>
        <v>-40000410</v>
      </c>
      <c r="BB8" s="34">
        <f>BA8+N24</f>
        <v>-40000408</v>
      </c>
    </row>
    <row r="9" spans="2:54" x14ac:dyDescent="0.25">
      <c r="B9" s="11">
        <v>2</v>
      </c>
      <c r="C9" s="12" t="str">
        <f t="shared" si="0"/>
        <v>Mexico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21</v>
      </c>
      <c r="J9" s="24">
        <v>44891</v>
      </c>
      <c r="K9" s="25" t="s">
        <v>40</v>
      </c>
      <c r="L9" s="21">
        <v>1</v>
      </c>
      <c r="M9" s="22">
        <v>0</v>
      </c>
      <c r="N9" s="23" t="s">
        <v>42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3</v>
      </c>
      <c r="AO9" s="34" t="s">
        <v>40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-39990300</v>
      </c>
      <c r="BA9" s="34">
        <f t="shared" si="10"/>
        <v>-39990310</v>
      </c>
      <c r="BB9" s="34">
        <f>BA9+N25</f>
        <v>-39990307</v>
      </c>
    </row>
    <row r="10" spans="2:54" x14ac:dyDescent="0.25">
      <c r="B10" s="48">
        <v>3</v>
      </c>
      <c r="C10" s="49" t="str">
        <f t="shared" si="0"/>
        <v>Polonia</v>
      </c>
      <c r="D10" s="50">
        <f t="shared" si="0"/>
        <v>4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22</v>
      </c>
      <c r="J10" s="19">
        <v>44891</v>
      </c>
      <c r="K10" s="20" t="s">
        <v>41</v>
      </c>
      <c r="L10" s="21">
        <v>2</v>
      </c>
      <c r="M10" s="22">
        <v>1</v>
      </c>
      <c r="N10" s="18" t="s">
        <v>39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42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49894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37</v>
      </c>
      <c r="J11" s="24">
        <v>44895</v>
      </c>
      <c r="K11" s="25" t="s">
        <v>40</v>
      </c>
      <c r="L11" s="21">
        <v>1</v>
      </c>
      <c r="M11" s="22">
        <v>3</v>
      </c>
      <c r="N11" s="23" t="s">
        <v>41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42</v>
      </c>
      <c r="L12" s="32">
        <v>1</v>
      </c>
      <c r="M12" s="33">
        <v>2</v>
      </c>
      <c r="N12" s="26" t="s">
        <v>39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26</v>
      </c>
      <c r="C22" s="37"/>
      <c r="D22" s="37"/>
      <c r="E22" s="37"/>
      <c r="F22" s="37"/>
      <c r="G22" s="37"/>
      <c r="H22" s="38"/>
      <c r="I22" s="34">
        <v>1</v>
      </c>
      <c r="J22" s="78" t="s">
        <v>27</v>
      </c>
      <c r="K22" s="79"/>
      <c r="L22" s="79"/>
      <c r="M22" s="80"/>
    </row>
    <row r="23" spans="2:34" x14ac:dyDescent="0.25">
      <c r="B23" s="39" t="s">
        <v>28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41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29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39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30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40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31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42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32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topLeftCell="B3" workbookViewId="0">
      <selection activeCell="M8" sqref="M8"/>
    </sheetView>
  </sheetViews>
  <sheetFormatPr baseColWidth="10" defaultColWidth="11.42578125" defaultRowHeight="15" x14ac:dyDescent="0.25"/>
  <cols>
    <col min="1" max="2" width="10.7109375" customWidth="1"/>
    <col min="3" max="3" width="13.7109375" bestFit="1" customWidth="1"/>
    <col min="4" max="10" width="10.7109375"/>
    <col min="11" max="11" width="13.7109375" bestFit="1" customWidth="1"/>
    <col min="12" max="13" width="10.7109375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28515625" style="34" bestFit="1" customWidth="1"/>
    <col min="48" max="48" width="13.7109375" style="34" bestFit="1" customWidth="1"/>
    <col min="49" max="49" width="10.285156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43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6</v>
      </c>
      <c r="C6" s="98"/>
      <c r="D6" s="98"/>
      <c r="E6" s="98"/>
      <c r="F6" s="98"/>
      <c r="G6" s="99"/>
      <c r="J6" s="15" t="s">
        <v>7</v>
      </c>
      <c r="K6" s="100" t="s">
        <v>8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9</v>
      </c>
      <c r="AN6" s="34" t="s">
        <v>10</v>
      </c>
      <c r="AO6" s="34" t="s">
        <v>11</v>
      </c>
      <c r="AP6" s="34" t="s">
        <v>12</v>
      </c>
      <c r="AQ6" s="34" t="s">
        <v>13</v>
      </c>
      <c r="AR6" s="34" t="s">
        <v>14</v>
      </c>
      <c r="AS6" s="34" t="s">
        <v>15</v>
      </c>
      <c r="AV6" s="34" t="s">
        <v>11</v>
      </c>
      <c r="AW6" s="34" t="s">
        <v>16</v>
      </c>
      <c r="AX6" s="34" t="s">
        <v>9</v>
      </c>
      <c r="AY6" s="34" t="s">
        <v>17</v>
      </c>
      <c r="AZ6" s="34" t="s">
        <v>18</v>
      </c>
      <c r="BA6" s="34" t="s">
        <v>19</v>
      </c>
      <c r="BB6" s="34" t="s">
        <v>20</v>
      </c>
    </row>
    <row r="7" spans="2:54" ht="15.75" thickBot="1" x14ac:dyDescent="0.3">
      <c r="B7" s="3" t="s">
        <v>21</v>
      </c>
      <c r="C7" s="4" t="s">
        <v>11</v>
      </c>
      <c r="D7" s="5" t="s">
        <v>12</v>
      </c>
      <c r="E7" s="5" t="s">
        <v>14</v>
      </c>
      <c r="F7" s="5" t="s">
        <v>15</v>
      </c>
      <c r="G7" s="6" t="s">
        <v>13</v>
      </c>
      <c r="I7" s="16">
        <v>7</v>
      </c>
      <c r="J7" s="29">
        <v>44887</v>
      </c>
      <c r="K7" s="17" t="s">
        <v>44</v>
      </c>
      <c r="L7" s="30">
        <v>2</v>
      </c>
      <c r="M7" s="31">
        <v>0</v>
      </c>
      <c r="N7" s="16" t="s">
        <v>45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46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6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-90050600</v>
      </c>
      <c r="BA7" s="34">
        <f>AZ7-AY7*10</f>
        <v>-90050610</v>
      </c>
      <c r="BB7" s="34">
        <f>BA7+N23</f>
        <v>-90050609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8</v>
      </c>
      <c r="J8" s="19">
        <v>44887</v>
      </c>
      <c r="K8" s="20" t="s">
        <v>46</v>
      </c>
      <c r="L8" s="21">
        <v>2</v>
      </c>
      <c r="M8" s="22">
        <v>0</v>
      </c>
      <c r="N8" s="18" t="s">
        <v>47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44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-60020400</v>
      </c>
      <c r="BA8" s="34">
        <f t="shared" ref="BA8:BA10" si="10">AZ8-AY8*10</f>
        <v>-60020410</v>
      </c>
      <c r="BB8" s="34">
        <f>BA8+N24</f>
        <v>-60020408</v>
      </c>
    </row>
    <row r="9" spans="2:54" x14ac:dyDescent="0.25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23</v>
      </c>
      <c r="J9" s="24">
        <v>44891</v>
      </c>
      <c r="K9" s="25" t="s">
        <v>45</v>
      </c>
      <c r="L9" s="21">
        <v>1</v>
      </c>
      <c r="M9" s="22">
        <v>1</v>
      </c>
      <c r="N9" s="23" t="s">
        <v>47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45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-9960100</v>
      </c>
      <c r="BA9" s="34">
        <f t="shared" si="10"/>
        <v>-9960110</v>
      </c>
      <c r="BB9" s="34">
        <f>BA9+N25</f>
        <v>-9960107</v>
      </c>
    </row>
    <row r="10" spans="2:54" x14ac:dyDescent="0.25">
      <c r="B10" s="48">
        <v>3</v>
      </c>
      <c r="C10" s="49" t="str">
        <f t="shared" si="0"/>
        <v>Australia</v>
      </c>
      <c r="D10" s="50">
        <f t="shared" si="0"/>
        <v>1</v>
      </c>
      <c r="E10" s="50">
        <f t="shared" si="0"/>
        <v>1</v>
      </c>
      <c r="F10" s="50">
        <f t="shared" si="0"/>
        <v>4</v>
      </c>
      <c r="G10" s="51">
        <f t="shared" si="0"/>
        <v>-3</v>
      </c>
      <c r="I10" s="18">
        <f>I8+16</f>
        <v>24</v>
      </c>
      <c r="J10" s="19">
        <v>44891</v>
      </c>
      <c r="K10" s="20" t="s">
        <v>46</v>
      </c>
      <c r="L10" s="21">
        <v>2</v>
      </c>
      <c r="M10" s="22">
        <v>1</v>
      </c>
      <c r="N10" s="18" t="s">
        <v>44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3</v>
      </c>
      <c r="AO10" s="34" t="s">
        <v>47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1</v>
      </c>
      <c r="AS10" s="34">
        <f>SUMIF($K$7:$K$12,AO10,$M$7:$M$12) + SUMIF($N$7:$N$12,AO10,$L$7:$L$12)</f>
        <v>4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-9970100</v>
      </c>
      <c r="BA10" s="34">
        <f t="shared" si="10"/>
        <v>-9970110</v>
      </c>
      <c r="BB10" s="34">
        <f>BA10+N26</f>
        <v>-9970106</v>
      </c>
    </row>
    <row r="11" spans="2:54" ht="15.75" thickBot="1" x14ac:dyDescent="0.3">
      <c r="B11" s="52">
        <v>4</v>
      </c>
      <c r="C11" s="53" t="str">
        <f t="shared" si="0"/>
        <v>Tunez</v>
      </c>
      <c r="D11" s="54">
        <f t="shared" si="0"/>
        <v>1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39</v>
      </c>
      <c r="J11" s="24">
        <v>44895</v>
      </c>
      <c r="K11" s="25" t="s">
        <v>45</v>
      </c>
      <c r="L11" s="21">
        <v>0</v>
      </c>
      <c r="M11" s="22">
        <v>2</v>
      </c>
      <c r="N11" s="23" t="s">
        <v>46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47</v>
      </c>
      <c r="L12" s="32">
        <v>0</v>
      </c>
      <c r="M12" s="33">
        <v>1</v>
      </c>
      <c r="N12" s="26" t="s">
        <v>44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26</v>
      </c>
      <c r="C22" s="37"/>
      <c r="D22" s="37"/>
      <c r="E22" s="37"/>
      <c r="F22" s="37"/>
      <c r="G22" s="37"/>
      <c r="H22" s="38"/>
      <c r="I22" s="34">
        <v>1</v>
      </c>
      <c r="J22" s="78" t="s">
        <v>27</v>
      </c>
      <c r="K22" s="79"/>
      <c r="L22" s="79"/>
      <c r="M22" s="80"/>
    </row>
    <row r="23" spans="2:34" x14ac:dyDescent="0.25">
      <c r="B23" s="39" t="s">
        <v>28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46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29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44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30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45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31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47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32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topLeftCell="C1" workbookViewId="0">
      <selection activeCell="M12" sqref="M12"/>
    </sheetView>
  </sheetViews>
  <sheetFormatPr baseColWidth="10" defaultColWidth="11.42578125" defaultRowHeight="15" x14ac:dyDescent="0.25"/>
  <cols>
    <col min="1" max="2" width="10.7109375" customWidth="1"/>
    <col min="3" max="3" width="13.7109375" bestFit="1" customWidth="1"/>
    <col min="4" max="10" width="10.7109375"/>
    <col min="11" max="11" width="13.7109375" bestFit="1" customWidth="1"/>
    <col min="12" max="13" width="10.7109375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28515625" style="34" bestFit="1" customWidth="1"/>
    <col min="48" max="48" width="13.7109375" style="34" bestFit="1" customWidth="1"/>
    <col min="49" max="49" width="10.285156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48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6</v>
      </c>
      <c r="C6" s="98"/>
      <c r="D6" s="98"/>
      <c r="E6" s="98"/>
      <c r="F6" s="98"/>
      <c r="G6" s="99"/>
      <c r="J6" s="15" t="s">
        <v>7</v>
      </c>
      <c r="K6" s="100" t="s">
        <v>8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9</v>
      </c>
      <c r="AN6" s="34" t="s">
        <v>10</v>
      </c>
      <c r="AO6" s="34" t="s">
        <v>11</v>
      </c>
      <c r="AP6" s="34" t="s">
        <v>12</v>
      </c>
      <c r="AQ6" s="34" t="s">
        <v>13</v>
      </c>
      <c r="AR6" s="34" t="s">
        <v>14</v>
      </c>
      <c r="AS6" s="34" t="s">
        <v>15</v>
      </c>
      <c r="AV6" s="34" t="s">
        <v>11</v>
      </c>
      <c r="AW6" s="34" t="s">
        <v>16</v>
      </c>
      <c r="AX6" s="34" t="s">
        <v>9</v>
      </c>
      <c r="AY6" s="34" t="s">
        <v>17</v>
      </c>
      <c r="AZ6" s="34" t="s">
        <v>18</v>
      </c>
      <c r="BA6" s="34" t="s">
        <v>19</v>
      </c>
      <c r="BB6" s="34" t="s">
        <v>20</v>
      </c>
    </row>
    <row r="7" spans="2:54" ht="15.75" thickBot="1" x14ac:dyDescent="0.3">
      <c r="B7" s="3" t="s">
        <v>21</v>
      </c>
      <c r="C7" s="4" t="s">
        <v>11</v>
      </c>
      <c r="D7" s="5" t="s">
        <v>12</v>
      </c>
      <c r="E7" s="5" t="s">
        <v>14</v>
      </c>
      <c r="F7" s="5" t="s">
        <v>15</v>
      </c>
      <c r="G7" s="6" t="s">
        <v>13</v>
      </c>
      <c r="I7" s="16">
        <v>9</v>
      </c>
      <c r="J7" s="29">
        <v>44888</v>
      </c>
      <c r="K7" s="17" t="s">
        <v>49</v>
      </c>
      <c r="L7" s="30">
        <v>2</v>
      </c>
      <c r="M7" s="31">
        <v>1</v>
      </c>
      <c r="N7" s="16" t="s">
        <v>50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51</v>
      </c>
      <c r="AP7" s="34">
        <f>SUMIF($K$7:$K$12,AO7,$AJ$7:$AJ$12) + SUMIF($N$7:$N$12,AO7,$AK$7:$AK$12)</f>
        <v>4</v>
      </c>
      <c r="AQ7" s="34">
        <f>AR7-AS7</f>
        <v>0</v>
      </c>
      <c r="AR7" s="34">
        <f>SUMIF($K$7:$K$12,AO7,$L$7:$L$12) + SUMIF($N$7:$N$12,AO7,$M$7:$M$12)</f>
        <v>2</v>
      </c>
      <c r="AS7" s="34">
        <f>SUMIF($K$7:$K$12,AO7,$M$7:$M$12) + SUMIF($N$7:$N$12,AO7,$L$7:$L$12)</f>
        <v>2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-40000200</v>
      </c>
      <c r="BA7" s="34">
        <f>AZ7-AY7*10</f>
        <v>-40000210</v>
      </c>
      <c r="BB7" s="34">
        <f>BA7+N23</f>
        <v>-40000209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10</v>
      </c>
      <c r="J8" s="19">
        <v>44888</v>
      </c>
      <c r="K8" s="20" t="s">
        <v>51</v>
      </c>
      <c r="L8" s="21">
        <v>1</v>
      </c>
      <c r="M8" s="22">
        <v>0</v>
      </c>
      <c r="N8" s="18" t="s">
        <v>52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49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-90050600</v>
      </c>
      <c r="BA8" s="34">
        <f t="shared" ref="BA8:BA10" si="10">AZ8-AY8*10</f>
        <v>-90050610</v>
      </c>
      <c r="BB8" s="34">
        <f>BA8+N24</f>
        <v>-90050608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4</v>
      </c>
      <c r="E9" s="13">
        <f t="shared" si="0"/>
        <v>2</v>
      </c>
      <c r="F9" s="13">
        <f t="shared" si="0"/>
        <v>2</v>
      </c>
      <c r="G9" s="14">
        <f t="shared" si="0"/>
        <v>0</v>
      </c>
      <c r="I9" s="23">
        <f>I7+16</f>
        <v>25</v>
      </c>
      <c r="J9" s="24">
        <v>44892</v>
      </c>
      <c r="K9" s="25" t="s">
        <v>50</v>
      </c>
      <c r="L9" s="21">
        <v>0</v>
      </c>
      <c r="M9" s="22">
        <v>0</v>
      </c>
      <c r="N9" s="23" t="s">
        <v>52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Japon_Costa Rica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2</v>
      </c>
      <c r="AQ9" s="34">
        <f t="shared" ref="AQ9:AQ10" si="11">AR9-AS9</f>
        <v>-1</v>
      </c>
      <c r="AR9" s="34">
        <f t="shared" si="5"/>
        <v>2</v>
      </c>
      <c r="AS9" s="34">
        <f t="shared" si="6"/>
        <v>3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-19990200</v>
      </c>
      <c r="BA9" s="34">
        <f t="shared" si="10"/>
        <v>-19990210</v>
      </c>
      <c r="BB9" s="34">
        <f>BA9+N25</f>
        <v>-19990207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2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26</v>
      </c>
      <c r="J10" s="19">
        <v>44892</v>
      </c>
      <c r="K10" s="20" t="s">
        <v>51</v>
      </c>
      <c r="L10" s="21">
        <v>0</v>
      </c>
      <c r="M10" s="22">
        <v>1</v>
      </c>
      <c r="N10" s="18" t="s">
        <v>49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4</v>
      </c>
      <c r="AO10" s="34" t="s">
        <v>52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0</v>
      </c>
      <c r="AS10" s="34">
        <f>SUMIF($K$7:$K$12,AO10,$M$7:$M$12) + SUMIF($N$7:$N$12,AO10,$L$7:$L$12)</f>
        <v>4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-9960000</v>
      </c>
      <c r="BA10" s="34">
        <f t="shared" si="10"/>
        <v>-9960010</v>
      </c>
      <c r="BB10" s="34">
        <f>BA10+N26</f>
        <v>-9960006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1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41</v>
      </c>
      <c r="J11" s="24">
        <v>44896</v>
      </c>
      <c r="K11" s="25" t="s">
        <v>50</v>
      </c>
      <c r="L11" s="21">
        <v>1</v>
      </c>
      <c r="M11" s="22">
        <v>1</v>
      </c>
      <c r="N11" s="23" t="s">
        <v>51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Japon_España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42</v>
      </c>
      <c r="J12" s="27">
        <v>44896</v>
      </c>
      <c r="K12" s="28" t="s">
        <v>52</v>
      </c>
      <c r="L12" s="32">
        <v>0</v>
      </c>
      <c r="M12" s="33">
        <v>3</v>
      </c>
      <c r="N12" s="26" t="s">
        <v>49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26</v>
      </c>
      <c r="C22" s="37"/>
      <c r="D22" s="37"/>
      <c r="E22" s="37"/>
      <c r="F22" s="37"/>
      <c r="G22" s="37"/>
      <c r="H22" s="38"/>
      <c r="I22" s="34">
        <v>1</v>
      </c>
      <c r="J22" s="78" t="s">
        <v>27</v>
      </c>
      <c r="K22" s="79"/>
      <c r="L22" s="79"/>
      <c r="M22" s="80"/>
    </row>
    <row r="23" spans="2:34" x14ac:dyDescent="0.25">
      <c r="B23" s="39" t="s">
        <v>28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51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29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49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30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50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31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52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32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topLeftCell="C1" workbookViewId="0">
      <selection activeCell="L8" sqref="L8"/>
    </sheetView>
  </sheetViews>
  <sheetFormatPr baseColWidth="10" defaultColWidth="11.42578125" defaultRowHeight="15" x14ac:dyDescent="0.25"/>
  <cols>
    <col min="1" max="2" width="10.7109375" customWidth="1"/>
    <col min="3" max="3" width="13.7109375" bestFit="1" customWidth="1"/>
    <col min="4" max="10" width="10.7109375"/>
    <col min="11" max="11" width="13.7109375" bestFit="1" customWidth="1"/>
    <col min="12" max="13" width="10.7109375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28515625" style="34" bestFit="1" customWidth="1"/>
    <col min="48" max="48" width="13.7109375" style="34" bestFit="1" customWidth="1"/>
    <col min="49" max="49" width="10.285156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53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6</v>
      </c>
      <c r="C6" s="98"/>
      <c r="D6" s="98"/>
      <c r="E6" s="98"/>
      <c r="F6" s="98"/>
      <c r="G6" s="99"/>
      <c r="J6" s="15" t="s">
        <v>7</v>
      </c>
      <c r="K6" s="100" t="s">
        <v>8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9</v>
      </c>
      <c r="AN6" s="34" t="s">
        <v>10</v>
      </c>
      <c r="AO6" s="34" t="s">
        <v>11</v>
      </c>
      <c r="AP6" s="34" t="s">
        <v>12</v>
      </c>
      <c r="AQ6" s="34" t="s">
        <v>13</v>
      </c>
      <c r="AR6" s="34" t="s">
        <v>14</v>
      </c>
      <c r="AS6" s="34" t="s">
        <v>15</v>
      </c>
      <c r="AV6" s="34" t="s">
        <v>11</v>
      </c>
      <c r="AW6" s="34" t="s">
        <v>16</v>
      </c>
      <c r="AX6" s="34" t="s">
        <v>9</v>
      </c>
      <c r="AY6" s="34" t="s">
        <v>17</v>
      </c>
      <c r="AZ6" s="34" t="s">
        <v>18</v>
      </c>
      <c r="BA6" s="34" t="s">
        <v>19</v>
      </c>
      <c r="BB6" s="34" t="s">
        <v>20</v>
      </c>
    </row>
    <row r="7" spans="2:54" ht="15.75" thickBot="1" x14ac:dyDescent="0.3">
      <c r="B7" s="3" t="s">
        <v>21</v>
      </c>
      <c r="C7" s="4" t="s">
        <v>11</v>
      </c>
      <c r="D7" s="5" t="s">
        <v>12</v>
      </c>
      <c r="E7" s="5" t="s">
        <v>14</v>
      </c>
      <c r="F7" s="5" t="s">
        <v>15</v>
      </c>
      <c r="G7" s="6" t="s">
        <v>13</v>
      </c>
      <c r="I7" s="16">
        <v>11</v>
      </c>
      <c r="J7" s="29">
        <v>44888</v>
      </c>
      <c r="K7" s="17" t="s">
        <v>54</v>
      </c>
      <c r="L7" s="30">
        <v>0</v>
      </c>
      <c r="M7" s="31">
        <v>2</v>
      </c>
      <c r="N7" s="16" t="s">
        <v>55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56</v>
      </c>
      <c r="AP7" s="34">
        <f>SUMIF($K$7:$K$12,AO7,$AJ$7:$AJ$12) + SUMIF($N$7:$N$12,AO7,$AK$7:$AK$12)</f>
        <v>7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-70050700</v>
      </c>
      <c r="BA7" s="34">
        <f>AZ7-AY7*10</f>
        <v>-70050710</v>
      </c>
      <c r="BB7" s="34">
        <f>BA7+N23</f>
        <v>-70050709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12</v>
      </c>
      <c r="J8" s="19">
        <v>44888</v>
      </c>
      <c r="K8" s="20" t="s">
        <v>56</v>
      </c>
      <c r="L8" s="21">
        <v>2</v>
      </c>
      <c r="M8" s="22">
        <v>0</v>
      </c>
      <c r="N8" s="18" t="s">
        <v>57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-70040600</v>
      </c>
      <c r="BA8" s="34">
        <f t="shared" ref="BA8:BA10" si="10">AZ8-AY8*10</f>
        <v>-70040610</v>
      </c>
      <c r="BB8" s="34">
        <f>BA8+N24</f>
        <v>-70040608</v>
      </c>
    </row>
    <row r="9" spans="2:54" x14ac:dyDescent="0.25">
      <c r="B9" s="11">
        <v>2</v>
      </c>
      <c r="C9" s="12" t="str">
        <f t="shared" si="0"/>
        <v>Croacia</v>
      </c>
      <c r="D9" s="13">
        <f t="shared" si="0"/>
        <v>7</v>
      </c>
      <c r="E9" s="13">
        <f t="shared" si="0"/>
        <v>6</v>
      </c>
      <c r="F9" s="13">
        <f t="shared" si="0"/>
        <v>2</v>
      </c>
      <c r="G9" s="14">
        <f t="shared" si="0"/>
        <v>4</v>
      </c>
      <c r="I9" s="23">
        <f>I7+16</f>
        <v>27</v>
      </c>
      <c r="J9" s="24">
        <v>44892</v>
      </c>
      <c r="K9" s="25" t="s">
        <v>56</v>
      </c>
      <c r="L9" s="21">
        <v>3</v>
      </c>
      <c r="M9" s="22">
        <v>0</v>
      </c>
      <c r="N9" s="23" t="s">
        <v>54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54</v>
      </c>
      <c r="AP9" s="34">
        <f>SUMIF($K$7:$K$12,AO9,$AJ$7:$AJ$12) + SUMIF($N$7:$N$12,AO9,$AK$7:$AK$12)</f>
        <v>1</v>
      </c>
      <c r="AQ9" s="34">
        <f t="shared" ref="AQ9:AQ10" si="11">AR9-AS9</f>
        <v>-5</v>
      </c>
      <c r="AR9" s="34">
        <f t="shared" si="5"/>
        <v>0</v>
      </c>
      <c r="AS9" s="34">
        <f t="shared" si="6"/>
        <v>5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-9950000</v>
      </c>
      <c r="BA9" s="34">
        <f t="shared" si="10"/>
        <v>-9950010</v>
      </c>
      <c r="BB9" s="34">
        <f>BA9+N25</f>
        <v>-9950007</v>
      </c>
    </row>
    <row r="10" spans="2:54" x14ac:dyDescent="0.25">
      <c r="B10" s="48">
        <v>3</v>
      </c>
      <c r="C10" s="49" t="str">
        <f t="shared" si="0"/>
        <v>Canada</v>
      </c>
      <c r="D10" s="50">
        <f t="shared" si="0"/>
        <v>1</v>
      </c>
      <c r="E10" s="50">
        <f t="shared" si="0"/>
        <v>0</v>
      </c>
      <c r="F10" s="50">
        <f t="shared" si="0"/>
        <v>4</v>
      </c>
      <c r="G10" s="51">
        <f t="shared" si="0"/>
        <v>-4</v>
      </c>
      <c r="I10" s="18">
        <f>I8+16</f>
        <v>28</v>
      </c>
      <c r="J10" s="19">
        <v>44892</v>
      </c>
      <c r="K10" s="20" t="s">
        <v>55</v>
      </c>
      <c r="L10" s="21">
        <v>2</v>
      </c>
      <c r="M10" s="22">
        <v>0</v>
      </c>
      <c r="N10" s="18" t="s">
        <v>57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3</v>
      </c>
      <c r="AO10" s="34" t="s">
        <v>57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0</v>
      </c>
      <c r="AS10" s="34">
        <f>SUMIF($K$7:$K$12,AO10,$M$7:$M$12) + SUMIF($N$7:$N$12,AO10,$L$7:$L$12)</f>
        <v>4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-9960000</v>
      </c>
      <c r="BA10" s="34">
        <f t="shared" si="10"/>
        <v>-9960010</v>
      </c>
      <c r="BB10" s="34">
        <f>BA10+N26</f>
        <v>-9960006</v>
      </c>
    </row>
    <row r="11" spans="2:54" ht="15.75" thickBot="1" x14ac:dyDescent="0.3">
      <c r="B11" s="52">
        <v>4</v>
      </c>
      <c r="C11" s="53" t="str">
        <f t="shared" si="0"/>
        <v>Marruecos</v>
      </c>
      <c r="D11" s="54">
        <f t="shared" si="0"/>
        <v>1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43</v>
      </c>
      <c r="J11" s="24">
        <v>44896</v>
      </c>
      <c r="K11" s="25" t="s">
        <v>55</v>
      </c>
      <c r="L11" s="21">
        <v>2</v>
      </c>
      <c r="M11" s="22">
        <v>2</v>
      </c>
      <c r="N11" s="23" t="s">
        <v>56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44</v>
      </c>
      <c r="J12" s="27">
        <v>44896</v>
      </c>
      <c r="K12" s="28" t="s">
        <v>57</v>
      </c>
      <c r="L12" s="32">
        <v>0</v>
      </c>
      <c r="M12" s="33">
        <v>0</v>
      </c>
      <c r="N12" s="26" t="s">
        <v>54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Canada_Marruecos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26</v>
      </c>
      <c r="C22" s="37"/>
      <c r="D22" s="37"/>
      <c r="E22" s="37"/>
      <c r="F22" s="37"/>
      <c r="G22" s="37"/>
      <c r="H22" s="38"/>
      <c r="I22" s="34">
        <v>1</v>
      </c>
      <c r="J22" s="78" t="s">
        <v>27</v>
      </c>
      <c r="K22" s="79"/>
      <c r="L22" s="79"/>
      <c r="M22" s="80"/>
    </row>
    <row r="23" spans="2:34" x14ac:dyDescent="0.25">
      <c r="B23" s="39" t="s">
        <v>28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56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29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30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54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31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57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32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topLeftCell="B1" workbookViewId="0">
      <selection activeCell="O13" sqref="O13"/>
    </sheetView>
  </sheetViews>
  <sheetFormatPr baseColWidth="10" defaultColWidth="11.42578125" defaultRowHeight="15" x14ac:dyDescent="0.25"/>
  <cols>
    <col min="1" max="2" width="10.7109375" customWidth="1"/>
    <col min="3" max="3" width="13.7109375" bestFit="1" customWidth="1"/>
    <col min="4" max="10" width="10.7109375"/>
    <col min="11" max="11" width="13.7109375" bestFit="1" customWidth="1"/>
    <col min="12" max="13" width="10.7109375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28515625" style="34" bestFit="1" customWidth="1"/>
    <col min="48" max="48" width="13.7109375" style="34" bestFit="1" customWidth="1"/>
    <col min="49" max="49" width="10.285156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58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6</v>
      </c>
      <c r="C6" s="98"/>
      <c r="D6" s="98"/>
      <c r="E6" s="98"/>
      <c r="F6" s="98"/>
      <c r="G6" s="99"/>
      <c r="J6" s="15" t="s">
        <v>7</v>
      </c>
      <c r="K6" s="100" t="s">
        <v>8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9</v>
      </c>
      <c r="AN6" s="34" t="s">
        <v>10</v>
      </c>
      <c r="AO6" s="34" t="s">
        <v>11</v>
      </c>
      <c r="AP6" s="34" t="s">
        <v>12</v>
      </c>
      <c r="AQ6" s="34" t="s">
        <v>13</v>
      </c>
      <c r="AR6" s="34" t="s">
        <v>14</v>
      </c>
      <c r="AS6" s="34" t="s">
        <v>15</v>
      </c>
      <c r="AV6" s="34" t="s">
        <v>11</v>
      </c>
      <c r="AW6" s="34" t="s">
        <v>16</v>
      </c>
      <c r="AX6" s="34" t="s">
        <v>9</v>
      </c>
      <c r="AY6" s="34" t="s">
        <v>17</v>
      </c>
      <c r="AZ6" s="34" t="s">
        <v>18</v>
      </c>
      <c r="BA6" s="34" t="s">
        <v>19</v>
      </c>
      <c r="BB6" s="34" t="s">
        <v>20</v>
      </c>
    </row>
    <row r="7" spans="2:54" ht="15.75" thickBot="1" x14ac:dyDescent="0.3">
      <c r="B7" s="3" t="s">
        <v>21</v>
      </c>
      <c r="C7" s="4" t="s">
        <v>11</v>
      </c>
      <c r="D7" s="5" t="s">
        <v>12</v>
      </c>
      <c r="E7" s="5" t="s">
        <v>14</v>
      </c>
      <c r="F7" s="5" t="s">
        <v>15</v>
      </c>
      <c r="G7" s="6" t="s">
        <v>13</v>
      </c>
      <c r="I7" s="16">
        <v>13</v>
      </c>
      <c r="J7" s="29">
        <v>44889</v>
      </c>
      <c r="K7" s="17" t="s">
        <v>59</v>
      </c>
      <c r="L7" s="30">
        <v>1</v>
      </c>
      <c r="M7" s="31">
        <v>1</v>
      </c>
      <c r="N7" s="16" t="s">
        <v>60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Suiza_Camerun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61</v>
      </c>
      <c r="AP7" s="34">
        <f>SUMIF($K$7:$K$12,AO7,$AJ$7:$AJ$12) + SUMIF($N$7:$N$12,AO7,$AK$7:$AK$12)</f>
        <v>9</v>
      </c>
      <c r="AQ7" s="34">
        <f>AR7-AS7</f>
        <v>9</v>
      </c>
      <c r="AR7" s="34">
        <f>SUMIF($K$7:$K$12,AO7,$L$7:$L$12) + SUMIF($N$7:$N$12,AO7,$M$7:$M$12)</f>
        <v>11</v>
      </c>
      <c r="AS7" s="34">
        <f>SUMIF($K$7:$K$12,AO7,$M$7:$M$12) + SUMIF($N$7:$N$12,AO7,$L$7:$L$12)</f>
        <v>2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-90091100</v>
      </c>
      <c r="BA7" s="34">
        <f>AZ7-AY7*10</f>
        <v>-90091110</v>
      </c>
      <c r="BB7" s="34">
        <f>BA7+N23</f>
        <v>-90091109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11</v>
      </c>
      <c r="F8" s="9">
        <f t="shared" si="0"/>
        <v>2</v>
      </c>
      <c r="G8" s="10">
        <f t="shared" si="0"/>
        <v>9</v>
      </c>
      <c r="I8" s="18">
        <v>14</v>
      </c>
      <c r="J8" s="19">
        <v>44889</v>
      </c>
      <c r="K8" s="20" t="s">
        <v>61</v>
      </c>
      <c r="L8" s="21">
        <v>3</v>
      </c>
      <c r="M8" s="22">
        <v>0</v>
      </c>
      <c r="N8" s="18" t="s">
        <v>62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3</v>
      </c>
      <c r="AO8" s="34" t="s">
        <v>59</v>
      </c>
      <c r="AP8" s="34">
        <f>SUMIF($K$7:$K$12,AO8,$AJ$7:$AJ$12) + SUMIF($N$7:$N$12,AO8,$AK$7:$AK$12)</f>
        <v>2</v>
      </c>
      <c r="AQ8" s="34">
        <f>AR8-AS8</f>
        <v>-1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-19990300</v>
      </c>
      <c r="BA8" s="34">
        <f t="shared" ref="BA8:BA10" si="10">AZ8-AY8*10</f>
        <v>-19990310</v>
      </c>
      <c r="BB8" s="34">
        <f>BA8+N24</f>
        <v>-19990308</v>
      </c>
    </row>
    <row r="9" spans="2:54" x14ac:dyDescent="0.25">
      <c r="B9" s="11">
        <v>2</v>
      </c>
      <c r="C9" s="12" t="str">
        <f t="shared" si="0"/>
        <v>Serbia</v>
      </c>
      <c r="D9" s="13">
        <f t="shared" si="0"/>
        <v>4</v>
      </c>
      <c r="E9" s="13">
        <f t="shared" si="0"/>
        <v>2</v>
      </c>
      <c r="F9" s="13">
        <f t="shared" si="0"/>
        <v>4</v>
      </c>
      <c r="G9" s="14">
        <f t="shared" si="0"/>
        <v>-2</v>
      </c>
      <c r="I9" s="23">
        <f>I7+16</f>
        <v>29</v>
      </c>
      <c r="J9" s="24">
        <v>44893</v>
      </c>
      <c r="K9" s="25" t="s">
        <v>60</v>
      </c>
      <c r="L9" s="21">
        <v>0</v>
      </c>
      <c r="M9" s="22">
        <v>1</v>
      </c>
      <c r="N9" s="23" t="s">
        <v>62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2</v>
      </c>
      <c r="AO9" s="34" t="s">
        <v>62</v>
      </c>
      <c r="AP9" s="34">
        <f>SUMIF($K$7:$K$12,AO9,$AJ$7:$AJ$12) + SUMIF($N$7:$N$12,AO9,$AK$7:$AK$12)</f>
        <v>4</v>
      </c>
      <c r="AQ9" s="34">
        <f t="shared" ref="AQ9:AQ10" si="11">AR9-AS9</f>
        <v>-2</v>
      </c>
      <c r="AR9" s="34">
        <f t="shared" si="5"/>
        <v>2</v>
      </c>
      <c r="AS9" s="34">
        <f t="shared" si="6"/>
        <v>4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-39980200</v>
      </c>
      <c r="BA9" s="34">
        <f t="shared" si="10"/>
        <v>-39980210</v>
      </c>
      <c r="BB9" s="34">
        <f>BA9+N25</f>
        <v>-39980207</v>
      </c>
    </row>
    <row r="10" spans="2:54" x14ac:dyDescent="0.25">
      <c r="B10" s="48">
        <v>3</v>
      </c>
      <c r="C10" s="49" t="str">
        <f t="shared" si="0"/>
        <v>Suiza</v>
      </c>
      <c r="D10" s="50">
        <f t="shared" si="0"/>
        <v>2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30</v>
      </c>
      <c r="J10" s="19">
        <v>44893</v>
      </c>
      <c r="K10" s="20" t="s">
        <v>61</v>
      </c>
      <c r="L10" s="21">
        <v>2</v>
      </c>
      <c r="M10" s="22">
        <v>1</v>
      </c>
      <c r="N10" s="18" t="s">
        <v>59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60</v>
      </c>
      <c r="AP10" s="34">
        <f>SUMIF($K$7:$K$12,AO10,$AJ$7:$AJ$12) + SUMIF($N$7:$N$12,AO10,$AK$7:$AK$12)</f>
        <v>1</v>
      </c>
      <c r="AQ10" s="34">
        <f t="shared" si="11"/>
        <v>-6</v>
      </c>
      <c r="AR10" s="34">
        <f>SUMIF($K$7:$K$12,AO10,$L$7:$L$12) + SUMIF($N$7:$N$12,AO10,$M$7:$M$12)</f>
        <v>2</v>
      </c>
      <c r="AS10" s="34">
        <f>SUMIF($K$7:$K$12,AO10,$M$7:$M$12) + SUMIF($N$7:$N$12,AO10,$L$7:$L$12)</f>
        <v>8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-9940200</v>
      </c>
      <c r="BA10" s="34">
        <f t="shared" si="10"/>
        <v>-9940210</v>
      </c>
      <c r="BB10" s="34">
        <f>BA10+N26</f>
        <v>-9940206</v>
      </c>
    </row>
    <row r="11" spans="2:54" ht="15.75" thickBot="1" x14ac:dyDescent="0.3">
      <c r="B11" s="52">
        <v>4</v>
      </c>
      <c r="C11" s="53" t="str">
        <f t="shared" si="0"/>
        <v>Camerun</v>
      </c>
      <c r="D11" s="54">
        <f t="shared" si="0"/>
        <v>1</v>
      </c>
      <c r="E11" s="54">
        <f t="shared" si="0"/>
        <v>2</v>
      </c>
      <c r="F11" s="54">
        <f t="shared" si="0"/>
        <v>8</v>
      </c>
      <c r="G11" s="55">
        <f t="shared" si="0"/>
        <v>-6</v>
      </c>
      <c r="I11" s="23">
        <f>I9+16</f>
        <v>45</v>
      </c>
      <c r="J11" s="24">
        <v>44897</v>
      </c>
      <c r="K11" s="25" t="s">
        <v>62</v>
      </c>
      <c r="L11" s="21">
        <v>1</v>
      </c>
      <c r="M11" s="22">
        <v>1</v>
      </c>
      <c r="N11" s="23" t="s">
        <v>59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46</v>
      </c>
      <c r="J12" s="27">
        <v>44897</v>
      </c>
      <c r="K12" s="28" t="s">
        <v>60</v>
      </c>
      <c r="L12" s="32">
        <v>1</v>
      </c>
      <c r="M12" s="33">
        <v>6</v>
      </c>
      <c r="N12" s="26" t="s">
        <v>61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26</v>
      </c>
      <c r="C22" s="37"/>
      <c r="D22" s="37"/>
      <c r="E22" s="37"/>
      <c r="F22" s="37"/>
      <c r="G22" s="37"/>
      <c r="H22" s="38"/>
      <c r="I22" s="34">
        <v>1</v>
      </c>
      <c r="J22" s="78" t="s">
        <v>27</v>
      </c>
      <c r="K22" s="79"/>
      <c r="L22" s="79"/>
      <c r="M22" s="80"/>
    </row>
    <row r="23" spans="2:34" x14ac:dyDescent="0.25">
      <c r="B23" s="39" t="s">
        <v>28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61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29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59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30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62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31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60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32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topLeftCell="C1" workbookViewId="0">
      <selection activeCell="M12" sqref="M12"/>
    </sheetView>
  </sheetViews>
  <sheetFormatPr baseColWidth="10" defaultColWidth="11.42578125" defaultRowHeight="15" x14ac:dyDescent="0.25"/>
  <cols>
    <col min="1" max="2" width="10.7109375" customWidth="1"/>
    <col min="3" max="3" width="13.7109375" bestFit="1" customWidth="1"/>
    <col min="4" max="10" width="10.7109375"/>
    <col min="11" max="11" width="13.7109375" bestFit="1" customWidth="1"/>
    <col min="12" max="13" width="10.7109375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28515625" style="34" bestFit="1" customWidth="1"/>
    <col min="48" max="48" width="13.7109375" style="34" bestFit="1" customWidth="1"/>
    <col min="49" max="49" width="10.285156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63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6</v>
      </c>
      <c r="C6" s="98"/>
      <c r="D6" s="98"/>
      <c r="E6" s="98"/>
      <c r="F6" s="98"/>
      <c r="G6" s="99"/>
      <c r="J6" s="15" t="s">
        <v>7</v>
      </c>
      <c r="K6" s="100" t="s">
        <v>8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9</v>
      </c>
      <c r="AN6" s="34" t="s">
        <v>10</v>
      </c>
      <c r="AO6" s="34" t="s">
        <v>11</v>
      </c>
      <c r="AP6" s="34" t="s">
        <v>12</v>
      </c>
      <c r="AQ6" s="34" t="s">
        <v>13</v>
      </c>
      <c r="AR6" s="34" t="s">
        <v>14</v>
      </c>
      <c r="AS6" s="34" t="s">
        <v>15</v>
      </c>
      <c r="AV6" s="34" t="s">
        <v>11</v>
      </c>
      <c r="AW6" s="34" t="s">
        <v>16</v>
      </c>
      <c r="AX6" s="34" t="s">
        <v>9</v>
      </c>
      <c r="AY6" s="34" t="s">
        <v>17</v>
      </c>
      <c r="AZ6" s="34" t="s">
        <v>18</v>
      </c>
      <c r="BA6" s="34" t="s">
        <v>19</v>
      </c>
      <c r="BB6" s="34" t="s">
        <v>20</v>
      </c>
    </row>
    <row r="7" spans="2:54" ht="15.75" thickBot="1" x14ac:dyDescent="0.3">
      <c r="B7" s="3" t="s">
        <v>21</v>
      </c>
      <c r="C7" s="4" t="s">
        <v>11</v>
      </c>
      <c r="D7" s="5" t="s">
        <v>12</v>
      </c>
      <c r="E7" s="5" t="s">
        <v>14</v>
      </c>
      <c r="F7" s="5" t="s">
        <v>15</v>
      </c>
      <c r="G7" s="6" t="s">
        <v>13</v>
      </c>
      <c r="I7" s="16">
        <v>15</v>
      </c>
      <c r="J7" s="29">
        <v>44889</v>
      </c>
      <c r="K7" s="17" t="s">
        <v>64</v>
      </c>
      <c r="L7" s="30">
        <v>2</v>
      </c>
      <c r="M7" s="31">
        <v>0</v>
      </c>
      <c r="N7" s="16" t="s">
        <v>65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1</v>
      </c>
      <c r="AO7" s="34" t="s">
        <v>66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-70040600</v>
      </c>
      <c r="BA7" s="34">
        <f>AZ7-AY7*10</f>
        <v>-70040610</v>
      </c>
      <c r="BB7" s="34">
        <f>BA7+N23</f>
        <v>-70040609</v>
      </c>
    </row>
    <row r="8" spans="2:54" x14ac:dyDescent="0.25">
      <c r="B8" s="7">
        <v>1</v>
      </c>
      <c r="C8" s="8" t="str">
        <f t="shared" ref="C8:G11" si="0">IFERROR(VLOOKUP($B8,$AN$7:$AS$11,C$5,FALSE),"")</f>
        <v>Portugal</v>
      </c>
      <c r="D8" s="9">
        <f t="shared" si="0"/>
        <v>7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16</v>
      </c>
      <c r="J8" s="19">
        <v>44889</v>
      </c>
      <c r="K8" s="20" t="s">
        <v>66</v>
      </c>
      <c r="L8" s="21">
        <v>3</v>
      </c>
      <c r="M8" s="22">
        <v>0</v>
      </c>
      <c r="N8" s="18" t="s">
        <v>67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2</v>
      </c>
      <c r="AO8" s="34" t="s">
        <v>64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-70040500</v>
      </c>
      <c r="BA8" s="34">
        <f t="shared" ref="BA8:BA10" si="10">AZ8-AY8*10</f>
        <v>-70040510</v>
      </c>
      <c r="BB8" s="34">
        <f>BA8+N24</f>
        <v>-70040508</v>
      </c>
    </row>
    <row r="9" spans="2:54" x14ac:dyDescent="0.25">
      <c r="B9" s="11">
        <v>2</v>
      </c>
      <c r="C9" s="12" t="str">
        <f t="shared" si="0"/>
        <v>Uruguay</v>
      </c>
      <c r="D9" s="13">
        <f t="shared" si="0"/>
        <v>7</v>
      </c>
      <c r="E9" s="13">
        <f t="shared" si="0"/>
        <v>5</v>
      </c>
      <c r="F9" s="13">
        <f t="shared" si="0"/>
        <v>1</v>
      </c>
      <c r="G9" s="14">
        <f t="shared" si="0"/>
        <v>4</v>
      </c>
      <c r="I9" s="23">
        <f>I7+16</f>
        <v>31</v>
      </c>
      <c r="J9" s="24">
        <v>44893</v>
      </c>
      <c r="K9" s="25" t="s">
        <v>65</v>
      </c>
      <c r="L9" s="21">
        <v>1</v>
      </c>
      <c r="M9" s="22">
        <v>0</v>
      </c>
      <c r="N9" s="23" t="s">
        <v>67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Corea_Gana</v>
      </c>
      <c r="AJ9" s="34">
        <f t="shared" si="2"/>
        <v>3</v>
      </c>
      <c r="AK9" s="34">
        <f t="shared" si="3"/>
        <v>0</v>
      </c>
      <c r="AL9" s="34" t="str">
        <f t="shared" si="4"/>
        <v>Corea</v>
      </c>
      <c r="AN9" s="34">
        <f>_xlfn.RANK.EQ(BB9,BB$7:BB$11,1)</f>
        <v>3</v>
      </c>
      <c r="AO9" s="34" t="s">
        <v>65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2</v>
      </c>
      <c r="AS9" s="34">
        <f t="shared" si="6"/>
        <v>4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-29980200</v>
      </c>
      <c r="BA9" s="34">
        <f t="shared" si="10"/>
        <v>-29980210</v>
      </c>
      <c r="BB9" s="34">
        <f>BA9+N25</f>
        <v>-29980207</v>
      </c>
    </row>
    <row r="10" spans="2:54" x14ac:dyDescent="0.25">
      <c r="B10" s="48">
        <v>3</v>
      </c>
      <c r="C10" s="49" t="str">
        <f t="shared" si="0"/>
        <v>Corea</v>
      </c>
      <c r="D10" s="50">
        <f t="shared" si="0"/>
        <v>3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32</v>
      </c>
      <c r="J10" s="19">
        <v>44893</v>
      </c>
      <c r="K10" s="20" t="s">
        <v>66</v>
      </c>
      <c r="L10" s="21">
        <v>1</v>
      </c>
      <c r="M10" s="22">
        <v>1</v>
      </c>
      <c r="N10" s="18" t="s">
        <v>64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Portugal_Uruguay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67</v>
      </c>
      <c r="AP10" s="34">
        <f>SUMIF($K$7:$K$12,AO10,$AJ$7:$AJ$12) + SUMIF($N$7:$N$12,AO10,$AK$7:$AK$12)</f>
        <v>0</v>
      </c>
      <c r="AQ10" s="34">
        <f t="shared" si="11"/>
        <v>-6</v>
      </c>
      <c r="AR10" s="34">
        <f>SUMIF($K$7:$K$12,AO10,$L$7:$L$12) + SUMIF($N$7:$N$12,AO10,$M$7:$M$12)</f>
        <v>0</v>
      </c>
      <c r="AS10" s="34">
        <f>SUMIF($K$7:$K$12,AO10,$M$7:$M$12) + SUMIF($N$7:$N$12,AO10,$L$7:$L$12)</f>
        <v>6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60000</v>
      </c>
      <c r="BA10" s="34">
        <f t="shared" si="10"/>
        <v>59990</v>
      </c>
      <c r="BB10" s="34">
        <f>BA10+N26</f>
        <v>59994</v>
      </c>
    </row>
    <row r="11" spans="2:54" ht="15.75" thickBot="1" x14ac:dyDescent="0.3">
      <c r="B11" s="52">
        <v>4</v>
      </c>
      <c r="C11" s="53" t="str">
        <f t="shared" si="0"/>
        <v>Gana</v>
      </c>
      <c r="D11" s="54">
        <f t="shared" si="0"/>
        <v>0</v>
      </c>
      <c r="E11" s="54">
        <f t="shared" si="0"/>
        <v>0</v>
      </c>
      <c r="F11" s="54">
        <f t="shared" si="0"/>
        <v>6</v>
      </c>
      <c r="G11" s="55">
        <f t="shared" si="0"/>
        <v>-6</v>
      </c>
      <c r="I11" s="23">
        <f>I9+16</f>
        <v>47</v>
      </c>
      <c r="J11" s="24">
        <v>44897</v>
      </c>
      <c r="K11" s="25" t="s">
        <v>67</v>
      </c>
      <c r="L11" s="21">
        <v>0</v>
      </c>
      <c r="M11" s="22">
        <v>2</v>
      </c>
      <c r="N11" s="23" t="s">
        <v>64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65</v>
      </c>
      <c r="L12" s="32">
        <v>1</v>
      </c>
      <c r="M12" s="33">
        <v>2</v>
      </c>
      <c r="N12" s="26" t="s">
        <v>66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26</v>
      </c>
      <c r="C22" s="37"/>
      <c r="D22" s="37"/>
      <c r="E22" s="37"/>
      <c r="F22" s="37"/>
      <c r="G22" s="37"/>
      <c r="H22" s="38"/>
      <c r="I22" s="34">
        <v>1</v>
      </c>
      <c r="J22" s="78" t="s">
        <v>27</v>
      </c>
      <c r="K22" s="79"/>
      <c r="L22" s="79"/>
      <c r="M22" s="80"/>
    </row>
    <row r="23" spans="2:34" x14ac:dyDescent="0.25">
      <c r="B23" s="39" t="s">
        <v>28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66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29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64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30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65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31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67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32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A16" workbookViewId="0">
      <selection activeCell="G27" sqref="G27"/>
    </sheetView>
  </sheetViews>
  <sheetFormatPr baseColWidth="10" defaultColWidth="10.7109375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06" t="s">
        <v>68</v>
      </c>
      <c r="C2" s="107"/>
      <c r="D2" s="108"/>
    </row>
    <row r="3" spans="2:19" ht="15.75" thickBot="1" x14ac:dyDescent="0.3"/>
    <row r="4" spans="2:19" ht="15.75" thickBot="1" x14ac:dyDescent="0.3">
      <c r="G4" s="106" t="s">
        <v>69</v>
      </c>
      <c r="H4" s="107"/>
      <c r="I4" s="108"/>
    </row>
    <row r="5" spans="2:19" ht="15.75" thickBot="1" x14ac:dyDescent="0.3">
      <c r="B5" s="56">
        <v>49</v>
      </c>
      <c r="C5" s="57" t="s">
        <v>70</v>
      </c>
      <c r="D5" s="58" t="s">
        <v>71</v>
      </c>
    </row>
    <row r="6" spans="2:19" ht="15.75" thickBot="1" x14ac:dyDescent="0.3">
      <c r="B6" s="59" t="str">
        <f>'GRUPO A'!C8</f>
        <v>Holanda</v>
      </c>
      <c r="C6" s="60">
        <v>2</v>
      </c>
      <c r="D6" s="61"/>
    </row>
    <row r="7" spans="2:19" ht="15.75" thickBot="1" x14ac:dyDescent="0.3">
      <c r="B7" s="62" t="str">
        <f>'GRUPO B'!C9</f>
        <v>Gales</v>
      </c>
      <c r="C7" s="63">
        <v>0</v>
      </c>
      <c r="D7" s="64"/>
      <c r="E7" s="65"/>
      <c r="G7" s="56">
        <v>57</v>
      </c>
      <c r="H7" s="57" t="s">
        <v>70</v>
      </c>
      <c r="I7" s="58" t="s">
        <v>71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1</v>
      </c>
      <c r="I8" s="61"/>
      <c r="L8" s="106" t="s">
        <v>72</v>
      </c>
      <c r="M8" s="107"/>
      <c r="N8" s="108"/>
    </row>
    <row r="9" spans="2:19" ht="15.75" thickBot="1" x14ac:dyDescent="0.3">
      <c r="B9" s="56">
        <v>50</v>
      </c>
      <c r="C9" s="57" t="s">
        <v>70</v>
      </c>
      <c r="D9" s="58" t="s">
        <v>71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1</v>
      </c>
      <c r="D10" s="61"/>
      <c r="E10" s="69"/>
      <c r="J10" s="66"/>
    </row>
    <row r="11" spans="2:19" ht="15.75" thickBot="1" x14ac:dyDescent="0.3">
      <c r="B11" s="62" t="str">
        <f>'GRUPO D'!C9</f>
        <v>Dinamarca</v>
      </c>
      <c r="C11" s="63">
        <v>0</v>
      </c>
      <c r="D11" s="64"/>
      <c r="E11" s="70"/>
      <c r="J11" s="66"/>
      <c r="L11" s="56">
        <v>61</v>
      </c>
      <c r="M11" s="57" t="s">
        <v>70</v>
      </c>
      <c r="N11" s="58" t="s">
        <v>71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1</v>
      </c>
      <c r="N12" s="61">
        <v>3</v>
      </c>
    </row>
    <row r="13" spans="2:19" ht="15.75" thickBot="1" x14ac:dyDescent="0.3">
      <c r="B13" s="56">
        <v>53</v>
      </c>
      <c r="C13" s="57" t="s">
        <v>70</v>
      </c>
      <c r="D13" s="58" t="s">
        <v>71</v>
      </c>
      <c r="J13" s="66"/>
      <c r="K13" s="68"/>
      <c r="L13" s="62" t="str">
        <f>IF(H17&gt;H16,G17,IF(H16&gt;H17,G16,IF(I17&gt;I16,G17,IF(I16&gt;I17,G16,""))))</f>
        <v>Brasil</v>
      </c>
      <c r="M13" s="63">
        <v>1</v>
      </c>
      <c r="N13" s="64">
        <v>4</v>
      </c>
      <c r="O13" s="65"/>
    </row>
    <row r="14" spans="2:19" ht="15.75" thickBot="1" x14ac:dyDescent="0.3">
      <c r="B14" s="59" t="str">
        <f>'GRUPO E'!C8</f>
        <v>Alemania</v>
      </c>
      <c r="C14" s="60">
        <v>1</v>
      </c>
      <c r="D14" s="61"/>
      <c r="J14" s="66"/>
      <c r="O14" s="66"/>
    </row>
    <row r="15" spans="2:19" ht="15.75" thickBot="1" x14ac:dyDescent="0.3">
      <c r="B15" s="62" t="str">
        <f>'GRUPO F'!C9</f>
        <v>Croacia</v>
      </c>
      <c r="C15" s="63">
        <v>0</v>
      </c>
      <c r="D15" s="64"/>
      <c r="E15" s="65"/>
      <c r="G15" s="56">
        <v>58</v>
      </c>
      <c r="H15" s="57" t="s">
        <v>70</v>
      </c>
      <c r="I15" s="58" t="s">
        <v>71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1</v>
      </c>
      <c r="I16" s="61"/>
      <c r="J16" s="69"/>
      <c r="O16" s="66"/>
      <c r="Q16" s="106" t="s">
        <v>73</v>
      </c>
      <c r="R16" s="107"/>
      <c r="S16" s="108"/>
    </row>
    <row r="17" spans="2:23" ht="15.75" thickBot="1" x14ac:dyDescent="0.3">
      <c r="B17" s="56">
        <v>54</v>
      </c>
      <c r="C17" s="57" t="s">
        <v>70</v>
      </c>
      <c r="D17" s="58" t="s">
        <v>71</v>
      </c>
      <c r="E17" s="67"/>
      <c r="F17" s="68"/>
      <c r="G17" s="62" t="str">
        <f>IF(C19&gt;C18,B19,IF(C18&gt;C19,B18,IF(D19&gt;D18,B19,IF(D18&gt;D19,B18,""))))</f>
        <v>Brasil</v>
      </c>
      <c r="H17" s="63">
        <v>3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2</v>
      </c>
      <c r="D18" s="61"/>
      <c r="E18" s="69"/>
      <c r="O18" s="66"/>
    </row>
    <row r="19" spans="2:23" ht="15.75" thickBot="1" x14ac:dyDescent="0.3">
      <c r="B19" s="62" t="str">
        <f>'GRUPO H'!C9</f>
        <v>Uruguay</v>
      </c>
      <c r="C19" s="63">
        <v>1</v>
      </c>
      <c r="D19" s="64"/>
      <c r="E19" s="70"/>
      <c r="O19" s="66"/>
      <c r="Q19" s="56">
        <v>64</v>
      </c>
      <c r="R19" s="57" t="s">
        <v>70</v>
      </c>
      <c r="S19" s="58" t="s">
        <v>71</v>
      </c>
    </row>
    <row r="20" spans="2:23" ht="15.75" thickBot="1" x14ac:dyDescent="0.3">
      <c r="O20" s="66"/>
      <c r="Q20" s="59" t="str">
        <f>IF(M13&gt;M12,L13,IF(M12&gt;M13,L12,IF(N13&gt;N12,L13,IF(N12&gt;N13,L12,""))))</f>
        <v>Brasil</v>
      </c>
      <c r="R20" s="60">
        <v>1</v>
      </c>
      <c r="S20" s="61"/>
    </row>
    <row r="21" spans="2:23" ht="15.75" thickBot="1" x14ac:dyDescent="0.3">
      <c r="B21" s="56">
        <v>51</v>
      </c>
      <c r="C21" s="57" t="s">
        <v>70</v>
      </c>
      <c r="D21" s="58" t="s">
        <v>71</v>
      </c>
      <c r="O21" s="66"/>
      <c r="P21" s="75"/>
      <c r="Q21" s="62" t="str">
        <f>IF(M29&gt;M28,L29,IF(M28&gt;M29,L28,IF(N29&gt;N28,L29,IF(N28&gt;N29,L28,""))))</f>
        <v>Portugal</v>
      </c>
      <c r="R21" s="63">
        <v>0</v>
      </c>
      <c r="S21" s="64"/>
    </row>
    <row r="22" spans="2:23" ht="15.75" thickBot="1" x14ac:dyDescent="0.3">
      <c r="B22" s="59" t="str">
        <f>'GRUPO B'!C8</f>
        <v>Inglaterra</v>
      </c>
      <c r="C22" s="60">
        <v>2</v>
      </c>
      <c r="D22" s="61"/>
      <c r="O22" s="66"/>
    </row>
    <row r="23" spans="2:23" ht="15.75" thickBot="1" x14ac:dyDescent="0.3">
      <c r="B23" s="62" t="str">
        <f>'GRUPO A'!C9</f>
        <v>Ecuador</v>
      </c>
      <c r="C23" s="63">
        <v>1</v>
      </c>
      <c r="D23" s="64"/>
      <c r="E23" s="65"/>
      <c r="G23" s="56">
        <v>59</v>
      </c>
      <c r="H23" s="57" t="s">
        <v>70</v>
      </c>
      <c r="I23" s="58" t="s">
        <v>71</v>
      </c>
      <c r="O23" s="66"/>
      <c r="V23" s="109" t="s">
        <v>74</v>
      </c>
      <c r="W23" s="102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0</v>
      </c>
      <c r="I24" s="61"/>
      <c r="O24" s="66"/>
      <c r="V24" s="59" t="s">
        <v>75</v>
      </c>
      <c r="W24" s="71" t="str">
        <f>IF(R20&gt;R21,Q20,IF(R21&gt;R20,Q21,IF(S20&gt;S21,Q20,IF(S21&gt;S20,Q21,""))))</f>
        <v>Brasil</v>
      </c>
    </row>
    <row r="25" spans="2:23" ht="15.75" thickBot="1" x14ac:dyDescent="0.3">
      <c r="B25" s="56">
        <v>52</v>
      </c>
      <c r="C25" s="57" t="s">
        <v>70</v>
      </c>
      <c r="D25" s="58" t="s">
        <v>71</v>
      </c>
      <c r="E25" s="67"/>
      <c r="F25" s="68"/>
      <c r="G25" s="62" t="str">
        <f>IF(C27&gt;C26,B27,IF(C26&gt;C27,B26,IF(D27&gt;D26,B27,IF(D26&gt;D27,B26,""))))</f>
        <v>Francia</v>
      </c>
      <c r="H25" s="63">
        <v>1</v>
      </c>
      <c r="I25" s="64"/>
      <c r="J25" s="65"/>
      <c r="O25" s="66"/>
      <c r="Q25" s="106" t="s">
        <v>76</v>
      </c>
      <c r="R25" s="107"/>
      <c r="S25" s="108"/>
      <c r="V25" s="72" t="s">
        <v>77</v>
      </c>
      <c r="W25" s="73" t="str">
        <f>IF(W24=Q20,Q21,IF(W24=Q21,Q20,""))</f>
        <v>Portugal</v>
      </c>
    </row>
    <row r="26" spans="2:23" ht="15.75" thickBot="1" x14ac:dyDescent="0.3">
      <c r="B26" s="59" t="str">
        <f>'GRUPO D'!C8</f>
        <v>Francia</v>
      </c>
      <c r="C26" s="60">
        <v>2</v>
      </c>
      <c r="D26" s="61"/>
      <c r="E26" s="69"/>
      <c r="J26" s="66"/>
      <c r="O26" s="66"/>
      <c r="V26" s="62" t="s">
        <v>78</v>
      </c>
      <c r="W26" s="74" t="str">
        <f>IF(R29&gt;R30,Q29,IF(R30&gt;R29,Q30,IF(S29&gt;S30,Q29,IF(S30&gt;S29,Q30,""))))</f>
        <v>Francia</v>
      </c>
    </row>
    <row r="27" spans="2:23" ht="15.75" thickBot="1" x14ac:dyDescent="0.3">
      <c r="B27" s="62" t="str">
        <f>'GRUPO C'!C9</f>
        <v>Mexico</v>
      </c>
      <c r="C27" s="63">
        <v>0</v>
      </c>
      <c r="D27" s="64"/>
      <c r="E27" s="70"/>
      <c r="J27" s="66"/>
      <c r="L27" s="56">
        <v>62</v>
      </c>
      <c r="M27" s="57" t="s">
        <v>70</v>
      </c>
      <c r="N27" s="58" t="s">
        <v>71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Francia</v>
      </c>
      <c r="M28" s="60">
        <v>1</v>
      </c>
      <c r="N28" s="61"/>
      <c r="O28" s="69"/>
      <c r="Q28" s="56">
        <v>63</v>
      </c>
      <c r="R28" s="57" t="s">
        <v>70</v>
      </c>
      <c r="S28" s="58" t="s">
        <v>71</v>
      </c>
    </row>
    <row r="29" spans="2:23" ht="15.75" thickBot="1" x14ac:dyDescent="0.3">
      <c r="B29" s="56">
        <v>55</v>
      </c>
      <c r="C29" s="57" t="s">
        <v>70</v>
      </c>
      <c r="D29" s="58" t="s">
        <v>71</v>
      </c>
      <c r="J29" s="66"/>
      <c r="K29" s="68"/>
      <c r="L29" s="62" t="str">
        <f>IF(H33&gt;H32,G33,IF(H32&gt;H33,G32,IF(I33&gt;I32,G33,IF(I32&gt;I33,G32,""))))</f>
        <v>Portugal</v>
      </c>
      <c r="M29" s="63">
        <v>2</v>
      </c>
      <c r="N29" s="64"/>
      <c r="Q29" s="59" t="str">
        <f>IF(Q20=L12,L13,IF(Q20=L13,L12,""))</f>
        <v>Argentina</v>
      </c>
      <c r="R29" s="60">
        <v>1</v>
      </c>
      <c r="S29" s="61"/>
    </row>
    <row r="30" spans="2:23" ht="15.75" thickBot="1" x14ac:dyDescent="0.3">
      <c r="B30" s="59" t="str">
        <f>'GRUPO F'!C8</f>
        <v>Belgica</v>
      </c>
      <c r="C30" s="60">
        <v>1</v>
      </c>
      <c r="D30" s="61">
        <v>4</v>
      </c>
      <c r="J30" s="66"/>
      <c r="Q30" s="62" t="str">
        <f>IF(Q21=L28,L29,IF(Q21=L29,L28,""))</f>
        <v>Francia</v>
      </c>
      <c r="R30" s="63">
        <v>3</v>
      </c>
      <c r="S30" s="64"/>
    </row>
    <row r="31" spans="2:23" ht="15.75" thickBot="1" x14ac:dyDescent="0.3">
      <c r="B31" s="62" t="str">
        <f>'GRUPO E'!C9</f>
        <v>España</v>
      </c>
      <c r="C31" s="63">
        <v>1</v>
      </c>
      <c r="D31" s="64">
        <v>3</v>
      </c>
      <c r="E31" s="65"/>
      <c r="G31" s="56">
        <v>60</v>
      </c>
      <c r="H31" s="57" t="s">
        <v>70</v>
      </c>
      <c r="I31" s="58" t="s">
        <v>71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Belgica</v>
      </c>
      <c r="H32" s="60">
        <v>1</v>
      </c>
      <c r="I32" s="61"/>
      <c r="J32" s="69"/>
    </row>
    <row r="33" spans="2:9" ht="15.75" thickBot="1" x14ac:dyDescent="0.3">
      <c r="B33" s="56">
        <v>56</v>
      </c>
      <c r="C33" s="57" t="s">
        <v>70</v>
      </c>
      <c r="D33" s="58" t="s">
        <v>71</v>
      </c>
      <c r="E33" s="67"/>
      <c r="F33" s="68"/>
      <c r="G33" s="62" t="str">
        <f>IF(C35&gt;C34,B35,IF(C34&gt;C35,B34,IF(D35&gt;D34,B35,IF(D34&gt;D35,B34,""))))</f>
        <v>Portugal</v>
      </c>
      <c r="H33" s="63">
        <v>2</v>
      </c>
      <c r="I33" s="64"/>
    </row>
    <row r="34" spans="2:9" x14ac:dyDescent="0.25">
      <c r="B34" s="59" t="str">
        <f>'GRUPO H'!C8</f>
        <v>Portugal</v>
      </c>
      <c r="C34" s="60">
        <v>3</v>
      </c>
      <c r="D34" s="61"/>
      <c r="E34" s="69"/>
    </row>
    <row r="35" spans="2:9" ht="15.75" thickBot="1" x14ac:dyDescent="0.3">
      <c r="B35" s="62" t="str">
        <f>'GRUPO G'!C9</f>
        <v>Serbia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Antonio</dc:creator>
  <cp:keywords/>
  <dc:description/>
  <cp:lastModifiedBy>Anibal</cp:lastModifiedBy>
  <cp:revision/>
  <dcterms:created xsi:type="dcterms:W3CDTF">2022-11-02T00:22:23Z</dcterms:created>
  <dcterms:modified xsi:type="dcterms:W3CDTF">2022-11-20T15:35:15Z</dcterms:modified>
  <cp:category/>
  <cp:contentStatus/>
</cp:coreProperties>
</file>