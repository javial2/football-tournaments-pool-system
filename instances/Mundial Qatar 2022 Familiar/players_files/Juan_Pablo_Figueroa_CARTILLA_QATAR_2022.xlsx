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Polla Vial\"/>
    </mc:Choice>
  </mc:AlternateContent>
  <xr:revisionPtr revIDLastSave="0" documentId="13_ncr:1_{A5189A3C-957C-4D80-B8DA-11AE6DBC5438}" xr6:coauthVersionLast="36" xr6:coauthVersionMax="36" xr10:uidLastSave="{00000000-0000-0000-0000-000000000000}"/>
  <bookViews>
    <workbookView xWindow="0" yWindow="0" windowWidth="20490" windowHeight="7545" tabRatio="806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P8" i="14" l="1"/>
  <c r="AZ8" i="14" s="1"/>
  <c r="AZ8" i="13"/>
  <c r="AP10" i="13"/>
  <c r="AZ10" i="13" s="1"/>
  <c r="AZ10" i="12"/>
  <c r="AW10" i="12" s="1"/>
  <c r="AX10" i="12" s="1"/>
  <c r="AY10" i="12" s="1"/>
  <c r="BA10" i="12" s="1"/>
  <c r="BB10" i="12" s="1"/>
  <c r="AP9" i="11"/>
  <c r="AZ9" i="11" s="1"/>
  <c r="AZ8" i="11"/>
  <c r="AZ10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W8" i="12"/>
  <c r="AX8" i="12" s="1"/>
  <c r="AY8" i="12" s="1"/>
  <c r="BA8" i="12" s="1"/>
  <c r="BB8" i="12" s="1"/>
  <c r="AW7" i="12"/>
  <c r="AX7" i="12" s="1"/>
  <c r="AY7" i="12" s="1"/>
  <c r="BA7" i="12" s="1"/>
  <c r="BB7" i="12" s="1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9" i="12"/>
  <c r="AX9" i="12" s="1"/>
  <c r="AY9" i="12" s="1"/>
  <c r="BA9" i="12" s="1"/>
  <c r="BB9" i="12" s="1"/>
  <c r="AN9" i="12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9" i="2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F10" i="11"/>
  <c r="E10" i="11"/>
  <c r="G8" i="11"/>
  <c r="E8" i="11"/>
  <c r="G10" i="11"/>
  <c r="D8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<sst xmlns="http://schemas.openxmlformats.org/spreadsheetml/2006/main" count="454" uniqueCount="79">
  <si>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</si>
  <si>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</si>
  <si>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</si>
  <si>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</si>
  <si>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</si>
  <si>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</si>
  <si>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</si>
  <si>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</si>
  <si>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</si>
  <si>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</si>
  <si>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</si>
  <si>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</si>
  <si>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</si>
  <si>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</si>
  <si>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</si>
  <si>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</si>
  <si>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</si>
  <si>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</si>
  <si>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</si>
  <si>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</si>
  <si>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</si>
  <si>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</si>
  <si>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</si>
  <si>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</si>
  <si>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</si>
  <si>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</si>
  <si>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</si>
  <si>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</si>
  <si>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</si>
  <si>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</si>
  <si>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</si>
  <si>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</si>
  <si>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</si>
  <si>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</si>
  <si>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</si>
  <si>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</si>
  <si>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</si>
  <si>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</si>
  <si>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</si>
  <si>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</si>
  <si>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</si>
  <si>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</si>
  <si>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</si>
  <si>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</si>
  <si>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</si>
  <si>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</si>
  <si>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</si>
  <si>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</si>
  <si>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</si>
  <si>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</si>
  <si>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</si>
  <si>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</si>
  <si>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</si>
  <si>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</si>
  <si>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</si>
  <si>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</si>
  <si>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</si>
  <si>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</si>
  <si>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</si>
  <si>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</si>
  <si>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</si>
  <si>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</si>
  <si>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</si>
  <si>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</si>
  <si>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</si>
  <si>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</si>
  <si>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</si>
  <si>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</si>
  <si>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</si>
  <si>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</si>
  <si>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</si>
  <si>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</si>
  <si>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</si>
  <si>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</si>
  <si>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</si>
  <si>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</si>
  <si>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</si>
  <si>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Juan Pablo Figueroa Rozas</t>
  </si>
  <si>
    <t>jpablofigueroa@yahoo.com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</si>
</sst>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pablofigueroa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J15" sqref="J15"/>
    </sheetView>
  </sheetViews>
  <sheetFormatPr baseColWidth="10" defaultRowHeight="15" x14ac:dyDescent="0.25"/>
  <cols>
    <col min="4" max="4" width="22.85546875" customWidth="1"/>
  </cols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D469DBBC-55B1-4C34-872C-C80DA69A6D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O14" sqref="O14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2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3</v>
      </c>
      <c r="AK7" s="34">
        <f>IF(AJ7=3,0,IF(AJ7=1,1,3))</f>
        <v>0</v>
      </c>
      <c r="AL7" s="34" t="str">
        <f t="shared" ref="AL7:AL12" si="2">IF(AJ7&gt;AK7,K7,IF(AK7&gt;AJ7,N7,"SIN GANADOR"))</f>
        <v>Senegal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-7</v>
      </c>
      <c r="AR7" s="34">
        <f>SUMIF($K$7:$K$12,AO7,$L$7:$L$12) + SUMIF($N$7:$N$12,AO7,$M$7:$M$12)</f>
        <v>1</v>
      </c>
      <c r="AS7" s="34">
        <f>SUMIF($K$7:$K$12,AO7,$M$7:$M$12) + SUMIF($N$7:$N$12,AO7,$L$7:$L$12)</f>
        <v>8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69900</v>
      </c>
      <c r="BA7" s="34">
        <f>AZ7-AY7*10</f>
        <v>69890</v>
      </c>
      <c r="BB7" s="34">
        <f>BA7+N23</f>
        <v>69894</v>
      </c>
    </row>
    <row r="8" spans="2:54" x14ac:dyDescent="0.25">
      <c r="B8" s="7">
        <v>1</v>
      </c>
      <c r="C8" s="8" t="str">
        <f t="shared" ref="C8:G11" si="3">IFERROR(VLOOKUP($B8,$AN$7:$AS$11,C$5,FALSE),"")</f>
        <v>Senegal</v>
      </c>
      <c r="D8" s="9">
        <f t="shared" si="3"/>
        <v>9</v>
      </c>
      <c r="E8" s="9">
        <f t="shared" si="3"/>
        <v>7</v>
      </c>
      <c r="F8" s="9">
        <f t="shared" si="3"/>
        <v>3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2</v>
      </c>
      <c r="AO8" s="34" t="s">
        <v>13</v>
      </c>
      <c r="AP8" s="34">
        <f>SUMIF($K$7:$K$12,AO8,$AJ$7:$AJ$12) + SUMIF($N$7:$N$12,AO8,$AK$7:$AK$12)</f>
        <v>6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-60040700</v>
      </c>
      <c r="BA8" s="34">
        <f t="shared" ref="BA8:BA10" si="10">AZ8-AY8*10</f>
        <v>-60040710</v>
      </c>
      <c r="BB8" s="34">
        <f>BA8+N24</f>
        <v>-60040708</v>
      </c>
    </row>
    <row r="9" spans="2:54" x14ac:dyDescent="0.25">
      <c r="B9" s="11">
        <v>2</v>
      </c>
      <c r="C9" s="12" t="str">
        <f t="shared" si="3"/>
        <v>Holanda</v>
      </c>
      <c r="D9" s="13">
        <f t="shared" si="3"/>
        <v>6</v>
      </c>
      <c r="E9" s="13">
        <f t="shared" si="3"/>
        <v>7</v>
      </c>
      <c r="F9" s="13">
        <f t="shared" si="3"/>
        <v>3</v>
      </c>
      <c r="G9" s="14">
        <f t="shared" si="3"/>
        <v>4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3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1</v>
      </c>
      <c r="AO9" s="34" t="s">
        <v>12</v>
      </c>
      <c r="AP9" s="34">
        <f>SUMIF($K$7:$K$12,AO9,$AJ$7:$AJ$12) + SUMIF($N$7:$N$12,AO9,$AK$7:$AK$12)</f>
        <v>9</v>
      </c>
      <c r="AQ9" s="34">
        <f t="shared" ref="AQ9:AQ10" si="11">AR9-AS9</f>
        <v>4</v>
      </c>
      <c r="AR9" s="34">
        <f t="shared" si="5"/>
        <v>7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-90040700</v>
      </c>
      <c r="BA9" s="34">
        <f t="shared" si="10"/>
        <v>-90040710</v>
      </c>
      <c r="BB9" s="34">
        <f>BA9+N25</f>
        <v>-90040709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4</v>
      </c>
      <c r="F10" s="50">
        <f t="shared" si="3"/>
        <v>5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-29990400</v>
      </c>
      <c r="BA10" s="34">
        <f t="shared" si="10"/>
        <v>-29990410</v>
      </c>
      <c r="BB10" s="34">
        <f>BA10+N26</f>
        <v>-29990407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8</v>
      </c>
      <c r="G11" s="55">
        <f t="shared" si="3"/>
        <v>-7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1</v>
      </c>
      <c r="N25" s="35">
        <f>IF(J25="",0,M25)</f>
        <v>1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1:BB28"/>
  <sheetViews>
    <sheetView topLeftCell="A5" workbookViewId="0">
      <selection activeCell="I17" sqref="I17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1" spans="1:54" x14ac:dyDescent="0.25">
      <c r="A1">
        <v>4</v>
      </c>
    </row>
    <row r="2" spans="1:54" ht="15.75" thickBot="1" x14ac:dyDescent="0.3"/>
    <row r="3" spans="1:54" x14ac:dyDescent="0.25">
      <c r="B3" s="96" t="s">
        <v>29</v>
      </c>
      <c r="C3" s="97"/>
      <c r="D3" s="97"/>
      <c r="E3" s="97"/>
      <c r="F3" s="97"/>
      <c r="G3" s="98"/>
    </row>
    <row r="4" spans="1:54" ht="15.75" thickBot="1" x14ac:dyDescent="0.3">
      <c r="B4" s="99"/>
      <c r="C4" s="100"/>
      <c r="D4" s="100"/>
      <c r="E4" s="100"/>
      <c r="F4" s="100"/>
      <c r="G4" s="101"/>
    </row>
    <row r="5" spans="1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1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1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4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1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-39990500</v>
      </c>
      <c r="BA8" s="34">
        <f t="shared" ref="BA8:BA10" si="10">AZ8-AY8*10</f>
        <v>-39990510</v>
      </c>
      <c r="BB8" s="34">
        <f>BA8+N24</f>
        <v>-39990508</v>
      </c>
    </row>
    <row r="9" spans="1:54" x14ac:dyDescent="0.25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1</v>
      </c>
      <c r="AS9" s="34">
        <f t="shared" si="6"/>
        <v>8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69900</v>
      </c>
      <c r="BA9" s="34">
        <f t="shared" si="10"/>
        <v>69890</v>
      </c>
      <c r="BB9" s="34">
        <f>BA9+N25</f>
        <v>69894</v>
      </c>
    </row>
    <row r="10" spans="1:54" x14ac:dyDescent="0.25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5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-40010500</v>
      </c>
      <c r="BA10" s="34">
        <f t="shared" si="10"/>
        <v>-40010510</v>
      </c>
      <c r="BB10" s="34">
        <f>BA10+N26</f>
        <v>-40010507</v>
      </c>
    </row>
    <row r="11" spans="1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1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1:54" x14ac:dyDescent="0.25">
      <c r="AI13" s="2"/>
    </row>
    <row r="14" spans="1:54" x14ac:dyDescent="0.25">
      <c r="AI14" s="2"/>
    </row>
    <row r="15" spans="1:54" x14ac:dyDescent="0.25">
      <c r="AI15" s="2"/>
    </row>
    <row r="16" spans="1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5"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3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4</v>
      </c>
      <c r="M8" s="22">
        <v>1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8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-9960400</v>
      </c>
      <c r="BA8" s="34">
        <f t="shared" ref="BA8:BA10" si="10">AZ8-AY8*10</f>
        <v>-9960410</v>
      </c>
      <c r="BB8" s="34">
        <f>BA8+N24</f>
        <v>-9960407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6</v>
      </c>
      <c r="F9" s="13">
        <f t="shared" si="0"/>
        <v>2</v>
      </c>
      <c r="G9" s="14">
        <f t="shared" si="0"/>
        <v>4</v>
      </c>
      <c r="I9" s="23">
        <f>I7+16</f>
        <v>21</v>
      </c>
      <c r="J9" s="24">
        <v>44891</v>
      </c>
      <c r="K9" s="25" t="s">
        <v>37</v>
      </c>
      <c r="L9" s="21">
        <v>3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4</v>
      </c>
      <c r="AR9" s="34">
        <f t="shared" si="5"/>
        <v>6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-60040600</v>
      </c>
      <c r="BA9" s="34">
        <f t="shared" si="10"/>
        <v>-60040610</v>
      </c>
      <c r="BB9" s="34">
        <f>BA9+N25</f>
        <v>-60040608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1</v>
      </c>
      <c r="E10" s="50">
        <f t="shared" si="0"/>
        <v>4</v>
      </c>
      <c r="F10" s="50">
        <f t="shared" si="0"/>
        <v>8</v>
      </c>
      <c r="G10" s="51">
        <f t="shared" si="0"/>
        <v>-4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-6</v>
      </c>
      <c r="AR10" s="34">
        <f>SUMIF($K$7:$K$12,AO10,$L$7:$L$12) + SUMIF($N$7:$N$12,AO10,$M$7:$M$12)</f>
        <v>3</v>
      </c>
      <c r="AS10" s="34">
        <f>SUMIF($K$7:$K$12,AO10,$M$7:$M$12) + SUMIF($N$7:$N$12,AO10,$L$7:$L$12)</f>
        <v>9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-9940300</v>
      </c>
      <c r="BA10" s="34">
        <f t="shared" si="10"/>
        <v>-9940310</v>
      </c>
      <c r="BB10" s="34">
        <f>BA10+N26</f>
        <v>-9940306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3</v>
      </c>
      <c r="F11" s="54">
        <f t="shared" si="0"/>
        <v>9</v>
      </c>
      <c r="G11" s="55">
        <f t="shared" si="0"/>
        <v>-6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2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A5" workbookViewId="0">
      <selection activeCell="O22" sqref="O2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2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-19990500</v>
      </c>
      <c r="BA8" s="34">
        <f t="shared" ref="BA8:BA10" si="10">AZ8-AY8*10</f>
        <v>-19990510</v>
      </c>
      <c r="BB8" s="34">
        <f>BA8+N24</f>
        <v>-19990507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2</v>
      </c>
      <c r="E9" s="13">
        <f t="shared" si="0"/>
        <v>5</v>
      </c>
      <c r="F9" s="13">
        <f t="shared" si="0"/>
        <v>6</v>
      </c>
      <c r="G9" s="14">
        <f t="shared" si="0"/>
        <v>-1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5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-19980500</v>
      </c>
      <c r="BA9" s="34">
        <f t="shared" si="10"/>
        <v>-19980510</v>
      </c>
      <c r="BB9" s="34">
        <f>BA9+N25</f>
        <v>-19980508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2</v>
      </c>
      <c r="E10" s="50">
        <f t="shared" si="0"/>
        <v>5</v>
      </c>
      <c r="F10" s="50">
        <f t="shared" si="0"/>
        <v>7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2</v>
      </c>
      <c r="AQ10" s="34">
        <f t="shared" si="11"/>
        <v>-3</v>
      </c>
      <c r="AR10" s="34">
        <f>SUMIF($K$7:$K$12,AO10,$L$7:$L$12) + SUMIF($N$7:$N$12,AO10,$M$7:$M$12)</f>
        <v>4</v>
      </c>
      <c r="AS10" s="34">
        <f>SUMIF($K$7:$K$12,AO10,$M$7:$M$12) + SUMIF($N$7:$N$12,AO10,$L$7:$L$12)</f>
        <v>7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-19970400</v>
      </c>
      <c r="BA10" s="34">
        <f t="shared" si="10"/>
        <v>-19970410</v>
      </c>
      <c r="BB10" s="34">
        <f>BA10+N26</f>
        <v>-19970406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2</v>
      </c>
      <c r="E11" s="54">
        <f t="shared" si="0"/>
        <v>4</v>
      </c>
      <c r="F11" s="54">
        <f t="shared" si="0"/>
        <v>7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2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A8" workbookViewId="0">
      <selection activeCell="O22" sqref="O2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2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8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-70050800</v>
      </c>
      <c r="BA7" s="34">
        <f>AZ7-AY7*10</f>
        <v>-70050810</v>
      </c>
      <c r="BB7" s="34">
        <f>BA7+N23</f>
        <v>-70050808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8</v>
      </c>
      <c r="F8" s="9">
        <f t="shared" si="0"/>
        <v>3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4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-70040800</v>
      </c>
      <c r="BA8" s="34">
        <f t="shared" ref="BA8:BA10" si="10">AZ8-AY8*10</f>
        <v>-70040810</v>
      </c>
      <c r="BB8" s="34">
        <f>BA8+N24</f>
        <v>-70040809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7</v>
      </c>
      <c r="E9" s="13">
        <f t="shared" si="0"/>
        <v>8</v>
      </c>
      <c r="F9" s="13">
        <f t="shared" si="0"/>
        <v>4</v>
      </c>
      <c r="G9" s="14">
        <f t="shared" si="0"/>
        <v>4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-30000500</v>
      </c>
      <c r="BA9" s="34">
        <f t="shared" si="10"/>
        <v>-30000510</v>
      </c>
      <c r="BB9" s="34">
        <f>BA9+N25</f>
        <v>-30000507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-9</v>
      </c>
      <c r="AR10" s="34">
        <f>SUMIF($K$7:$K$12,AO10,$L$7:$L$12) + SUMIF($N$7:$N$12,AO10,$M$7:$M$12)</f>
        <v>0</v>
      </c>
      <c r="AS10" s="34">
        <f>SUMIF($K$7:$K$12,AO10,$M$7:$M$12) + SUMIF($N$7:$N$12,AO10,$L$7:$L$12)</f>
        <v>9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90000</v>
      </c>
      <c r="BA10" s="34">
        <f t="shared" si="10"/>
        <v>89990</v>
      </c>
      <c r="BB10" s="34">
        <f>BA10+N26</f>
        <v>89994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9</v>
      </c>
      <c r="G11" s="55">
        <f t="shared" si="0"/>
        <v>-9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A6" workbookViewId="0">
      <selection activeCell="L16" sqref="L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3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-70050700</v>
      </c>
      <c r="BA8" s="34">
        <f t="shared" ref="BA8:BA10" si="10">AZ8-AY8*10</f>
        <v>-70050710</v>
      </c>
      <c r="BB8" s="34">
        <f>BA8+N24</f>
        <v>-70050708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7</v>
      </c>
      <c r="E9" s="13">
        <f t="shared" si="0"/>
        <v>6</v>
      </c>
      <c r="F9" s="13">
        <f t="shared" si="0"/>
        <v>2</v>
      </c>
      <c r="G9" s="14">
        <f t="shared" si="0"/>
        <v>4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4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-29980400</v>
      </c>
      <c r="BA9" s="34">
        <f t="shared" si="10"/>
        <v>-29980410</v>
      </c>
      <c r="BB9" s="34">
        <f>BA9+N25</f>
        <v>-29980407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1</v>
      </c>
      <c r="AS10" s="34">
        <f>SUMIF($K$7:$K$12,AO10,$M$7:$M$12) + SUMIF($N$7:$N$12,AO10,$L$7:$L$12)</f>
        <v>8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69900</v>
      </c>
      <c r="BA10" s="34">
        <f t="shared" si="10"/>
        <v>69890</v>
      </c>
      <c r="BB10" s="34">
        <f>BA10+N26</f>
        <v>69894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A6" workbookViewId="0">
      <selection activeCell="O23" sqref="O2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2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0</v>
      </c>
      <c r="AQ8" s="34">
        <f>AR8-AS8</f>
        <v>-4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39900</v>
      </c>
      <c r="BA8" s="34">
        <f t="shared" ref="BA8:BA10" si="10">AZ8-AY8*10</f>
        <v>39890</v>
      </c>
      <c r="BB8" s="34">
        <f>BA8+N24</f>
        <v>39894</v>
      </c>
    </row>
    <row r="9" spans="2:54" x14ac:dyDescent="0.25">
      <c r="B9" s="11">
        <v>2</v>
      </c>
      <c r="C9" s="12" t="str">
        <f t="shared" si="0"/>
        <v>Camerun</v>
      </c>
      <c r="D9" s="13">
        <f t="shared" si="0"/>
        <v>4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5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-40000500</v>
      </c>
      <c r="BA10" s="34">
        <f t="shared" si="10"/>
        <v>-40000510</v>
      </c>
      <c r="BB10" s="34">
        <f>BA10+N26</f>
        <v>-40000508</v>
      </c>
    </row>
    <row r="11" spans="2:54" ht="15.75" thickBot="1" x14ac:dyDescent="0.3">
      <c r="B11" s="52">
        <v>4</v>
      </c>
      <c r="C11" s="53" t="str">
        <f t="shared" si="0"/>
        <v>Suiza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0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4</v>
      </c>
      <c r="N24" s="35">
        <f>IF(J24="",0,M24)</f>
        <v>4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E18" sqref="E1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-70030600</v>
      </c>
      <c r="BA8" s="34">
        <f t="shared" ref="BA8:BA10" si="10">AZ8-AY8*10</f>
        <v>-70030610</v>
      </c>
      <c r="BB8" s="34">
        <f>BA8+N24</f>
        <v>-70030609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4</v>
      </c>
      <c r="AS10" s="34">
        <f>SUMIF($K$7:$K$12,AO10,$M$7:$M$12) + SUMIF($N$7:$N$12,AO10,$L$7:$L$12)</f>
        <v>7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29600</v>
      </c>
      <c r="BA10" s="34">
        <f t="shared" si="10"/>
        <v>29590</v>
      </c>
      <c r="BB10" s="34">
        <f>BA10+N26</f>
        <v>29594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4</v>
      </c>
      <c r="F11" s="54">
        <f t="shared" si="0"/>
        <v>7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3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H15" workbookViewId="0">
      <selection activeCell="S32" sqref="S32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Senegal</v>
      </c>
      <c r="C6" s="60">
        <v>1</v>
      </c>
      <c r="D6" s="61">
        <v>0</v>
      </c>
    </row>
    <row r="7" spans="2:19" ht="15.75" thickBot="1" x14ac:dyDescent="0.3">
      <c r="B7" s="62" t="str">
        <f>'GRUPO B'!C9</f>
        <v>Gales</v>
      </c>
      <c r="C7" s="63">
        <v>1</v>
      </c>
      <c r="D7" s="64">
        <v>1</v>
      </c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Gales</v>
      </c>
      <c r="H8" s="60">
        <v>1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2</v>
      </c>
      <c r="N12" s="61">
        <v>0</v>
      </c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>
        <v>1</v>
      </c>
      <c r="O13" s="65"/>
    </row>
    <row r="14" spans="2:19" ht="15.75" thickBot="1" x14ac:dyDescent="0.3">
      <c r="B14" s="59" t="str">
        <f>'GRUPO E'!C8</f>
        <v>España</v>
      </c>
      <c r="C14" s="60">
        <v>2</v>
      </c>
      <c r="D14" s="61">
        <v>0</v>
      </c>
      <c r="J14" s="66"/>
      <c r="O14" s="66"/>
    </row>
    <row r="15" spans="2:19" ht="15.75" thickBot="1" x14ac:dyDescent="0.3">
      <c r="B15" s="62" t="str">
        <f>'GRUPO F'!C9</f>
        <v>Belgica</v>
      </c>
      <c r="C15" s="63">
        <v>2</v>
      </c>
      <c r="D15" s="64">
        <v>1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Belgica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>
        <v>1</v>
      </c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2</v>
      </c>
      <c r="S21" s="64">
        <v>0</v>
      </c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Holanda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3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Alemania</v>
      </c>
    </row>
    <row r="27" spans="2:23" ht="15.75" thickBot="1" x14ac:dyDescent="0.3">
      <c r="B27" s="62" t="str">
        <f>'GRUPO C'!C9</f>
        <v>Polonia</v>
      </c>
      <c r="C27" s="63">
        <v>2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3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Alemania</v>
      </c>
      <c r="M29" s="63">
        <v>1</v>
      </c>
      <c r="N29" s="64"/>
      <c r="Q29" s="59" t="str">
        <f>IF(Q20=L12,L13,IF(Q20=L13,L12,""))</f>
        <v>Argentina</v>
      </c>
      <c r="R29" s="60">
        <v>1</v>
      </c>
      <c r="S29" s="61">
        <v>0</v>
      </c>
    </row>
    <row r="30" spans="2:23" ht="15.75" thickBot="1" x14ac:dyDescent="0.3">
      <c r="B30" s="59" t="str">
        <f>'GRUPO F'!C8</f>
        <v>Croacia</v>
      </c>
      <c r="C30" s="60">
        <v>2</v>
      </c>
      <c r="D30" s="61">
        <v>0</v>
      </c>
      <c r="J30" s="66"/>
      <c r="Q30" s="62" t="str">
        <f>IF(Q21=L28,L29,IF(Q21=L29,L28,""))</f>
        <v>Alemania</v>
      </c>
      <c r="R30" s="63">
        <v>1</v>
      </c>
      <c r="S30" s="64">
        <v>1</v>
      </c>
    </row>
    <row r="31" spans="2:23" ht="15.75" thickBot="1" x14ac:dyDescent="0.3">
      <c r="B31" s="62" t="str">
        <f>'GRUPO E'!C9</f>
        <v>Alemania</v>
      </c>
      <c r="C31" s="63">
        <v>2</v>
      </c>
      <c r="D31" s="64">
        <v>1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Alemania</v>
      </c>
      <c r="H32" s="60">
        <v>2</v>
      </c>
      <c r="I32" s="61">
        <v>1</v>
      </c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>
        <v>0</v>
      </c>
    </row>
    <row r="34" spans="2:9" x14ac:dyDescent="0.25">
      <c r="B34" s="59" t="str">
        <f>'GRUPO H'!C8</f>
        <v>Uruguay</v>
      </c>
      <c r="C34" s="60">
        <v>1</v>
      </c>
      <c r="D34" s="61">
        <v>1</v>
      </c>
      <c r="E34" s="69"/>
    </row>
    <row r="35" spans="2:9" ht="15.75" thickBot="1" x14ac:dyDescent="0.3">
      <c r="B35" s="62" t="str">
        <f>'GRUPO G'!C9</f>
        <v>Camerun</v>
      </c>
      <c r="C35" s="63">
        <v>1</v>
      </c>
      <c r="D35" s="64">
        <v>0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Juan Pablo Figueroa Rozas</cp:lastModifiedBy>
  <dcterms:created xsi:type="dcterms:W3CDTF">2022-11-02T00:22:23Z</dcterms:created>
  <dcterms:modified xsi:type="dcterms:W3CDTF">2022-11-12T18:58:43Z</dcterms:modified>
</cp:coreProperties>
</file>