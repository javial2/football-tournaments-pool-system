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it/Downloads/"/>
    </mc:Choice>
  </mc:AlternateContent>
  <xr:revisionPtr revIDLastSave="0" documentId="8_{ACCF3208-FAE7-5E48-8429-93BB48F7029D}" xr6:coauthVersionLast="47" xr6:coauthVersionMax="47" xr10:uidLastSave="{00000000-0000-0000-0000-000000000000}"/>
  <bookViews>
    <workbookView xWindow="0" yWindow="500" windowWidth="28800" windowHeight="15980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AZ10" i="11" s="1"/>
  <c r="AP9" i="2"/>
  <c r="W24" i="16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P7" i="14" s="1"/>
  <c r="AZ7" i="14" s="1"/>
  <c r="AK12" i="14"/>
  <c r="AP9" i="14" s="1"/>
  <c r="AQ10" i="13"/>
  <c r="AQ8" i="13"/>
  <c r="AQ7" i="13"/>
  <c r="AQ9" i="13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L9" i="12"/>
  <c r="AK7" i="12"/>
  <c r="AL7" i="12" s="1"/>
  <c r="AK11" i="12"/>
  <c r="AP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Z8" i="11" s="1"/>
  <c r="AP9" i="11"/>
  <c r="AZ9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7" i="15" l="1"/>
  <c r="AP10" i="13"/>
  <c r="AZ10" i="13" s="1"/>
  <c r="AZ9" i="12"/>
  <c r="AZ10" i="12"/>
  <c r="AZ7" i="12"/>
  <c r="AZ9" i="2"/>
  <c r="AP10" i="15"/>
  <c r="AZ10" i="15" s="1"/>
  <c r="AP7" i="13"/>
  <c r="AZ7" i="13" s="1"/>
  <c r="AZ7" i="11"/>
  <c r="AW10" i="11" s="1"/>
  <c r="AX10" i="11" s="1"/>
  <c r="AY10" i="11" s="1"/>
  <c r="BA10" i="11" s="1"/>
  <c r="BB10" i="11" s="1"/>
  <c r="AP10" i="10"/>
  <c r="AZ10" i="10" s="1"/>
  <c r="AZ8" i="2"/>
  <c r="AP7" i="2"/>
  <c r="AZ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7" i="12"/>
  <c r="AX7" i="12" s="1"/>
  <c r="AY7" i="12" s="1"/>
  <c r="BA7" i="12" s="1"/>
  <c r="BB7" i="12" s="1"/>
  <c r="AW9" i="12"/>
  <c r="AW8" i="12"/>
  <c r="AX8" i="12" s="1"/>
  <c r="AY8" i="12" s="1"/>
  <c r="BA8" i="12" s="1"/>
  <c r="BB8" i="12" s="1"/>
  <c r="AW10" i="12"/>
  <c r="AX10" i="12" s="1"/>
  <c r="AY10" i="12" s="1"/>
  <c r="BA10" i="12" s="1"/>
  <c r="BB10" i="12" s="1"/>
  <c r="AW9" i="11"/>
  <c r="AX9" i="11" s="1"/>
  <c r="AY9" i="11" s="1"/>
  <c r="BA9" i="11" s="1"/>
  <c r="BB9" i="11" s="1"/>
  <c r="AW8" i="11"/>
  <c r="AX8" i="11" s="1"/>
  <c r="AY8" i="11" s="1"/>
  <c r="BA8" i="11" s="1"/>
  <c r="BB8" i="11" s="1"/>
  <c r="AW7" i="11"/>
  <c r="AX7" i="11" s="1"/>
  <c r="AY7" i="11" s="1"/>
  <c r="BA7" i="11" s="1"/>
  <c r="BB7" i="11" s="1"/>
  <c r="AW7" i="2"/>
  <c r="AX7" i="2" s="1"/>
  <c r="AY7" i="2" s="1"/>
  <c r="BA7" i="2" s="1"/>
  <c r="BB7" i="2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9" i="12"/>
  <c r="AY9" i="12" s="1"/>
  <c r="BA9" i="12" s="1"/>
  <c r="BB9" i="12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D8" i="11" s="1"/>
  <c r="AN9" i="10"/>
  <c r="AN7" i="10"/>
  <c r="AN8" i="10"/>
  <c r="AN10" i="10"/>
  <c r="AN8" i="2"/>
  <c r="AN7" i="2"/>
  <c r="AN9" i="2"/>
  <c r="AN10" i="2"/>
  <c r="BA7" i="1"/>
  <c r="BB7" i="1" s="1"/>
  <c r="AN7" i="1" s="1"/>
  <c r="C8" i="12" l="1"/>
  <c r="B14" i="16" s="1"/>
  <c r="F8" i="12"/>
  <c r="D8" i="12"/>
  <c r="G8" i="12"/>
  <c r="F10" i="11"/>
  <c r="G8" i="11"/>
  <c r="E8" i="11"/>
  <c r="G11" i="11"/>
  <c r="G10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<sst xmlns="http://schemas.openxmlformats.org/spreadsheetml/2006/main" count="454" uniqueCount="79">
  <si>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</si>
  <si>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</si>
  <si>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</si>
  <si>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</si>
  <si>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</si>
  <si>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</si>
  <si>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</si>
  <si>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</si>
  <si>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</si>
  <si>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</si>
  <si>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</si>
  <si>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</si>
  <si>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</si>
  <si>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</si>
  <si>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</si>
  <si>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</si>
  <si>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</si>
  <si>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</si>
  <si>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</si>
  <si>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</si>
  <si>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</si>
  <si>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</si>
  <si>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</si>
  <si>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</si>
  <si>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</si>
  <si>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</si>
  <si>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</si>
  <si>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</si>
  <si>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</si>
  <si>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</si>
  <si>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</si>
  <si>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</si>
  <si>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</si>
  <si>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</si>
  <si>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</si>
  <si>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</si>
  <si>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</si>
  <si>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</si>
  <si>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</si>
  <si>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</si>
  <si>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</si>
  <si>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</si>
  <si>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</si>
  <si>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</si>
  <si>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</si>
  <si>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</si>
  <si>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</si>
  <si>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</si>
  <si>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</si>
  <si>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</si>
  <si>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</si>
  <si>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</si>
  <si>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</si>
  <si>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</si>
  <si>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</si>
  <si>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</si>
  <si>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</si>
  <si>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</si>
  <si>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</si>
  <si>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</si>
  <si>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</si>
  <si>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</si>
  <si>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</si>
  <si>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</si>
  <si>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</si>
  <si>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</si>
  <si>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</si>
  <si>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</si>
  <si>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</si>
  <si>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</si>
  <si>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</si>
  <si>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</si>
  <si>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</si>
  <si>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</si>
  <si>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</si>
  <si>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</si>
  <si>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</si>
  <si>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Pauli de La Taille</t>
  </si>
  <si>
    <t>pdelataille@uc.cl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</si>
</sst>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delataille@uc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D23" sqref="D23"/>
    </sheetView>
  </sheetViews>
  <sheetFormatPr baseColWidth="10" defaultRowHeight="15" x14ac:dyDescent="0.2"/>
  <sheetData>
    <row r="1" spans="2:4" ht="16" thickBot="1" x14ac:dyDescent="0.25"/>
    <row r="2" spans="2:4" ht="16" thickBot="1" x14ac:dyDescent="0.25">
      <c r="B2" s="78" t="s">
        <v>74</v>
      </c>
      <c r="C2" s="79"/>
      <c r="D2" s="80"/>
    </row>
    <row r="3" spans="2:4" x14ac:dyDescent="0.2">
      <c r="B3" s="76" t="s">
        <v>75</v>
      </c>
      <c r="C3" s="81" t="s">
        <v>77</v>
      </c>
      <c r="D3" s="82"/>
    </row>
    <row r="4" spans="2:4" ht="16" thickBot="1" x14ac:dyDescent="0.25">
      <c r="B4" s="77" t="s">
        <v>76</v>
      </c>
      <c r="C4" s="83" t="s">
        <v>78</v>
      </c>
      <c r="D4" s="84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232388E9-A1A3-9F43-BF75-71016F9CB71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N13" sqref="N13"/>
    </sheetView>
  </sheetViews>
  <sheetFormatPr baseColWidth="10" defaultColWidth="11.5" defaultRowHeight="15" x14ac:dyDescent="0.2"/>
  <cols>
    <col min="1" max="14" width="10.83203125" customWidth="1"/>
    <col min="15" max="34" width="11.5" style="34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0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2</v>
      </c>
      <c r="N7" s="16" t="s">
        <v>13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3</v>
      </c>
      <c r="AO7" s="34" t="s">
        <v>14</v>
      </c>
      <c r="AP7" s="34">
        <f>SUMIF($K$7:$K$12,AO7,$AJ$7:$AJ$12) + SUMIF($N$7:$N$12,AO7,$AK$7:$AK$12)</f>
        <v>2</v>
      </c>
      <c r="AQ7" s="34">
        <f>AR7-AS7</f>
        <v>-3</v>
      </c>
      <c r="AR7" s="34">
        <f>SUMIF($K$7:$K$12,AO7,$L$7:$L$12) + SUMIF($N$7:$N$12,AO7,$M$7:$M$12)</f>
        <v>1</v>
      </c>
      <c r="AS7" s="34">
        <f>SUMIF($K$7:$K$12,AO7,$M$7:$M$12) + SUMIF($N$7:$N$12,AO7,$L$7:$L$12)</f>
        <v>4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-19970100</v>
      </c>
      <c r="BA7" s="34">
        <f>AZ7-AY7*10</f>
        <v>-19970110</v>
      </c>
      <c r="BB7" s="34">
        <f>BA7+N23</f>
        <v>-19970106</v>
      </c>
    </row>
    <row r="8" spans="2:54" x14ac:dyDescent="0.2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8</v>
      </c>
      <c r="F8" s="9">
        <f t="shared" si="3"/>
        <v>1</v>
      </c>
      <c r="G8" s="10">
        <f t="shared" si="3"/>
        <v>7</v>
      </c>
      <c r="I8" s="18">
        <v>2</v>
      </c>
      <c r="J8" s="19">
        <v>44886</v>
      </c>
      <c r="K8" s="20" t="s">
        <v>14</v>
      </c>
      <c r="L8" s="21">
        <v>1</v>
      </c>
      <c r="M8" s="22">
        <v>1</v>
      </c>
      <c r="N8" s="18" t="s">
        <v>11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tr">
        <f t="shared" si="0"/>
        <v>Qatar_Ecuador</v>
      </c>
      <c r="AJ8" s="34">
        <f t="shared" si="1"/>
        <v>1</v>
      </c>
      <c r="AK8" s="34">
        <f t="shared" ref="AK8:AK12" si="4">IF(AJ8=3,0,IF(AJ8=1,1,3))</f>
        <v>1</v>
      </c>
      <c r="AL8" s="34" t="str">
        <f t="shared" si="2"/>
        <v>SIN GANADOR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7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-90070800</v>
      </c>
      <c r="BA8" s="34">
        <f t="shared" ref="BA8:BA10" si="10">AZ8-AY8*10</f>
        <v>-90070810</v>
      </c>
      <c r="BB8" s="34">
        <f>BA8+N24</f>
        <v>-90070809</v>
      </c>
    </row>
    <row r="9" spans="2:54" x14ac:dyDescent="0.2">
      <c r="B9" s="11">
        <v>2</v>
      </c>
      <c r="C9" s="12" t="str">
        <f t="shared" si="3"/>
        <v>Ecuador</v>
      </c>
      <c r="D9" s="13">
        <f t="shared" si="3"/>
        <v>4</v>
      </c>
      <c r="E9" s="13">
        <f t="shared" si="3"/>
        <v>4</v>
      </c>
      <c r="F9" s="13">
        <f t="shared" si="3"/>
        <v>5</v>
      </c>
      <c r="G9" s="14">
        <f t="shared" si="3"/>
        <v>-1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0</v>
      </c>
      <c r="N9" s="23" t="s">
        <v>12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 t="str">
        <f t="shared" si="0"/>
        <v>Qatar_Senegal</v>
      </c>
      <c r="AJ9" s="34">
        <f t="shared" si="1"/>
        <v>1</v>
      </c>
      <c r="AK9" s="34">
        <f t="shared" si="4"/>
        <v>1</v>
      </c>
      <c r="AL9" s="34" t="str">
        <f t="shared" si="2"/>
        <v>SIN GANADOR</v>
      </c>
      <c r="AN9" s="34">
        <f>_xlfn.RANK.EQ(BB9,BB$7:BB$11,1)</f>
        <v>4</v>
      </c>
      <c r="AO9" s="34" t="s">
        <v>12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1</v>
      </c>
      <c r="AS9" s="34">
        <f t="shared" si="6"/>
        <v>4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-9970100</v>
      </c>
      <c r="BA9" s="34">
        <f t="shared" si="10"/>
        <v>-9970110</v>
      </c>
      <c r="BB9" s="34">
        <f>BA9+N25</f>
        <v>-9970107</v>
      </c>
    </row>
    <row r="10" spans="2:54" x14ac:dyDescent="0.2">
      <c r="B10" s="48">
        <v>3</v>
      </c>
      <c r="C10" s="49" t="str">
        <f t="shared" si="3"/>
        <v>Qatar</v>
      </c>
      <c r="D10" s="50">
        <f t="shared" si="3"/>
        <v>2</v>
      </c>
      <c r="E10" s="50">
        <f t="shared" si="3"/>
        <v>1</v>
      </c>
      <c r="F10" s="50">
        <f t="shared" si="3"/>
        <v>4</v>
      </c>
      <c r="G10" s="51">
        <f t="shared" si="3"/>
        <v>-3</v>
      </c>
      <c r="I10" s="18">
        <f>I8+16</f>
        <v>18</v>
      </c>
      <c r="J10" s="19">
        <v>44890</v>
      </c>
      <c r="K10" s="20" t="s">
        <v>13</v>
      </c>
      <c r="L10" s="21">
        <v>3</v>
      </c>
      <c r="M10" s="22">
        <v>1</v>
      </c>
      <c r="N10" s="18" t="s">
        <v>11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4</v>
      </c>
      <c r="AS10" s="34">
        <f>SUMIF($K$7:$K$12,AO10,$M$7:$M$12) + SUMIF($N$7:$N$12,AO10,$L$7:$L$12)</f>
        <v>5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-39990400</v>
      </c>
      <c r="BA10" s="34">
        <f t="shared" si="10"/>
        <v>-39990410</v>
      </c>
      <c r="BB10" s="34">
        <f>BA10+N26</f>
        <v>-39990408</v>
      </c>
    </row>
    <row r="11" spans="2:54" ht="16" thickBot="1" x14ac:dyDescent="0.25">
      <c r="B11" s="52">
        <v>4</v>
      </c>
      <c r="C11" s="53" t="str">
        <f t="shared" si="3"/>
        <v>Senegal</v>
      </c>
      <c r="D11" s="54">
        <f t="shared" si="3"/>
        <v>1</v>
      </c>
      <c r="E11" s="54">
        <f t="shared" si="3"/>
        <v>1</v>
      </c>
      <c r="F11" s="54">
        <f t="shared" si="3"/>
        <v>4</v>
      </c>
      <c r="G11" s="55">
        <f t="shared" si="3"/>
        <v>-3</v>
      </c>
      <c r="I11" s="23">
        <f>I9+16</f>
        <v>33</v>
      </c>
      <c r="J11" s="24">
        <v>44894</v>
      </c>
      <c r="K11" s="25" t="s">
        <v>11</v>
      </c>
      <c r="L11" s="21">
        <v>2</v>
      </c>
      <c r="M11" s="22">
        <v>1</v>
      </c>
      <c r="N11" s="23" t="s">
        <v>12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 t="str">
        <f t="shared" si="0"/>
        <v>Ecuador_Senegal</v>
      </c>
      <c r="AJ11" s="34">
        <f t="shared" si="1"/>
        <v>3</v>
      </c>
      <c r="AK11" s="34">
        <f t="shared" si="4"/>
        <v>0</v>
      </c>
      <c r="AL11" s="34" t="str">
        <f t="shared" si="2"/>
        <v>Ecuador</v>
      </c>
    </row>
    <row r="12" spans="2:54" ht="16" thickBot="1" x14ac:dyDescent="0.25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0</v>
      </c>
      <c r="N12" s="26" t="s">
        <v>14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14" ht="16" thickBot="1" x14ac:dyDescent="0.25"/>
    <row r="22" spans="2:1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1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14</v>
      </c>
      <c r="K23" s="104"/>
      <c r="L23" s="105"/>
      <c r="M23" s="42">
        <v>4</v>
      </c>
      <c r="N23" s="35">
        <f>IF(J23="",0,M23)</f>
        <v>4</v>
      </c>
    </row>
    <row r="24" spans="2:1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13</v>
      </c>
      <c r="K24" s="86"/>
      <c r="L24" s="87"/>
      <c r="M24" s="43">
        <v>1</v>
      </c>
      <c r="N24" s="35">
        <f>IF(J24="",0,M24)</f>
        <v>1</v>
      </c>
    </row>
    <row r="25" spans="2:1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12</v>
      </c>
      <c r="K25" s="86"/>
      <c r="L25" s="87"/>
      <c r="M25" s="43">
        <v>3</v>
      </c>
      <c r="N25" s="35">
        <f>IF(J25="",0,M25)</f>
        <v>3</v>
      </c>
    </row>
    <row r="26" spans="2:1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11</v>
      </c>
      <c r="K26" s="89"/>
      <c r="L26" s="90"/>
      <c r="M26" s="44">
        <v>2</v>
      </c>
      <c r="N26" s="35">
        <f>IF(J26="",0,M26)</f>
        <v>2</v>
      </c>
    </row>
    <row r="27" spans="2:1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O15" sqref="O15"/>
    </sheetView>
  </sheetViews>
  <sheetFormatPr baseColWidth="10" defaultColWidth="11.5" defaultRowHeight="15" x14ac:dyDescent="0.2"/>
  <cols>
    <col min="1" max="14" width="10.83203125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29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0</v>
      </c>
      <c r="N7" s="16" t="s">
        <v>32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-90040600</v>
      </c>
      <c r="BA7" s="34">
        <f>AZ7-AY7*10</f>
        <v>-90040610</v>
      </c>
      <c r="BB7" s="34">
        <f>BA7+N23</f>
        <v>-90040609</v>
      </c>
    </row>
    <row r="8" spans="2:54" x14ac:dyDescent="0.2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4</v>
      </c>
      <c r="J8" s="19">
        <v>44886</v>
      </c>
      <c r="K8" s="20" t="s">
        <v>31</v>
      </c>
      <c r="L8" s="21">
        <v>1</v>
      </c>
      <c r="M8" s="22">
        <v>1</v>
      </c>
      <c r="N8" s="18" t="s">
        <v>33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-40000300</v>
      </c>
      <c r="BA8" s="34">
        <f t="shared" ref="BA8:BA10" si="10">AZ8-AY8*10</f>
        <v>-40000310</v>
      </c>
      <c r="BB8" s="34">
        <f>BA8+N24</f>
        <v>-40000307</v>
      </c>
    </row>
    <row r="9" spans="2:54" x14ac:dyDescent="0.2">
      <c r="B9" s="11">
        <v>2</v>
      </c>
      <c r="C9" s="12" t="str">
        <f t="shared" si="0"/>
        <v>Gales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1</v>
      </c>
      <c r="N9" s="23" t="s">
        <v>32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39900</v>
      </c>
      <c r="BA9" s="34">
        <f t="shared" si="10"/>
        <v>39890</v>
      </c>
      <c r="BB9" s="34">
        <f>BA9+N25</f>
        <v>39894</v>
      </c>
    </row>
    <row r="10" spans="2:54" x14ac:dyDescent="0.2">
      <c r="B10" s="48">
        <v>3</v>
      </c>
      <c r="C10" s="49" t="str">
        <f t="shared" si="0"/>
        <v>USA</v>
      </c>
      <c r="D10" s="50">
        <f t="shared" si="0"/>
        <v>4</v>
      </c>
      <c r="E10" s="50">
        <f t="shared" si="0"/>
        <v>3</v>
      </c>
      <c r="F10" s="50">
        <f t="shared" si="0"/>
        <v>3</v>
      </c>
      <c r="G10" s="51">
        <f t="shared" si="0"/>
        <v>0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1</v>
      </c>
      <c r="N10" s="18" t="s">
        <v>31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4</v>
      </c>
      <c r="AS10" s="34">
        <f>SUMIF($K$7:$K$12,AO10,$M$7:$M$12) + SUMIF($N$7:$N$12,AO10,$L$7:$L$12)</f>
        <v>4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-40000400</v>
      </c>
      <c r="BA10" s="34">
        <f t="shared" si="10"/>
        <v>-40000410</v>
      </c>
      <c r="BB10" s="34">
        <f>BA10+N26</f>
        <v>-40000408</v>
      </c>
    </row>
    <row r="11" spans="2:54" ht="16" thickBot="1" x14ac:dyDescent="0.25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6" thickBot="1" x14ac:dyDescent="0.25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1</v>
      </c>
      <c r="N12" s="26" t="s">
        <v>31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31</v>
      </c>
      <c r="K24" s="86"/>
      <c r="L24" s="87"/>
      <c r="M24" s="43">
        <v>3</v>
      </c>
      <c r="N24" s="35">
        <f>IF(J24="",0,M24)</f>
        <v>3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32</v>
      </c>
      <c r="K25" s="86"/>
      <c r="L25" s="87"/>
      <c r="M25" s="43">
        <v>4</v>
      </c>
      <c r="N25" s="35">
        <f>IF(J25="",0,M25)</f>
        <v>4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33</v>
      </c>
      <c r="K26" s="89"/>
      <c r="L26" s="90"/>
      <c r="M26" s="44">
        <v>2</v>
      </c>
      <c r="N26" s="35">
        <f>IF(J26="",0,M26)</f>
        <v>2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L13" sqref="L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34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0</v>
      </c>
      <c r="M7" s="31">
        <v>2</v>
      </c>
      <c r="N7" s="16" t="s">
        <v>37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2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6</v>
      </c>
      <c r="J8" s="19">
        <v>44887</v>
      </c>
      <c r="K8" s="20" t="s">
        <v>35</v>
      </c>
      <c r="L8" s="21">
        <v>2</v>
      </c>
      <c r="M8" s="22">
        <v>0</v>
      </c>
      <c r="N8" s="18" t="s">
        <v>38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3</v>
      </c>
      <c r="AQ8" s="34">
        <f>AR8-AS8</f>
        <v>-2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-29980300</v>
      </c>
      <c r="BA8" s="34">
        <f t="shared" ref="BA8:BA10" si="10">AZ8-AY8*10</f>
        <v>-29980310</v>
      </c>
      <c r="BB8" s="34">
        <f>BA8+N24</f>
        <v>-29980307</v>
      </c>
    </row>
    <row r="9" spans="2:54" x14ac:dyDescent="0.2">
      <c r="B9" s="11">
        <v>2</v>
      </c>
      <c r="C9" s="12" t="str">
        <f t="shared" si="0"/>
        <v>Polonia</v>
      </c>
      <c r="D9" s="13">
        <f t="shared" si="0"/>
        <v>6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6</v>
      </c>
      <c r="AQ9" s="34">
        <f t="shared" ref="AQ9:AQ10" si="11">AR9-AS9</f>
        <v>3</v>
      </c>
      <c r="AR9" s="34">
        <f t="shared" si="5"/>
        <v>5</v>
      </c>
      <c r="AS9" s="34">
        <f t="shared" si="6"/>
        <v>2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-60030500</v>
      </c>
      <c r="BA9" s="34">
        <f t="shared" si="10"/>
        <v>-60030510</v>
      </c>
      <c r="BB9" s="34">
        <f>BA9+N25</f>
        <v>-60030508</v>
      </c>
    </row>
    <row r="10" spans="2:54" x14ac:dyDescent="0.2">
      <c r="B10" s="48">
        <v>3</v>
      </c>
      <c r="C10" s="49" t="str">
        <f t="shared" si="0"/>
        <v>Mexico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1</v>
      </c>
      <c r="N10" s="18" t="s">
        <v>36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-6</v>
      </c>
      <c r="AR10" s="34">
        <f>SUMIF($K$7:$K$12,AO10,$L$7:$L$12) + SUMIF($N$7:$N$12,AO10,$M$7:$M$12)</f>
        <v>0</v>
      </c>
      <c r="AS10" s="34">
        <f>SUMIF($K$7:$K$12,AO10,$M$7:$M$12) + SUMIF($N$7:$N$12,AO10,$L$7:$L$12)</f>
        <v>6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60000</v>
      </c>
      <c r="BA10" s="34">
        <f t="shared" si="10"/>
        <v>59990</v>
      </c>
      <c r="BB10" s="34">
        <f>BA10+N26</f>
        <v>59994</v>
      </c>
    </row>
    <row r="11" spans="2:54" ht="16" thickBot="1" x14ac:dyDescent="0.25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0</v>
      </c>
      <c r="F11" s="54">
        <f t="shared" si="0"/>
        <v>6</v>
      </c>
      <c r="G11" s="55">
        <f t="shared" si="0"/>
        <v>-6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2</v>
      </c>
      <c r="N11" s="23" t="s">
        <v>35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6" thickBot="1" x14ac:dyDescent="0.25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2</v>
      </c>
      <c r="N12" s="26" t="s">
        <v>36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35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36</v>
      </c>
      <c r="K24" s="86"/>
      <c r="L24" s="87"/>
      <c r="M24" s="43">
        <v>3</v>
      </c>
      <c r="N24" s="35">
        <f>IF(J24="",0,M24)</f>
        <v>3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37</v>
      </c>
      <c r="K25" s="86"/>
      <c r="L25" s="87"/>
      <c r="M25" s="43">
        <v>2</v>
      </c>
      <c r="N25" s="35">
        <f>IF(J25="",0,M25)</f>
        <v>2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N17" sqref="N17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39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0</v>
      </c>
      <c r="N7" s="16" t="s">
        <v>42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7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-90060700</v>
      </c>
      <c r="BA7" s="34">
        <f>AZ7-AY7*10</f>
        <v>-90060710</v>
      </c>
      <c r="BB7" s="34">
        <f>BA7+N23</f>
        <v>-90060709</v>
      </c>
    </row>
    <row r="8" spans="2:54" x14ac:dyDescent="0.2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8</v>
      </c>
      <c r="J8" s="19">
        <v>44887</v>
      </c>
      <c r="K8" s="20" t="s">
        <v>40</v>
      </c>
      <c r="L8" s="21">
        <v>2</v>
      </c>
      <c r="M8" s="22">
        <v>0</v>
      </c>
      <c r="N8" s="18" t="s">
        <v>43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-60030500</v>
      </c>
      <c r="BA8" s="34">
        <f t="shared" ref="BA8:BA10" si="10">AZ8-AY8*10</f>
        <v>-60030510</v>
      </c>
      <c r="BB8" s="34">
        <f>BA8+N24</f>
        <v>-60030508</v>
      </c>
    </row>
    <row r="9" spans="2:54" x14ac:dyDescent="0.2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1</v>
      </c>
      <c r="N9" s="23" t="s">
        <v>43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-5</v>
      </c>
      <c r="AR9" s="34">
        <f t="shared" si="5"/>
        <v>1</v>
      </c>
      <c r="AS9" s="34">
        <f t="shared" si="6"/>
        <v>6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-9950100</v>
      </c>
      <c r="BA9" s="34">
        <f t="shared" si="10"/>
        <v>-9950110</v>
      </c>
      <c r="BB9" s="34">
        <f>BA9+N25</f>
        <v>-9950106</v>
      </c>
    </row>
    <row r="10" spans="2:54" x14ac:dyDescent="0.2">
      <c r="B10" s="48">
        <v>3</v>
      </c>
      <c r="C10" s="49" t="str">
        <f t="shared" si="0"/>
        <v>Australia</v>
      </c>
      <c r="D10" s="50">
        <f t="shared" si="0"/>
        <v>1</v>
      </c>
      <c r="E10" s="50">
        <f t="shared" si="0"/>
        <v>1</v>
      </c>
      <c r="F10" s="50">
        <f t="shared" si="0"/>
        <v>5</v>
      </c>
      <c r="G10" s="51">
        <f t="shared" si="0"/>
        <v>-4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1</v>
      </c>
      <c r="N10" s="18" t="s">
        <v>41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-9960100</v>
      </c>
      <c r="BA10" s="34">
        <f t="shared" si="10"/>
        <v>-9960110</v>
      </c>
      <c r="BB10" s="34">
        <f>BA10+N26</f>
        <v>-9960107</v>
      </c>
    </row>
    <row r="11" spans="2:54" ht="16" thickBot="1" x14ac:dyDescent="0.25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3</v>
      </c>
      <c r="N11" s="23" t="s">
        <v>40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6" thickBot="1" x14ac:dyDescent="0.25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2</v>
      </c>
      <c r="N12" s="26" t="s">
        <v>41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42</v>
      </c>
      <c r="K25" s="86"/>
      <c r="L25" s="87"/>
      <c r="M25" s="43">
        <v>4</v>
      </c>
      <c r="N25" s="35">
        <f>IF(J25="",0,M25)</f>
        <v>4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43</v>
      </c>
      <c r="K26" s="89"/>
      <c r="L26" s="90"/>
      <c r="M26" s="44">
        <v>3</v>
      </c>
      <c r="N26" s="35">
        <f>IF(J26="",0,M26)</f>
        <v>3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M13" sqref="M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70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3</v>
      </c>
      <c r="M7" s="31">
        <v>1</v>
      </c>
      <c r="N7" s="16" t="s">
        <v>46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5</v>
      </c>
      <c r="AS7" s="34">
        <f>SUMIF($K$7:$K$12,AO7,$M$7:$M$12) + SUMIF($N$7:$N$12,AO7,$L$7:$L$12)</f>
        <v>3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-60020500</v>
      </c>
      <c r="BA7" s="34">
        <f>AZ7-AY7*10</f>
        <v>-60020510</v>
      </c>
      <c r="BB7" s="34">
        <f>BA7+N23</f>
        <v>-60020508</v>
      </c>
    </row>
    <row r="8" spans="2:54" x14ac:dyDescent="0.2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10</v>
      </c>
      <c r="J8" s="19">
        <v>44888</v>
      </c>
      <c r="K8" s="20" t="s">
        <v>44</v>
      </c>
      <c r="L8" s="21">
        <v>2</v>
      </c>
      <c r="M8" s="22">
        <v>0</v>
      </c>
      <c r="N8" s="18" t="s">
        <v>47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-90050700</v>
      </c>
      <c r="BA8" s="34">
        <f t="shared" ref="BA8:BA10" si="10">AZ8-AY8*10</f>
        <v>-90050710</v>
      </c>
      <c r="BB8" s="34">
        <f>BA8+N24</f>
        <v>-90050709</v>
      </c>
    </row>
    <row r="9" spans="2:54" x14ac:dyDescent="0.2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0</v>
      </c>
      <c r="N9" s="23" t="s">
        <v>47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3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-29980300</v>
      </c>
      <c r="BA9" s="34">
        <f t="shared" si="10"/>
        <v>-29980310</v>
      </c>
      <c r="BB9" s="34">
        <f>BA9+N25</f>
        <v>-29980307</v>
      </c>
    </row>
    <row r="10" spans="2:54" x14ac:dyDescent="0.2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26</v>
      </c>
      <c r="J10" s="19">
        <v>44892</v>
      </c>
      <c r="K10" s="20" t="s">
        <v>44</v>
      </c>
      <c r="L10" s="21">
        <v>1</v>
      </c>
      <c r="M10" s="22">
        <v>2</v>
      </c>
      <c r="N10" s="18" t="s">
        <v>45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0</v>
      </c>
      <c r="AS10" s="34">
        <f>SUMIF($K$7:$K$12,AO10,$M$7:$M$12) + SUMIF($N$7:$N$12,AO10,$L$7:$L$12)</f>
        <v>5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50000</v>
      </c>
      <c r="BA10" s="34">
        <f t="shared" si="10"/>
        <v>49990</v>
      </c>
      <c r="BB10" s="34">
        <f>BA10+N26</f>
        <v>49994</v>
      </c>
    </row>
    <row r="11" spans="2:54" ht="16" thickBot="1" x14ac:dyDescent="0.25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6" thickBot="1" x14ac:dyDescent="0.25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44</v>
      </c>
      <c r="K23" s="104"/>
      <c r="L23" s="105"/>
      <c r="M23" s="42">
        <v>2</v>
      </c>
      <c r="N23" s="35">
        <f>IF(J23="",0,M23)</f>
        <v>2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45</v>
      </c>
      <c r="K24" s="86"/>
      <c r="L24" s="87"/>
      <c r="M24" s="43">
        <v>1</v>
      </c>
      <c r="N24" s="35">
        <f>IF(J24="",0,M24)</f>
        <v>1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47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M13" sqref="M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71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1</v>
      </c>
      <c r="N7" s="16" t="s">
        <v>49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-90060800</v>
      </c>
      <c r="BA7" s="34">
        <f>AZ7-AY7*10</f>
        <v>-90060810</v>
      </c>
      <c r="BB7" s="34">
        <f>BA7+N23</f>
        <v>-90060809</v>
      </c>
    </row>
    <row r="8" spans="2:54" x14ac:dyDescent="0.2">
      <c r="B8" s="7">
        <v>1</v>
      </c>
      <c r="C8" s="8" t="str">
        <f t="shared" ref="C8:G11" si="0">IFERROR(VLOOKUP($B8,$AN$7:$AS$11,C$5,FALSE),"")</f>
        <v>Belgica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12</v>
      </c>
      <c r="J8" s="19">
        <v>44888</v>
      </c>
      <c r="K8" s="20" t="s">
        <v>48</v>
      </c>
      <c r="L8" s="21">
        <v>2</v>
      </c>
      <c r="M8" s="22">
        <v>0</v>
      </c>
      <c r="N8" s="18" t="s">
        <v>51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6</v>
      </c>
      <c r="AQ8" s="34">
        <f>AR8-AS8</f>
        <v>0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-60000300</v>
      </c>
      <c r="BA8" s="34">
        <f t="shared" ref="BA8:BA10" si="10">AZ8-AY8*10</f>
        <v>-60000310</v>
      </c>
      <c r="BB8" s="34">
        <f>BA8+N24</f>
        <v>-60000308</v>
      </c>
    </row>
    <row r="9" spans="2:54" x14ac:dyDescent="0.2">
      <c r="B9" s="11">
        <v>2</v>
      </c>
      <c r="C9" s="12" t="str">
        <f t="shared" si="0"/>
        <v>Croacia</v>
      </c>
      <c r="D9" s="13">
        <f t="shared" si="0"/>
        <v>6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27</v>
      </c>
      <c r="J9" s="24">
        <v>44892</v>
      </c>
      <c r="K9" s="25" t="s">
        <v>48</v>
      </c>
      <c r="L9" s="21">
        <v>3</v>
      </c>
      <c r="M9" s="22">
        <v>1</v>
      </c>
      <c r="N9" s="23" t="s">
        <v>50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39900</v>
      </c>
      <c r="BA9" s="34">
        <f t="shared" si="10"/>
        <v>39890</v>
      </c>
      <c r="BB9" s="34">
        <f>BA9+N25</f>
        <v>39894</v>
      </c>
    </row>
    <row r="10" spans="2:54" x14ac:dyDescent="0.2">
      <c r="B10" s="48">
        <v>3</v>
      </c>
      <c r="C10" s="49" t="str">
        <f t="shared" si="0"/>
        <v>Canada</v>
      </c>
      <c r="D10" s="50">
        <f t="shared" si="0"/>
        <v>3</v>
      </c>
      <c r="E10" s="50">
        <f t="shared" si="0"/>
        <v>1</v>
      </c>
      <c r="F10" s="50">
        <f t="shared" si="0"/>
        <v>3</v>
      </c>
      <c r="G10" s="51">
        <f t="shared" si="0"/>
        <v>-2</v>
      </c>
      <c r="I10" s="18">
        <f>I8+16</f>
        <v>28</v>
      </c>
      <c r="J10" s="19">
        <v>44892</v>
      </c>
      <c r="K10" s="20" t="s">
        <v>49</v>
      </c>
      <c r="L10" s="21">
        <v>1</v>
      </c>
      <c r="M10" s="22">
        <v>0</v>
      </c>
      <c r="N10" s="18" t="s">
        <v>51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1</v>
      </c>
      <c r="AS10" s="34">
        <f>SUMIF($K$7:$K$12,AO10,$M$7:$M$12) + SUMIF($N$7:$N$12,AO10,$L$7:$L$12)</f>
        <v>3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-29980100</v>
      </c>
      <c r="BA10" s="34">
        <f t="shared" si="10"/>
        <v>-29980110</v>
      </c>
      <c r="BB10" s="34">
        <f>BA10+N26</f>
        <v>-29980107</v>
      </c>
    </row>
    <row r="11" spans="2:54" ht="16" thickBot="1" x14ac:dyDescent="0.25">
      <c r="B11" s="52">
        <v>4</v>
      </c>
      <c r="C11" s="53" t="str">
        <f t="shared" si="0"/>
        <v>Marruecos</v>
      </c>
      <c r="D11" s="54">
        <f t="shared" si="0"/>
        <v>0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3</v>
      </c>
      <c r="N11" s="23" t="s">
        <v>48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6" thickBot="1" x14ac:dyDescent="0.25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0</v>
      </c>
      <c r="N12" s="26" t="s">
        <v>50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Canada_Marruecos</v>
      </c>
      <c r="AJ12" s="34">
        <f t="shared" si="2"/>
        <v>3</v>
      </c>
      <c r="AK12" s="34">
        <f t="shared" si="3"/>
        <v>0</v>
      </c>
      <c r="AL12" s="34" t="str">
        <f t="shared" si="4"/>
        <v>Canada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48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49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50</v>
      </c>
      <c r="K25" s="86"/>
      <c r="L25" s="87"/>
      <c r="M25" s="43">
        <v>4</v>
      </c>
      <c r="N25" s="35">
        <f>IF(J25="",0,M25)</f>
        <v>4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51</v>
      </c>
      <c r="K26" s="89"/>
      <c r="L26" s="90"/>
      <c r="M26" s="44">
        <v>3</v>
      </c>
      <c r="N26" s="35">
        <f>IF(J26="",0,M26)</f>
        <v>3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L13" sqref="L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72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0</v>
      </c>
      <c r="N7" s="16" t="s">
        <v>54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8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-90070800</v>
      </c>
      <c r="BA7" s="34">
        <f>AZ7-AY7*10</f>
        <v>-90070810</v>
      </c>
      <c r="BB7" s="34">
        <f>BA7+N23</f>
        <v>-90070809</v>
      </c>
    </row>
    <row r="8" spans="2:54" x14ac:dyDescent="0.2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8</v>
      </c>
      <c r="F8" s="9">
        <f t="shared" si="0"/>
        <v>1</v>
      </c>
      <c r="G8" s="10">
        <f t="shared" si="0"/>
        <v>7</v>
      </c>
      <c r="I8" s="18">
        <v>14</v>
      </c>
      <c r="J8" s="19">
        <v>44889</v>
      </c>
      <c r="K8" s="20" t="s">
        <v>10</v>
      </c>
      <c r="L8" s="21">
        <v>3</v>
      </c>
      <c r="M8" s="22">
        <v>0</v>
      </c>
      <c r="N8" s="18" t="s">
        <v>53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-60010300</v>
      </c>
      <c r="BA8" s="34">
        <f t="shared" ref="BA8:BA10" si="10">AZ8-AY8*10</f>
        <v>-60010310</v>
      </c>
      <c r="BB8" s="34">
        <f>BA8+N24</f>
        <v>-60010308</v>
      </c>
    </row>
    <row r="9" spans="2:54" x14ac:dyDescent="0.2">
      <c r="B9" s="11">
        <v>2</v>
      </c>
      <c r="C9" s="12" t="str">
        <f t="shared" si="0"/>
        <v>Suiza</v>
      </c>
      <c r="D9" s="13">
        <f t="shared" si="0"/>
        <v>6</v>
      </c>
      <c r="E9" s="13">
        <f t="shared" si="0"/>
        <v>3</v>
      </c>
      <c r="F9" s="13">
        <f t="shared" si="0"/>
        <v>2</v>
      </c>
      <c r="G9" s="14">
        <f t="shared" si="0"/>
        <v>1</v>
      </c>
      <c r="I9" s="23">
        <f>I7+16</f>
        <v>29</v>
      </c>
      <c r="J9" s="24">
        <v>44893</v>
      </c>
      <c r="K9" s="25" t="s">
        <v>54</v>
      </c>
      <c r="L9" s="21">
        <v>0</v>
      </c>
      <c r="M9" s="22">
        <v>1</v>
      </c>
      <c r="N9" s="23" t="s">
        <v>53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3</v>
      </c>
      <c r="AQ9" s="34">
        <f t="shared" ref="AQ9:AQ10" si="11">AR9-AS9</f>
        <v>-3</v>
      </c>
      <c r="AR9" s="34">
        <f t="shared" si="5"/>
        <v>1</v>
      </c>
      <c r="AS9" s="34">
        <f t="shared" si="6"/>
        <v>4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-29970100</v>
      </c>
      <c r="BA9" s="34">
        <f t="shared" si="10"/>
        <v>-29970110</v>
      </c>
      <c r="BB9" s="34">
        <f>BA9+N25</f>
        <v>-29970107</v>
      </c>
    </row>
    <row r="10" spans="2:54" x14ac:dyDescent="0.2">
      <c r="B10" s="48">
        <v>3</v>
      </c>
      <c r="C10" s="49" t="str">
        <f t="shared" si="0"/>
        <v>Serbia</v>
      </c>
      <c r="D10" s="50">
        <f t="shared" si="0"/>
        <v>3</v>
      </c>
      <c r="E10" s="50">
        <f t="shared" si="0"/>
        <v>1</v>
      </c>
      <c r="F10" s="50">
        <f t="shared" si="0"/>
        <v>4</v>
      </c>
      <c r="G10" s="51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1</v>
      </c>
      <c r="N10" s="18" t="s">
        <v>52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0</v>
      </c>
      <c r="AS10" s="34">
        <f>SUMIF($K$7:$K$12,AO10,$M$7:$M$12) + SUMIF($N$7:$N$12,AO10,$L$7:$L$12)</f>
        <v>5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50000</v>
      </c>
      <c r="BA10" s="34">
        <f t="shared" si="10"/>
        <v>49990</v>
      </c>
      <c r="BB10" s="34">
        <f>BA10+N26</f>
        <v>49994</v>
      </c>
    </row>
    <row r="11" spans="2:54" ht="16" thickBot="1" x14ac:dyDescent="0.25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45</v>
      </c>
      <c r="J11" s="24">
        <v>44897</v>
      </c>
      <c r="K11" s="25" t="s">
        <v>53</v>
      </c>
      <c r="L11" s="21">
        <v>0</v>
      </c>
      <c r="M11" s="22">
        <v>1</v>
      </c>
      <c r="N11" s="23" t="s">
        <v>52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Serbia_Suiza</v>
      </c>
      <c r="AJ11" s="34">
        <f t="shared" si="2"/>
        <v>0</v>
      </c>
      <c r="AK11" s="34">
        <f t="shared" si="3"/>
        <v>3</v>
      </c>
      <c r="AL11" s="34" t="str">
        <f t="shared" si="4"/>
        <v>Suiza</v>
      </c>
    </row>
    <row r="12" spans="2:54" ht="16" thickBot="1" x14ac:dyDescent="0.25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3</v>
      </c>
      <c r="N12" s="26" t="s">
        <v>10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52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53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54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M13" sqref="M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73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1</v>
      </c>
      <c r="N7" s="16" t="s">
        <v>56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6</v>
      </c>
      <c r="AQ7" s="34">
        <f>AR7-AS7</f>
        <v>1</v>
      </c>
      <c r="AR7" s="34">
        <f>SUMIF($K$7:$K$12,AO7,$L$7:$L$12) + SUMIF($N$7:$N$12,AO7,$M$7:$M$12)</f>
        <v>4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-60010400</v>
      </c>
      <c r="BA7" s="34">
        <f>AZ7-AY7*10</f>
        <v>-60010410</v>
      </c>
      <c r="BB7" s="34">
        <f>BA7+N23</f>
        <v>-60010408</v>
      </c>
    </row>
    <row r="8" spans="2:54" x14ac:dyDescent="0.2">
      <c r="B8" s="7">
        <v>1</v>
      </c>
      <c r="C8" s="8" t="str">
        <f t="shared" ref="C8:G11" si="0">IFERROR(VLOOKUP($B8,$AN$7:$AS$11,C$5,FALSE),"")</f>
        <v>Uruguay</v>
      </c>
      <c r="D8" s="9">
        <f t="shared" si="0"/>
        <v>9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16</v>
      </c>
      <c r="J8" s="19">
        <v>44889</v>
      </c>
      <c r="K8" s="20" t="s">
        <v>57</v>
      </c>
      <c r="L8" s="21">
        <v>1</v>
      </c>
      <c r="M8" s="22">
        <v>0</v>
      </c>
      <c r="N8" s="18" t="s">
        <v>58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9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-90030500</v>
      </c>
      <c r="BA8" s="34">
        <f t="shared" ref="BA8:BA10" si="10">AZ8-AY8*10</f>
        <v>-90030510</v>
      </c>
      <c r="BB8" s="34">
        <f>BA8+N24</f>
        <v>-90030509</v>
      </c>
    </row>
    <row r="9" spans="2:54" x14ac:dyDescent="0.2">
      <c r="B9" s="11">
        <v>2</v>
      </c>
      <c r="C9" s="12" t="str">
        <f t="shared" si="0"/>
        <v>Portugal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31</v>
      </c>
      <c r="J9" s="24">
        <v>44893</v>
      </c>
      <c r="K9" s="25" t="s">
        <v>56</v>
      </c>
      <c r="L9" s="21">
        <v>2</v>
      </c>
      <c r="M9" s="22">
        <v>1</v>
      </c>
      <c r="N9" s="23" t="s">
        <v>58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4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-29990400</v>
      </c>
      <c r="BA9" s="34">
        <f t="shared" si="10"/>
        <v>-29990410</v>
      </c>
      <c r="BB9" s="34">
        <f>BA9+N25</f>
        <v>-29990407</v>
      </c>
    </row>
    <row r="10" spans="2:54" x14ac:dyDescent="0.2">
      <c r="B10" s="48">
        <v>3</v>
      </c>
      <c r="C10" s="49" t="str">
        <f t="shared" si="0"/>
        <v>Corea</v>
      </c>
      <c r="D10" s="50">
        <f t="shared" si="0"/>
        <v>3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2</v>
      </c>
      <c r="N10" s="18" t="s">
        <v>55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0</v>
      </c>
      <c r="AQ10" s="34">
        <f t="shared" si="11"/>
        <v>-3</v>
      </c>
      <c r="AR10" s="34">
        <f>SUMIF($K$7:$K$12,AO10,$L$7:$L$12) + SUMIF($N$7:$N$12,AO10,$M$7:$M$12)</f>
        <v>1</v>
      </c>
      <c r="AS10" s="34">
        <f>SUMIF($K$7:$K$12,AO10,$M$7:$M$12) + SUMIF($N$7:$N$12,AO10,$L$7:$L$12)</f>
        <v>4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29900</v>
      </c>
      <c r="BA10" s="34">
        <f t="shared" si="10"/>
        <v>29890</v>
      </c>
      <c r="BB10" s="34">
        <f>BA10+N26</f>
        <v>29894</v>
      </c>
    </row>
    <row r="11" spans="2:54" ht="16" thickBot="1" x14ac:dyDescent="0.25">
      <c r="B11" s="52">
        <v>4</v>
      </c>
      <c r="C11" s="53" t="str">
        <f t="shared" si="0"/>
        <v>Gana</v>
      </c>
      <c r="D11" s="54">
        <f t="shared" si="0"/>
        <v>0</v>
      </c>
      <c r="E11" s="54">
        <f t="shared" si="0"/>
        <v>1</v>
      </c>
      <c r="F11" s="54">
        <f t="shared" si="0"/>
        <v>4</v>
      </c>
      <c r="G11" s="55">
        <f t="shared" si="0"/>
        <v>-3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1</v>
      </c>
      <c r="N11" s="23" t="s">
        <v>55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6" thickBot="1" x14ac:dyDescent="0.25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2</v>
      </c>
      <c r="N12" s="26" t="s">
        <v>57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57</v>
      </c>
      <c r="K23" s="104"/>
      <c r="L23" s="105"/>
      <c r="M23" s="42">
        <v>2</v>
      </c>
      <c r="N23" s="35">
        <f>IF(J23="",0,M23)</f>
        <v>2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55</v>
      </c>
      <c r="K24" s="86"/>
      <c r="L24" s="87"/>
      <c r="M24" s="43">
        <v>1</v>
      </c>
      <c r="N24" s="35">
        <f>IF(J24="",0,M24)</f>
        <v>1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A7" workbookViewId="0">
      <selection activeCell="T29" sqref="T29"/>
    </sheetView>
  </sheetViews>
  <sheetFormatPr baseColWidth="10" defaultRowHeight="15" x14ac:dyDescent="0.2"/>
  <cols>
    <col min="3" max="3" width="11.33203125" bestFit="1" customWidth="1"/>
    <col min="4" max="4" width="9.1640625" bestFit="1" customWidth="1"/>
    <col min="9" max="9" width="9.1640625" bestFit="1" customWidth="1"/>
    <col min="14" max="14" width="9.1640625" bestFit="1" customWidth="1"/>
  </cols>
  <sheetData>
    <row r="1" spans="2:19" ht="16" thickBot="1" x14ac:dyDescent="0.25"/>
    <row r="2" spans="2:19" ht="16" thickBot="1" x14ac:dyDescent="0.25">
      <c r="B2" s="106" t="s">
        <v>69</v>
      </c>
      <c r="C2" s="107"/>
      <c r="D2" s="108"/>
    </row>
    <row r="3" spans="2:19" ht="16" thickBot="1" x14ac:dyDescent="0.25"/>
    <row r="4" spans="2:19" ht="16" thickBot="1" x14ac:dyDescent="0.25">
      <c r="G4" s="106" t="s">
        <v>59</v>
      </c>
      <c r="H4" s="107"/>
      <c r="I4" s="108"/>
    </row>
    <row r="5" spans="2:19" ht="16" thickBot="1" x14ac:dyDescent="0.25">
      <c r="B5" s="56">
        <v>49</v>
      </c>
      <c r="C5" s="57" t="s">
        <v>61</v>
      </c>
      <c r="D5" s="58" t="s">
        <v>62</v>
      </c>
    </row>
    <row r="6" spans="2:19" ht="16" thickBot="1" x14ac:dyDescent="0.25">
      <c r="B6" s="59" t="str">
        <f>'GRUPO A'!C8</f>
        <v>Holanda</v>
      </c>
      <c r="C6" s="60">
        <v>2</v>
      </c>
      <c r="D6" s="61"/>
    </row>
    <row r="7" spans="2:19" ht="16" thickBot="1" x14ac:dyDescent="0.25">
      <c r="B7" s="62" t="str">
        <f>'GRUPO B'!C9</f>
        <v>Gales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6" thickBot="1" x14ac:dyDescent="0.25">
      <c r="E8" s="66"/>
      <c r="G8" s="59" t="str">
        <f>IF(C7&gt;C6,B7,IF(C6&gt;C7,B6,IF(D7&gt;D6,B7,IF(D6&gt;D7,B6,""))))</f>
        <v>Holanda</v>
      </c>
      <c r="H8" s="60">
        <v>0</v>
      </c>
      <c r="I8" s="61"/>
      <c r="L8" s="106" t="s">
        <v>60</v>
      </c>
      <c r="M8" s="107"/>
      <c r="N8" s="108"/>
    </row>
    <row r="9" spans="2:19" ht="16" thickBot="1" x14ac:dyDescent="0.25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1</v>
      </c>
      <c r="I9" s="64"/>
      <c r="J9" s="65"/>
    </row>
    <row r="10" spans="2:19" ht="16" thickBot="1" x14ac:dyDescent="0.25">
      <c r="B10" s="59" t="str">
        <f>'GRUPO C'!C8</f>
        <v>Argentina</v>
      </c>
      <c r="C10" s="60">
        <v>1</v>
      </c>
      <c r="D10" s="61"/>
      <c r="E10" s="69"/>
      <c r="J10" s="66"/>
    </row>
    <row r="11" spans="2:19" ht="16" thickBot="1" x14ac:dyDescent="0.25">
      <c r="B11" s="62" t="str">
        <f>'GRUPO D'!C9</f>
        <v>Dinamarca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6" thickBot="1" x14ac:dyDescent="0.25">
      <c r="J12" s="66"/>
      <c r="L12" s="59" t="str">
        <f>IF(H9&gt;H8,G9,IF(H8&gt;H9,G8,IF(I9&gt;I8,G9,IF(I8&gt;I9,G8,""))))</f>
        <v>Argentina</v>
      </c>
      <c r="M12" s="60">
        <v>1</v>
      </c>
      <c r="N12" s="61"/>
    </row>
    <row r="13" spans="2:19" ht="16" thickBot="1" x14ac:dyDescent="0.25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0</v>
      </c>
      <c r="N13" s="64"/>
      <c r="O13" s="65"/>
    </row>
    <row r="14" spans="2:19" ht="16" thickBot="1" x14ac:dyDescent="0.25">
      <c r="B14" s="59" t="str">
        <f>'GRUPO E'!C8</f>
        <v>Alemania</v>
      </c>
      <c r="C14" s="60">
        <v>2</v>
      </c>
      <c r="D14" s="61"/>
      <c r="J14" s="66"/>
      <c r="O14" s="66"/>
    </row>
    <row r="15" spans="2:19" ht="16" thickBot="1" x14ac:dyDescent="0.25">
      <c r="B15" s="62" t="str">
        <f>'GRUPO F'!C9</f>
        <v>Croacia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6" thickBot="1" x14ac:dyDescent="0.25">
      <c r="E16" s="66"/>
      <c r="G16" s="59" t="str">
        <f>IF(C15&gt;C14,B15,IF(C14&gt;C15,B14,IF(D15&gt;D14,B15,IF(D14&gt;D15,B14,""))))</f>
        <v>Alemania</v>
      </c>
      <c r="H16" s="60">
        <v>1</v>
      </c>
      <c r="I16" s="61"/>
      <c r="J16" s="69"/>
      <c r="O16" s="66"/>
      <c r="Q16" s="106" t="s">
        <v>63</v>
      </c>
      <c r="R16" s="107"/>
      <c r="S16" s="108"/>
    </row>
    <row r="17" spans="2:23" ht="16" thickBot="1" x14ac:dyDescent="0.25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6" thickBot="1" x14ac:dyDescent="0.25">
      <c r="B18" s="59" t="str">
        <f>'GRUPO G'!C8</f>
        <v>Brasil</v>
      </c>
      <c r="C18" s="60">
        <v>3</v>
      </c>
      <c r="D18" s="61"/>
      <c r="E18" s="69"/>
      <c r="O18" s="66"/>
    </row>
    <row r="19" spans="2:23" ht="16" thickBot="1" x14ac:dyDescent="0.25">
      <c r="B19" s="62" t="str">
        <f>'GRUPO H'!C9</f>
        <v>Portugal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6" thickBot="1" x14ac:dyDescent="0.25">
      <c r="O20" s="66"/>
      <c r="Q20" s="59" t="str">
        <f>IF(M13&gt;M12,L13,IF(M12&gt;M13,L12,IF(N13&gt;N12,L13,IF(N12&gt;N13,L12,""))))</f>
        <v>Argentina</v>
      </c>
      <c r="R20" s="60">
        <v>2</v>
      </c>
      <c r="S20" s="61"/>
    </row>
    <row r="21" spans="2:23" ht="16" thickBot="1" x14ac:dyDescent="0.25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Francia</v>
      </c>
      <c r="R21" s="63">
        <v>1</v>
      </c>
      <c r="S21" s="64"/>
    </row>
    <row r="22" spans="2:23" ht="16" thickBot="1" x14ac:dyDescent="0.25">
      <c r="B22" s="59" t="str">
        <f>'GRUPO B'!C8</f>
        <v>Inglaterra</v>
      </c>
      <c r="C22" s="60">
        <v>2</v>
      </c>
      <c r="D22" s="61"/>
      <c r="O22" s="66"/>
    </row>
    <row r="23" spans="2:23" ht="16" thickBot="1" x14ac:dyDescent="0.25">
      <c r="B23" s="62" t="str">
        <f>'GRUPO A'!C9</f>
        <v>Ecuador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09" t="s">
        <v>64</v>
      </c>
      <c r="W23" s="102"/>
    </row>
    <row r="24" spans="2:23" ht="16" thickBot="1" x14ac:dyDescent="0.25">
      <c r="E24" s="66"/>
      <c r="G24" s="59" t="str">
        <f>IF(C23&gt;C22,B23,IF(C22&gt;C23,B22,IF(D23&gt;D22,B23,IF(D22&gt;D23,B22,""))))</f>
        <v>Inglaterra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Argentina</v>
      </c>
    </row>
    <row r="25" spans="2:23" ht="16" thickBot="1" x14ac:dyDescent="0.25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2</v>
      </c>
      <c r="I25" s="64"/>
      <c r="J25" s="65"/>
      <c r="O25" s="66"/>
      <c r="Q25" s="106" t="s">
        <v>66</v>
      </c>
      <c r="R25" s="107"/>
      <c r="S25" s="108"/>
      <c r="V25" s="72" t="s">
        <v>67</v>
      </c>
      <c r="W25" s="73" t="str">
        <f>IF(W24=Q20,Q21,IF(W24=Q21,Q20,""))</f>
        <v>Francia</v>
      </c>
    </row>
    <row r="26" spans="2:23" ht="16" thickBot="1" x14ac:dyDescent="0.25">
      <c r="B26" s="59" t="str">
        <f>'GRUPO D'!C8</f>
        <v>Francia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Brasil</v>
      </c>
    </row>
    <row r="27" spans="2:23" ht="16" thickBot="1" x14ac:dyDescent="0.25">
      <c r="B27" s="62" t="str">
        <f>'GRUPO C'!C9</f>
        <v>Polonia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6" thickBot="1" x14ac:dyDescent="0.25">
      <c r="J28" s="66"/>
      <c r="L28" s="59" t="str">
        <f>IF(H25&gt;H24,G25,IF(H24&gt;H25,G24,IF(I25&gt;I24,G25,IF(I24&gt;I25,G24,""))))</f>
        <v>Francia</v>
      </c>
      <c r="M28" s="60">
        <v>2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6" thickBot="1" x14ac:dyDescent="0.25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Uruguay</v>
      </c>
      <c r="M29" s="63">
        <v>1</v>
      </c>
      <c r="N29" s="64"/>
      <c r="Q29" s="59" t="str">
        <f>IF(Q20=L12,L13,IF(Q20=L13,L12,""))</f>
        <v>Brasil</v>
      </c>
      <c r="R29" s="60">
        <v>2</v>
      </c>
      <c r="S29" s="61"/>
    </row>
    <row r="30" spans="2:23" ht="16" thickBot="1" x14ac:dyDescent="0.25">
      <c r="B30" s="59" t="str">
        <f>'GRUPO F'!C8</f>
        <v>Belgica</v>
      </c>
      <c r="C30" s="60">
        <v>2</v>
      </c>
      <c r="D30" s="61"/>
      <c r="J30" s="66"/>
      <c r="Q30" s="62" t="str">
        <f>IF(Q21=L28,L29,IF(Q21=L29,L28,""))</f>
        <v>Uruguay</v>
      </c>
      <c r="R30" s="63">
        <v>0</v>
      </c>
      <c r="S30" s="64"/>
    </row>
    <row r="31" spans="2:23" ht="16" thickBot="1" x14ac:dyDescent="0.25">
      <c r="B31" s="62" t="str">
        <f>'GRUPO E'!C9</f>
        <v>España</v>
      </c>
      <c r="C31" s="63">
        <v>0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6" thickBot="1" x14ac:dyDescent="0.25">
      <c r="E32" s="66"/>
      <c r="G32" s="59" t="str">
        <f>IF(C31&gt;C30,B31,IF(C30&gt;C31,B30,IF(D31&gt;D30,B31,IF(D30&gt;D31,B30,""))))</f>
        <v>Belgica</v>
      </c>
      <c r="H32" s="60">
        <v>1</v>
      </c>
      <c r="I32" s="61">
        <v>4</v>
      </c>
      <c r="J32" s="69"/>
    </row>
    <row r="33" spans="2:9" ht="16" thickBot="1" x14ac:dyDescent="0.25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1</v>
      </c>
      <c r="I33" s="64">
        <v>5</v>
      </c>
    </row>
    <row r="34" spans="2:9" x14ac:dyDescent="0.2">
      <c r="B34" s="59" t="str">
        <f>'GRUPO H'!C8</f>
        <v>Uruguay</v>
      </c>
      <c r="C34" s="60">
        <v>1</v>
      </c>
      <c r="D34" s="61"/>
      <c r="E34" s="69"/>
    </row>
    <row r="35" spans="2:9" ht="16" thickBot="1" x14ac:dyDescent="0.25">
      <c r="B35" s="62" t="str">
        <f>'GRUPO G'!C9</f>
        <v>Suiza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Anónimo</cp:lastModifiedBy>
  <dcterms:created xsi:type="dcterms:W3CDTF">2022-11-02T00:22:23Z</dcterms:created>
  <dcterms:modified xsi:type="dcterms:W3CDTF">2022-11-18T12:45:48Z</dcterms:modified>
</cp:coreProperties>
</file>