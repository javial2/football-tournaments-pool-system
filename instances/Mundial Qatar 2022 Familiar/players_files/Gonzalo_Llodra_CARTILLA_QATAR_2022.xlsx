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abelvializquierdo/Downloads/"/>
    </mc:Choice>
  </mc:AlternateContent>
  <xr:revisionPtr revIDLastSave="0" documentId="13_ncr:1_{2359F907-BACB-B140-8444-879DDF75352A}" xr6:coauthVersionLast="36" xr6:coauthVersionMax="47" xr10:uidLastSave="{00000000-0000-0000-0000-000000000000}"/>
  <bookViews>
    <workbookView xWindow="9380" yWindow="3080" windowWidth="18880" windowHeight="13440" firstSheet="1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10" i="13" l="1"/>
  <c r="AZ10" i="13" s="1"/>
  <c r="AP8" i="13"/>
  <c r="AZ8" i="13" s="1"/>
  <c r="AP7" i="14"/>
  <c r="AZ7" i="14" s="1"/>
  <c r="AP8" i="14"/>
  <c r="AZ8" i="14" s="1"/>
  <c r="AZ8" i="12"/>
  <c r="AZ10" i="12"/>
  <c r="AP9" i="12"/>
  <c r="AZ9" i="12" s="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9" i="2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9" i="2"/>
  <c r="AY9" i="2" s="1"/>
  <c r="BA9" i="2" s="1"/>
  <c r="BB9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E10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E8" i="11"/>
  <c r="F10" i="11"/>
  <c r="G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<sst xmlns="http://schemas.openxmlformats.org/spreadsheetml/2006/main" count="454" uniqueCount="79">
  <si>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</si>
  <si>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</si>
  <si>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</si>
  <si>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</si>
  <si>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</si>
  <si>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</si>
  <si>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</si>
  <si>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</si>
  <si>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</si>
  <si>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</si>
  <si>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</si>
  <si>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</si>
  <si>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</si>
  <si>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</si>
  <si>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</si>
  <si>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</si>
  <si>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</si>
  <si>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</si>
  <si>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</si>
  <si>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</si>
  <si>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</si>
  <si>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</si>
  <si>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</si>
  <si>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</si>
  <si>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</si>
  <si>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</si>
  <si>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</si>
  <si>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</si>
  <si>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</si>
  <si>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</si>
  <si>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</si>
  <si>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</si>
  <si>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</si>
  <si>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</si>
  <si>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</si>
  <si>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</si>
  <si>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</si>
  <si>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</si>
  <si>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</si>
  <si>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</si>
  <si>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</si>
  <si>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</si>
  <si>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</si>
  <si>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</si>
  <si>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</si>
  <si>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</si>
  <si>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</si>
  <si>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</si>
  <si>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</si>
  <si>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</si>
  <si>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</si>
  <si>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</si>
  <si>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</si>
  <si>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</si>
  <si>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</si>
  <si>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</si>
  <si>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</si>
  <si>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</si>
  <si>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</si>
  <si>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</si>
  <si>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</si>
  <si>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</si>
  <si>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</si>
  <si>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</si>
  <si>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</si>
  <si>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</si>
  <si>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</si>
  <si>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</si>
  <si>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</si>
  <si>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</si>
  <si>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</si>
  <si>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</si>
  <si>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</si>
  <si>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</si>
  <si>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</si>
  <si>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</si>
  <si>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</si>
  <si>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Gonzalo Llodrá</t>
  </si>
  <si>
    <t>gonzalo@galc.cl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</si>
</sst>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onzalo@gal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zoomScale="156" workbookViewId="0">
      <selection activeCell="C5" sqref="C5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B52591E9-0592-4045-96D4-64F90B8FF6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12" sqref="M12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-9970200</v>
      </c>
      <c r="BA7" s="34">
        <f>AZ7-AY7*10</f>
        <v>-9970210</v>
      </c>
      <c r="BB7" s="34">
        <f>BA7+N23</f>
        <v>-9970209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2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5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B1" workbookViewId="0">
      <selection activeCell="M13" sqref="M13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5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-40000500</v>
      </c>
      <c r="BA10" s="34">
        <f t="shared" si="10"/>
        <v>-40000510</v>
      </c>
      <c r="BB10" s="34">
        <f>BA10+N26</f>
        <v>-40000506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B3" workbookViewId="0">
      <selection activeCell="J13" sqref="J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7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-70040700</v>
      </c>
      <c r="BA7" s="34">
        <f>AZ7-AY7*10</f>
        <v>-70040710</v>
      </c>
      <c r="BB7" s="34">
        <f>BA7+N23</f>
        <v>-70040709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1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-9970300</v>
      </c>
      <c r="BA8" s="34">
        <f t="shared" ref="BA8:BA10" si="10">AZ8-AY8*10</f>
        <v>-9970310</v>
      </c>
      <c r="BB8" s="34">
        <f>BA8+N24</f>
        <v>-9970308</v>
      </c>
    </row>
    <row r="9" spans="2:54" x14ac:dyDescent="0.2">
      <c r="B9" s="11">
        <v>2</v>
      </c>
      <c r="C9" s="12" t="str">
        <f t="shared" si="0"/>
        <v>Polonia</v>
      </c>
      <c r="D9" s="13">
        <f t="shared" si="0"/>
        <v>7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2</v>
      </c>
      <c r="AR9" s="34">
        <f t="shared" si="5"/>
        <v>6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-70020600</v>
      </c>
      <c r="BA9" s="34">
        <f t="shared" si="10"/>
        <v>-70020610</v>
      </c>
      <c r="BB9" s="34">
        <f>BA9+N25</f>
        <v>-70020607</v>
      </c>
    </row>
    <row r="10" spans="2:54" x14ac:dyDescent="0.2">
      <c r="B10" s="48">
        <v>3</v>
      </c>
      <c r="C10" s="49" t="str">
        <f t="shared" si="0"/>
        <v>Mexico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3" workbookViewId="0">
      <selection activeCell="M12" sqref="M12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6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-60020500</v>
      </c>
      <c r="BA8" s="34">
        <f t="shared" ref="BA8:BA10" si="10">AZ8-AY8*10</f>
        <v>-60020510</v>
      </c>
      <c r="BB8" s="34">
        <f>BA8+N24</f>
        <v>-60020508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">
      <c r="B10" s="48">
        <v>3</v>
      </c>
      <c r="C10" s="49" t="str">
        <f t="shared" si="0"/>
        <v>Tunez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6" thickBot="1" x14ac:dyDescent="0.25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0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3</v>
      </c>
      <c r="AK11" s="34">
        <f t="shared" si="3"/>
        <v>0</v>
      </c>
      <c r="AL11" s="34" t="str">
        <f t="shared" si="4"/>
        <v>Tunez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A13" workbookViewId="0">
      <selection activeCell="H13" sqref="H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10</v>
      </c>
      <c r="J8" s="19">
        <v>44888</v>
      </c>
      <c r="K8" s="20" t="s">
        <v>44</v>
      </c>
      <c r="L8" s="21">
        <v>3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-70070900</v>
      </c>
      <c r="BA8" s="34">
        <f t="shared" ref="BA8:BA10" si="10">AZ8-AY8*10</f>
        <v>-70070910</v>
      </c>
      <c r="BB8" s="34">
        <f>BA8+N24</f>
        <v>-70070908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6</v>
      </c>
      <c r="F9" s="13">
        <f t="shared" si="0"/>
        <v>2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1</v>
      </c>
      <c r="AS10" s="34">
        <f>SUMIF($K$7:$K$12,AO10,$M$7:$M$12) + SUMIF($N$7:$N$12,AO10,$L$7:$L$12)</f>
        <v>9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79900</v>
      </c>
      <c r="BA10" s="34">
        <f t="shared" si="10"/>
        <v>79890</v>
      </c>
      <c r="BB10" s="34">
        <f>BA10+N26</f>
        <v>79894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9</v>
      </c>
      <c r="G11" s="55">
        <f t="shared" si="0"/>
        <v>-8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4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B1" workbookViewId="0">
      <selection activeCell="H15" sqref="H1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2">
      <c r="B10" s="48">
        <v>3</v>
      </c>
      <c r="C10" s="49" t="str">
        <f t="shared" si="0"/>
        <v>Marruecos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B11" workbookViewId="0">
      <selection activeCell="H15" sqref="H1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9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-90090900</v>
      </c>
      <c r="BA7" s="34">
        <f>AZ7-AY7*10</f>
        <v>-90090910</v>
      </c>
      <c r="BB7" s="34">
        <f>BA7+N23</f>
        <v>-90090909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0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2</v>
      </c>
      <c r="AQ8" s="34">
        <f>AR8-AS8</f>
        <v>-4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-19960300</v>
      </c>
      <c r="BA8" s="34">
        <f t="shared" ref="BA8:BA10" si="10">AZ8-AY8*10</f>
        <v>-19960310</v>
      </c>
      <c r="BB8" s="34">
        <f>BA8+N24</f>
        <v>-19960308</v>
      </c>
    </row>
    <row r="9" spans="2:54" x14ac:dyDescent="0.2">
      <c r="B9" s="11">
        <v>2</v>
      </c>
      <c r="C9" s="12" t="str">
        <f t="shared" si="0"/>
        <v>Camerun</v>
      </c>
      <c r="D9" s="13">
        <f t="shared" si="0"/>
        <v>2</v>
      </c>
      <c r="E9" s="13">
        <f t="shared" si="0"/>
        <v>2</v>
      </c>
      <c r="F9" s="13">
        <f t="shared" si="0"/>
        <v>4</v>
      </c>
      <c r="G9" s="14">
        <f t="shared" si="0"/>
        <v>-2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-19970300</v>
      </c>
      <c r="BA9" s="34">
        <f t="shared" si="10"/>
        <v>-19970310</v>
      </c>
      <c r="BB9" s="34">
        <f>BA9+N25</f>
        <v>-19970307</v>
      </c>
    </row>
    <row r="10" spans="2:54" x14ac:dyDescent="0.2">
      <c r="B10" s="48">
        <v>3</v>
      </c>
      <c r="C10" s="49" t="str">
        <f t="shared" si="0"/>
        <v>Serbia</v>
      </c>
      <c r="D10" s="50">
        <f t="shared" si="0"/>
        <v>2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4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-19980206</v>
      </c>
    </row>
    <row r="11" spans="2:54" ht="16" thickBot="1" x14ac:dyDescent="0.25">
      <c r="B11" s="52">
        <v>4</v>
      </c>
      <c r="C11" s="53" t="str">
        <f t="shared" si="0"/>
        <v>Suiza</v>
      </c>
      <c r="D11" s="54">
        <f t="shared" si="0"/>
        <v>2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-70040509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59893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I24" workbookViewId="0">
      <selection activeCell="R31" sqref="R31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3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3</v>
      </c>
      <c r="D14" s="61"/>
      <c r="J14" s="66"/>
      <c r="O14" s="66"/>
    </row>
    <row r="15" spans="2:19" ht="16" thickBot="1" x14ac:dyDescent="0.25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2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España</v>
      </c>
      <c r="R21" s="63">
        <v>2</v>
      </c>
      <c r="S21" s="64"/>
    </row>
    <row r="22" spans="2:23" ht="16" thickBot="1" x14ac:dyDescent="0.25">
      <c r="B22" s="59" t="str">
        <f>'GRUPO B'!C8</f>
        <v>Inglaterra</v>
      </c>
      <c r="C22" s="60">
        <v>3</v>
      </c>
      <c r="D22" s="61"/>
      <c r="O22" s="66"/>
    </row>
    <row r="23" spans="2:23" ht="16" thickBot="1" x14ac:dyDescent="0.25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España</v>
      </c>
    </row>
    <row r="26" spans="2:23" ht="16" thickBot="1" x14ac:dyDescent="0.2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Francia</v>
      </c>
    </row>
    <row r="27" spans="2:23" ht="16" thickBot="1" x14ac:dyDescent="0.25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0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1</v>
      </c>
      <c r="N29" s="64"/>
      <c r="Q29" s="59" t="str">
        <f>IF(Q20=L12,L13,IF(Q20=L13,L12,""))</f>
        <v>Argentina</v>
      </c>
      <c r="R29" s="60">
        <v>0</v>
      </c>
      <c r="S29" s="61"/>
    </row>
    <row r="30" spans="2:23" ht="16" thickBot="1" x14ac:dyDescent="0.25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Francia</v>
      </c>
      <c r="R30" s="63">
        <v>2</v>
      </c>
      <c r="S30" s="64"/>
    </row>
    <row r="31" spans="2:23" ht="16" thickBot="1" x14ac:dyDescent="0.25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">
      <c r="B34" s="59" t="str">
        <f>'GRUPO H'!C8</f>
        <v>Uruguay</v>
      </c>
      <c r="C34" s="60">
        <v>2</v>
      </c>
      <c r="D34" s="61"/>
      <c r="E34" s="69"/>
    </row>
    <row r="35" spans="2:9" ht="16" thickBot="1" x14ac:dyDescent="0.25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Usuario de Microsoft Office</cp:lastModifiedBy>
  <dcterms:created xsi:type="dcterms:W3CDTF">2022-11-02T00:22:23Z</dcterms:created>
  <dcterms:modified xsi:type="dcterms:W3CDTF">2022-11-14T00:06:53Z</dcterms:modified>
</cp:coreProperties>
</file>