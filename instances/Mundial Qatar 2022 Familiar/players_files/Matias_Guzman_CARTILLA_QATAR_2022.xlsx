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zma\Downloads\"/>
    </mc:Choice>
  </mc:AlternateContent>
  <xr:revisionPtr revIDLastSave="0" documentId="13_ncr:1_{F60F57B7-9677-415E-813A-F02B0395E325}" xr6:coauthVersionLast="47" xr6:coauthVersionMax="47" xr10:uidLastSave="{00000000-0000-0000-0000-000000000000}"/>
  <bookViews>
    <workbookView xWindow="-120" yWindow="-120" windowWidth="29040" windowHeight="1572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W24" i="16"/>
  <c r="AQ8" i="15"/>
  <c r="AQ7" i="15"/>
  <c r="AZ7" i="15" s="1"/>
  <c r="AQ9" i="15"/>
  <c r="AQ10" i="15"/>
  <c r="AK11" i="15"/>
  <c r="AP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5" l="1"/>
  <c r="AZ8" i="14"/>
  <c r="AP9" i="13"/>
  <c r="AZ9" i="13" s="1"/>
  <c r="AP10" i="13"/>
  <c r="AZ10" i="13" s="1"/>
  <c r="AZ10" i="12"/>
  <c r="AW10" i="12" s="1"/>
  <c r="AX10" i="12" s="1"/>
  <c r="AY10" i="12" s="1"/>
  <c r="BA10" i="12" s="1"/>
  <c r="BB10" i="12" s="1"/>
  <c r="AZ10" i="11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9" i="11"/>
  <c r="AX9" i="11" s="1"/>
  <c r="AY9" i="11" s="1"/>
  <c r="BA9" i="11" s="1"/>
  <c r="BB9" i="11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E10" i="11"/>
  <c r="G10" i="11"/>
  <c r="E8" i="11"/>
  <c r="G11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G11" i="13"/>
  <c r="F9" i="13"/>
  <c r="D11" i="13"/>
  <c r="F10" i="13"/>
  <c r="C8" i="13"/>
  <c r="B30" i="16" s="1"/>
  <c r="G32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L29" i="16" l="1"/>
  <c r="D10" i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F10" i="1"/>
  <c r="G8" i="1"/>
  <c r="D8" i="1"/>
  <c r="E11" i="1"/>
  <c r="G10" i="1"/>
  <c r="Q20" i="16" l="1"/>
  <c r="Q29" i="16" s="1"/>
  <c r="Q30" i="16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<sst xmlns="http://schemas.openxmlformats.org/spreadsheetml/2006/main" count="454" uniqueCount="79">
  <si>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</si>
  <si>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</si>
  <si>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</si>
  <si>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</si>
  <si>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</si>
  <si>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</si>
  <si>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</si>
  <si>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</si>
  <si>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</si>
  <si>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</si>
  <si>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</si>
  <si>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</si>
  <si>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</si>
  <si>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</si>
  <si>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</si>
  <si>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</si>
  <si>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</si>
  <si>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</si>
  <si>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</si>
  <si>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</si>
  <si>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</si>
  <si>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</si>
  <si>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</si>
  <si>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</si>
  <si>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</si>
  <si>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</si>
  <si>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</si>
  <si>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</si>
  <si>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</si>
  <si>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</si>
  <si>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</si>
  <si>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</si>
  <si>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</si>
  <si>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</si>
  <si>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</si>
  <si>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</si>
  <si>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</si>
  <si>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</si>
  <si>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</si>
  <si>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</si>
  <si>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</si>
  <si>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</si>
  <si>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</si>
  <si>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</si>
  <si>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</si>
  <si>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</si>
  <si>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</si>
  <si>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</si>
  <si>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</si>
  <si>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</si>
  <si>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</si>
  <si>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</si>
  <si>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</si>
  <si>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</si>
  <si>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</si>
  <si>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</si>
  <si>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</si>
  <si>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</si>
  <si>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</si>
  <si>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</si>
  <si>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</si>
  <si>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</si>
  <si>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</si>
  <si>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</si>
  <si>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</si>
  <si>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</si>
  <si>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</si>
  <si>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</si>
  <si>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</si>
  <si>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</si>
  <si>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</si>
  <si>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</si>
  <si>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</si>
  <si>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</si>
  <si>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</si>
  <si>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</si>
  <si>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</si>
  <si>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Matias Guzman</t>
  </si>
  <si>
    <t>m.gguzman@uc.cl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</si>
</sst>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.gguzman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7" sqref="C7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68BBD636-3D13-4077-B464-C625D67C8B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N22" sqref="N22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-7</v>
      </c>
      <c r="AR7" s="34">
        <f>SUMIF($K$7:$K$12,AO7,$L$7:$L$12) + SUMIF($N$7:$N$12,AO7,$M$7:$M$12)</f>
        <v>1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69900</v>
      </c>
      <c r="BA7" s="34">
        <f>AZ7-AY7*10</f>
        <v>69890</v>
      </c>
      <c r="BB7" s="34">
        <f>BA7+N23</f>
        <v>69895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1</v>
      </c>
      <c r="G8" s="10">
        <f t="shared" si="3"/>
        <v>7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-90070800</v>
      </c>
      <c r="BA8" s="34">
        <f t="shared" ref="BA8:BA10" si="10">AZ8-AY8*10</f>
        <v>-90070810</v>
      </c>
      <c r="BB8" s="34">
        <f>BA8+N24</f>
        <v>-90070809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3</v>
      </c>
      <c r="F10" s="50">
        <f t="shared" si="3"/>
        <v>3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-40000308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8</v>
      </c>
      <c r="G11" s="55">
        <f t="shared" si="3"/>
        <v>-7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5</v>
      </c>
      <c r="N23" s="35">
        <f>IF(J23="",0,M23)</f>
        <v>5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K20" sqref="K20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2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3</v>
      </c>
      <c r="AS9" s="34">
        <f t="shared" si="6"/>
        <v>8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-9950300</v>
      </c>
      <c r="BA9" s="34">
        <f t="shared" si="10"/>
        <v>-9950310</v>
      </c>
      <c r="BB9" s="34">
        <f>BA9+N25</f>
        <v>-9950306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1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-9980400</v>
      </c>
      <c r="BA10" s="34">
        <f t="shared" si="10"/>
        <v>-9980410</v>
      </c>
      <c r="BB10" s="34">
        <f>BA10+N26</f>
        <v>-9980407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3</v>
      </c>
      <c r="F11" s="54">
        <f t="shared" si="0"/>
        <v>8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3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7" sqref="L1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3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-60040500</v>
      </c>
      <c r="BA8" s="34">
        <f t="shared" ref="BA8:BA10" si="10">AZ8-AY8*10</f>
        <v>-60040510</v>
      </c>
      <c r="BB8" s="34">
        <f>BA8+N24</f>
        <v>-60040508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-29960100</v>
      </c>
      <c r="BA9" s="34">
        <f t="shared" si="10"/>
        <v>-29960110</v>
      </c>
      <c r="BB9" s="34">
        <f>BA9+N25</f>
        <v>-29960107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31" sqref="L3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3</v>
      </c>
      <c r="AO8" s="34" t="s">
        <v>41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-19990200</v>
      </c>
      <c r="BA8" s="34">
        <f t="shared" ref="BA8:BA10" si="10">AZ8-AY8*10</f>
        <v>-19990210</v>
      </c>
      <c r="BB8" s="34">
        <f>BA8+N24</f>
        <v>-19990208</v>
      </c>
    </row>
    <row r="9" spans="2:54" x14ac:dyDescent="0.25">
      <c r="B9" s="11">
        <v>2</v>
      </c>
      <c r="C9" s="12" t="str">
        <f t="shared" si="0"/>
        <v>Australia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25">
      <c r="B10" s="48">
        <v>3</v>
      </c>
      <c r="C10" s="49" t="str">
        <f t="shared" si="0"/>
        <v>Dinamarca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K15" sqref="K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5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-60010500</v>
      </c>
      <c r="BA7" s="34">
        <f>AZ7-AY7*10</f>
        <v>-60010510</v>
      </c>
      <c r="BB7" s="34">
        <f>BA7+N23</f>
        <v>-60010508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-9970300</v>
      </c>
      <c r="BA9" s="34">
        <f t="shared" si="10"/>
        <v>-9970310</v>
      </c>
      <c r="BB9" s="34">
        <f>BA9+N25</f>
        <v>-9970306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1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4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-9970400</v>
      </c>
      <c r="BA10" s="34">
        <f t="shared" si="10"/>
        <v>-9970410</v>
      </c>
      <c r="BB10" s="34">
        <f>BA10+N26</f>
        <v>-9970407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3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21" sqref="L2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49894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4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4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-39980200</v>
      </c>
      <c r="BA10" s="34">
        <f t="shared" si="10"/>
        <v>-39980210</v>
      </c>
      <c r="BB10" s="34">
        <f>BA10+N26</f>
        <v>-39980207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20" sqref="L2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-9960000</v>
      </c>
      <c r="BA9" s="34">
        <f t="shared" si="10"/>
        <v>-9960010</v>
      </c>
      <c r="BB9" s="34">
        <f>BA9+N25</f>
        <v>-9960006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-29980207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0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21" sqref="L21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-60050600</v>
      </c>
      <c r="BA7" s="34">
        <f>AZ7-AY7*10</f>
        <v>-60050610</v>
      </c>
      <c r="BB7" s="34">
        <f>BA7+N23</f>
        <v>-60050608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5</v>
      </c>
      <c r="F8" s="9">
        <f t="shared" si="0"/>
        <v>0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3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-90050500</v>
      </c>
      <c r="BA8" s="34">
        <f t="shared" ref="BA8:BA10" si="10">AZ8-AY8*10</f>
        <v>-90050510</v>
      </c>
      <c r="BB8" s="34">
        <f>BA8+N24</f>
        <v>-90050509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6</v>
      </c>
      <c r="F9" s="13">
        <f t="shared" si="0"/>
        <v>1</v>
      </c>
      <c r="G9" s="14">
        <f t="shared" si="0"/>
        <v>5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59894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3" workbookViewId="0">
      <selection activeCell="T29" sqref="T29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Australia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0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>
        <v>3</v>
      </c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>
        <v>4</v>
      </c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1</v>
      </c>
      <c r="D26" s="61">
        <v>3</v>
      </c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Mexico</v>
      </c>
      <c r="C27" s="63">
        <v>1</v>
      </c>
      <c r="D27" s="64">
        <v>2</v>
      </c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1</v>
      </c>
      <c r="N29" s="64"/>
      <c r="Q29" s="59" t="str">
        <f>IF(Q20=L12,L13,IF(Q20=L13,L12,""))</f>
        <v>Argentina</v>
      </c>
      <c r="R29" s="60">
        <v>1</v>
      </c>
      <c r="S29" s="61">
        <v>3</v>
      </c>
    </row>
    <row r="30" spans="2:23" ht="15.75" thickBot="1" x14ac:dyDescent="0.3">
      <c r="B30" s="59" t="str">
        <f>'GRUPO F'!C8</f>
        <v>Belgica</v>
      </c>
      <c r="C30" s="60">
        <v>1</v>
      </c>
      <c r="D30" s="61"/>
      <c r="J30" s="66"/>
      <c r="Q30" s="62" t="str">
        <f>IF(Q21=L28,L29,IF(Q21=L29,L28,""))</f>
        <v>Belgica</v>
      </c>
      <c r="R30" s="63">
        <v>1</v>
      </c>
      <c r="S30" s="64">
        <v>1</v>
      </c>
    </row>
    <row r="31" spans="2:23" ht="15.75" thickBot="1" x14ac:dyDescent="0.3">
      <c r="B31" s="62" t="str">
        <f>'GRUPO E'!C9</f>
        <v>España</v>
      </c>
      <c r="C31" s="63">
        <v>0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guzma</cp:lastModifiedBy>
  <dcterms:created xsi:type="dcterms:W3CDTF">2022-11-02T00:22:23Z</dcterms:created>
  <dcterms:modified xsi:type="dcterms:W3CDTF">2022-11-14T21:29:09Z</dcterms:modified>
</cp:coreProperties>
</file>