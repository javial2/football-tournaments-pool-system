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players_files\"/>
    </mc:Choice>
  </mc:AlternateContent>
  <xr:revisionPtr revIDLastSave="0" documentId="13_ncr:1_{7FFD35F1-6445-4857-AD96-D1E357A6C81A}" xr6:coauthVersionLast="47" xr6:coauthVersionMax="47" xr10:uidLastSave="{00000000-0000-0000-0000-000000000000}"/>
  <bookViews>
    <workbookView xWindow="20370" yWindow="-120" windowWidth="29040" windowHeight="15840" firstSheet="3" activeTab="8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Hoja1" sheetId="19" r:id="rId10"/>
    <sheet name="Play-Off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10" i="12" l="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Z10" i="11" s="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8" i="14" l="1"/>
  <c r="AZ8" i="14" s="1"/>
  <c r="AZ7" i="12"/>
  <c r="AZ10" i="12"/>
  <c r="AW8" i="12" s="1"/>
  <c r="AX8" i="12" s="1"/>
  <c r="AY8" i="12" s="1"/>
  <c r="BA8" i="12" s="1"/>
  <c r="BB8" i="12" s="1"/>
  <c r="AP10" i="15"/>
  <c r="AZ10" i="15" s="1"/>
  <c r="AP7" i="13"/>
  <c r="AZ7" i="13" s="1"/>
  <c r="AZ7" i="11"/>
  <c r="AW8" i="11" s="1"/>
  <c r="AX8" i="11" s="1"/>
  <c r="AY8" i="11" s="1"/>
  <c r="BA8" i="11" s="1"/>
  <c r="BB8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W9" i="11"/>
  <c r="AX9" i="11" s="1"/>
  <c r="AY9" i="11" s="1"/>
  <c r="BA9" i="11" s="1"/>
  <c r="BB9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2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F10" i="11"/>
  <c r="E8" i="11"/>
  <c r="D8" i="11"/>
  <c r="G11" i="11"/>
  <c r="G8" i="11"/>
  <c r="G10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<sst xmlns="http://schemas.openxmlformats.org/spreadsheetml/2006/main" count="454" uniqueCount="79">
  <si>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</si>
  <si>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</si>
  <si>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</si>
  <si>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</si>
  <si>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</si>
  <si>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</si>
  <si>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</si>
  <si>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</si>
  <si>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</si>
  <si>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</si>
  <si>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</si>
  <si>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</si>
  <si>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</si>
  <si>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</si>
  <si>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</si>
  <si>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</si>
  <si>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</si>
  <si>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</si>
  <si>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</si>
  <si>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</si>
  <si>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</si>
  <si>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</si>
  <si>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</si>
  <si>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</si>
  <si>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</si>
  <si>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</si>
  <si>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</si>
  <si>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</si>
  <si>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</si>
  <si>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</si>
  <si>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</si>
  <si>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</si>
  <si>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</si>
  <si>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</si>
  <si>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</si>
  <si>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</si>
  <si>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</si>
  <si>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</si>
  <si>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</si>
  <si>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</si>
  <si>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</si>
  <si>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</si>
  <si>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</si>
  <si>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</si>
  <si>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</si>
  <si>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</si>
  <si>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</si>
  <si>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</si>
  <si>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</si>
  <si>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</si>
  <si>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</si>
  <si>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</si>
  <si>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</si>
  <si>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</si>
  <si>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</si>
  <si>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</si>
  <si>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</si>
  <si>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</si>
  <si>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</si>
  <si>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</si>
  <si>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</si>
  <si>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</si>
  <si>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</si>
  <si>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</si>
  <si>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</si>
  <si>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</si>
  <si>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</si>
  <si>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</si>
  <si>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</si>
  <si>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</si>
  <si>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</si>
  <si>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</si>
  <si>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</si>
  <si>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</si>
  <si>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</si>
  <si>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</si>
  <si>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</si>
  <si>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Nico Bizzarri</t>
  </si>
  <si>
    <t>nicolasbizzarrie@uc.cl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</si>
</sst>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colasbizzarrie@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9129638F-E9A0-45E4-BC15-095538DE83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12" sqref="M12"/>
    </sheetView>
  </sheetViews>
  <sheetFormatPr baseColWidth="10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3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-4</v>
      </c>
      <c r="AR7" s="34">
        <f>SUMIF($K$7:$K$12,AO7,$L$7:$L$12) + SUMIF($N$7:$N$12,AO7,$M$7:$M$12)</f>
        <v>1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39900</v>
      </c>
      <c r="BA7" s="34">
        <f>AZ7-AY7*10</f>
        <v>39890</v>
      </c>
      <c r="BB7" s="34">
        <f>BA7+N23</f>
        <v>39891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-90060708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3</v>
      </c>
      <c r="F9" s="13">
        <f t="shared" si="3"/>
        <v>4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>Ecuador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-39990300</v>
      </c>
      <c r="BA9" s="34">
        <f t="shared" si="10"/>
        <v>-39990300</v>
      </c>
      <c r="BB9" s="34">
        <f>BA9+N25</f>
        <v>-39990297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>Senegal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-39990300</v>
      </c>
      <c r="BA10" s="34">
        <f t="shared" si="10"/>
        <v>-39990300</v>
      </c>
      <c r="BB10" s="34">
        <f>BA10+N26</f>
        <v>-39990296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3" sqref="M13"/>
    </sheetView>
  </sheetViews>
  <sheetFormatPr baseColWidth="10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-39990400</v>
      </c>
      <c r="BA8" s="34">
        <f t="shared" ref="BA8:BA10" si="10">AZ8-AY8*10</f>
        <v>-39990410</v>
      </c>
      <c r="BB8" s="34">
        <f>BA8+N24</f>
        <v>-39990408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39700</v>
      </c>
      <c r="BA9" s="34">
        <f t="shared" si="10"/>
        <v>39690</v>
      </c>
      <c r="BB9" s="34">
        <f>BA9+N25</f>
        <v>39693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5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-40000500</v>
      </c>
      <c r="BA10" s="34">
        <f t="shared" si="10"/>
        <v>-40000510</v>
      </c>
      <c r="BB10" s="34">
        <f>BA10+N26</f>
        <v>-40000506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2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-40000500</v>
      </c>
      <c r="BA8" s="34">
        <f t="shared" ref="BA8:BA10" si="10">AZ8-AY8*10</f>
        <v>-40000510</v>
      </c>
      <c r="BB8" s="34">
        <f>BA8+N24</f>
        <v>-40000508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-40010500</v>
      </c>
      <c r="BA9" s="34">
        <f t="shared" si="10"/>
        <v>-40010510</v>
      </c>
      <c r="BB9" s="34">
        <f>BA9+N25</f>
        <v>-40010507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>Dinamarca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-70040700</v>
      </c>
      <c r="BA7" s="34">
        <f>AZ7-AY7*10</f>
        <v>-70040700</v>
      </c>
      <c r="BB7" s="34">
        <f>BA7+N23</f>
        <v>-70040699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>Francia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-70040700</v>
      </c>
      <c r="BA8" s="34">
        <f t="shared" ref="BA8:BA10" si="10">AZ8-AY8*10</f>
        <v>-70040700</v>
      </c>
      <c r="BB8" s="34">
        <f>BA8+N24</f>
        <v>-70040698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7</v>
      </c>
      <c r="E9" s="13">
        <f t="shared" si="0"/>
        <v>7</v>
      </c>
      <c r="F9" s="13">
        <f t="shared" si="0"/>
        <v>3</v>
      </c>
      <c r="G9" s="14">
        <f t="shared" si="0"/>
        <v>4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>Australia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-9960200</v>
      </c>
      <c r="BA9" s="34">
        <f t="shared" si="10"/>
        <v>-9960200</v>
      </c>
      <c r="BB9" s="34">
        <f>BA9+N25</f>
        <v>-9960197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2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>Tunez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-9960200</v>
      </c>
      <c r="BA10" s="34">
        <f t="shared" si="10"/>
        <v>-9960200</v>
      </c>
      <c r="BB10" s="34">
        <f>BA10+N26</f>
        <v>-9960196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3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3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-70020600</v>
      </c>
      <c r="BA7" s="34">
        <f>AZ7-AY7*10</f>
        <v>-70020610</v>
      </c>
      <c r="BB7" s="34">
        <f>BA7+N23</f>
        <v>-70020609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-70030600</v>
      </c>
      <c r="BA8" s="34">
        <f t="shared" ref="BA8:BA10" si="10">AZ8-AY8*10</f>
        <v>-70030610</v>
      </c>
      <c r="BB8" s="34">
        <f>BA8+N24</f>
        <v>-70030608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39900</v>
      </c>
      <c r="BA10" s="34">
        <f t="shared" si="10"/>
        <v>39890</v>
      </c>
      <c r="BB10" s="34">
        <f>BA10+N26</f>
        <v>39894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-90060900</v>
      </c>
      <c r="BA7" s="34">
        <f>AZ7-AY7*10</f>
        <v>-90060910</v>
      </c>
      <c r="BB7" s="34">
        <f>BA7+N23</f>
        <v>-90060909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12</v>
      </c>
      <c r="J8" s="19">
        <v>44888</v>
      </c>
      <c r="K8" s="20" t="s">
        <v>48</v>
      </c>
      <c r="L8" s="21">
        <v>3</v>
      </c>
      <c r="M8" s="22">
        <v>1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-60010600</v>
      </c>
      <c r="BA8" s="34">
        <f t="shared" ref="BA8:BA10" si="10">AZ8-AY8*10</f>
        <v>-60010610</v>
      </c>
      <c r="BB8" s="34">
        <f>BA8+N24</f>
        <v>-60010608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0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-9960200</v>
      </c>
      <c r="BA9" s="34">
        <f t="shared" si="10"/>
        <v>-9960210</v>
      </c>
      <c r="BB9" s="34">
        <f>BA9+N25</f>
        <v>-9960207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3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-9970400</v>
      </c>
      <c r="BA8" s="34">
        <f t="shared" ref="BA8:BA10" si="10">AZ8-AY8*10</f>
        <v>-9970410</v>
      </c>
      <c r="BB8" s="34">
        <f>BA8+N24</f>
        <v>-9970408</v>
      </c>
    </row>
    <row r="9" spans="2:54" x14ac:dyDescent="0.25">
      <c r="B9" s="11">
        <v>2</v>
      </c>
      <c r="C9" s="12" t="str">
        <f t="shared" si="0"/>
        <v>Camerun</v>
      </c>
      <c r="D9" s="13">
        <f t="shared" si="0"/>
        <v>6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-9970300</v>
      </c>
      <c r="BA9" s="34">
        <f t="shared" si="10"/>
        <v>-9970310</v>
      </c>
      <c r="BB9" s="34">
        <f>BA9+N25</f>
        <v>-9970307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1</v>
      </c>
      <c r="E10" s="50">
        <f t="shared" si="0"/>
        <v>4</v>
      </c>
      <c r="F10" s="50">
        <f t="shared" si="0"/>
        <v>7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6</v>
      </c>
      <c r="AQ10" s="34">
        <f t="shared" si="11"/>
        <v>0</v>
      </c>
      <c r="AR10" s="34">
        <f>SUMIF($K$7:$K$12,AO10,$L$7:$L$12) + SUMIF($N$7:$N$12,AO10,$M$7:$M$12)</f>
        <v>5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-60000500</v>
      </c>
      <c r="BA10" s="34">
        <f t="shared" si="10"/>
        <v>-60000510</v>
      </c>
      <c r="BB10" s="34">
        <f>BA10+N26</f>
        <v>-60000506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2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abSelected="1" workbookViewId="0">
      <selection activeCell="T4" sqref="T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-40010500</v>
      </c>
      <c r="BA8" s="34">
        <f t="shared" ref="BA8:BA10" si="10">AZ8-AY8*10</f>
        <v>-40010510</v>
      </c>
      <c r="BB8" s="34">
        <f>BA8+N24</f>
        <v>-40010508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2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1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-19980300</v>
      </c>
      <c r="BA10" s="34">
        <f t="shared" si="10"/>
        <v>-19980310</v>
      </c>
      <c r="BB10" s="34">
        <f>BA10+N26</f>
        <v>-19980306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90A5-33EE-4736-B117-09754A95D6E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opLeftCell="G16" workbookViewId="0">
      <selection activeCell="R31" sqref="R3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2</v>
      </c>
      <c r="I8" s="61"/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Dinamarca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>
        <v>2</v>
      </c>
      <c r="E10" s="69"/>
      <c r="J10" s="66"/>
    </row>
    <row r="11" spans="2:19" ht="15.75" thickBot="1" x14ac:dyDescent="0.3">
      <c r="B11" s="62" t="str">
        <f>'GRUPO D'!C9</f>
        <v>Dinamarca</v>
      </c>
      <c r="C11" s="63">
        <v>2</v>
      </c>
      <c r="D11" s="64">
        <v>4</v>
      </c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Holanda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Portugal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>
        <v>4</v>
      </c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>
        <v>2</v>
      </c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Portugal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Inglaterra</v>
      </c>
    </row>
    <row r="27" spans="2:23" ht="15.75" thickBot="1" x14ac:dyDescent="0.3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2</v>
      </c>
      <c r="N29" s="64"/>
      <c r="Q29" s="59" t="str">
        <f>IF(Q20=L12,L13,IF(Q20=L13,L12,""))</f>
        <v>Holanda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3</v>
      </c>
      <c r="D30" s="61"/>
      <c r="J30" s="66"/>
      <c r="Q30" s="62" t="str">
        <f>IF(Q21=L28,L29,IF(Q21=L29,L28,""))</f>
        <v>Inglaterra</v>
      </c>
      <c r="R30" s="63">
        <v>2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2</v>
      </c>
      <c r="I33" s="64"/>
    </row>
    <row r="34" spans="2:9" x14ac:dyDescent="0.25">
      <c r="B34" s="59" t="str">
        <f>'GRUPO H'!C8</f>
        <v>Portugal</v>
      </c>
      <c r="C34" s="60">
        <v>3</v>
      </c>
      <c r="D34" s="61"/>
      <c r="E34" s="69"/>
    </row>
    <row r="35" spans="2:9" ht="15.75" thickBot="1" x14ac:dyDescent="0.3">
      <c r="B35" s="62" t="str">
        <f>'GRUPO G'!C9</f>
        <v>Camerun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Hoja1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2022-11-16T23:00:47Z</dcterms:modified>
</cp:coreProperties>
</file>