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73AD3408-CC3E-4DEC-807B-918946090964}" xr6:coauthVersionLast="47" xr6:coauthVersionMax="47" xr10:uidLastSave="{00000000-0000-0000-0000-000000000000}"/>
  <bookViews>
    <workbookView xWindow="-120" yWindow="-120" windowWidth="20730" windowHeight="11160" firstSheet="2" activeTab="9" xr2:uid="{00000000-000D-0000-FFFF-FFFF00000000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H" sheetId="15" r:id="rId8"/>
    <sheet name="GRUPO G" sheetId="14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9" i="2" l="1"/>
  <c r="AP10" i="1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0" l="1"/>
  <c r="AP7" i="14"/>
  <c r="AZ7" i="14" s="1"/>
  <c r="AP8" i="14"/>
  <c r="AZ8" i="14" s="1"/>
  <c r="AP10" i="13"/>
  <c r="AZ10" i="13" s="1"/>
  <c r="AZ7" i="12"/>
  <c r="AZ10" i="12"/>
  <c r="AP9" i="11"/>
  <c r="AZ9" i="11" s="1"/>
  <c r="AW8" i="11" s="1"/>
  <c r="AX8" i="11" s="1"/>
  <c r="AY8" i="11" s="1"/>
  <c r="BA8" i="11" s="1"/>
  <c r="BB8" i="11" s="1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2" l="1"/>
  <c r="AX7" i="2" s="1"/>
  <c r="AY7" i="2" s="1"/>
  <c r="BA7" i="2" s="1"/>
  <c r="BB7" i="2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F8" i="12" s="1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D8" i="12"/>
  <c r="G8" i="12"/>
  <c r="E10" i="11"/>
  <c r="F10" i="11"/>
  <c r="G8" i="11"/>
  <c r="G10" i="11"/>
  <c r="E8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<sst xmlns="http://schemas.openxmlformats.org/spreadsheetml/2006/main" count="455" uniqueCount="79">
  <si>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</si>
  <si>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</si>
  <si>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</si>
  <si>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</si>
  <si>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</si>
  <si>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</si>
  <si>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</si>
  <si>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</si>
  <si>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</si>
  <si>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</si>
  <si>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</si>
  <si>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</si>
  <si>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</si>
  <si>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</si>
  <si>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</si>
  <si>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</si>
  <si>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</si>
  <si>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</si>
  <si>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</si>
  <si>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</si>
  <si>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</si>
  <si>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</si>
  <si>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</si>
  <si>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</si>
  <si>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</si>
  <si>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</si>
  <si>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</si>
  <si>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</si>
  <si>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</si>
  <si>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</si>
  <si>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</si>
  <si>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</si>
  <si>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</si>
  <si>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</si>
  <si>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</si>
  <si>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</si>
  <si>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</si>
  <si>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</si>
  <si>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</si>
  <si>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</si>
  <si>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</si>
  <si>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</si>
  <si>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</si>
  <si>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</si>
  <si>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</si>
  <si>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</si>
  <si>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</si>
  <si>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</si>
  <si>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</si>
  <si>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</si>
  <si>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</si>
  <si>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</si>
  <si>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</si>
  <si>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</si>
  <si>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</si>
  <si>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</si>
  <si>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</si>
  <si>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</si>
  <si>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</si>
  <si>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</si>
  <si>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</si>
  <si>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</si>
  <si>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</si>
  <si>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</si>
  <si>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</si>
  <si>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</si>
  <si>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</si>
  <si>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</si>
  <si>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</si>
  <si>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</si>
  <si>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</si>
  <si>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</si>
  <si>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</si>
  <si>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</si>
  <si>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</si>
  <si>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</si>
  <si>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</si>
  <si>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nfigueroa@figueroaycia.cl</t>
  </si>
  <si>
    <t>Gracia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</si>
</sst>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figueroa@figueroaycia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workbookViewId="0">
      <selection activeCell="O19" sqref="O19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3" t="s">
        <v>75</v>
      </c>
      <c r="C3" s="86" t="s">
        <v>78</v>
      </c>
      <c r="D3" s="87"/>
    </row>
    <row r="4" spans="2:4" ht="15.75" thickBot="1" x14ac:dyDescent="0.3">
      <c r="B4" s="74" t="s">
        <v>76</v>
      </c>
      <c r="C4" s="88" t="s">
        <v>77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28"/>
  <sheetViews>
    <sheetView workbookViewId="0">
      <selection activeCell="M26" sqref="M26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3</v>
      </c>
      <c r="N7" s="16" t="s">
        <v>13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-3</v>
      </c>
      <c r="AR7" s="34">
        <f>SUMIF($K$7:$K$12,AO7,$L$7:$L$12) + SUMIF($N$7:$N$12,AO7,$M$7:$M$12)</f>
        <v>2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29800</v>
      </c>
      <c r="BA7" s="34">
        <f>AZ7-AY7*10</f>
        <v>29790</v>
      </c>
      <c r="BB7" s="34">
        <f>BA7+N23</f>
        <v>29794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2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-90060809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3</v>
      </c>
      <c r="F9" s="13">
        <f t="shared" si="3"/>
        <v>4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-39980300</v>
      </c>
      <c r="BA9" s="34">
        <f t="shared" si="10"/>
        <v>-39980310</v>
      </c>
      <c r="BB9" s="34">
        <f>BA9+N25</f>
        <v>-39980307</v>
      </c>
    </row>
    <row r="10" spans="2:54" x14ac:dyDescent="0.25">
      <c r="B10" s="45">
        <v>3</v>
      </c>
      <c r="C10" s="46" t="str">
        <f t="shared" si="3"/>
        <v>Senegal</v>
      </c>
      <c r="D10" s="47">
        <f t="shared" si="3"/>
        <v>4</v>
      </c>
      <c r="E10" s="47">
        <f t="shared" si="3"/>
        <v>3</v>
      </c>
      <c r="F10" s="47">
        <f t="shared" si="3"/>
        <v>5</v>
      </c>
      <c r="G10" s="48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-39990300</v>
      </c>
      <c r="BA10" s="34">
        <f t="shared" si="10"/>
        <v>-39990310</v>
      </c>
      <c r="BB10" s="34">
        <f>BA10+N26</f>
        <v>-39990308</v>
      </c>
    </row>
    <row r="11" spans="2:54" ht="15.75" thickBot="1" x14ac:dyDescent="0.3">
      <c r="B11" s="49">
        <v>4</v>
      </c>
      <c r="C11" s="50" t="str">
        <f t="shared" si="3"/>
        <v>Qatar</v>
      </c>
      <c r="D11" s="51">
        <f t="shared" si="3"/>
        <v>0</v>
      </c>
      <c r="E11" s="51">
        <f t="shared" si="3"/>
        <v>2</v>
      </c>
      <c r="F11" s="51">
        <f t="shared" si="3"/>
        <v>5</v>
      </c>
      <c r="G11" s="52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1</v>
      </c>
      <c r="N12" s="26" t="s">
        <v>14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80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81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81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82">
        <v>2</v>
      </c>
      <c r="N26" s="35">
        <f>IF(J26="",0,M26)</f>
        <v>2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B28"/>
  <sheetViews>
    <sheetView workbookViewId="0">
      <selection activeCell="M26" sqref="M26"/>
    </sheetView>
  </sheetViews>
  <sheetFormatPr baseColWidth="10" defaultRowHeight="15" x14ac:dyDescent="0.25"/>
  <cols>
    <col min="15" max="34" width="11.42578125" style="75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-9960206</v>
      </c>
    </row>
    <row r="10" spans="2:54" x14ac:dyDescent="0.25">
      <c r="B10" s="45">
        <v>3</v>
      </c>
      <c r="C10" s="46" t="str">
        <f t="shared" si="0"/>
        <v>Gales</v>
      </c>
      <c r="D10" s="47">
        <f t="shared" si="0"/>
        <v>2</v>
      </c>
      <c r="E10" s="47">
        <f t="shared" si="0"/>
        <v>4</v>
      </c>
      <c r="F10" s="47">
        <f t="shared" si="0"/>
        <v>6</v>
      </c>
      <c r="G10" s="48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-19980400</v>
      </c>
      <c r="BA10" s="34">
        <f t="shared" si="10"/>
        <v>-19980410</v>
      </c>
      <c r="BB10" s="34">
        <f>BA10+N26</f>
        <v>-19980407</v>
      </c>
    </row>
    <row r="11" spans="2:54" ht="15.75" thickBot="1" x14ac:dyDescent="0.3">
      <c r="B11" s="49">
        <v>4</v>
      </c>
      <c r="C11" s="50" t="str">
        <f t="shared" si="0"/>
        <v>Iran</v>
      </c>
      <c r="D11" s="51">
        <f t="shared" si="0"/>
        <v>1</v>
      </c>
      <c r="E11" s="51">
        <f t="shared" si="0"/>
        <v>2</v>
      </c>
      <c r="F11" s="51">
        <f t="shared" si="0"/>
        <v>6</v>
      </c>
      <c r="G11" s="52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3</v>
      </c>
      <c r="N11" s="23" t="s">
        <v>30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80">
        <v>1</v>
      </c>
      <c r="N23" s="35">
        <f>IF(J23="",0,M23)</f>
        <v>1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81">
        <v>2</v>
      </c>
      <c r="N24" s="35">
        <f>IF(J24="",0,M24)</f>
        <v>2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81">
        <v>4</v>
      </c>
      <c r="N25" s="35">
        <f>IF(J25="",0,M25)</f>
        <v>4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82">
        <v>3</v>
      </c>
      <c r="N26" s="35">
        <f>IF(J26="",0,M26)</f>
        <v>3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2:3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1</v>
      </c>
      <c r="N7" s="16" t="s">
        <v>37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-90060900</v>
      </c>
      <c r="BA7" s="34">
        <f>AZ7-AY7*10</f>
        <v>-90060910</v>
      </c>
      <c r="BB7" s="34">
        <f>BA7+N23</f>
        <v>-90060909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-30000300</v>
      </c>
      <c r="BA8" s="34">
        <f t="shared" ref="BA8:BA10" si="10">AZ8-AY8*10</f>
        <v>-30000310</v>
      </c>
      <c r="BB8" s="34">
        <f>BA8+N24</f>
        <v>-30000307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-60010508</v>
      </c>
    </row>
    <row r="10" spans="2:54" x14ac:dyDescent="0.25">
      <c r="B10" s="45">
        <v>3</v>
      </c>
      <c r="C10" s="46" t="str">
        <f t="shared" si="0"/>
        <v>Mexico</v>
      </c>
      <c r="D10" s="47">
        <f t="shared" si="0"/>
        <v>3</v>
      </c>
      <c r="E10" s="47">
        <f t="shared" si="0"/>
        <v>3</v>
      </c>
      <c r="F10" s="47">
        <f t="shared" si="0"/>
        <v>3</v>
      </c>
      <c r="G10" s="48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.75" thickBot="1" x14ac:dyDescent="0.3">
      <c r="B11" s="49">
        <v>4</v>
      </c>
      <c r="C11" s="50" t="s">
        <v>38</v>
      </c>
      <c r="D11" s="51">
        <f t="shared" si="0"/>
        <v>0</v>
      </c>
      <c r="E11" s="51">
        <f t="shared" si="0"/>
        <v>1</v>
      </c>
      <c r="F11" s="51">
        <f t="shared" si="0"/>
        <v>8</v>
      </c>
      <c r="G11" s="52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3</v>
      </c>
      <c r="N11" s="23" t="s">
        <v>35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80">
        <v>1</v>
      </c>
      <c r="N23" s="35">
        <f>IF(J23="",0,M23)</f>
        <v>1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81">
        <v>3</v>
      </c>
      <c r="N24" s="35">
        <f>IF(J24="",0,M24)</f>
        <v>3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81">
        <v>2</v>
      </c>
      <c r="N25" s="35">
        <f>IF(J25="",0,M25)</f>
        <v>2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82">
        <v>4</v>
      </c>
      <c r="N26" s="35">
        <f>IF(J26="",0,M26)</f>
        <v>4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2:3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3</v>
      </c>
      <c r="M7" s="31">
        <v>0</v>
      </c>
      <c r="N7" s="16" t="s">
        <v>42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4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-60040800</v>
      </c>
      <c r="BA8" s="34">
        <f t="shared" ref="BA8:BA10" si="10">AZ8-AY8*10</f>
        <v>-60040810</v>
      </c>
      <c r="BB8" s="34">
        <f>BA8+N24</f>
        <v>-60040808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8</v>
      </c>
      <c r="F9" s="13">
        <f t="shared" si="0"/>
        <v>4</v>
      </c>
      <c r="G9" s="14">
        <f t="shared" si="0"/>
        <v>4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49894</v>
      </c>
    </row>
    <row r="10" spans="2:54" x14ac:dyDescent="0.25">
      <c r="B10" s="45">
        <v>3</v>
      </c>
      <c r="C10" s="46" t="str">
        <f t="shared" si="0"/>
        <v>Australia</v>
      </c>
      <c r="D10" s="47">
        <f t="shared" si="0"/>
        <v>3</v>
      </c>
      <c r="E10" s="47">
        <f t="shared" si="0"/>
        <v>3</v>
      </c>
      <c r="F10" s="47">
        <f t="shared" si="0"/>
        <v>7</v>
      </c>
      <c r="G10" s="48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2</v>
      </c>
      <c r="N10" s="18" t="s">
        <v>41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3</v>
      </c>
      <c r="AS10" s="34">
        <f>SUMIF($K$7:$K$12,AO10,$M$7:$M$12) + SUMIF($N$7:$N$12,AO10,$L$7:$L$12)</f>
        <v>7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-29960300</v>
      </c>
      <c r="BA10" s="34">
        <f t="shared" si="10"/>
        <v>-29960310</v>
      </c>
      <c r="BB10" s="34">
        <f>BA10+N26</f>
        <v>-29960307</v>
      </c>
    </row>
    <row r="11" spans="2:54" ht="15.75" thickBot="1" x14ac:dyDescent="0.3">
      <c r="B11" s="49">
        <v>4</v>
      </c>
      <c r="C11" s="50" t="str">
        <f t="shared" si="0"/>
        <v>Tunez</v>
      </c>
      <c r="D11" s="51">
        <f t="shared" si="0"/>
        <v>0</v>
      </c>
      <c r="E11" s="51">
        <f t="shared" si="0"/>
        <v>1</v>
      </c>
      <c r="F11" s="51">
        <f t="shared" si="0"/>
        <v>6</v>
      </c>
      <c r="G11" s="52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80">
        <v>1</v>
      </c>
      <c r="N23" s="35">
        <f>IF(J23="",0,M23)</f>
        <v>1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81">
        <v>2</v>
      </c>
      <c r="N24" s="35">
        <f>IF(J24="",0,M24)</f>
        <v>2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81">
        <v>4</v>
      </c>
      <c r="N25" s="35">
        <f>IF(J25="",0,M25)</f>
        <v>4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82">
        <v>3</v>
      </c>
      <c r="N26" s="35">
        <f>IF(J26="",0,M26)</f>
        <v>3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2:3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4</v>
      </c>
      <c r="M7" s="31">
        <v>0</v>
      </c>
      <c r="N7" s="16" t="s">
        <v>46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8</v>
      </c>
      <c r="AR8" s="34">
        <f t="shared" ref="AR8:AR9" si="5">SUMIF($K$7:$K$12,AO8,$L$7:$L$12) + SUMIF($N$7:$N$12,AO8,$M$7:$M$12)</f>
        <v>10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-90081000</v>
      </c>
      <c r="BA8" s="34">
        <f t="shared" ref="BA8:BA10" si="10">AZ8-AY8*10</f>
        <v>-90081010</v>
      </c>
      <c r="BB8" s="34">
        <f>BA8+N24</f>
        <v>-90081009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-9940100</v>
      </c>
      <c r="BA9" s="34">
        <f t="shared" si="10"/>
        <v>-9940110</v>
      </c>
      <c r="BB9" s="34">
        <f>BA9+N25</f>
        <v>-9940106</v>
      </c>
    </row>
    <row r="10" spans="2:54" x14ac:dyDescent="0.25">
      <c r="B10" s="45">
        <v>3</v>
      </c>
      <c r="C10" s="46" t="str">
        <f t="shared" si="0"/>
        <v>Costa Rica</v>
      </c>
      <c r="D10" s="47">
        <f t="shared" si="0"/>
        <v>1</v>
      </c>
      <c r="E10" s="47">
        <f t="shared" si="0"/>
        <v>2</v>
      </c>
      <c r="F10" s="47">
        <f t="shared" si="0"/>
        <v>6</v>
      </c>
      <c r="G10" s="48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-9960207</v>
      </c>
    </row>
    <row r="11" spans="2:54" ht="15.75" thickBot="1" x14ac:dyDescent="0.3">
      <c r="B11" s="49">
        <v>4</v>
      </c>
      <c r="C11" s="50" t="str">
        <f t="shared" si="0"/>
        <v>Japon</v>
      </c>
      <c r="D11" s="51">
        <f t="shared" si="0"/>
        <v>1</v>
      </c>
      <c r="E11" s="51">
        <f t="shared" si="0"/>
        <v>1</v>
      </c>
      <c r="F11" s="51">
        <f t="shared" si="0"/>
        <v>7</v>
      </c>
      <c r="G11" s="52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80">
        <v>2</v>
      </c>
      <c r="N23" s="35">
        <f>IF(J23="",0,M23)</f>
        <v>2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81">
        <v>1</v>
      </c>
      <c r="N24" s="35">
        <f>IF(J24="",0,M24)</f>
        <v>1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81">
        <v>4</v>
      </c>
      <c r="N25" s="35">
        <f>IF(J25="",0,M25)</f>
        <v>4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82">
        <v>3</v>
      </c>
      <c r="N26" s="35">
        <f>IF(J26="",0,M26)</f>
        <v>3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2:3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B28"/>
  <sheetViews>
    <sheetView workbookViewId="0">
      <selection activeCell="P19" sqref="P19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7</v>
      </c>
      <c r="AS7" s="34">
        <f>SUMIF($K$7:$K$12,AO7,$M$7:$M$12) + SUMIF($N$7:$N$12,AO7,$L$7:$L$12)</f>
        <v>5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-70020700</v>
      </c>
      <c r="BA7" s="34">
        <f>AZ7-AY7*10</f>
        <v>-70020710</v>
      </c>
      <c r="BB7" s="34">
        <f>BA7+N23</f>
        <v>-70020708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-70030609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7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2</v>
      </c>
      <c r="N9" s="23" t="s">
        <v>50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-9980400</v>
      </c>
      <c r="BA9" s="34">
        <f t="shared" si="10"/>
        <v>-9980410</v>
      </c>
      <c r="BB9" s="34">
        <f>BA9+N25</f>
        <v>-9980407</v>
      </c>
    </row>
    <row r="10" spans="2:54" x14ac:dyDescent="0.25">
      <c r="B10" s="45">
        <v>3</v>
      </c>
      <c r="C10" s="46" t="str">
        <f t="shared" si="0"/>
        <v>Marruecos</v>
      </c>
      <c r="D10" s="47">
        <f t="shared" si="0"/>
        <v>1</v>
      </c>
      <c r="E10" s="47">
        <f t="shared" si="0"/>
        <v>4</v>
      </c>
      <c r="F10" s="47">
        <f t="shared" si="0"/>
        <v>6</v>
      </c>
      <c r="G10" s="48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.75" thickBot="1" x14ac:dyDescent="0.3">
      <c r="B11" s="49">
        <v>4</v>
      </c>
      <c r="C11" s="50" t="str">
        <f t="shared" si="0"/>
        <v>Canada</v>
      </c>
      <c r="D11" s="51">
        <f t="shared" si="0"/>
        <v>1</v>
      </c>
      <c r="E11" s="51">
        <f t="shared" si="0"/>
        <v>2</v>
      </c>
      <c r="F11" s="51">
        <f t="shared" si="0"/>
        <v>5</v>
      </c>
      <c r="G11" s="52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80">
        <v>2</v>
      </c>
      <c r="N23" s="35">
        <f>IF(J23="",0,M23)</f>
        <v>2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81">
        <v>1</v>
      </c>
      <c r="N24" s="35">
        <f>IF(J24="",0,M24)</f>
        <v>1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81">
        <v>3</v>
      </c>
      <c r="N25" s="35">
        <f>IF(J25="",0,M25)</f>
        <v>3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82">
        <v>4</v>
      </c>
      <c r="N26" s="35">
        <f>IF(J26="",0,M26)</f>
        <v>4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2:3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B28"/>
  <sheetViews>
    <sheetView topLeftCell="A5" workbookViewId="0">
      <selection activeCell="O24" sqref="O2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4</v>
      </c>
      <c r="M7" s="31">
        <v>1</v>
      </c>
      <c r="N7" s="16" t="s">
        <v>56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-90040700</v>
      </c>
      <c r="BA7" s="34">
        <f>AZ7-AY7*10</f>
        <v>-90040710</v>
      </c>
      <c r="BB7" s="34">
        <f>BA7+N23</f>
        <v>-90040709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4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-60040800</v>
      </c>
      <c r="BA8" s="34">
        <f t="shared" ref="BA8:BA10" si="10">AZ8-AY8*10</f>
        <v>-60040810</v>
      </c>
      <c r="BB8" s="34">
        <f>BA8+N24</f>
        <v>-60040808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8</v>
      </c>
      <c r="F9" s="13">
        <f t="shared" si="0"/>
        <v>4</v>
      </c>
      <c r="G9" s="14">
        <f t="shared" si="0"/>
        <v>4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1</v>
      </c>
      <c r="N9" s="23" t="s">
        <v>58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49794</v>
      </c>
    </row>
    <row r="10" spans="2:54" x14ac:dyDescent="0.25">
      <c r="B10" s="45">
        <v>3</v>
      </c>
      <c r="C10" s="46" t="str">
        <f t="shared" si="0"/>
        <v>Gana</v>
      </c>
      <c r="D10" s="47">
        <f t="shared" si="0"/>
        <v>3</v>
      </c>
      <c r="E10" s="47">
        <f t="shared" si="0"/>
        <v>1</v>
      </c>
      <c r="F10" s="47">
        <f t="shared" si="0"/>
        <v>4</v>
      </c>
      <c r="G10" s="48">
        <f t="shared" si="0"/>
        <v>-3</v>
      </c>
      <c r="I10" s="18">
        <f>I8+16</f>
        <v>32</v>
      </c>
      <c r="J10" s="19">
        <v>44893</v>
      </c>
      <c r="K10" s="20" t="s">
        <v>57</v>
      </c>
      <c r="L10" s="21">
        <v>3</v>
      </c>
      <c r="M10" s="22">
        <v>2</v>
      </c>
      <c r="N10" s="18" t="s">
        <v>55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-29970100</v>
      </c>
      <c r="BA10" s="34">
        <f t="shared" si="10"/>
        <v>-29970110</v>
      </c>
      <c r="BB10" s="34">
        <f>BA10+N26</f>
        <v>-29970107</v>
      </c>
    </row>
    <row r="11" spans="2:54" ht="15.75" thickBot="1" x14ac:dyDescent="0.3">
      <c r="B11" s="49">
        <v>4</v>
      </c>
      <c r="C11" s="50" t="str">
        <f t="shared" si="0"/>
        <v>Corea</v>
      </c>
      <c r="D11" s="51">
        <f t="shared" si="0"/>
        <v>0</v>
      </c>
      <c r="E11" s="51">
        <f t="shared" si="0"/>
        <v>2</v>
      </c>
      <c r="F11" s="51">
        <f t="shared" si="0"/>
        <v>7</v>
      </c>
      <c r="G11" s="52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80">
        <v>1</v>
      </c>
      <c r="N23" s="35">
        <f>IF(J23="",0,M23)</f>
        <v>1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81">
        <v>2</v>
      </c>
      <c r="N24" s="35">
        <f>IF(J24="",0,M24)</f>
        <v>2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81">
        <v>4</v>
      </c>
      <c r="N25" s="35">
        <f>IF(J25="",0,M25)</f>
        <v>4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82">
        <v>3</v>
      </c>
      <c r="N26" s="35">
        <f>IF(J26="",0,M26)</f>
        <v>3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2:3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B28"/>
  <sheetViews>
    <sheetView topLeftCell="A3"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5">
        <v>3</v>
      </c>
      <c r="C10" s="46" t="str">
        <f t="shared" si="0"/>
        <v>Serbia</v>
      </c>
      <c r="D10" s="47">
        <f t="shared" si="0"/>
        <v>3</v>
      </c>
      <c r="E10" s="47">
        <f t="shared" si="0"/>
        <v>2</v>
      </c>
      <c r="F10" s="47">
        <f t="shared" si="0"/>
        <v>5</v>
      </c>
      <c r="G10" s="48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5.75" thickBot="1" x14ac:dyDescent="0.3">
      <c r="B11" s="49">
        <v>4</v>
      </c>
      <c r="C11" s="50" t="str">
        <f t="shared" si="0"/>
        <v>Camerun</v>
      </c>
      <c r="D11" s="51">
        <f t="shared" si="0"/>
        <v>1</v>
      </c>
      <c r="E11" s="51">
        <f t="shared" si="0"/>
        <v>2</v>
      </c>
      <c r="F11" s="51">
        <f t="shared" si="0"/>
        <v>6</v>
      </c>
      <c r="G11" s="52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80">
        <v>1</v>
      </c>
      <c r="N23" s="35">
        <f>IF(J23="",0,M23)</f>
        <v>1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81">
        <v>2</v>
      </c>
      <c r="N24" s="35">
        <f>IF(J24="",0,M24)</f>
        <v>2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81">
        <v>3</v>
      </c>
      <c r="N25" s="35">
        <f>IF(J25="",0,M25)</f>
        <v>3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82">
        <v>4</v>
      </c>
      <c r="N26" s="35">
        <f>IF(J26="",0,M26)</f>
        <v>4</v>
      </c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2:34" ht="15.75" thickBot="1" x14ac:dyDescent="0.3">
      <c r="B28" s="42"/>
      <c r="C28" s="43"/>
      <c r="D28" s="43"/>
      <c r="E28" s="43"/>
      <c r="F28" s="43"/>
      <c r="G28" s="43"/>
      <c r="H28" s="44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35"/>
  <sheetViews>
    <sheetView tabSelected="1" topLeftCell="J14" workbookViewId="0">
      <selection activeCell="R31" sqref="R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3">
        <v>49</v>
      </c>
      <c r="C5" s="54" t="s">
        <v>61</v>
      </c>
      <c r="D5" s="55" t="s">
        <v>62</v>
      </c>
    </row>
    <row r="6" spans="2:19" ht="15.75" thickBot="1" x14ac:dyDescent="0.3">
      <c r="B6" s="56" t="str">
        <f>'GRUPO A'!C8</f>
        <v>Holanda</v>
      </c>
      <c r="C6" s="57">
        <v>1</v>
      </c>
      <c r="D6" s="58"/>
    </row>
    <row r="7" spans="2:19" ht="15.75" thickBot="1" x14ac:dyDescent="0.3">
      <c r="B7" s="59" t="str">
        <f>'GRUPO B'!C9</f>
        <v>USA</v>
      </c>
      <c r="C7" s="60">
        <v>0</v>
      </c>
      <c r="D7" s="61"/>
      <c r="E7" s="62"/>
      <c r="G7" s="53">
        <v>57</v>
      </c>
      <c r="H7" s="54" t="s">
        <v>61</v>
      </c>
      <c r="I7" s="55" t="s">
        <v>62</v>
      </c>
    </row>
    <row r="8" spans="2:19" ht="15.75" thickBot="1" x14ac:dyDescent="0.3">
      <c r="E8" s="63"/>
      <c r="G8" s="56" t="str">
        <f>IF(C7&gt;C6,B7,IF(C6&gt;C7,B6,IF(D7&gt;D6,B7,IF(D6&gt;D7,B6,""))))</f>
        <v>Holanda</v>
      </c>
      <c r="H8" s="57">
        <v>0</v>
      </c>
      <c r="I8" s="58"/>
      <c r="L8" s="111" t="s">
        <v>60</v>
      </c>
      <c r="M8" s="112"/>
      <c r="N8" s="113"/>
    </row>
    <row r="9" spans="2:19" ht="15.75" thickBot="1" x14ac:dyDescent="0.3">
      <c r="B9" s="53">
        <v>50</v>
      </c>
      <c r="C9" s="54" t="s">
        <v>61</v>
      </c>
      <c r="D9" s="55" t="s">
        <v>62</v>
      </c>
      <c r="E9" s="64"/>
      <c r="F9" s="65"/>
      <c r="G9" s="59" t="str">
        <f>IF(C11&gt;C10,B11,IF(C10&gt;C11,B10,IF(D11&gt;D10,B11,IF(D10&gt;D11,B10,""))))</f>
        <v>Argentina</v>
      </c>
      <c r="H9" s="60">
        <v>2</v>
      </c>
      <c r="I9" s="61"/>
      <c r="J9" s="62"/>
    </row>
    <row r="10" spans="2:19" ht="15.75" thickBot="1" x14ac:dyDescent="0.3">
      <c r="B10" s="56" t="str">
        <f>'GRUPO C'!C8</f>
        <v>Argentina</v>
      </c>
      <c r="C10" s="57">
        <v>2</v>
      </c>
      <c r="D10" s="58"/>
      <c r="E10" s="66"/>
      <c r="J10" s="63"/>
    </row>
    <row r="11" spans="2:19" ht="15.75" thickBot="1" x14ac:dyDescent="0.3">
      <c r="B11" s="59" t="str">
        <f>'GRUPO D'!C9</f>
        <v>Dinamarca</v>
      </c>
      <c r="C11" s="60">
        <v>1</v>
      </c>
      <c r="D11" s="61"/>
      <c r="E11" s="67"/>
      <c r="J11" s="63"/>
      <c r="L11" s="53">
        <v>61</v>
      </c>
      <c r="M11" s="54" t="s">
        <v>61</v>
      </c>
      <c r="N11" s="55" t="s">
        <v>62</v>
      </c>
    </row>
    <row r="12" spans="2:19" ht="15.75" thickBot="1" x14ac:dyDescent="0.3">
      <c r="J12" s="63"/>
      <c r="L12" s="56" t="str">
        <f>IF(H9&gt;H8,G9,IF(H8&gt;H9,G8,IF(I9&gt;I8,G9,IF(I8&gt;I9,G8,""))))</f>
        <v>Argentina</v>
      </c>
      <c r="M12" s="57">
        <v>1</v>
      </c>
      <c r="N12" s="58">
        <v>1</v>
      </c>
    </row>
    <row r="13" spans="2:19" ht="15.75" thickBot="1" x14ac:dyDescent="0.3">
      <c r="B13" s="53">
        <v>53</v>
      </c>
      <c r="C13" s="54" t="s">
        <v>61</v>
      </c>
      <c r="D13" s="55" t="s">
        <v>62</v>
      </c>
      <c r="J13" s="63"/>
      <c r="K13" s="65"/>
      <c r="L13" s="59" t="str">
        <f>IF(H17&gt;H16,G17,IF(H16&gt;H17,G16,IF(I17&gt;I16,G17,IF(I16&gt;I17,G16,""))))</f>
        <v>Brasil</v>
      </c>
      <c r="M13" s="60">
        <v>1</v>
      </c>
      <c r="N13" s="61">
        <v>0</v>
      </c>
      <c r="O13" s="62"/>
    </row>
    <row r="14" spans="2:19" ht="15.75" thickBot="1" x14ac:dyDescent="0.3">
      <c r="B14" s="56" t="str">
        <f>'GRUPO E'!C8</f>
        <v>Alemania</v>
      </c>
      <c r="C14" s="57">
        <v>1</v>
      </c>
      <c r="D14" s="58"/>
      <c r="J14" s="63"/>
      <c r="O14" s="63"/>
    </row>
    <row r="15" spans="2:19" ht="15.75" thickBot="1" x14ac:dyDescent="0.3">
      <c r="B15" s="59" t="str">
        <f>'GRUPO F'!C9</f>
        <v>Belgica</v>
      </c>
      <c r="C15" s="60">
        <v>0</v>
      </c>
      <c r="D15" s="61"/>
      <c r="E15" s="62"/>
      <c r="G15" s="53">
        <v>58</v>
      </c>
      <c r="H15" s="54" t="s">
        <v>61</v>
      </c>
      <c r="I15" s="55" t="s">
        <v>62</v>
      </c>
      <c r="J15" s="63"/>
      <c r="O15" s="63"/>
    </row>
    <row r="16" spans="2:19" ht="15.75" thickBot="1" x14ac:dyDescent="0.3">
      <c r="E16" s="63"/>
      <c r="G16" s="56" t="str">
        <f>IF(C15&gt;C14,B15,IF(C14&gt;C15,B14,IF(D15&gt;D14,B15,IF(D14&gt;D15,B14,""))))</f>
        <v>Alemania</v>
      </c>
      <c r="H16" s="57">
        <v>1</v>
      </c>
      <c r="I16" s="58"/>
      <c r="J16" s="66"/>
      <c r="O16" s="63"/>
      <c r="Q16" s="111" t="s">
        <v>63</v>
      </c>
      <c r="R16" s="112"/>
      <c r="S16" s="113"/>
    </row>
    <row r="17" spans="2:23" ht="15.75" thickBot="1" x14ac:dyDescent="0.3">
      <c r="B17" s="53">
        <v>54</v>
      </c>
      <c r="C17" s="54" t="s">
        <v>61</v>
      </c>
      <c r="D17" s="55" t="s">
        <v>62</v>
      </c>
      <c r="E17" s="64"/>
      <c r="F17" s="65"/>
      <c r="G17" s="59" t="str">
        <f>IF(C19&gt;C18,B19,IF(C18&gt;C19,B18,IF(D19&gt;D18,B19,IF(D18&gt;D19,B18,""))))</f>
        <v>Brasil</v>
      </c>
      <c r="H17" s="60">
        <v>3</v>
      </c>
      <c r="I17" s="61"/>
      <c r="O17" s="63"/>
    </row>
    <row r="18" spans="2:23" ht="15.75" thickBot="1" x14ac:dyDescent="0.3">
      <c r="B18" s="56" t="str">
        <f>'GRUPO G'!C8</f>
        <v>Brasil</v>
      </c>
      <c r="C18" s="57">
        <v>2</v>
      </c>
      <c r="D18" s="58"/>
      <c r="E18" s="66"/>
      <c r="O18" s="63"/>
    </row>
    <row r="19" spans="2:23" ht="15.75" thickBot="1" x14ac:dyDescent="0.3">
      <c r="B19" s="59" t="str">
        <f>'GRUPO H'!C9</f>
        <v>Uruguay</v>
      </c>
      <c r="C19" s="60">
        <v>0</v>
      </c>
      <c r="D19" s="61"/>
      <c r="E19" s="67"/>
      <c r="O19" s="63"/>
      <c r="Q19" s="53">
        <v>64</v>
      </c>
      <c r="R19" s="54" t="s">
        <v>61</v>
      </c>
      <c r="S19" s="55" t="s">
        <v>62</v>
      </c>
    </row>
    <row r="20" spans="2:23" ht="15.75" thickBot="1" x14ac:dyDescent="0.3">
      <c r="O20" s="63"/>
      <c r="Q20" s="56" t="str">
        <f>IF(M13&gt;M12,L13,IF(M12&gt;M13,L12,IF(N13&gt;N12,L13,IF(N12&gt;N13,L12,""))))</f>
        <v>Argentina</v>
      </c>
      <c r="R20" s="57">
        <v>1</v>
      </c>
      <c r="S20" s="58"/>
    </row>
    <row r="21" spans="2:23" ht="15.75" thickBot="1" x14ac:dyDescent="0.3">
      <c r="B21" s="53">
        <v>51</v>
      </c>
      <c r="C21" s="54" t="s">
        <v>61</v>
      </c>
      <c r="D21" s="55" t="s">
        <v>62</v>
      </c>
      <c r="O21" s="63"/>
      <c r="P21" s="72"/>
      <c r="Q21" s="59" t="str">
        <f>IF(M29&gt;M28,L29,IF(M28&gt;M29,L28,IF(N29&gt;N28,L29,IF(N28&gt;N29,L28,""))))</f>
        <v>España</v>
      </c>
      <c r="R21" s="60">
        <v>0</v>
      </c>
      <c r="S21" s="61"/>
    </row>
    <row r="22" spans="2:23" ht="15.75" thickBot="1" x14ac:dyDescent="0.3">
      <c r="B22" s="56" t="str">
        <f>'GRUPO B'!C8</f>
        <v>Inglaterra</v>
      </c>
      <c r="C22" s="57">
        <v>2</v>
      </c>
      <c r="D22" s="58"/>
      <c r="O22" s="63"/>
    </row>
    <row r="23" spans="2:23" ht="15.75" thickBot="1" x14ac:dyDescent="0.3">
      <c r="B23" s="59" t="str">
        <f>'GRUPO A'!C9</f>
        <v>Ecuador</v>
      </c>
      <c r="C23" s="60">
        <v>1</v>
      </c>
      <c r="D23" s="61"/>
      <c r="E23" s="62"/>
      <c r="G23" s="53">
        <v>59</v>
      </c>
      <c r="H23" s="54" t="s">
        <v>61</v>
      </c>
      <c r="I23" s="55" t="s">
        <v>62</v>
      </c>
      <c r="O23" s="63"/>
      <c r="V23" s="114" t="s">
        <v>64</v>
      </c>
      <c r="W23" s="107"/>
    </row>
    <row r="24" spans="2:23" ht="15.75" thickBot="1" x14ac:dyDescent="0.3">
      <c r="E24" s="63"/>
      <c r="G24" s="56" t="str">
        <f>IF(C23&gt;C22,B23,IF(C22&gt;C23,B22,IF(D23&gt;D22,B23,IF(D22&gt;D23,B22,""))))</f>
        <v>Inglaterra</v>
      </c>
      <c r="H24" s="57">
        <v>0</v>
      </c>
      <c r="I24" s="58"/>
      <c r="O24" s="63"/>
      <c r="V24" s="56" t="s">
        <v>65</v>
      </c>
      <c r="W24" s="68" t="str">
        <f>IF(R20&gt;R21,Q20,IF(R21&gt;R20,Q21,IF(S20&gt;S21,Q20,IF(S21&gt;S20,Q21,""))))</f>
        <v>Argentina</v>
      </c>
    </row>
    <row r="25" spans="2:23" ht="15.75" thickBot="1" x14ac:dyDescent="0.3">
      <c r="B25" s="53">
        <v>52</v>
      </c>
      <c r="C25" s="54" t="s">
        <v>61</v>
      </c>
      <c r="D25" s="55" t="s">
        <v>62</v>
      </c>
      <c r="E25" s="64"/>
      <c r="F25" s="65"/>
      <c r="G25" s="59" t="str">
        <f>IF(C27&gt;C26,B27,IF(C26&gt;C27,B26,IF(D27&gt;D26,B27,IF(D26&gt;D27,B26,""))))</f>
        <v>Francia</v>
      </c>
      <c r="H25" s="60">
        <v>1</v>
      </c>
      <c r="I25" s="61"/>
      <c r="J25" s="62"/>
      <c r="O25" s="63"/>
      <c r="Q25" s="111" t="s">
        <v>66</v>
      </c>
      <c r="R25" s="112"/>
      <c r="S25" s="113"/>
      <c r="V25" s="69" t="s">
        <v>67</v>
      </c>
      <c r="W25" s="70" t="str">
        <f>IF(W24=Q20,Q21,IF(W24=Q21,Q20,""))</f>
        <v>España</v>
      </c>
    </row>
    <row r="26" spans="2:23" ht="15.75" thickBot="1" x14ac:dyDescent="0.3">
      <c r="B26" s="56" t="str">
        <f>'GRUPO D'!C8</f>
        <v>Francia</v>
      </c>
      <c r="C26" s="57">
        <v>2</v>
      </c>
      <c r="D26" s="58"/>
      <c r="E26" s="66"/>
      <c r="J26" s="63"/>
      <c r="O26" s="63"/>
      <c r="V26" s="59" t="s">
        <v>68</v>
      </c>
      <c r="W26" s="71" t="str">
        <f>IF(R29&gt;R30,Q29,IF(R30&gt;R29,Q30,IF(S29&gt;S30,Q29,IF(S30&gt;S29,Q30,""))))</f>
        <v>Brasil</v>
      </c>
    </row>
    <row r="27" spans="2:23" ht="15.75" thickBot="1" x14ac:dyDescent="0.3">
      <c r="B27" s="59" t="str">
        <f>'GRUPO C'!C9</f>
        <v>Polonia</v>
      </c>
      <c r="C27" s="60">
        <v>0</v>
      </c>
      <c r="D27" s="61"/>
      <c r="E27" s="67"/>
      <c r="J27" s="63"/>
      <c r="L27" s="53">
        <v>62</v>
      </c>
      <c r="M27" s="54" t="s">
        <v>61</v>
      </c>
      <c r="N27" s="55" t="s">
        <v>62</v>
      </c>
      <c r="O27" s="63"/>
    </row>
    <row r="28" spans="2:23" ht="15.75" thickBot="1" x14ac:dyDescent="0.3">
      <c r="J28" s="63"/>
      <c r="L28" s="56" t="str">
        <f>IF(H25&gt;H24,G25,IF(H24&gt;H25,G24,IF(I25&gt;I24,G25,IF(I24&gt;I25,G24,""))))</f>
        <v>Francia</v>
      </c>
      <c r="M28" s="57">
        <v>1</v>
      </c>
      <c r="N28" s="58"/>
      <c r="O28" s="66"/>
      <c r="Q28" s="53">
        <v>63</v>
      </c>
      <c r="R28" s="54" t="s">
        <v>61</v>
      </c>
      <c r="S28" s="55" t="s">
        <v>62</v>
      </c>
    </row>
    <row r="29" spans="2:23" ht="15.75" thickBot="1" x14ac:dyDescent="0.3">
      <c r="B29" s="53">
        <v>55</v>
      </c>
      <c r="C29" s="54" t="s">
        <v>61</v>
      </c>
      <c r="D29" s="55" t="s">
        <v>62</v>
      </c>
      <c r="J29" s="63"/>
      <c r="K29" s="65"/>
      <c r="L29" s="59" t="str">
        <f>IF(H33&gt;H32,G33,IF(H32&gt;H33,G32,IF(I33&gt;I32,G33,IF(I32&gt;I33,G32,""))))</f>
        <v>España</v>
      </c>
      <c r="M29" s="60">
        <v>2</v>
      </c>
      <c r="N29" s="61"/>
      <c r="Q29" s="56" t="str">
        <f>IF(Q20=L12,L13,IF(Q20=L13,L12,""))</f>
        <v>Brasil</v>
      </c>
      <c r="R29" s="57">
        <v>2</v>
      </c>
      <c r="S29" s="58"/>
    </row>
    <row r="30" spans="2:23" ht="15.75" thickBot="1" x14ac:dyDescent="0.3">
      <c r="B30" s="56" t="str">
        <f>'GRUPO F'!C8</f>
        <v>Croacia</v>
      </c>
      <c r="C30" s="57">
        <v>0</v>
      </c>
      <c r="D30" s="58"/>
      <c r="J30" s="63"/>
      <c r="Q30" s="59" t="str">
        <f>IF(Q21=L28,L29,IF(Q21=L29,L28,""))</f>
        <v>Francia</v>
      </c>
      <c r="R30" s="60">
        <v>1</v>
      </c>
      <c r="S30" s="61"/>
    </row>
    <row r="31" spans="2:23" ht="15.75" thickBot="1" x14ac:dyDescent="0.3">
      <c r="B31" s="59" t="str">
        <f>'GRUPO E'!C9</f>
        <v>España</v>
      </c>
      <c r="C31" s="60">
        <v>1</v>
      </c>
      <c r="D31" s="61"/>
      <c r="E31" s="62"/>
      <c r="G31" s="53">
        <v>60</v>
      </c>
      <c r="H31" s="54" t="s">
        <v>61</v>
      </c>
      <c r="I31" s="55" t="s">
        <v>62</v>
      </c>
      <c r="J31" s="63"/>
    </row>
    <row r="32" spans="2:23" ht="15.75" thickBot="1" x14ac:dyDescent="0.3">
      <c r="E32" s="63"/>
      <c r="G32" s="56" t="str">
        <f>IF(C31&gt;C30,B31,IF(C30&gt;C31,B30,IF(D31&gt;D30,B31,IF(D30&gt;D31,B30,""))))</f>
        <v>España</v>
      </c>
      <c r="H32" s="57">
        <v>1</v>
      </c>
      <c r="I32" s="58"/>
      <c r="J32" s="66"/>
    </row>
    <row r="33" spans="2:9" ht="15.75" thickBot="1" x14ac:dyDescent="0.3">
      <c r="B33" s="53">
        <v>56</v>
      </c>
      <c r="C33" s="54" t="s">
        <v>61</v>
      </c>
      <c r="D33" s="55" t="s">
        <v>62</v>
      </c>
      <c r="E33" s="64"/>
      <c r="F33" s="65"/>
      <c r="G33" s="59" t="str">
        <f>IF(C35&gt;C34,B35,IF(C34&gt;C35,B34,IF(D35&gt;D34,B35,IF(D34&gt;D35,B34,""))))</f>
        <v>Portugal</v>
      </c>
      <c r="H33" s="60">
        <v>0</v>
      </c>
      <c r="I33" s="61"/>
    </row>
    <row r="34" spans="2:9" x14ac:dyDescent="0.25">
      <c r="B34" s="56" t="str">
        <f>'GRUPO H'!C8</f>
        <v>Portugal</v>
      </c>
      <c r="C34" s="57">
        <v>2</v>
      </c>
      <c r="D34" s="58"/>
      <c r="E34" s="66"/>
    </row>
    <row r="35" spans="2:9" ht="15.75" thickBot="1" x14ac:dyDescent="0.3">
      <c r="B35" s="59" t="str">
        <f>'GRUPO G'!C9</f>
        <v>Suiza</v>
      </c>
      <c r="C35" s="60">
        <v>1</v>
      </c>
      <c r="D35" s="61"/>
      <c r="E35" s="67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H</vt:lpstr>
      <vt:lpstr>GRUPO G</vt:lpstr>
      <vt:lpstr>Play-Off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2022-11-20T15:07:05Z</dcterms:modified>
</cp:coreProperties>
</file>