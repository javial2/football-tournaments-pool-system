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arditastrappa/Downloads/"/>
    </mc:Choice>
  </mc:AlternateContent>
  <xr:revisionPtr revIDLastSave="0" documentId="8_{530FBE30-1C4F-1543-A5E4-D24CC1DB0DFA}" xr6:coauthVersionLast="47" xr6:coauthVersionMax="47" xr10:uidLastSave="{00000000-0000-0000-0000-000000000000}"/>
  <bookViews>
    <workbookView xWindow="0" yWindow="500" windowWidth="28800" windowHeight="1626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K12" i="14"/>
  <c r="AP9" i="14" s="1"/>
  <c r="AQ10" i="13"/>
  <c r="AQ8" i="13"/>
  <c r="AQ7" i="13"/>
  <c r="AQ9" i="13"/>
  <c r="AP10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/>
  <c r="AZ8" i="14"/>
  <c r="AZ8" i="13"/>
  <c r="AZ10" i="13"/>
  <c r="AZ9" i="12"/>
  <c r="AP8" i="12"/>
  <c r="AZ8" i="12" s="1"/>
  <c r="AZ10" i="12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9" i="12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11"/>
  <c r="AX8" i="11" s="1"/>
  <c r="AY8" i="11" s="1"/>
  <c r="BA8" i="11" s="1"/>
  <c r="BB8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G10" i="11" s="1"/>
  <c r="G11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F8" i="12"/>
  <c r="D8" i="12"/>
  <c r="G8" i="12"/>
  <c r="E10" i="11"/>
  <c r="E8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<sst xmlns="http://schemas.openxmlformats.org/spreadsheetml/2006/main" count="454" uniqueCount="79">
  <si>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</si>
  <si>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</si>
  <si>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</si>
  <si>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</si>
  <si>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</si>
  <si>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</si>
  <si>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</si>
  <si>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</si>
  <si>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</si>
  <si>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</si>
  <si>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</si>
  <si>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</si>
  <si>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</si>
  <si>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</si>
  <si>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</si>
  <si>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</si>
  <si>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</si>
  <si>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</si>
  <si>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</si>
  <si>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</si>
  <si>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</si>
  <si>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</si>
  <si>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</si>
  <si>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</si>
  <si>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</si>
  <si>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</si>
  <si>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</si>
  <si>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</si>
  <si>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</si>
  <si>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</si>
  <si>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</si>
  <si>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</si>
  <si>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</si>
  <si>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</si>
  <si>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</si>
  <si>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</si>
  <si>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</si>
  <si>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</si>
  <si>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</si>
  <si>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</si>
  <si>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</si>
  <si>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</si>
  <si>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</si>
  <si>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</si>
  <si>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</si>
  <si>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</si>
  <si>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</si>
  <si>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</si>
  <si>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</si>
  <si>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</si>
  <si>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</si>
  <si>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</si>
  <si>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</si>
  <si>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</si>
  <si>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</si>
  <si>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</si>
  <si>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</si>
  <si>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</si>
  <si>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</si>
  <si>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</si>
  <si>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</si>
  <si>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</si>
  <si>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</si>
  <si>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</si>
  <si>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</si>
  <si>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</si>
  <si>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</si>
  <si>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</si>
  <si>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</si>
  <si>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</si>
  <si>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</si>
  <si>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</si>
  <si>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</si>
  <si>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</si>
  <si>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</si>
  <si>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</si>
  <si>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</si>
  <si>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 xml:space="preserve">Bernardita Strappa </t>
  </si>
  <si>
    <t>Bastrappa@miuandes.cl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</si>
</sst>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strappa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22" sqref="D22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305FA279-BEE6-D741-98F8-991A7C4075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7" sqref="M27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2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49800</v>
      </c>
      <c r="BA7" s="34">
        <f>AZ7-AY7*10</f>
        <v>49790</v>
      </c>
      <c r="BB7" s="34">
        <f>BA7+N23</f>
        <v>49792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-90060705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7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2</v>
      </c>
      <c r="N23" s="35">
        <f>IF(J23="",0,M23)</f>
        <v>2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5</v>
      </c>
      <c r="N24" s="35">
        <f>IF(J24="",0,M24)</f>
        <v>5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5" sqref="M25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-90050705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-40010400</v>
      </c>
      <c r="BA8" s="34">
        <f t="shared" ref="BA8:BA10" si="10">AZ8-AY8*10</f>
        <v>-40010410</v>
      </c>
      <c r="BB8" s="34">
        <f>BA8+N24</f>
        <v>-40010406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59892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-40000407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27" sqref="M2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9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-90060900</v>
      </c>
      <c r="BA7" s="34">
        <f>AZ7-AY7*10</f>
        <v>-90060910</v>
      </c>
      <c r="BB7" s="34">
        <f>BA7+N23</f>
        <v>-90060905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-40010506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-39990400</v>
      </c>
      <c r="BA9" s="34">
        <f t="shared" si="10"/>
        <v>-39990410</v>
      </c>
      <c r="BB9" s="34">
        <f>BA9+N25</f>
        <v>-39990407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2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59892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25" sqref="M2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-90070905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-60020606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69900</v>
      </c>
      <c r="BA9" s="34">
        <f t="shared" si="10"/>
        <v>69890</v>
      </c>
      <c r="BB9" s="34">
        <f>BA9+N25</f>
        <v>69892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-29980400</v>
      </c>
      <c r="BA10" s="34">
        <f t="shared" si="10"/>
        <v>-29980410</v>
      </c>
      <c r="BB10" s="34">
        <f>BA10+N26</f>
        <v>-29980407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26" sqref="M2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>Alemania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-70040700</v>
      </c>
      <c r="BA7" s="34">
        <f>AZ7-AY7*10</f>
        <v>-70040700</v>
      </c>
      <c r="BB7" s="34">
        <f>BA7+N23</f>
        <v>-70040695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>España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-70040700</v>
      </c>
      <c r="BA8" s="34">
        <f t="shared" ref="BA8:BA10" si="10">AZ8-AY8*10</f>
        <v>-70040700</v>
      </c>
      <c r="BB8" s="34">
        <f>BA8+N24</f>
        <v>-70040696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7</v>
      </c>
      <c r="F9" s="13">
        <f t="shared" si="0"/>
        <v>3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3</v>
      </c>
      <c r="AS10" s="34">
        <f>SUMIF($K$7:$K$12,AO10,$M$7:$M$12) + SUMIF($N$7:$N$12,AO10,$L$7:$L$12)</f>
        <v>8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49700</v>
      </c>
      <c r="BA10" s="34">
        <f t="shared" si="10"/>
        <v>49690</v>
      </c>
      <c r="BB10" s="34">
        <f>BA10+N26</f>
        <v>49692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3</v>
      </c>
      <c r="F11" s="54">
        <f t="shared" si="0"/>
        <v>8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6" sqref="M2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-90070905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-60010506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-9950100</v>
      </c>
      <c r="BA9" s="34">
        <f t="shared" si="10"/>
        <v>-9950110</v>
      </c>
      <c r="BB9" s="34">
        <f>BA9+N25</f>
        <v>-9950107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-9970308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6" sqref="M26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-90080905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-40000406</v>
      </c>
    </row>
    <row r="9" spans="2:54" x14ac:dyDescent="0.2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-39980300</v>
      </c>
      <c r="BA9" s="34">
        <f t="shared" si="10"/>
        <v>-39980310</v>
      </c>
      <c r="BB9" s="34">
        <f>BA9+N25</f>
        <v>-39980307</v>
      </c>
    </row>
    <row r="10" spans="2:54" x14ac:dyDescent="0.2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59892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33" sqref="M3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8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-90040800</v>
      </c>
      <c r="BA7" s="34">
        <f>AZ7-AY7*10</f>
        <v>-90040810</v>
      </c>
      <c r="BB7" s="34">
        <f>BA7+N23</f>
        <v>-90040805</v>
      </c>
    </row>
    <row r="8" spans="2:54" x14ac:dyDescent="0.2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8</v>
      </c>
      <c r="F8" s="9">
        <f t="shared" si="0"/>
        <v>4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-60020700</v>
      </c>
      <c r="BA8" s="34">
        <f t="shared" ref="BA8:BA10" si="10">AZ8-AY8*10</f>
        <v>-60020710</v>
      </c>
      <c r="BB8" s="34">
        <f>BA8+N24</f>
        <v>-60020706</v>
      </c>
    </row>
    <row r="9" spans="2:54" x14ac:dyDescent="0.2">
      <c r="B9" s="11">
        <v>2</v>
      </c>
      <c r="C9" s="12" t="str">
        <f t="shared" si="0"/>
        <v>Uruguay</v>
      </c>
      <c r="D9" s="13">
        <f t="shared" si="0"/>
        <v>6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3</v>
      </c>
      <c r="AS9" s="34">
        <f t="shared" si="6"/>
        <v>8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49700</v>
      </c>
      <c r="BA9" s="34">
        <f t="shared" si="10"/>
        <v>49690</v>
      </c>
      <c r="BB9" s="34">
        <f>BA9+N25</f>
        <v>49693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3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-29990408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3</v>
      </c>
      <c r="F11" s="54">
        <f t="shared" si="0"/>
        <v>8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5</v>
      </c>
      <c r="N23" s="35">
        <f>IF(J23="",0,M23)</f>
        <v>5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D3" workbookViewId="0">
      <selection activeCell="R28" sqref="R28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>
        <v>4</v>
      </c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>
        <v>3</v>
      </c>
      <c r="J9" s="65"/>
    </row>
    <row r="10" spans="2:19" ht="16" thickBot="1" x14ac:dyDescent="0.25">
      <c r="B10" s="59" t="str">
        <f>'GRUPO C'!C8</f>
        <v>Argentina</v>
      </c>
      <c r="C10" s="60">
        <v>1</v>
      </c>
      <c r="D10" s="61">
        <v>4</v>
      </c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>
        <v>3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Holanda</v>
      </c>
      <c r="M12" s="60">
        <v>1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1</v>
      </c>
      <c r="D14" s="61"/>
      <c r="J14" s="66"/>
      <c r="O14" s="66"/>
    </row>
    <row r="15" spans="2:19" ht="16" thickBot="1" x14ac:dyDescent="0.25">
      <c r="B15" s="62" t="str">
        <f>'GRUPO F'!C9</f>
        <v>Croacia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Croacia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Belgica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>
        <v>3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>
        <v>4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Belgica</v>
      </c>
    </row>
    <row r="26" spans="2:23" ht="16" thickBot="1" x14ac:dyDescent="0.25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Francia</v>
      </c>
    </row>
    <row r="27" spans="2:23" ht="16" thickBot="1" x14ac:dyDescent="0.25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2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6" thickBot="1" x14ac:dyDescent="0.25">
      <c r="B30" s="59" t="str">
        <f>'GRUPO F'!C8</f>
        <v>Belgica</v>
      </c>
      <c r="C30" s="60">
        <v>2</v>
      </c>
      <c r="D30" s="61">
        <v>4</v>
      </c>
      <c r="J30" s="66"/>
      <c r="Q30" s="62" t="str">
        <f>IF(Q21=L28,L29,IF(Q21=L29,L28,""))</f>
        <v>Francia</v>
      </c>
      <c r="R30" s="63">
        <v>3</v>
      </c>
      <c r="S30" s="64"/>
    </row>
    <row r="31" spans="2:23" ht="16" thickBot="1" x14ac:dyDescent="0.25">
      <c r="B31" s="62" t="str">
        <f>'GRUPO E'!C9</f>
        <v>España</v>
      </c>
      <c r="C31" s="63">
        <v>2</v>
      </c>
      <c r="D31" s="64">
        <v>3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Belgica</v>
      </c>
      <c r="H32" s="60">
        <v>1</v>
      </c>
      <c r="I32" s="61">
        <v>4</v>
      </c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>
        <v>3</v>
      </c>
    </row>
    <row r="34" spans="2:9" x14ac:dyDescent="0.2">
      <c r="B34" s="59" t="str">
        <f>'GRUPO H'!C8</f>
        <v>Portugal</v>
      </c>
      <c r="C34" s="60">
        <v>2</v>
      </c>
      <c r="D34" s="61"/>
      <c r="E34" s="69"/>
    </row>
    <row r="35" spans="2:9" ht="16" thickBot="1" x14ac:dyDescent="0.25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2022-11-02T00:22:23Z</dcterms:created>
  <dcterms:modified xsi:type="dcterms:W3CDTF">2022-11-19T19:14:27Z</dcterms:modified>
</cp:coreProperties>
</file>