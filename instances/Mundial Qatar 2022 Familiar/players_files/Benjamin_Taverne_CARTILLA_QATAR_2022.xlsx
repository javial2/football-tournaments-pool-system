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0" yWindow="0" windowWidth="28800" windowHeight="12300" firstSheet="2" activeTab="9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Z10" i="12" s="1"/>
  <c r="AL9" i="12"/>
  <c r="AK7" i="12"/>
  <c r="AL7" i="12" s="1"/>
  <c r="AK11" i="12"/>
  <c r="AP7" i="12" s="1"/>
  <c r="AK12" i="12"/>
  <c r="AP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7" i="14" l="1"/>
  <c r="AZ7" i="14" s="1"/>
  <c r="AP10" i="13"/>
  <c r="AZ10" i="13" s="1"/>
  <c r="AZ8" i="13"/>
  <c r="AZ8" i="12"/>
  <c r="AP9" i="12"/>
  <c r="AZ9" i="12" s="1"/>
  <c r="AZ7" i="12"/>
  <c r="AZ10" i="11"/>
  <c r="AP9" i="11"/>
  <c r="AZ9" i="11" s="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9" i="12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8" i="11"/>
  <c r="AX8" i="11" s="1"/>
  <c r="AY8" i="11" s="1"/>
  <c r="BA8" i="11" s="1"/>
  <c r="BB8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D8" i="12" l="1"/>
  <c r="F8" i="12"/>
  <c r="G8" i="12"/>
  <c r="G11" i="11"/>
  <c r="D8" i="11"/>
  <c r="F10" i="11"/>
  <c r="E10" i="11"/>
  <c r="E8" i="11"/>
  <c r="G8" i="11"/>
  <c r="G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<sst xmlns="http://schemas.openxmlformats.org/spreadsheetml/2006/main" count="453" uniqueCount="78">
  <si>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</si>
  <si>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</si>
  <si>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</si>
  <si>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</si>
  <si>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</si>
  <si>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</si>
  <si>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</si>
  <si>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</si>
  <si>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</si>
  <si>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</si>
  <si>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</si>
  <si>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</si>
  <si>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</si>
  <si>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</si>
  <si>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</si>
  <si>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</si>
  <si>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</si>
  <si>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</si>
  <si>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</si>
  <si>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</si>
  <si>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</si>
  <si>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</si>
  <si>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</si>
  <si>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</si>
  <si>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</si>
  <si>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</si>
  <si>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</si>
  <si>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</si>
  <si>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</si>
  <si>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</si>
  <si>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</si>
  <si>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</si>
  <si>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</si>
  <si>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</si>
  <si>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</si>
  <si>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</si>
  <si>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</si>
  <si>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</si>
  <si>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</si>
  <si>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</si>
  <si>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</si>
  <si>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</si>
  <si>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</si>
  <si>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</si>
  <si>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</si>
  <si>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</si>
  <si>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</si>
  <si>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</si>
  <si>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</si>
  <si>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</si>
  <si>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</si>
  <si>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</si>
  <si>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</si>
  <si>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</si>
  <si>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</si>
  <si>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</si>
  <si>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</si>
  <si>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</si>
  <si>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</si>
  <si>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</si>
  <si>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</si>
  <si>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</si>
  <si>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</si>
  <si>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</si>
  <si>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</si>
  <si>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</si>
  <si>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</si>
  <si>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</si>
  <si>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</si>
  <si>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</si>
  <si>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</si>
  <si>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</si>
  <si>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</si>
  <si>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</si>
  <si>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</si>
  <si>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</si>
  <si>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</si>
  <si>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Benjamín Taverne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</si>
</sst>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"/>
  <sheetViews>
    <sheetView workbookViewId="0">
      <selection activeCell="C3" sqref="C3:D3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/>
      <c r="D4" s="89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J12" sqref="J12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-5</v>
      </c>
      <c r="AR7" s="34">
        <f>SUMIF($K$7:$K$12,AO7,$L$7:$L$12) + SUMIF($N$7:$N$12,AO7,$M$7:$M$12)</f>
        <v>1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49900</v>
      </c>
      <c r="BA7" s="34">
        <f>AZ7-AY7*10</f>
        <v>49890</v>
      </c>
      <c r="BB7" s="34">
        <f>BA7+N23</f>
        <v>49891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7</v>
      </c>
      <c r="F8" s="9">
        <f t="shared" si="3"/>
        <v>3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-70040700</v>
      </c>
      <c r="BA8" s="34">
        <f t="shared" ref="BA8:BA10" si="10">AZ8-AY8*10</f>
        <v>-70040710</v>
      </c>
      <c r="BB8" s="34">
        <f>BA8+N24</f>
        <v>-70040708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5</v>
      </c>
      <c r="E9" s="13">
        <f t="shared" si="3"/>
        <v>5</v>
      </c>
      <c r="F9" s="13">
        <f t="shared" si="3"/>
        <v>4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-40000300</v>
      </c>
      <c r="BA9" s="34">
        <f t="shared" si="10"/>
        <v>-40000310</v>
      </c>
      <c r="BB9" s="34">
        <f>BA9+N25</f>
        <v>-40000307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3</v>
      </c>
      <c r="F10" s="50">
        <f t="shared" si="3"/>
        <v>3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2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1</v>
      </c>
      <c r="AK10" s="34">
        <f t="shared" si="4"/>
        <v>1</v>
      </c>
      <c r="AL10" s="34" t="str">
        <f t="shared" si="2"/>
        <v>SIN GANADOR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5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-50010500</v>
      </c>
      <c r="BA10" s="34">
        <f t="shared" si="10"/>
        <v>-50010510</v>
      </c>
      <c r="BB10" s="34">
        <f>BA10+N26</f>
        <v>-50010506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6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5" sqref="M15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1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-70020400</v>
      </c>
      <c r="BA7" s="34">
        <f>AZ7-AY7*10</f>
        <v>-70020410</v>
      </c>
      <c r="BB7" s="34">
        <f>BA7+N23</f>
        <v>-70020409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2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-19990200</v>
      </c>
      <c r="BA8" s="34">
        <f t="shared" ref="BA8:BA10" si="10">AZ8-AY8*10</f>
        <v>-19990210</v>
      </c>
      <c r="BB8" s="34">
        <f>BA8+N24</f>
        <v>-19990208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-9980107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-50010400</v>
      </c>
      <c r="BA10" s="34">
        <f t="shared" si="10"/>
        <v>-50010410</v>
      </c>
      <c r="BB10" s="34">
        <f>BA10+N26</f>
        <v>-50010406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0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-40010500</v>
      </c>
      <c r="BA8" s="34">
        <f t="shared" ref="BA8:BA10" si="10">AZ8-AY8*10</f>
        <v>-40010510</v>
      </c>
      <c r="BB8" s="34">
        <f>BA8+N24</f>
        <v>-40010508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5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5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-50020500</v>
      </c>
      <c r="BA9" s="34">
        <f t="shared" si="10"/>
        <v>-50020510</v>
      </c>
      <c r="BB9" s="34">
        <f>BA9+N25</f>
        <v>-50020507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5</v>
      </c>
      <c r="F10" s="50">
        <f t="shared" si="0"/>
        <v>4</v>
      </c>
      <c r="G10" s="51">
        <f t="shared" si="0"/>
        <v>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0</v>
      </c>
      <c r="AS10" s="34">
        <f>SUMIF($K$7:$K$12,AO10,$M$7:$M$12) + SUMIF($N$7:$N$12,AO10,$L$7:$L$12)</f>
        <v>7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70000</v>
      </c>
      <c r="BA10" s="34">
        <f t="shared" si="10"/>
        <v>69990</v>
      </c>
      <c r="BB10" s="34">
        <f>BA10+N26</f>
        <v>69994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4" sqref="M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7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-70060700</v>
      </c>
      <c r="BA7" s="34">
        <f>AZ7-AY7*10</f>
        <v>-70060710</v>
      </c>
      <c r="BB7" s="34">
        <f>BA7+N23</f>
        <v>-70060709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7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-50010400</v>
      </c>
      <c r="BA8" s="34">
        <f t="shared" ref="BA8:BA10" si="10">AZ8-AY8*10</f>
        <v>-50010410</v>
      </c>
      <c r="BB8" s="34">
        <f>BA8+N24</f>
        <v>-50010408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59893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-39990300</v>
      </c>
      <c r="BA10" s="34">
        <f t="shared" si="10"/>
        <v>-39990310</v>
      </c>
      <c r="BB10" s="34">
        <f>BA10+N26</f>
        <v>-39990306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-60020600</v>
      </c>
      <c r="BA8" s="34">
        <f t="shared" ref="BA8:BA10" si="10">AZ8-AY8*10</f>
        <v>-60020610</v>
      </c>
      <c r="BB8" s="34">
        <f>BA8+N24</f>
        <v>-60020608</v>
      </c>
    </row>
    <row r="9" spans="2:54" x14ac:dyDescent="0.25">
      <c r="B9" s="11">
        <v>2</v>
      </c>
      <c r="C9" s="12" t="str">
        <f t="shared" si="0"/>
        <v>Alemania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-9960200</v>
      </c>
      <c r="BA9" s="34">
        <f t="shared" si="10"/>
        <v>-9960210</v>
      </c>
      <c r="BB9" s="34">
        <f>BA9+N25</f>
        <v>-9960207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1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26</v>
      </c>
      <c r="J10" s="19">
        <v>44892</v>
      </c>
      <c r="K10" s="20" t="s">
        <v>44</v>
      </c>
      <c r="L10" s="21">
        <v>3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3</v>
      </c>
      <c r="AK10" s="34">
        <f t="shared" si="3"/>
        <v>0</v>
      </c>
      <c r="AL10" s="34" t="str">
        <f t="shared" si="4"/>
        <v>España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-9960100</v>
      </c>
      <c r="BA10" s="34">
        <f t="shared" si="10"/>
        <v>-9960110</v>
      </c>
      <c r="BB10" s="34">
        <f>BA10+N26</f>
        <v>-9960106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3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-70020400</v>
      </c>
      <c r="BA7" s="34">
        <f>AZ7-AY7*10</f>
        <v>-70020410</v>
      </c>
      <c r="BB7" s="34">
        <f>BA7+N23</f>
        <v>-70020409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-60020500</v>
      </c>
      <c r="BA8" s="34">
        <f t="shared" ref="BA8:BA10" si="10">AZ8-AY8*10</f>
        <v>-60020510</v>
      </c>
      <c r="BB8" s="34">
        <f>BA8+N24</f>
        <v>-60020508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4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-40010400</v>
      </c>
      <c r="BA9" s="34">
        <f t="shared" si="10"/>
        <v>-40010410</v>
      </c>
      <c r="BB9" s="34">
        <f>BA9+N25</f>
        <v>-40010407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4</v>
      </c>
      <c r="E10" s="50">
        <f t="shared" si="0"/>
        <v>4</v>
      </c>
      <c r="F10" s="50">
        <f t="shared" si="0"/>
        <v>3</v>
      </c>
      <c r="G10" s="51">
        <f t="shared" si="0"/>
        <v>1</v>
      </c>
      <c r="I10" s="18">
        <f>I8+16</f>
        <v>28</v>
      </c>
      <c r="J10" s="19">
        <v>44892</v>
      </c>
      <c r="K10" s="20" t="s">
        <v>49</v>
      </c>
      <c r="L10" s="21">
        <v>3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0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2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4</v>
      </c>
      <c r="AO8" s="34" t="s">
        <v>52</v>
      </c>
      <c r="AP8" s="34">
        <f>SUMIF($K$7:$K$12,AO8,$AJ$7:$AJ$12) + SUMIF($N$7:$N$12,AO8,$AK$7:$AK$12)</f>
        <v>1</v>
      </c>
      <c r="AQ8" s="34">
        <f>AR8-AS8</f>
        <v>-4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-9960100</v>
      </c>
      <c r="BA8" s="34">
        <f t="shared" ref="BA8:BA10" si="10">AZ8-AY8*10</f>
        <v>-9960110</v>
      </c>
      <c r="BB8" s="34">
        <f>BA8+N24</f>
        <v>-9960108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-60000300</v>
      </c>
      <c r="BA9" s="34">
        <f t="shared" si="10"/>
        <v>-60000310</v>
      </c>
      <c r="BB9" s="34">
        <f>BA9+N25</f>
        <v>-60000307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-9970200</v>
      </c>
      <c r="BA10" s="34">
        <f t="shared" si="10"/>
        <v>-9970210</v>
      </c>
      <c r="BB10" s="34">
        <f>BA10+N26</f>
        <v>-9970206</v>
      </c>
    </row>
    <row r="11" spans="2:54" ht="15.75" thickBot="1" x14ac:dyDescent="0.3">
      <c r="B11" s="52">
        <v>4</v>
      </c>
      <c r="C11" s="53" t="str">
        <f t="shared" si="0"/>
        <v>Suiza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0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4" sqref="M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-70030500</v>
      </c>
      <c r="BA8" s="34">
        <f t="shared" ref="BA8:BA10" si="10">AZ8-AY8*10</f>
        <v>-70030510</v>
      </c>
      <c r="BB8" s="34">
        <f>BA8+N24</f>
        <v>-70030508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-7</v>
      </c>
      <c r="AR9" s="34">
        <f t="shared" si="5"/>
        <v>0</v>
      </c>
      <c r="AS9" s="34">
        <f t="shared" si="6"/>
        <v>7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70000</v>
      </c>
      <c r="BA9" s="34">
        <f t="shared" si="10"/>
        <v>69990</v>
      </c>
      <c r="BB9" s="34">
        <f>BA9+N25</f>
        <v>69993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-30000400</v>
      </c>
      <c r="BA10" s="34">
        <f t="shared" si="10"/>
        <v>-30000410</v>
      </c>
      <c r="BB10" s="34">
        <f>BA10+N26</f>
        <v>-30000406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3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5"/>
  <sheetViews>
    <sheetView tabSelected="1" topLeftCell="D13" workbookViewId="0">
      <selection activeCell="R31" sqref="R3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2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0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Holanda</v>
      </c>
      <c r="M12" s="60">
        <v>0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España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España</v>
      </c>
      <c r="C14" s="60">
        <v>1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España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0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España</v>
      </c>
      <c r="R20" s="60">
        <v>1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3</v>
      </c>
      <c r="S21" s="64"/>
    </row>
    <row r="22" spans="2:23" ht="15.75" thickBot="1" x14ac:dyDescent="0.3">
      <c r="B22" s="59" t="str">
        <f>'GRUPO B'!C8</f>
        <v>Inglaterra</v>
      </c>
      <c r="C22" s="60">
        <v>1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Inglaterra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España</v>
      </c>
    </row>
    <row r="26" spans="2:23" ht="15.75" thickBot="1" x14ac:dyDescent="0.3">
      <c r="B26" s="59" t="str">
        <f>'GRUPO D'!C8</f>
        <v>Francia</v>
      </c>
      <c r="C26" s="60">
        <v>4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Belgica</v>
      </c>
    </row>
    <row r="27" spans="2:23" ht="15.75" thickBot="1" x14ac:dyDescent="0.3">
      <c r="B27" s="62" t="str">
        <f>'GRUPO C'!C9</f>
        <v>Polonia</v>
      </c>
      <c r="C27" s="63">
        <v>2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0</v>
      </c>
      <c r="N29" s="64"/>
      <c r="Q29" s="59" t="str">
        <f>IF(Q20=L12,L13,IF(Q20=L13,L12,""))</f>
        <v>Holanda</v>
      </c>
      <c r="R29" s="60">
        <v>1</v>
      </c>
      <c r="S29" s="61"/>
    </row>
    <row r="30" spans="2:23" ht="15.75" thickBot="1" x14ac:dyDescent="0.3">
      <c r="B30" s="59" t="str">
        <f>'GRUPO F'!C8</f>
        <v>Belgica</v>
      </c>
      <c r="C30" s="60">
        <v>1</v>
      </c>
      <c r="D30" s="61"/>
      <c r="J30" s="66"/>
      <c r="Q30" s="62" t="str">
        <f>IF(Q21=L28,L29,IF(Q21=L29,L28,""))</f>
        <v>Belgica</v>
      </c>
      <c r="R30" s="63">
        <v>2</v>
      </c>
      <c r="S30" s="64"/>
    </row>
    <row r="31" spans="2:23" ht="15.75" thickBot="1" x14ac:dyDescent="0.3">
      <c r="B31" s="62" t="str">
        <f>'GRUPO E'!C9</f>
        <v>Alemania</v>
      </c>
      <c r="C31" s="63">
        <v>0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2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Serbia</v>
      </c>
      <c r="H33" s="63">
        <v>0</v>
      </c>
      <c r="I33" s="64"/>
    </row>
    <row r="34" spans="2:9" x14ac:dyDescent="0.25">
      <c r="B34" s="59" t="str">
        <f>'GRUPO H'!C8</f>
        <v>Portugal</v>
      </c>
      <c r="C34" s="60">
        <v>1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2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2022-11-02T00:22:23Z</dcterms:created>
  <dcterms:modified xsi:type="dcterms:W3CDTF">2022-11-20T21:42:52Z</dcterms:modified>
</cp:coreProperties>
</file>