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28800" windowHeight="12300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P10" i="13"/>
  <c r="AZ10" i="13" s="1"/>
  <c r="AZ8" i="13"/>
  <c r="AZ10" i="12"/>
  <c r="AZ8" i="12"/>
  <c r="AP9" i="12"/>
  <c r="AZ9" i="12" s="1"/>
  <c r="AZ10" i="11"/>
  <c r="AZ9" i="11"/>
  <c r="AZ8" i="11"/>
  <c r="AZ9" i="2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9" i="2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Y10" i="2"/>
  <c r="BA10" i="2" s="1"/>
  <c r="BB10" i="2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G11" i="11"/>
  <c r="E8" i="11"/>
  <c r="G8" i="11"/>
  <c r="G10" i="11"/>
  <c r="D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<sst xmlns="http://schemas.openxmlformats.org/spreadsheetml/2006/main" count="454" uniqueCount="79">
  <si>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</si>
  <si>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</si>
  <si>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</si>
  <si>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</si>
  <si>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</si>
  <si>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</si>
  <si>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</si>
  <si>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</si>
  <si>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</si>
  <si>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</si>
  <si>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</si>
  <si>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</si>
  <si>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</si>
  <si>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</si>
  <si>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</si>
  <si>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</si>
  <si>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</si>
  <si>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</si>
  <si>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</si>
  <si>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</si>
  <si>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</si>
  <si>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</si>
  <si>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</si>
  <si>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</si>
  <si>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</si>
  <si>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</si>
  <si>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</si>
  <si>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</si>
  <si>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</si>
  <si>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</si>
  <si>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</si>
  <si>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</si>
  <si>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</si>
  <si>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</si>
  <si>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</si>
  <si>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</si>
  <si>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</si>
  <si>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</si>
  <si>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</si>
  <si>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</si>
  <si>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</si>
  <si>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</si>
  <si>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</si>
  <si>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</si>
  <si>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</si>
  <si>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</si>
  <si>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</si>
  <si>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</si>
  <si>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</si>
  <si>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</si>
  <si>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</si>
  <si>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</si>
  <si>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</si>
  <si>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</si>
  <si>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</si>
  <si>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</si>
  <si>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</si>
  <si>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</si>
  <si>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</si>
  <si>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</si>
  <si>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</si>
  <si>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</si>
  <si>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</si>
  <si>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</si>
  <si>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</si>
  <si>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</si>
  <si>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</si>
  <si>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</si>
  <si>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</si>
  <si>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</si>
  <si>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</si>
  <si>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</si>
  <si>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</si>
  <si>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</si>
  <si>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</si>
  <si>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</si>
  <si>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</si>
  <si>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cvial1@miuandes.cl</t>
  </si>
  <si>
    <t>Cristóbal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</si>
</sst>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ial1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tabSelected="1" workbookViewId="0">
      <selection activeCell="C3" sqref="C3:D3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78</v>
      </c>
      <c r="D3" s="87"/>
    </row>
    <row r="4" spans="2:4" ht="15.75" thickBot="1" x14ac:dyDescent="0.3">
      <c r="B4" s="77" t="s">
        <v>76</v>
      </c>
      <c r="C4" s="88" t="s">
        <v>77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27" sqref="M27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2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59800</v>
      </c>
      <c r="BA7" s="34">
        <f>AZ7-AY7*10</f>
        <v>59790</v>
      </c>
      <c r="BB7" s="34">
        <f>BA7+N23</f>
        <v>59794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6</v>
      </c>
      <c r="F9" s="13">
        <f t="shared" si="3"/>
        <v>4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6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-60020600</v>
      </c>
      <c r="BA9" s="34">
        <f t="shared" si="10"/>
        <v>-60020610</v>
      </c>
      <c r="BB9" s="34">
        <f>BA9+N25</f>
        <v>-60020608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8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5" sqref="M15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2</v>
      </c>
      <c r="AO7" s="34" t="s">
        <v>30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1</v>
      </c>
      <c r="AO8" s="34" t="s">
        <v>31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-90050608</v>
      </c>
    </row>
    <row r="9" spans="2:54" x14ac:dyDescent="0.25">
      <c r="B9" s="11">
        <v>2</v>
      </c>
      <c r="C9" s="12" t="str">
        <f t="shared" si="0"/>
        <v>Inglaterra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0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0</v>
      </c>
      <c r="AK10" s="34">
        <f t="shared" si="3"/>
        <v>3</v>
      </c>
      <c r="AL10" s="34" t="str">
        <f t="shared" si="4"/>
        <v>USA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3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-29980400</v>
      </c>
      <c r="BA8" s="34">
        <f t="shared" ref="BA8:BA10" si="10">AZ8-AY8*10</f>
        <v>-29980410</v>
      </c>
      <c r="BB8" s="34">
        <f>BA8+N24</f>
        <v>-29980408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-90050500</v>
      </c>
      <c r="BA8" s="34">
        <f t="shared" ref="BA8:BA10" si="10">AZ8-AY8*10</f>
        <v>-90050510</v>
      </c>
      <c r="BB8" s="34">
        <f>BA8+N24</f>
        <v>-90050508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-29970100</v>
      </c>
      <c r="BA9" s="34">
        <f t="shared" si="10"/>
        <v>-29970110</v>
      </c>
      <c r="BB9" s="34">
        <f>BA9+N25</f>
        <v>-29970107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-70030507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-40010408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-60010409</v>
      </c>
    </row>
    <row r="10" spans="2:54" x14ac:dyDescent="0.25">
      <c r="B10" s="48">
        <v>3</v>
      </c>
      <c r="C10" s="49" t="str">
        <f t="shared" si="0"/>
        <v>Croacia</v>
      </c>
      <c r="D10" s="50">
        <f t="shared" si="0"/>
        <v>4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3</v>
      </c>
      <c r="N23" s="35">
        <f>IF(J23="",0,M23)</f>
        <v>3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1</v>
      </c>
      <c r="N25" s="35">
        <f>IF(J25="",0,M25)</f>
        <v>1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-29970200</v>
      </c>
      <c r="BA8" s="34">
        <f t="shared" ref="BA8:BA10" si="10">AZ8-AY8*10</f>
        <v>-29970210</v>
      </c>
      <c r="BB8" s="34">
        <f>BA8+N24</f>
        <v>-29970208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5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-60010500</v>
      </c>
      <c r="BA7" s="34">
        <f>AZ7-AY7*10</f>
        <v>-60010510</v>
      </c>
      <c r="BB7" s="34">
        <f>BA7+N23</f>
        <v>-60010509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Inglaterra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0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Marruecos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.75" thickBot="1" x14ac:dyDescent="0.3">
      <c r="B22" s="59" t="str">
        <f>'GRUPO B'!C8</f>
        <v>USA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2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Senegal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Holanda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0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Uruguay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2022-11-19T17:02:35Z</dcterms:modified>
</cp:coreProperties>
</file>