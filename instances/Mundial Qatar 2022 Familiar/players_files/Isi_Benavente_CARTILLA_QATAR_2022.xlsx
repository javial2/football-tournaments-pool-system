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players_files\"/>
    </mc:Choice>
  </mc:AlternateContent>
  <xr:revisionPtr revIDLastSave="0" documentId="13_ncr:1_{5A495A8B-6629-4B88-8ABF-2718F295A1E9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INFORMACION" sheetId="1" r:id="rId1"/>
    <sheet name="GRUPO A" sheetId="2" r:id="rId2"/>
    <sheet name="GRUPO B" sheetId="3" r:id="rId3"/>
    <sheet name="GRUPO C" sheetId="4" r:id="rId4"/>
    <sheet name="GRUPO D" sheetId="5" r:id="rId5"/>
    <sheet name="GRUPO E" sheetId="6" r:id="rId6"/>
    <sheet name="GRUPO F" sheetId="7" r:id="rId7"/>
    <sheet name="GRUPO G" sheetId="8" r:id="rId8"/>
    <sheet name="GRUPO H" sheetId="9" r:id="rId9"/>
    <sheet name="Play-Of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hFqm6R+jU4MXqfMOMRG59Z6UYxyQ=="/>
    </ext>
  </extLst>
</workbook>
</file>

<file path=xl/calcChain.xml><?xml version="1.0" encoding="utf-8"?>
<calcChain xmlns="http://schemas.openxmlformats.org/spreadsheetml/2006/main">
  <c r="N27" i="9" l="1"/>
  <c r="N26" i="9"/>
  <c r="I26" i="9"/>
  <c r="N25" i="9"/>
  <c r="I25" i="9"/>
  <c r="N24" i="9"/>
  <c r="I24" i="9"/>
  <c r="N23" i="9"/>
  <c r="I23" i="9"/>
  <c r="AK12" i="9"/>
  <c r="AJ12" i="9"/>
  <c r="AL12" i="9" s="1"/>
  <c r="AI12" i="9"/>
  <c r="AJ11" i="9"/>
  <c r="AI11" i="9"/>
  <c r="AV10" i="9"/>
  <c r="AS10" i="9"/>
  <c r="AR10" i="9"/>
  <c r="AQ10" i="9" s="1"/>
  <c r="AJ10" i="9"/>
  <c r="AK10" i="9" s="1"/>
  <c r="AI10" i="9"/>
  <c r="I10" i="9"/>
  <c r="I12" i="9" s="1"/>
  <c r="AV9" i="9"/>
  <c r="AS9" i="9"/>
  <c r="AR9" i="9"/>
  <c r="AQ9" i="9"/>
  <c r="AK9" i="9"/>
  <c r="AL9" i="9" s="1"/>
  <c r="AJ9" i="9"/>
  <c r="AI9" i="9"/>
  <c r="I9" i="9"/>
  <c r="I11" i="9" s="1"/>
  <c r="AV8" i="9"/>
  <c r="AS8" i="9"/>
  <c r="AR8" i="9"/>
  <c r="AQ8" i="9" s="1"/>
  <c r="AJ8" i="9"/>
  <c r="AK8" i="9" s="1"/>
  <c r="AP10" i="9" s="1"/>
  <c r="AZ10" i="9" s="1"/>
  <c r="AI8" i="9"/>
  <c r="AV7" i="9"/>
  <c r="AS7" i="9"/>
  <c r="AQ7" i="9" s="1"/>
  <c r="AR7" i="9"/>
  <c r="AP7" i="9"/>
  <c r="AZ7" i="9" s="1"/>
  <c r="AJ7" i="9"/>
  <c r="AI7" i="9"/>
  <c r="N27" i="8"/>
  <c r="N26" i="8"/>
  <c r="I26" i="8"/>
  <c r="N25" i="8"/>
  <c r="I25" i="8"/>
  <c r="N24" i="8"/>
  <c r="I24" i="8"/>
  <c r="N23" i="8"/>
  <c r="I23" i="8"/>
  <c r="AK12" i="8"/>
  <c r="AJ12" i="8"/>
  <c r="AL12" i="8" s="1"/>
  <c r="AI12" i="8"/>
  <c r="AL11" i="8"/>
  <c r="AK11" i="8"/>
  <c r="AJ11" i="8"/>
  <c r="AI11" i="8"/>
  <c r="AV10" i="8"/>
  <c r="AS10" i="8"/>
  <c r="AR10" i="8"/>
  <c r="AQ10" i="8" s="1"/>
  <c r="AJ10" i="8"/>
  <c r="AI10" i="8"/>
  <c r="I10" i="8"/>
  <c r="I12" i="8" s="1"/>
  <c r="AV9" i="8"/>
  <c r="AS9" i="8"/>
  <c r="AR9" i="8"/>
  <c r="AQ9" i="8" s="1"/>
  <c r="AJ9" i="8"/>
  <c r="AP10" i="8" s="1"/>
  <c r="AZ10" i="8" s="1"/>
  <c r="AI9" i="8"/>
  <c r="I9" i="8"/>
  <c r="I11" i="8" s="1"/>
  <c r="AV8" i="8"/>
  <c r="AS8" i="8"/>
  <c r="AR8" i="8"/>
  <c r="AQ8" i="8" s="1"/>
  <c r="AJ8" i="8"/>
  <c r="AI8" i="8"/>
  <c r="AV7" i="8"/>
  <c r="AS7" i="8"/>
  <c r="AR7" i="8"/>
  <c r="AQ7" i="8" s="1"/>
  <c r="AK7" i="8"/>
  <c r="AJ7" i="8"/>
  <c r="AL7" i="8" s="1"/>
  <c r="AI7" i="8"/>
  <c r="N27" i="7"/>
  <c r="N26" i="7"/>
  <c r="I26" i="7"/>
  <c r="N25" i="7"/>
  <c r="I25" i="7"/>
  <c r="N24" i="7"/>
  <c r="I24" i="7"/>
  <c r="N23" i="7"/>
  <c r="I23" i="7"/>
  <c r="AJ12" i="7"/>
  <c r="AK12" i="7" s="1"/>
  <c r="AL12" i="7" s="1"/>
  <c r="AI12" i="7"/>
  <c r="I12" i="7"/>
  <c r="AJ11" i="7"/>
  <c r="AK11" i="7" s="1"/>
  <c r="AI11" i="7"/>
  <c r="AV10" i="7"/>
  <c r="AS10" i="7"/>
  <c r="AR10" i="7"/>
  <c r="AQ10" i="7"/>
  <c r="AK10" i="7"/>
  <c r="AL10" i="7" s="1"/>
  <c r="AJ10" i="7"/>
  <c r="AI10" i="7"/>
  <c r="I10" i="7"/>
  <c r="AV9" i="7"/>
  <c r="AS9" i="7"/>
  <c r="AR9" i="7"/>
  <c r="AJ9" i="7"/>
  <c r="AK9" i="7" s="1"/>
  <c r="AI9" i="7"/>
  <c r="I9" i="7"/>
  <c r="I11" i="7" s="1"/>
  <c r="AV8" i="7"/>
  <c r="AS8" i="7"/>
  <c r="AR8" i="7"/>
  <c r="AQ8" i="7"/>
  <c r="AK8" i="7"/>
  <c r="AJ8" i="7"/>
  <c r="AP7" i="7" s="1"/>
  <c r="AI8" i="7"/>
  <c r="AV7" i="7"/>
  <c r="AS7" i="7"/>
  <c r="AR7" i="7"/>
  <c r="AQ7" i="7" s="1"/>
  <c r="AL7" i="7"/>
  <c r="AK7" i="7"/>
  <c r="AP8" i="7" s="1"/>
  <c r="AJ7" i="7"/>
  <c r="AP9" i="7" s="1"/>
  <c r="AI7" i="7"/>
  <c r="N27" i="6"/>
  <c r="N26" i="6"/>
  <c r="I26" i="6"/>
  <c r="N25" i="6"/>
  <c r="I25" i="6"/>
  <c r="N24" i="6"/>
  <c r="I24" i="6"/>
  <c r="N23" i="6"/>
  <c r="I23" i="6"/>
  <c r="AJ12" i="6"/>
  <c r="AK12" i="6" s="1"/>
  <c r="AI12" i="6"/>
  <c r="AJ11" i="6"/>
  <c r="AI11" i="6"/>
  <c r="AV10" i="6"/>
  <c r="AS10" i="6"/>
  <c r="AR10" i="6"/>
  <c r="AQ10" i="6" s="1"/>
  <c r="AL10" i="6"/>
  <c r="AJ10" i="6"/>
  <c r="AK10" i="6" s="1"/>
  <c r="AI10" i="6"/>
  <c r="I10" i="6"/>
  <c r="I12" i="6" s="1"/>
  <c r="AV9" i="6"/>
  <c r="AS9" i="6"/>
  <c r="AR9" i="6"/>
  <c r="AQ9" i="6"/>
  <c r="AJ9" i="6"/>
  <c r="AI9" i="6"/>
  <c r="I9" i="6"/>
  <c r="I11" i="6" s="1"/>
  <c r="AV8" i="6"/>
  <c r="AS8" i="6"/>
  <c r="AR8" i="6"/>
  <c r="AL8" i="6"/>
  <c r="AJ8" i="6"/>
  <c r="AK8" i="6" s="1"/>
  <c r="AI8" i="6"/>
  <c r="AV7" i="6"/>
  <c r="AS7" i="6"/>
  <c r="AR7" i="6"/>
  <c r="AJ7" i="6"/>
  <c r="AI7" i="6"/>
  <c r="N27" i="5"/>
  <c r="N26" i="5"/>
  <c r="I26" i="5"/>
  <c r="N25" i="5"/>
  <c r="I25" i="5"/>
  <c r="N24" i="5"/>
  <c r="I24" i="5"/>
  <c r="N23" i="5"/>
  <c r="I23" i="5"/>
  <c r="AK12" i="5"/>
  <c r="AJ12" i="5"/>
  <c r="AI12" i="5"/>
  <c r="AK11" i="5"/>
  <c r="AL11" i="5" s="1"/>
  <c r="AJ11" i="5"/>
  <c r="AI11" i="5"/>
  <c r="AV10" i="5"/>
  <c r="AS10" i="5"/>
  <c r="AR10" i="5"/>
  <c r="AQ10" i="5" s="1"/>
  <c r="AJ10" i="5"/>
  <c r="AI10" i="5"/>
  <c r="I10" i="5"/>
  <c r="I12" i="5" s="1"/>
  <c r="AV9" i="5"/>
  <c r="AS9" i="5"/>
  <c r="AR9" i="5"/>
  <c r="AL9" i="5"/>
  <c r="AJ9" i="5"/>
  <c r="AK9" i="5" s="1"/>
  <c r="AP10" i="5" s="1"/>
  <c r="AZ10" i="5" s="1"/>
  <c r="AI9" i="5"/>
  <c r="I9" i="5"/>
  <c r="I11" i="5" s="1"/>
  <c r="AV8" i="5"/>
  <c r="AS8" i="5"/>
  <c r="AR8" i="5"/>
  <c r="AQ8" i="5"/>
  <c r="AK8" i="5"/>
  <c r="AJ8" i="5"/>
  <c r="AI8" i="5"/>
  <c r="AV7" i="5"/>
  <c r="AS7" i="5"/>
  <c r="AR7" i="5"/>
  <c r="AQ7" i="5" s="1"/>
  <c r="AK7" i="5"/>
  <c r="AL7" i="5" s="1"/>
  <c r="AJ7" i="5"/>
  <c r="AI7" i="5"/>
  <c r="N27" i="4"/>
  <c r="N26" i="4"/>
  <c r="I26" i="4"/>
  <c r="N25" i="4"/>
  <c r="I25" i="4"/>
  <c r="N24" i="4"/>
  <c r="I24" i="4"/>
  <c r="N23" i="4"/>
  <c r="I23" i="4"/>
  <c r="AL12" i="4"/>
  <c r="AJ12" i="4"/>
  <c r="AK12" i="4" s="1"/>
  <c r="AI12" i="4"/>
  <c r="AJ11" i="4"/>
  <c r="AI11" i="4"/>
  <c r="AV10" i="4"/>
  <c r="AS10" i="4"/>
  <c r="AR10" i="4"/>
  <c r="AQ10" i="4" s="1"/>
  <c r="AL10" i="4"/>
  <c r="AK10" i="4"/>
  <c r="AJ10" i="4"/>
  <c r="AI10" i="4"/>
  <c r="I10" i="4"/>
  <c r="I12" i="4" s="1"/>
  <c r="AV9" i="4"/>
  <c r="AS9" i="4"/>
  <c r="AR9" i="4"/>
  <c r="AQ9" i="4" s="1"/>
  <c r="AJ9" i="4"/>
  <c r="AI9" i="4"/>
  <c r="I9" i="4"/>
  <c r="I11" i="4" s="1"/>
  <c r="AV8" i="4"/>
  <c r="AS8" i="4"/>
  <c r="AR8" i="4"/>
  <c r="AQ8" i="4" s="1"/>
  <c r="AL8" i="4"/>
  <c r="AK8" i="4"/>
  <c r="AJ8" i="4"/>
  <c r="AI8" i="4"/>
  <c r="AV7" i="4"/>
  <c r="AS7" i="4"/>
  <c r="AR7" i="4"/>
  <c r="AQ7" i="4" s="1"/>
  <c r="AJ7" i="4"/>
  <c r="AI7" i="4"/>
  <c r="N27" i="3"/>
  <c r="N26" i="3"/>
  <c r="I26" i="3"/>
  <c r="N25" i="3"/>
  <c r="I25" i="3"/>
  <c r="N24" i="3"/>
  <c r="I24" i="3"/>
  <c r="N23" i="3"/>
  <c r="I23" i="3"/>
  <c r="AJ12" i="3"/>
  <c r="AI12" i="3"/>
  <c r="AK11" i="3"/>
  <c r="AJ11" i="3"/>
  <c r="AI11" i="3"/>
  <c r="AV10" i="3"/>
  <c r="AS10" i="3"/>
  <c r="AR10" i="3"/>
  <c r="AL10" i="3"/>
  <c r="AJ10" i="3"/>
  <c r="AK10" i="3" s="1"/>
  <c r="AI10" i="3"/>
  <c r="I10" i="3"/>
  <c r="I12" i="3" s="1"/>
  <c r="AV9" i="3"/>
  <c r="AS9" i="3"/>
  <c r="AR9" i="3"/>
  <c r="AQ9" i="3"/>
  <c r="AJ9" i="3"/>
  <c r="AK9" i="3" s="1"/>
  <c r="AI9" i="3"/>
  <c r="I9" i="3"/>
  <c r="I11" i="3" s="1"/>
  <c r="AV8" i="3"/>
  <c r="AS8" i="3"/>
  <c r="AR8" i="3"/>
  <c r="AJ8" i="3"/>
  <c r="AK8" i="3" s="1"/>
  <c r="AL8" i="3" s="1"/>
  <c r="AI8" i="3"/>
  <c r="AV7" i="3"/>
  <c r="AS7" i="3"/>
  <c r="AQ7" i="3" s="1"/>
  <c r="AR7" i="3"/>
  <c r="AP7" i="3"/>
  <c r="AZ7" i="3" s="1"/>
  <c r="AJ7" i="3"/>
  <c r="AI7" i="3"/>
  <c r="N27" i="2"/>
  <c r="N26" i="2"/>
  <c r="I26" i="2"/>
  <c r="N25" i="2"/>
  <c r="I25" i="2"/>
  <c r="N24" i="2"/>
  <c r="I24" i="2"/>
  <c r="N23" i="2"/>
  <c r="I23" i="2"/>
  <c r="AJ12" i="2"/>
  <c r="AI12" i="2"/>
  <c r="AL11" i="2"/>
  <c r="AK11" i="2"/>
  <c r="AJ11" i="2"/>
  <c r="AI11" i="2"/>
  <c r="AV10" i="2"/>
  <c r="AS10" i="2"/>
  <c r="AR10" i="2"/>
  <c r="AQ10" i="2" s="1"/>
  <c r="AJ10" i="2"/>
  <c r="AI10" i="2"/>
  <c r="I10" i="2"/>
  <c r="I12" i="2" s="1"/>
  <c r="AV9" i="2"/>
  <c r="AS9" i="2"/>
  <c r="AR9" i="2"/>
  <c r="AQ9" i="2" s="1"/>
  <c r="AL9" i="2"/>
  <c r="AK9" i="2"/>
  <c r="AJ9" i="2"/>
  <c r="AI9" i="2"/>
  <c r="I9" i="2"/>
  <c r="I11" i="2" s="1"/>
  <c r="AV8" i="2"/>
  <c r="AS8" i="2"/>
  <c r="AR8" i="2"/>
  <c r="AQ8" i="2" s="1"/>
  <c r="AJ8" i="2"/>
  <c r="AK8" i="2" s="1"/>
  <c r="AI8" i="2"/>
  <c r="AV7" i="2"/>
  <c r="AS7" i="2"/>
  <c r="AQ7" i="2" s="1"/>
  <c r="AR7" i="2"/>
  <c r="AK7" i="2"/>
  <c r="AL7" i="2" s="1"/>
  <c r="AJ7" i="2"/>
  <c r="AP9" i="2" s="1"/>
  <c r="AI7" i="2"/>
  <c r="AK9" i="8" l="1"/>
  <c r="AL9" i="8" s="1"/>
  <c r="AP10" i="2"/>
  <c r="AZ10" i="2" s="1"/>
  <c r="AL11" i="4"/>
  <c r="AK11" i="4"/>
  <c r="AP7" i="4" s="1"/>
  <c r="AZ7" i="4" s="1"/>
  <c r="AZ9" i="2"/>
  <c r="AL8" i="2"/>
  <c r="AK10" i="2"/>
  <c r="AL10" i="2" s="1"/>
  <c r="AQ8" i="3"/>
  <c r="AQ10" i="3"/>
  <c r="AP8" i="4"/>
  <c r="AZ8" i="4" s="1"/>
  <c r="AK9" i="4"/>
  <c r="AL9" i="4" s="1"/>
  <c r="AP7" i="5"/>
  <c r="AZ7" i="5" s="1"/>
  <c r="AL8" i="5"/>
  <c r="AL10" i="5"/>
  <c r="AL9" i="6"/>
  <c r="AK9" i="6"/>
  <c r="AL7" i="9"/>
  <c r="AK7" i="9"/>
  <c r="AP10" i="3"/>
  <c r="AZ10" i="3" s="1"/>
  <c r="AL9" i="3"/>
  <c r="AL7" i="3"/>
  <c r="AK7" i="3"/>
  <c r="AP9" i="3" s="1"/>
  <c r="AZ9" i="3" s="1"/>
  <c r="AK12" i="3"/>
  <c r="AP8" i="3" s="1"/>
  <c r="AZ8" i="3" s="1"/>
  <c r="AQ9" i="5"/>
  <c r="AK10" i="5"/>
  <c r="AP8" i="5" s="1"/>
  <c r="AZ8" i="5" s="1"/>
  <c r="AL8" i="7"/>
  <c r="AP10" i="7"/>
  <c r="AZ10" i="7" s="1"/>
  <c r="AP8" i="2"/>
  <c r="AZ8" i="2" s="1"/>
  <c r="AK12" i="2"/>
  <c r="AP7" i="2" s="1"/>
  <c r="AZ7" i="2" s="1"/>
  <c r="AL11" i="3"/>
  <c r="AL11" i="6"/>
  <c r="AK11" i="6"/>
  <c r="AP7" i="6" s="1"/>
  <c r="AQ9" i="7"/>
  <c r="AZ9" i="7" s="1"/>
  <c r="AP9" i="5"/>
  <c r="AZ9" i="5" s="1"/>
  <c r="AQ7" i="6"/>
  <c r="AQ8" i="6"/>
  <c r="AZ8" i="7"/>
  <c r="AP9" i="9"/>
  <c r="AZ9" i="9" s="1"/>
  <c r="AK7" i="4"/>
  <c r="AL7" i="4" s="1"/>
  <c r="AL12" i="5"/>
  <c r="AP8" i="6"/>
  <c r="AK7" i="6"/>
  <c r="AP9" i="6" s="1"/>
  <c r="AZ9" i="6" s="1"/>
  <c r="AL7" i="6"/>
  <c r="AZ7" i="7"/>
  <c r="AK8" i="8"/>
  <c r="AP9" i="8" s="1"/>
  <c r="AZ9" i="8" s="1"/>
  <c r="AP7" i="8"/>
  <c r="AZ7" i="8" s="1"/>
  <c r="AL10" i="8"/>
  <c r="AK10" i="8"/>
  <c r="AP8" i="8" s="1"/>
  <c r="AZ8" i="8" s="1"/>
  <c r="AL12" i="6"/>
  <c r="AL9" i="7"/>
  <c r="AL11" i="7"/>
  <c r="AL8" i="9"/>
  <c r="AL10" i="9"/>
  <c r="AK11" i="9"/>
  <c r="AP8" i="9" s="1"/>
  <c r="AZ8" i="9" s="1"/>
  <c r="AP10" i="6"/>
  <c r="AZ10" i="6" s="1"/>
  <c r="AW7" i="2" l="1"/>
  <c r="AX7" i="2" s="1"/>
  <c r="AY7" i="2" s="1"/>
  <c r="BA7" i="2" s="1"/>
  <c r="BB7" i="2" s="1"/>
  <c r="AW8" i="3"/>
  <c r="AX8" i="3" s="1"/>
  <c r="AY8" i="3" s="1"/>
  <c r="BA8" i="3" s="1"/>
  <c r="BB8" i="3" s="1"/>
  <c r="AW7" i="3"/>
  <c r="AX7" i="3" s="1"/>
  <c r="AY7" i="3" s="1"/>
  <c r="BA7" i="3" s="1"/>
  <c r="BB7" i="3" s="1"/>
  <c r="AW9" i="7"/>
  <c r="AX9" i="7" s="1"/>
  <c r="AY9" i="7" s="1"/>
  <c r="BA9" i="7" s="1"/>
  <c r="BB9" i="7" s="1"/>
  <c r="AW8" i="9"/>
  <c r="AX8" i="9" s="1"/>
  <c r="AY8" i="9" s="1"/>
  <c r="BA8" i="9" s="1"/>
  <c r="BB8" i="9" s="1"/>
  <c r="AN8" i="9" s="1"/>
  <c r="AW10" i="9"/>
  <c r="AX10" i="9" s="1"/>
  <c r="AY10" i="9" s="1"/>
  <c r="BA10" i="9" s="1"/>
  <c r="BB10" i="9" s="1"/>
  <c r="AW7" i="9"/>
  <c r="AX7" i="9" s="1"/>
  <c r="AY7" i="9" s="1"/>
  <c r="BA7" i="9" s="1"/>
  <c r="BB7" i="9" s="1"/>
  <c r="AW7" i="7"/>
  <c r="AX7" i="7" s="1"/>
  <c r="AY7" i="7" s="1"/>
  <c r="BA7" i="7" s="1"/>
  <c r="BB7" i="7" s="1"/>
  <c r="AN7" i="7" s="1"/>
  <c r="AW10" i="7"/>
  <c r="AX10" i="7" s="1"/>
  <c r="AY10" i="7" s="1"/>
  <c r="BA10" i="7" s="1"/>
  <c r="BB10" i="7" s="1"/>
  <c r="AL12" i="2"/>
  <c r="AW7" i="8"/>
  <c r="AX7" i="8" s="1"/>
  <c r="AY7" i="8" s="1"/>
  <c r="BA7" i="8" s="1"/>
  <c r="BB7" i="8" s="1"/>
  <c r="AP9" i="4"/>
  <c r="AZ9" i="4" s="1"/>
  <c r="AW10" i="2"/>
  <c r="AX10" i="2" s="1"/>
  <c r="AY10" i="2" s="1"/>
  <c r="BA10" i="2" s="1"/>
  <c r="BB10" i="2" s="1"/>
  <c r="AL11" i="9"/>
  <c r="AW9" i="8"/>
  <c r="AX9" i="8" s="1"/>
  <c r="AY9" i="8" s="1"/>
  <c r="BA9" i="8" s="1"/>
  <c r="BB9" i="8" s="1"/>
  <c r="AN9" i="8" s="1"/>
  <c r="BA9" i="9"/>
  <c r="BB9" i="9" s="1"/>
  <c r="AW9" i="9"/>
  <c r="AX9" i="9" s="1"/>
  <c r="AY9" i="9" s="1"/>
  <c r="AW9" i="5"/>
  <c r="AX9" i="5" s="1"/>
  <c r="AY9" i="5" s="1"/>
  <c r="BA9" i="5" s="1"/>
  <c r="BB9" i="5" s="1"/>
  <c r="AP10" i="4"/>
  <c r="AZ10" i="4" s="1"/>
  <c r="AW8" i="5"/>
  <c r="AX8" i="5" s="1"/>
  <c r="AY8" i="5" s="1"/>
  <c r="BA8" i="5" s="1"/>
  <c r="BB8" i="5" s="1"/>
  <c r="AN8" i="5" s="1"/>
  <c r="AW9" i="3"/>
  <c r="AX9" i="3" s="1"/>
  <c r="AY9" i="3" s="1"/>
  <c r="BA9" i="3"/>
  <c r="BB9" i="3" s="1"/>
  <c r="AW10" i="3"/>
  <c r="AX10" i="3" s="1"/>
  <c r="AY10" i="3" s="1"/>
  <c r="BA10" i="3" s="1"/>
  <c r="BB10" i="3" s="1"/>
  <c r="AN10" i="3" s="1"/>
  <c r="AW8" i="4"/>
  <c r="AX8" i="4" s="1"/>
  <c r="AY8" i="4" s="1"/>
  <c r="BA8" i="4" s="1"/>
  <c r="BB8" i="4" s="1"/>
  <c r="AW8" i="2"/>
  <c r="AX8" i="2" s="1"/>
  <c r="AY8" i="2" s="1"/>
  <c r="BA8" i="2" s="1"/>
  <c r="BB8" i="2" s="1"/>
  <c r="AN8" i="2" s="1"/>
  <c r="AL12" i="3"/>
  <c r="BA9" i="2"/>
  <c r="BB9" i="2" s="1"/>
  <c r="AW9" i="2"/>
  <c r="AX9" i="2" s="1"/>
  <c r="AY9" i="2" s="1"/>
  <c r="AW10" i="8"/>
  <c r="AX10" i="8" s="1"/>
  <c r="AY10" i="8" s="1"/>
  <c r="BA10" i="8" s="1"/>
  <c r="BB10" i="8" s="1"/>
  <c r="AW8" i="8"/>
  <c r="AX8" i="8" s="1"/>
  <c r="AY8" i="8" s="1"/>
  <c r="BA8" i="8" s="1"/>
  <c r="BB8" i="8" s="1"/>
  <c r="AL8" i="8"/>
  <c r="AZ8" i="6"/>
  <c r="AW8" i="7"/>
  <c r="AX8" i="7" s="1"/>
  <c r="AY8" i="7" s="1"/>
  <c r="BA8" i="7" s="1"/>
  <c r="BB8" i="7" s="1"/>
  <c r="AZ7" i="6"/>
  <c r="AW9" i="6" s="1"/>
  <c r="AX9" i="6" s="1"/>
  <c r="AY9" i="6" s="1"/>
  <c r="BA9" i="6" s="1"/>
  <c r="BB9" i="6" s="1"/>
  <c r="BA7" i="5"/>
  <c r="BB7" i="5" s="1"/>
  <c r="AW7" i="5"/>
  <c r="AX7" i="5" s="1"/>
  <c r="AY7" i="5" s="1"/>
  <c r="AW10" i="5"/>
  <c r="AX10" i="5" s="1"/>
  <c r="AY10" i="5" s="1"/>
  <c r="BA10" i="5" s="1"/>
  <c r="BB10" i="5" s="1"/>
  <c r="D8" i="7" l="1"/>
  <c r="G8" i="7"/>
  <c r="C8" i="7"/>
  <c r="B30" i="10" s="1"/>
  <c r="E8" i="7"/>
  <c r="F8" i="7"/>
  <c r="AN8" i="8"/>
  <c r="AN9" i="5"/>
  <c r="AN8" i="3"/>
  <c r="AN9" i="7"/>
  <c r="AN7" i="8"/>
  <c r="AN8" i="7"/>
  <c r="G9" i="7" s="1"/>
  <c r="AN10" i="2"/>
  <c r="AN10" i="7"/>
  <c r="AN7" i="2"/>
  <c r="AN10" i="8"/>
  <c r="AW9" i="4"/>
  <c r="AX9" i="4" s="1"/>
  <c r="AY9" i="4" s="1"/>
  <c r="BA9" i="4" s="1"/>
  <c r="BB9" i="4" s="1"/>
  <c r="AN9" i="4" s="1"/>
  <c r="AN7" i="9"/>
  <c r="AN7" i="5"/>
  <c r="AW8" i="6"/>
  <c r="AX8" i="6" s="1"/>
  <c r="AY8" i="6" s="1"/>
  <c r="BA8" i="6" s="1"/>
  <c r="BB8" i="6" s="1"/>
  <c r="AN8" i="6" s="1"/>
  <c r="AW10" i="6"/>
  <c r="AX10" i="6" s="1"/>
  <c r="AY10" i="6" s="1"/>
  <c r="BA10" i="6" s="1"/>
  <c r="BB10" i="6" s="1"/>
  <c r="AN9" i="3"/>
  <c r="AW10" i="4"/>
  <c r="AX10" i="4" s="1"/>
  <c r="AY10" i="4" s="1"/>
  <c r="BA10" i="4" s="1"/>
  <c r="BB10" i="4" s="1"/>
  <c r="AN9" i="9"/>
  <c r="AW7" i="4"/>
  <c r="AX7" i="4" s="1"/>
  <c r="AY7" i="4" s="1"/>
  <c r="BA7" i="4" s="1"/>
  <c r="BB7" i="4" s="1"/>
  <c r="AW7" i="6"/>
  <c r="AX7" i="6" s="1"/>
  <c r="AY7" i="6" s="1"/>
  <c r="BA7" i="6" s="1"/>
  <c r="BB7" i="6" s="1"/>
  <c r="AN10" i="9"/>
  <c r="AN10" i="5"/>
  <c r="AN9" i="2"/>
  <c r="AN7" i="3"/>
  <c r="AN10" i="4" l="1"/>
  <c r="AN7" i="6"/>
  <c r="AN9" i="6"/>
  <c r="AN7" i="4"/>
  <c r="E11" i="5"/>
  <c r="F11" i="5"/>
  <c r="D11" i="5"/>
  <c r="E10" i="5"/>
  <c r="G9" i="5"/>
  <c r="C9" i="5"/>
  <c r="B11" i="10" s="1"/>
  <c r="D8" i="5"/>
  <c r="C11" i="5"/>
  <c r="D10" i="5"/>
  <c r="F9" i="5"/>
  <c r="G8" i="5"/>
  <c r="C8" i="5"/>
  <c r="B26" i="10" s="1"/>
  <c r="G25" i="10" s="1"/>
  <c r="L28" i="10" s="1"/>
  <c r="Q21" i="10" s="1"/>
  <c r="Q30" i="10" s="1"/>
  <c r="D9" i="5"/>
  <c r="F8" i="5"/>
  <c r="C10" i="5"/>
  <c r="E9" i="5"/>
  <c r="G10" i="5"/>
  <c r="E8" i="5"/>
  <c r="G11" i="5"/>
  <c r="F10" i="5"/>
  <c r="C10" i="7"/>
  <c r="AN10" i="6"/>
  <c r="F11" i="2"/>
  <c r="D10" i="2"/>
  <c r="F9" i="2"/>
  <c r="E11" i="2"/>
  <c r="G10" i="2"/>
  <c r="C10" i="2"/>
  <c r="E9" i="2"/>
  <c r="F8" i="2"/>
  <c r="G11" i="2"/>
  <c r="G9" i="2"/>
  <c r="C8" i="2"/>
  <c r="B6" i="10" s="1"/>
  <c r="G8" i="10" s="1"/>
  <c r="D9" i="2"/>
  <c r="G8" i="2"/>
  <c r="D11" i="2"/>
  <c r="F10" i="2"/>
  <c r="D8" i="2"/>
  <c r="C11" i="2"/>
  <c r="E10" i="2"/>
  <c r="C9" i="2"/>
  <c r="B23" i="10" s="1"/>
  <c r="E8" i="2"/>
  <c r="D9" i="7"/>
  <c r="G10" i="7"/>
  <c r="F10" i="7"/>
  <c r="F9" i="7"/>
  <c r="C9" i="7"/>
  <c r="B15" i="10" s="1"/>
  <c r="G11" i="7"/>
  <c r="F11" i="7"/>
  <c r="E10" i="7"/>
  <c r="E11" i="9"/>
  <c r="G10" i="9"/>
  <c r="C10" i="9"/>
  <c r="E9" i="9"/>
  <c r="F8" i="9"/>
  <c r="D11" i="9"/>
  <c r="F10" i="9"/>
  <c r="D9" i="9"/>
  <c r="E8" i="9"/>
  <c r="G11" i="9"/>
  <c r="C11" i="9"/>
  <c r="F11" i="9"/>
  <c r="D10" i="9"/>
  <c r="F9" i="9"/>
  <c r="G8" i="9"/>
  <c r="C8" i="9"/>
  <c r="B34" i="10" s="1"/>
  <c r="G33" i="10" s="1"/>
  <c r="L29" i="10" s="1"/>
  <c r="G9" i="9"/>
  <c r="E10" i="9"/>
  <c r="C9" i="9"/>
  <c r="B19" i="10" s="1"/>
  <c r="D8" i="9"/>
  <c r="F11" i="8"/>
  <c r="D10" i="8"/>
  <c r="F9" i="8"/>
  <c r="G8" i="8"/>
  <c r="C8" i="8"/>
  <c r="B18" i="10" s="1"/>
  <c r="G17" i="10" s="1"/>
  <c r="L13" i="10" s="1"/>
  <c r="E11" i="8"/>
  <c r="G10" i="8"/>
  <c r="C10" i="8"/>
  <c r="E9" i="8"/>
  <c r="F8" i="8"/>
  <c r="G11" i="8"/>
  <c r="C11" i="8"/>
  <c r="E10" i="8"/>
  <c r="G9" i="8"/>
  <c r="C9" i="8"/>
  <c r="B35" i="10" s="1"/>
  <c r="D8" i="8"/>
  <c r="D11" i="8"/>
  <c r="D9" i="8"/>
  <c r="F10" i="8"/>
  <c r="E8" i="8"/>
  <c r="C11" i="7"/>
  <c r="E11" i="3"/>
  <c r="G10" i="3"/>
  <c r="C10" i="3"/>
  <c r="E9" i="3"/>
  <c r="F8" i="3"/>
  <c r="D11" i="3"/>
  <c r="F10" i="3"/>
  <c r="D9" i="3"/>
  <c r="E8" i="3"/>
  <c r="C11" i="3"/>
  <c r="E10" i="3"/>
  <c r="C9" i="3"/>
  <c r="B7" i="10" s="1"/>
  <c r="D8" i="3"/>
  <c r="F11" i="3"/>
  <c r="F9" i="3"/>
  <c r="D10" i="3"/>
  <c r="C8" i="3"/>
  <c r="B22" i="10" s="1"/>
  <c r="G24" i="10" s="1"/>
  <c r="G8" i="3"/>
  <c r="G11" i="3"/>
  <c r="G9" i="3"/>
  <c r="E11" i="7"/>
  <c r="E9" i="7"/>
  <c r="D11" i="7"/>
  <c r="D10" i="7"/>
  <c r="AN8" i="4"/>
  <c r="D11" i="6" l="1"/>
  <c r="F10" i="6"/>
  <c r="D9" i="6"/>
  <c r="E8" i="6"/>
  <c r="G11" i="6"/>
  <c r="C11" i="6"/>
  <c r="E11" i="6"/>
  <c r="G10" i="6"/>
  <c r="C10" i="6"/>
  <c r="E9" i="6"/>
  <c r="F8" i="6"/>
  <c r="D10" i="6"/>
  <c r="C8" i="6"/>
  <c r="B14" i="10" s="1"/>
  <c r="G16" i="10" s="1"/>
  <c r="F11" i="6"/>
  <c r="G9" i="6"/>
  <c r="D8" i="6"/>
  <c r="E10" i="6"/>
  <c r="G8" i="6"/>
  <c r="F9" i="6"/>
  <c r="C9" i="6"/>
  <c r="B31" i="10" s="1"/>
  <c r="G32" i="10" s="1"/>
  <c r="D11" i="4"/>
  <c r="F10" i="4"/>
  <c r="D9" i="4"/>
  <c r="E8" i="4"/>
  <c r="G11" i="4"/>
  <c r="C11" i="4"/>
  <c r="E10" i="4"/>
  <c r="G9" i="4"/>
  <c r="C9" i="4"/>
  <c r="B27" i="10" s="1"/>
  <c r="D8" i="4"/>
  <c r="G10" i="4"/>
  <c r="F8" i="4"/>
  <c r="F11" i="4"/>
  <c r="D10" i="4"/>
  <c r="F9" i="4"/>
  <c r="C8" i="4"/>
  <c r="B10" i="10" s="1"/>
  <c r="G9" i="10" s="1"/>
  <c r="L12" i="10" s="1"/>
  <c r="Q20" i="10" s="1"/>
  <c r="E11" i="4"/>
  <c r="C10" i="4"/>
  <c r="E9" i="4"/>
  <c r="G8" i="4"/>
  <c r="Q29" i="10" l="1"/>
  <c r="W26" i="10" s="1"/>
  <c r="W24" i="10"/>
  <c r="W25" i="10" s="1"/>
</calcChain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<sst xmlns="http://schemas.openxmlformats.org/spreadsheetml/2006/main" count="454" uniqueCount="79">
  <si>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</si>
  <si>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</si>
  <si>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isidora benavente</t>
  </si>
  <si>
    <t>Mail</t>
  </si>
  <si>
    <t>ibenaventea@uc.cl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</si>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</sst>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563C1"/>
      <name val="Calibri"/>
      <family val="2"/>
    </font>
    <font>
      <sz val="11"/>
      <color theme="0"/>
      <name val="Calibri"/>
      <family val="2"/>
    </font>
    <font>
      <sz val="2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Font="1" applyAlignment="1"/>
    <xf numFmtId="0" fontId="1" fillId="3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16" fontId="1" fillId="4" borderId="24" xfId="0" applyNumberFormat="1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16" fontId="1" fillId="3" borderId="29" xfId="0" applyNumberFormat="1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16" fontId="1" fillId="4" borderId="29" xfId="0" applyNumberFormat="1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16" fontId="1" fillId="3" borderId="40" xfId="0" applyNumberFormat="1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7" borderId="42" xfId="0" applyFont="1" applyFill="1" applyBorder="1"/>
    <xf numFmtId="0" fontId="1" fillId="7" borderId="43" xfId="0" applyFont="1" applyFill="1" applyBorder="1"/>
    <xf numFmtId="0" fontId="1" fillId="7" borderId="44" xfId="0" applyFont="1" applyFill="1" applyBorder="1"/>
    <xf numFmtId="0" fontId="1" fillId="7" borderId="45" xfId="0" applyFont="1" applyFill="1" applyBorder="1"/>
    <xf numFmtId="0" fontId="1" fillId="7" borderId="46" xfId="0" applyFont="1" applyFill="1" applyBorder="1"/>
    <xf numFmtId="0" fontId="1" fillId="7" borderId="47" xfId="0" applyFont="1" applyFill="1" applyBorder="1"/>
    <xf numFmtId="0" fontId="1" fillId="0" borderId="6" xfId="0" applyFont="1" applyBorder="1" applyAlignment="1"/>
    <xf numFmtId="0" fontId="1" fillId="0" borderId="0" xfId="0" applyFont="1"/>
    <xf numFmtId="0" fontId="1" fillId="0" borderId="51" xfId="0" applyFont="1" applyBorder="1" applyAlignment="1"/>
    <xf numFmtId="0" fontId="1" fillId="0" borderId="51" xfId="0" applyFont="1" applyBorder="1"/>
    <xf numFmtId="0" fontId="1" fillId="0" borderId="9" xfId="0" applyFont="1" applyBorder="1" applyAlignment="1"/>
    <xf numFmtId="0" fontId="1" fillId="7" borderId="53" xfId="0" applyFont="1" applyFill="1" applyBorder="1"/>
    <xf numFmtId="0" fontId="1" fillId="7" borderId="54" xfId="0" applyFont="1" applyFill="1" applyBorder="1"/>
    <xf numFmtId="0" fontId="1" fillId="7" borderId="55" xfId="0" applyFont="1" applyFill="1" applyBorder="1"/>
    <xf numFmtId="0" fontId="1" fillId="0" borderId="6" xfId="0" applyFont="1" applyBorder="1"/>
    <xf numFmtId="0" fontId="1" fillId="0" borderId="9" xfId="0" applyFont="1" applyBorder="1"/>
    <xf numFmtId="0" fontId="1" fillId="8" borderId="19" xfId="0" applyFont="1" applyFill="1" applyBorder="1" applyAlignment="1">
      <alignment horizontal="center"/>
    </xf>
    <xf numFmtId="0" fontId="1" fillId="3" borderId="19" xfId="0" applyFont="1" applyFill="1" applyBorder="1"/>
    <xf numFmtId="0" fontId="1" fillId="3" borderId="56" xfId="0" applyFont="1" applyFill="1" applyBorder="1"/>
    <xf numFmtId="0" fontId="1" fillId="3" borderId="24" xfId="0" applyFont="1" applyFill="1" applyBorder="1"/>
    <xf numFmtId="0" fontId="1" fillId="0" borderId="24" xfId="0" applyFont="1" applyBorder="1" applyAlignment="1"/>
    <xf numFmtId="0" fontId="1" fillId="9" borderId="57" xfId="0" applyFont="1" applyFill="1" applyBorder="1"/>
    <xf numFmtId="0" fontId="1" fillId="3" borderId="40" xfId="0" applyFont="1" applyFill="1" applyBorder="1"/>
    <xf numFmtId="0" fontId="1" fillId="0" borderId="40" xfId="0" applyFont="1" applyBorder="1" applyAlignment="1"/>
    <xf numFmtId="0" fontId="1" fillId="9" borderId="58" xfId="0" applyFont="1" applyFill="1" applyBorder="1"/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5" borderId="66" xfId="0" applyFont="1" applyFill="1" applyBorder="1"/>
    <xf numFmtId="0" fontId="1" fillId="3" borderId="29" xfId="0" applyFont="1" applyFill="1" applyBorder="1"/>
    <xf numFmtId="0" fontId="1" fillId="10" borderId="67" xfId="0" applyFont="1" applyFill="1" applyBorder="1"/>
    <xf numFmtId="0" fontId="1" fillId="11" borderId="58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3" fillId="0" borderId="8" xfId="0" applyFont="1" applyBorder="1" applyAlignment="1">
      <alignment horizontal="center" vertical="center"/>
    </xf>
    <xf numFmtId="0" fontId="2" fillId="0" borderId="9" xfId="0" applyFont="1" applyBorder="1"/>
    <xf numFmtId="0" fontId="5" fillId="3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" fillId="2" borderId="16" xfId="0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1" fillId="2" borderId="20" xfId="0" applyFont="1" applyFill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2" fillId="0" borderId="49" xfId="0" applyFont="1" applyBorder="1"/>
    <xf numFmtId="0" fontId="1" fillId="3" borderId="35" xfId="0" applyFont="1" applyFill="1" applyBorder="1" applyAlignment="1">
      <alignment horizontal="center"/>
    </xf>
    <xf numFmtId="0" fontId="2" fillId="0" borderId="50" xfId="0" applyFont="1" applyBorder="1"/>
    <xf numFmtId="0" fontId="2" fillId="0" borderId="51" xfId="0" applyFont="1" applyBorder="1"/>
    <xf numFmtId="0" fontId="1" fillId="3" borderId="36" xfId="0" applyFont="1" applyFill="1" applyBorder="1" applyAlignment="1">
      <alignment horizontal="center"/>
    </xf>
    <xf numFmtId="0" fontId="2" fillId="0" borderId="52" xfId="0" applyFont="1" applyBorder="1"/>
  </cellXfs>
  <cellStyles count="1">
    <cellStyle name="Normal" xfId="0" builtinId="0"/>
  </cellStyles>
  <dxfs count="10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" spans="2:4" x14ac:dyDescent="0.25">
      <c r="B2" s="81" t="s">
        <v>0</v>
      </c>
      <c r="C2" s="82"/>
      <c r="D2" s="83"/>
    </row>
    <row r="3" spans="2:4" x14ac:dyDescent="0.25">
      <c r="B3" s="1" t="s">
        <v>1</v>
      </c>
      <c r="C3" s="84" t="s">
        <v>2</v>
      </c>
      <c r="D3" s="85"/>
    </row>
    <row r="4" spans="2:4" x14ac:dyDescent="0.25">
      <c r="B4" s="2" t="s">
        <v>3</v>
      </c>
      <c r="C4" s="86" t="s">
        <v>4</v>
      </c>
      <c r="D4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2:D2"/>
    <mergeCell ref="C3:D3"/>
    <mergeCell ref="C4: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B1000"/>
  <sheetViews>
    <sheetView tabSelected="1" workbookViewId="0"/>
  </sheetViews>
  <sheetFormatPr baseColWidth="10" defaultColWidth="14.42578125" defaultRowHeight="15" customHeight="1" x14ac:dyDescent="0.25"/>
  <cols>
    <col min="1" max="14" width="10.7109375" customWidth="1"/>
    <col min="15" max="34" width="11.4257812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5</v>
      </c>
      <c r="C3" s="89"/>
      <c r="D3" s="89"/>
      <c r="E3" s="89"/>
      <c r="F3" s="89"/>
      <c r="G3" s="9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6</v>
      </c>
      <c r="C6" s="95"/>
      <c r="D6" s="95"/>
      <c r="E6" s="95"/>
      <c r="F6" s="95"/>
      <c r="G6" s="96"/>
      <c r="J6" s="6" t="s">
        <v>7</v>
      </c>
      <c r="K6" s="97" t="s">
        <v>8</v>
      </c>
      <c r="L6" s="95"/>
      <c r="M6" s="95"/>
      <c r="N6" s="9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3">
        <v>1</v>
      </c>
      <c r="AK6" s="3">
        <v>2</v>
      </c>
      <c r="AL6" s="3" t="s">
        <v>9</v>
      </c>
      <c r="AM6" s="3"/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15</v>
      </c>
      <c r="AT6" s="3"/>
      <c r="AU6" s="3"/>
      <c r="AV6" s="3" t="s">
        <v>11</v>
      </c>
      <c r="AW6" s="3" t="s">
        <v>16</v>
      </c>
      <c r="AX6" s="3" t="s">
        <v>9</v>
      </c>
      <c r="AY6" s="3" t="s">
        <v>17</v>
      </c>
      <c r="AZ6" s="3" t="s">
        <v>18</v>
      </c>
      <c r="BA6" s="3" t="s">
        <v>19</v>
      </c>
      <c r="BB6" s="3" t="s">
        <v>20</v>
      </c>
    </row>
    <row r="7" spans="2:54" x14ac:dyDescent="0.25">
      <c r="B7" s="7" t="s">
        <v>21</v>
      </c>
      <c r="C7" s="8" t="s">
        <v>11</v>
      </c>
      <c r="D7" s="9" t="s">
        <v>12</v>
      </c>
      <c r="E7" s="9" t="s">
        <v>14</v>
      </c>
      <c r="F7" s="9" t="s">
        <v>15</v>
      </c>
      <c r="G7" s="10" t="s">
        <v>13</v>
      </c>
      <c r="I7" s="11">
        <v>1</v>
      </c>
      <c r="J7" s="12">
        <v>44886</v>
      </c>
      <c r="K7" s="13" t="s">
        <v>22</v>
      </c>
      <c r="L7" s="14">
        <v>1</v>
      </c>
      <c r="M7" s="15">
        <v>3</v>
      </c>
      <c r="N7" s="11" t="s">
        <v>23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 t="str">
        <f t="shared" ref="AI7:AI12" si="0">CONCATENATE(K7,"_",N7)</f>
        <v>Senegal_Holanda</v>
      </c>
      <c r="AJ7" s="3">
        <f t="shared" ref="AJ7:AJ12" si="1">IF(L7&gt;M7,3,IF(L7&lt;M7,0,1))</f>
        <v>0</v>
      </c>
      <c r="AK7" s="3">
        <f t="shared" ref="AK7:AK12" si="2">IF(AJ7=3,0,IF(AJ7=1,1,3))</f>
        <v>3</v>
      </c>
      <c r="AL7" s="3" t="str">
        <f t="shared" ref="AL7:AL12" si="3">IF(AJ7&gt;AK7,K7,IF(AK7&gt;AJ7,N7,"SIN GANADOR"))</f>
        <v>Holanda</v>
      </c>
      <c r="AM7" s="3"/>
      <c r="AN7" s="3">
        <f t="shared" ref="AN7:AN10" si="4">_xlfn.RANK.EQ(BB7,BB$7:BB$11,1)</f>
        <v>4</v>
      </c>
      <c r="AO7" s="3" t="s">
        <v>24</v>
      </c>
      <c r="AP7" s="3">
        <f t="shared" ref="AP7:AP10" si="5">SUMIF($K$7:$K$12,AO7,$AJ$7:$AJ$12) + SUMIF($N$7:$N$12,AO7,$AK$7:$AK$12)</f>
        <v>0</v>
      </c>
      <c r="AQ7" s="3">
        <f t="shared" ref="AQ7:AQ10" si="6">AR7-AS7</f>
        <v>-6</v>
      </c>
      <c r="AR7" s="3">
        <f t="shared" ref="AR7:AR10" si="7">SUMIF($K$7:$K$12,AO7,$L$7:$L$12) + SUMIF($N$7:$N$12,AO7,$M$7:$M$12)</f>
        <v>1</v>
      </c>
      <c r="AS7" s="3">
        <f t="shared" ref="AS7:AS10" si="8">SUMIF($K$7:$K$12,AO7,$M$7:$M$12) + SUMIF($N$7:$N$12,AO7,$L$7:$L$12)</f>
        <v>7</v>
      </c>
      <c r="AT7" s="3"/>
      <c r="AU7" s="3"/>
      <c r="AV7" s="3" t="str">
        <f t="shared" ref="AV7:AV10" si="9">AO7</f>
        <v>Qatar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59900</v>
      </c>
      <c r="BA7" s="3">
        <f t="shared" ref="BA7:BA10" si="13">AZ7-AY7*10</f>
        <v>59890</v>
      </c>
      <c r="BB7" s="3">
        <f t="shared" ref="BB7:BB10" si="14">BA7+N23</f>
        <v>59894</v>
      </c>
    </row>
    <row r="8" spans="2:54" x14ac:dyDescent="0.25">
      <c r="B8" s="16">
        <v>1</v>
      </c>
      <c r="C8" s="17" t="str">
        <f t="shared" ref="C8:G8" si="15">IFERROR(VLOOKUP($B8,$AN$7:$AS$11,C$5,FALSE),"")</f>
        <v>Holanda</v>
      </c>
      <c r="D8" s="18">
        <f t="shared" si="15"/>
        <v>9</v>
      </c>
      <c r="E8" s="18">
        <f t="shared" si="15"/>
        <v>8</v>
      </c>
      <c r="F8" s="18">
        <f t="shared" si="15"/>
        <v>1</v>
      </c>
      <c r="G8" s="19">
        <f t="shared" si="15"/>
        <v>7</v>
      </c>
      <c r="I8" s="20">
        <v>2</v>
      </c>
      <c r="J8" s="21">
        <v>44886</v>
      </c>
      <c r="K8" s="22" t="s">
        <v>24</v>
      </c>
      <c r="L8" s="23">
        <v>1</v>
      </c>
      <c r="M8" s="24">
        <v>2</v>
      </c>
      <c r="N8" s="20" t="s">
        <v>25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 t="str">
        <f t="shared" si="0"/>
        <v>Qatar_Ecuador</v>
      </c>
      <c r="AJ8" s="3">
        <f t="shared" si="1"/>
        <v>0</v>
      </c>
      <c r="AK8" s="3">
        <f t="shared" si="2"/>
        <v>3</v>
      </c>
      <c r="AL8" s="3" t="str">
        <f t="shared" si="3"/>
        <v>Ecuador</v>
      </c>
      <c r="AM8" s="3"/>
      <c r="AN8" s="3">
        <f t="shared" si="4"/>
        <v>1</v>
      </c>
      <c r="AO8" s="3" t="s">
        <v>23</v>
      </c>
      <c r="AP8" s="3">
        <f t="shared" si="5"/>
        <v>9</v>
      </c>
      <c r="AQ8" s="3">
        <f t="shared" si="6"/>
        <v>7</v>
      </c>
      <c r="AR8" s="3">
        <f t="shared" si="7"/>
        <v>8</v>
      </c>
      <c r="AS8" s="3">
        <f t="shared" si="8"/>
        <v>1</v>
      </c>
      <c r="AT8" s="3"/>
      <c r="AU8" s="3"/>
      <c r="AV8" s="3" t="str">
        <f t="shared" si="9"/>
        <v>Holanda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-90070800</v>
      </c>
      <c r="BA8" s="3">
        <f t="shared" si="13"/>
        <v>-90070810</v>
      </c>
      <c r="BB8" s="3">
        <f t="shared" si="14"/>
        <v>-90070809</v>
      </c>
    </row>
    <row r="9" spans="2:54" x14ac:dyDescent="0.25">
      <c r="B9" s="25">
        <v>2</v>
      </c>
      <c r="C9" s="26" t="str">
        <f t="shared" ref="C9:G9" si="16">IFERROR(VLOOKUP($B9,$AN$7:$AS$11,C$5,FALSE),"")</f>
        <v>Senegal</v>
      </c>
      <c r="D9" s="27">
        <f t="shared" si="16"/>
        <v>4</v>
      </c>
      <c r="E9" s="27">
        <f t="shared" si="16"/>
        <v>4</v>
      </c>
      <c r="F9" s="27">
        <f t="shared" si="16"/>
        <v>4</v>
      </c>
      <c r="G9" s="28">
        <f t="shared" si="16"/>
        <v>0</v>
      </c>
      <c r="I9" s="29">
        <f t="shared" ref="I9:I12" si="17">I7+16</f>
        <v>17</v>
      </c>
      <c r="J9" s="30">
        <v>44890</v>
      </c>
      <c r="K9" s="31" t="s">
        <v>24</v>
      </c>
      <c r="L9" s="23">
        <v>0</v>
      </c>
      <c r="M9" s="24">
        <v>2</v>
      </c>
      <c r="N9" s="29" t="s">
        <v>22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 t="str">
        <f t="shared" si="0"/>
        <v>Qatar_Senegal</v>
      </c>
      <c r="AJ9" s="3">
        <f t="shared" si="1"/>
        <v>0</v>
      </c>
      <c r="AK9" s="3">
        <f t="shared" si="2"/>
        <v>3</v>
      </c>
      <c r="AL9" s="3" t="str">
        <f t="shared" si="3"/>
        <v>Senegal</v>
      </c>
      <c r="AM9" s="3"/>
      <c r="AN9" s="3">
        <f t="shared" si="4"/>
        <v>2</v>
      </c>
      <c r="AO9" s="3" t="s">
        <v>22</v>
      </c>
      <c r="AP9" s="3">
        <f t="shared" si="5"/>
        <v>4</v>
      </c>
      <c r="AQ9" s="3">
        <f t="shared" si="6"/>
        <v>0</v>
      </c>
      <c r="AR9" s="3">
        <f t="shared" si="7"/>
        <v>4</v>
      </c>
      <c r="AS9" s="3">
        <f t="shared" si="8"/>
        <v>4</v>
      </c>
      <c r="AT9" s="3"/>
      <c r="AU9" s="3"/>
      <c r="AV9" s="3" t="str">
        <f t="shared" si="9"/>
        <v>Senegal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-40000400</v>
      </c>
      <c r="BA9" s="3">
        <f t="shared" si="13"/>
        <v>-40000410</v>
      </c>
      <c r="BB9" s="3">
        <f t="shared" si="14"/>
        <v>-40000407</v>
      </c>
    </row>
    <row r="10" spans="2:54" x14ac:dyDescent="0.25">
      <c r="B10" s="32">
        <v>3</v>
      </c>
      <c r="C10" s="33" t="str">
        <f t="shared" ref="C10:G10" si="18">IFERROR(VLOOKUP($B10,$AN$7:$AS$11,C$5,FALSE),"")</f>
        <v>Ecuador</v>
      </c>
      <c r="D10" s="34">
        <f t="shared" si="18"/>
        <v>4</v>
      </c>
      <c r="E10" s="34">
        <f t="shared" si="18"/>
        <v>3</v>
      </c>
      <c r="F10" s="34">
        <f t="shared" si="18"/>
        <v>4</v>
      </c>
      <c r="G10" s="35">
        <f t="shared" si="18"/>
        <v>-1</v>
      </c>
      <c r="I10" s="20">
        <f t="shared" si="17"/>
        <v>18</v>
      </c>
      <c r="J10" s="21">
        <v>44890</v>
      </c>
      <c r="K10" s="22" t="s">
        <v>23</v>
      </c>
      <c r="L10" s="23">
        <v>2</v>
      </c>
      <c r="M10" s="24">
        <v>0</v>
      </c>
      <c r="N10" s="20" t="s">
        <v>25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 t="str">
        <f t="shared" si="0"/>
        <v>Holanda_Ecuador</v>
      </c>
      <c r="AJ10" s="3">
        <f t="shared" si="1"/>
        <v>3</v>
      </c>
      <c r="AK10" s="3">
        <f t="shared" si="2"/>
        <v>0</v>
      </c>
      <c r="AL10" s="3" t="str">
        <f t="shared" si="3"/>
        <v>Holanda</v>
      </c>
      <c r="AM10" s="3"/>
      <c r="AN10" s="3">
        <f t="shared" si="4"/>
        <v>3</v>
      </c>
      <c r="AO10" s="3" t="s">
        <v>25</v>
      </c>
      <c r="AP10" s="3">
        <f t="shared" si="5"/>
        <v>4</v>
      </c>
      <c r="AQ10" s="3">
        <f t="shared" si="6"/>
        <v>-1</v>
      </c>
      <c r="AR10" s="3">
        <f t="shared" si="7"/>
        <v>3</v>
      </c>
      <c r="AS10" s="3">
        <f t="shared" si="8"/>
        <v>4</v>
      </c>
      <c r="AT10" s="3"/>
      <c r="AU10" s="3"/>
      <c r="AV10" s="3" t="str">
        <f t="shared" si="9"/>
        <v>Ecuador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-39990300</v>
      </c>
      <c r="BA10" s="3">
        <f t="shared" si="13"/>
        <v>-39990310</v>
      </c>
      <c r="BB10" s="3">
        <f t="shared" si="14"/>
        <v>-39990308</v>
      </c>
    </row>
    <row r="11" spans="2:54" x14ac:dyDescent="0.25">
      <c r="B11" s="36">
        <v>4</v>
      </c>
      <c r="C11" s="37" t="str">
        <f t="shared" ref="C11:G11" si="19">IFERROR(VLOOKUP($B11,$AN$7:$AS$11,C$5,FALSE),"")</f>
        <v>Qatar</v>
      </c>
      <c r="D11" s="38">
        <f t="shared" si="19"/>
        <v>0</v>
      </c>
      <c r="E11" s="38">
        <f t="shared" si="19"/>
        <v>1</v>
      </c>
      <c r="F11" s="38">
        <f t="shared" si="19"/>
        <v>7</v>
      </c>
      <c r="G11" s="39">
        <f t="shared" si="19"/>
        <v>-6</v>
      </c>
      <c r="I11" s="29">
        <f t="shared" si="17"/>
        <v>33</v>
      </c>
      <c r="J11" s="30">
        <v>44894</v>
      </c>
      <c r="K11" s="31" t="s">
        <v>25</v>
      </c>
      <c r="L11" s="23">
        <v>1</v>
      </c>
      <c r="M11" s="24">
        <v>1</v>
      </c>
      <c r="N11" s="29" t="s">
        <v>22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 t="str">
        <f t="shared" si="0"/>
        <v>Ecuador_Senegal</v>
      </c>
      <c r="AJ11" s="3">
        <f t="shared" si="1"/>
        <v>1</v>
      </c>
      <c r="AK11" s="3">
        <f t="shared" si="2"/>
        <v>1</v>
      </c>
      <c r="AL11" s="3" t="str">
        <f t="shared" si="3"/>
        <v>SIN GANADOR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34</v>
      </c>
      <c r="J12" s="41">
        <v>44894</v>
      </c>
      <c r="K12" s="42" t="s">
        <v>23</v>
      </c>
      <c r="L12" s="43">
        <v>3</v>
      </c>
      <c r="M12" s="44">
        <v>0</v>
      </c>
      <c r="N12" s="40" t="s">
        <v>24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 t="str">
        <f t="shared" si="0"/>
        <v>Holanda_Qatar</v>
      </c>
      <c r="AJ12" s="3">
        <f t="shared" si="1"/>
        <v>3</v>
      </c>
      <c r="AK12" s="3">
        <f t="shared" si="2"/>
        <v>0</v>
      </c>
      <c r="AL12" s="3" t="str">
        <f t="shared" si="3"/>
        <v>Holanda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26</v>
      </c>
      <c r="C22" s="46"/>
      <c r="D22" s="46"/>
      <c r="E22" s="46"/>
      <c r="F22" s="46"/>
      <c r="G22" s="46"/>
      <c r="H22" s="47"/>
      <c r="I22" s="3">
        <v>1</v>
      </c>
      <c r="J22" s="81" t="s">
        <v>27</v>
      </c>
      <c r="K22" s="82"/>
      <c r="L22" s="82"/>
      <c r="M22" s="8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28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24</v>
      </c>
      <c r="K23" s="99"/>
      <c r="L23" s="85"/>
      <c r="M23" s="51">
        <v>4</v>
      </c>
      <c r="N23" s="52">
        <f t="shared" ref="N23:N27" si="21">IF(J23="",0,M23)</f>
        <v>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29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23</v>
      </c>
      <c r="K24" s="101"/>
      <c r="L24" s="102"/>
      <c r="M24" s="53">
        <v>1</v>
      </c>
      <c r="N24" s="52">
        <f t="shared" si="21"/>
        <v>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22</v>
      </c>
      <c r="K25" s="101"/>
      <c r="L25" s="102"/>
      <c r="M25" s="54">
        <v>3</v>
      </c>
      <c r="N25" s="52">
        <f t="shared" si="21"/>
        <v>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31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25</v>
      </c>
      <c r="K26" s="104"/>
      <c r="L26" s="87"/>
      <c r="M26" s="55">
        <v>2</v>
      </c>
      <c r="N26" s="52">
        <f t="shared" si="21"/>
        <v>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32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6"/>
      <c r="C28" s="57"/>
      <c r="D28" s="57"/>
      <c r="E28" s="57"/>
      <c r="F28" s="57"/>
      <c r="G28" s="57"/>
      <c r="H28" s="58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103" priority="1">
      <formula>J23=""</formula>
    </cfRule>
  </conditionalFormatting>
  <conditionalFormatting sqref="M24:M26">
    <cfRule type="expression" dxfId="102" priority="2">
      <formula>J24=""</formula>
    </cfRule>
  </conditionalFormatting>
  <conditionalFormatting sqref="M25">
    <cfRule type="expression" dxfId="101" priority="3">
      <formula>J25=""</formula>
    </cfRule>
  </conditionalFormatting>
  <conditionalFormatting sqref="B22:H28 J22:M26">
    <cfRule type="expression" dxfId="100" priority="4">
      <formula>OR($I$22=0,AND($J$20="",$J$21="",$J$22="",$J$23=""))</formula>
    </cfRule>
  </conditionalFormatting>
  <conditionalFormatting sqref="N23:AH27">
    <cfRule type="expression" dxfId="99" priority="5">
      <formula>K23=""</formula>
    </cfRule>
  </conditionalFormatting>
  <conditionalFormatting sqref="N24:AH26">
    <cfRule type="expression" dxfId="98" priority="6">
      <formula>K24=""</formula>
    </cfRule>
  </conditionalFormatting>
  <conditionalFormatting sqref="N25:AH25">
    <cfRule type="expression" dxfId="97" priority="7">
      <formula>K25=""</formula>
    </cfRule>
  </conditionalFormatting>
  <conditionalFormatting sqref="N27:AH27">
    <cfRule type="expression" dxfId="96" priority="8">
      <formula>K27=""</formula>
    </cfRule>
  </conditionalFormatting>
  <conditionalFormatting sqref="N23:AH27">
    <cfRule type="expression" dxfId="95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B1000"/>
  <sheetViews>
    <sheetView workbookViewId="0"/>
  </sheetViews>
  <sheetFormatPr baseColWidth="10" defaultColWidth="14.42578125" defaultRowHeight="15" customHeight="1" x14ac:dyDescent="0.25"/>
  <cols>
    <col min="1" max="14" width="10.7109375" customWidth="1"/>
    <col min="15" max="34" width="11.4257812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33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6</v>
      </c>
      <c r="C6" s="95"/>
      <c r="D6" s="95"/>
      <c r="E6" s="95"/>
      <c r="F6" s="95"/>
      <c r="G6" s="96"/>
      <c r="J6" s="6" t="s">
        <v>7</v>
      </c>
      <c r="K6" s="97" t="s">
        <v>8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9</v>
      </c>
      <c r="AM6" s="3"/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15</v>
      </c>
      <c r="AT6" s="3"/>
      <c r="AU6" s="3"/>
      <c r="AV6" s="3" t="s">
        <v>11</v>
      </c>
      <c r="AW6" s="3" t="s">
        <v>16</v>
      </c>
      <c r="AX6" s="3" t="s">
        <v>9</v>
      </c>
      <c r="AY6" s="3" t="s">
        <v>17</v>
      </c>
      <c r="AZ6" s="3" t="s">
        <v>18</v>
      </c>
      <c r="BA6" s="3" t="s">
        <v>19</v>
      </c>
      <c r="BB6" s="3" t="s">
        <v>20</v>
      </c>
    </row>
    <row r="7" spans="2:54" x14ac:dyDescent="0.25">
      <c r="B7" s="7" t="s">
        <v>21</v>
      </c>
      <c r="C7" s="8" t="s">
        <v>11</v>
      </c>
      <c r="D7" s="9" t="s">
        <v>12</v>
      </c>
      <c r="E7" s="9" t="s">
        <v>14</v>
      </c>
      <c r="F7" s="9" t="s">
        <v>15</v>
      </c>
      <c r="G7" s="10" t="s">
        <v>13</v>
      </c>
      <c r="I7" s="11">
        <v>3</v>
      </c>
      <c r="J7" s="12">
        <v>44886</v>
      </c>
      <c r="K7" s="13" t="s">
        <v>34</v>
      </c>
      <c r="L7" s="14">
        <v>2</v>
      </c>
      <c r="M7" s="15">
        <v>1</v>
      </c>
      <c r="N7" s="11" t="s">
        <v>35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Inglaterra_Iran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Inglaterra</v>
      </c>
      <c r="AM7" s="3"/>
      <c r="AN7" s="3">
        <f t="shared" ref="AN7:AN10" si="4">_xlfn.RANK.EQ(BB7,BB$7:BB$11,1)</f>
        <v>1</v>
      </c>
      <c r="AO7" s="3" t="s">
        <v>34</v>
      </c>
      <c r="AP7" s="3">
        <f t="shared" ref="AP7:AP10" si="5">SUMIF($K$7:$K$12,AO7,$AJ$7:$AJ$12) + SUMIF($N$7:$N$12,AO7,$AK$7:$AK$12)</f>
        <v>7</v>
      </c>
      <c r="AQ7" s="3">
        <f t="shared" ref="AQ7:AQ10" si="6">AR7-AS7</f>
        <v>3</v>
      </c>
      <c r="AR7" s="3">
        <f t="shared" ref="AR7:AR10" si="7">SUMIF($K$7:$K$12,AO7,$L$7:$L$12) + SUMIF($N$7:$N$12,AO7,$M$7:$M$12)</f>
        <v>8</v>
      </c>
      <c r="AS7" s="3">
        <f t="shared" ref="AS7:AS10" si="8">SUMIF($K$7:$K$12,AO7,$M$7:$M$12) + SUMIF($N$7:$N$12,AO7,$L$7:$L$12)</f>
        <v>5</v>
      </c>
      <c r="AT7" s="3"/>
      <c r="AU7" s="3"/>
      <c r="AV7" s="3" t="str">
        <f t="shared" ref="AV7:AV10" si="9">AO7</f>
        <v>Inglaterra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-70030800</v>
      </c>
      <c r="BA7" s="3">
        <f t="shared" ref="BA7:BA10" si="13">AZ7-AY7*10</f>
        <v>-70030810</v>
      </c>
      <c r="BB7" s="3">
        <f t="shared" ref="BB7:BB10" si="14">BA7+N23</f>
        <v>-70030809</v>
      </c>
    </row>
    <row r="8" spans="2:54" x14ac:dyDescent="0.25">
      <c r="B8" s="16">
        <v>1</v>
      </c>
      <c r="C8" s="17" t="str">
        <f t="shared" ref="C8:G8" si="15">IFERROR(VLOOKUP($B8,$AN$7:$AS$11,C$5,FALSE),"")</f>
        <v>Inglaterra</v>
      </c>
      <c r="D8" s="18">
        <f t="shared" si="15"/>
        <v>7</v>
      </c>
      <c r="E8" s="18">
        <f t="shared" si="15"/>
        <v>8</v>
      </c>
      <c r="F8" s="18">
        <f t="shared" si="15"/>
        <v>5</v>
      </c>
      <c r="G8" s="19">
        <f t="shared" si="15"/>
        <v>3</v>
      </c>
      <c r="I8" s="20">
        <v>4</v>
      </c>
      <c r="J8" s="21">
        <v>44886</v>
      </c>
      <c r="K8" s="22" t="s">
        <v>36</v>
      </c>
      <c r="L8" s="23">
        <v>3</v>
      </c>
      <c r="M8" s="24">
        <v>1</v>
      </c>
      <c r="N8" s="20" t="s">
        <v>37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USA_Gales</v>
      </c>
      <c r="AJ8" s="3">
        <f t="shared" si="1"/>
        <v>3</v>
      </c>
      <c r="AK8" s="3">
        <f t="shared" si="2"/>
        <v>0</v>
      </c>
      <c r="AL8" s="3" t="str">
        <f t="shared" si="3"/>
        <v>USA</v>
      </c>
      <c r="AM8" s="3"/>
      <c r="AN8" s="3">
        <f t="shared" si="4"/>
        <v>2</v>
      </c>
      <c r="AO8" s="3" t="s">
        <v>36</v>
      </c>
      <c r="AP8" s="3">
        <f t="shared" si="5"/>
        <v>7</v>
      </c>
      <c r="AQ8" s="3">
        <f t="shared" si="6"/>
        <v>3</v>
      </c>
      <c r="AR8" s="3">
        <f t="shared" si="7"/>
        <v>7</v>
      </c>
      <c r="AS8" s="3">
        <f t="shared" si="8"/>
        <v>4</v>
      </c>
      <c r="AT8" s="3"/>
      <c r="AU8" s="3"/>
      <c r="AV8" s="3" t="str">
        <f t="shared" si="9"/>
        <v>USA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-70030700</v>
      </c>
      <c r="BA8" s="3">
        <f t="shared" si="13"/>
        <v>-70030710</v>
      </c>
      <c r="BB8" s="3">
        <f t="shared" si="14"/>
        <v>-70030708</v>
      </c>
    </row>
    <row r="9" spans="2:54" x14ac:dyDescent="0.25">
      <c r="B9" s="25">
        <v>2</v>
      </c>
      <c r="C9" s="26" t="str">
        <f t="shared" ref="C9:G9" si="16">IFERROR(VLOOKUP($B9,$AN$7:$AS$11,C$5,FALSE),"")</f>
        <v>USA</v>
      </c>
      <c r="D9" s="27">
        <f t="shared" si="16"/>
        <v>7</v>
      </c>
      <c r="E9" s="27">
        <f t="shared" si="16"/>
        <v>7</v>
      </c>
      <c r="F9" s="27">
        <f t="shared" si="16"/>
        <v>4</v>
      </c>
      <c r="G9" s="28">
        <f t="shared" si="16"/>
        <v>3</v>
      </c>
      <c r="I9" s="29">
        <f t="shared" ref="I9:I12" si="17">I7+16</f>
        <v>19</v>
      </c>
      <c r="J9" s="30">
        <v>44890</v>
      </c>
      <c r="K9" s="31" t="s">
        <v>37</v>
      </c>
      <c r="L9" s="23">
        <v>1</v>
      </c>
      <c r="M9" s="24">
        <v>2</v>
      </c>
      <c r="N9" s="29" t="s">
        <v>35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Gales_Iran</v>
      </c>
      <c r="AJ9" s="3">
        <f t="shared" si="1"/>
        <v>0</v>
      </c>
      <c r="AK9" s="3">
        <f t="shared" si="2"/>
        <v>3</v>
      </c>
      <c r="AL9" s="3" t="str">
        <f t="shared" si="3"/>
        <v>Iran</v>
      </c>
      <c r="AM9" s="3"/>
      <c r="AN9" s="3">
        <f t="shared" si="4"/>
        <v>3</v>
      </c>
      <c r="AO9" s="3" t="s">
        <v>35</v>
      </c>
      <c r="AP9" s="3">
        <f t="shared" si="5"/>
        <v>3</v>
      </c>
      <c r="AQ9" s="3">
        <f t="shared" si="6"/>
        <v>-1</v>
      </c>
      <c r="AR9" s="3">
        <f t="shared" si="7"/>
        <v>4</v>
      </c>
      <c r="AS9" s="3">
        <f t="shared" si="8"/>
        <v>5</v>
      </c>
      <c r="AT9" s="3"/>
      <c r="AU9" s="3"/>
      <c r="AV9" s="3" t="str">
        <f t="shared" si="9"/>
        <v>Iran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-29990400</v>
      </c>
      <c r="BA9" s="3">
        <f t="shared" si="13"/>
        <v>-29990410</v>
      </c>
      <c r="BB9" s="3">
        <f t="shared" si="14"/>
        <v>-29990406</v>
      </c>
    </row>
    <row r="10" spans="2:54" x14ac:dyDescent="0.25">
      <c r="B10" s="32">
        <v>3</v>
      </c>
      <c r="C10" s="33" t="str">
        <f t="shared" ref="C10:G10" si="18">IFERROR(VLOOKUP($B10,$AN$7:$AS$11,C$5,FALSE),"")</f>
        <v>Iran</v>
      </c>
      <c r="D10" s="34">
        <f t="shared" si="18"/>
        <v>3</v>
      </c>
      <c r="E10" s="34">
        <f t="shared" si="18"/>
        <v>4</v>
      </c>
      <c r="F10" s="34">
        <f t="shared" si="18"/>
        <v>5</v>
      </c>
      <c r="G10" s="35">
        <f t="shared" si="18"/>
        <v>-1</v>
      </c>
      <c r="I10" s="20">
        <f t="shared" si="17"/>
        <v>20</v>
      </c>
      <c r="J10" s="21">
        <v>44890</v>
      </c>
      <c r="K10" s="22" t="s">
        <v>34</v>
      </c>
      <c r="L10" s="23">
        <v>2</v>
      </c>
      <c r="M10" s="24">
        <v>2</v>
      </c>
      <c r="N10" s="20" t="s">
        <v>36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Inglaterra_USA</v>
      </c>
      <c r="AJ10" s="3">
        <f t="shared" si="1"/>
        <v>1</v>
      </c>
      <c r="AK10" s="3">
        <f t="shared" si="2"/>
        <v>1</v>
      </c>
      <c r="AL10" s="3" t="str">
        <f t="shared" si="3"/>
        <v>SIN GANADOR</v>
      </c>
      <c r="AM10" s="3"/>
      <c r="AN10" s="3">
        <f t="shared" si="4"/>
        <v>4</v>
      </c>
      <c r="AO10" s="3" t="s">
        <v>37</v>
      </c>
      <c r="AP10" s="3">
        <f t="shared" si="5"/>
        <v>0</v>
      </c>
      <c r="AQ10" s="3">
        <f t="shared" si="6"/>
        <v>-5</v>
      </c>
      <c r="AR10" s="3">
        <f t="shared" si="7"/>
        <v>4</v>
      </c>
      <c r="AS10" s="3">
        <f t="shared" si="8"/>
        <v>9</v>
      </c>
      <c r="AT10" s="3"/>
      <c r="AU10" s="3"/>
      <c r="AV10" s="3" t="str">
        <f t="shared" si="9"/>
        <v>Gales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49600</v>
      </c>
      <c r="BA10" s="3">
        <f t="shared" si="13"/>
        <v>49590</v>
      </c>
      <c r="BB10" s="3">
        <f t="shared" si="14"/>
        <v>49593</v>
      </c>
    </row>
    <row r="11" spans="2:54" x14ac:dyDescent="0.25">
      <c r="B11" s="36">
        <v>4</v>
      </c>
      <c r="C11" s="37" t="str">
        <f t="shared" ref="C11:G11" si="19">IFERROR(VLOOKUP($B11,$AN$7:$AS$11,C$5,FALSE),"")</f>
        <v>Gales</v>
      </c>
      <c r="D11" s="38">
        <f t="shared" si="19"/>
        <v>0</v>
      </c>
      <c r="E11" s="38">
        <f t="shared" si="19"/>
        <v>4</v>
      </c>
      <c r="F11" s="38">
        <f t="shared" si="19"/>
        <v>9</v>
      </c>
      <c r="G11" s="39">
        <f t="shared" si="19"/>
        <v>-5</v>
      </c>
      <c r="I11" s="29">
        <f t="shared" si="17"/>
        <v>35</v>
      </c>
      <c r="J11" s="30">
        <v>44894</v>
      </c>
      <c r="K11" s="31" t="s">
        <v>37</v>
      </c>
      <c r="L11" s="23">
        <v>2</v>
      </c>
      <c r="M11" s="24">
        <v>4</v>
      </c>
      <c r="N11" s="29" t="s">
        <v>34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Gales_Inglaterra</v>
      </c>
      <c r="AJ11" s="3">
        <f t="shared" si="1"/>
        <v>0</v>
      </c>
      <c r="AK11" s="3">
        <f t="shared" si="2"/>
        <v>3</v>
      </c>
      <c r="AL11" s="3" t="str">
        <f t="shared" si="3"/>
        <v>Inglaterra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36</v>
      </c>
      <c r="J12" s="41">
        <v>44894</v>
      </c>
      <c r="K12" s="42" t="s">
        <v>35</v>
      </c>
      <c r="L12" s="43">
        <v>1</v>
      </c>
      <c r="M12" s="44">
        <v>2</v>
      </c>
      <c r="N12" s="40" t="s">
        <v>36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Iran_USA</v>
      </c>
      <c r="AJ12" s="3">
        <f t="shared" si="1"/>
        <v>0</v>
      </c>
      <c r="AK12" s="3">
        <f t="shared" si="2"/>
        <v>3</v>
      </c>
      <c r="AL12" s="3" t="str">
        <f t="shared" si="3"/>
        <v>USA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26</v>
      </c>
      <c r="C22" s="46"/>
      <c r="D22" s="46"/>
      <c r="E22" s="46"/>
      <c r="F22" s="46"/>
      <c r="G22" s="46"/>
      <c r="H22" s="47"/>
      <c r="I22" s="3">
        <v>1</v>
      </c>
      <c r="J22" s="81" t="s">
        <v>27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28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34</v>
      </c>
      <c r="K23" s="99"/>
      <c r="L23" s="85"/>
      <c r="M23" s="59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29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36</v>
      </c>
      <c r="K24" s="101"/>
      <c r="L24" s="102"/>
      <c r="M24" s="54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35</v>
      </c>
      <c r="K25" s="101"/>
      <c r="L25" s="102"/>
      <c r="M25" s="53">
        <v>4</v>
      </c>
      <c r="N25" s="52">
        <f t="shared" si="21"/>
        <v>4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31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37</v>
      </c>
      <c r="K26" s="104"/>
      <c r="L26" s="87"/>
      <c r="M26" s="55">
        <v>3</v>
      </c>
      <c r="N26" s="52">
        <f t="shared" si="21"/>
        <v>3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32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6"/>
      <c r="C28" s="57"/>
      <c r="D28" s="57"/>
      <c r="E28" s="57"/>
      <c r="F28" s="57"/>
      <c r="G28" s="57"/>
      <c r="H28" s="58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94" priority="1">
      <formula>J23=""</formula>
    </cfRule>
  </conditionalFormatting>
  <conditionalFormatting sqref="M24:M26">
    <cfRule type="expression" dxfId="93" priority="2">
      <formula>J24=""</formula>
    </cfRule>
  </conditionalFormatting>
  <conditionalFormatting sqref="M25">
    <cfRule type="expression" dxfId="92" priority="3">
      <formula>J25=""</formula>
    </cfRule>
  </conditionalFormatting>
  <conditionalFormatting sqref="B22:H28 J22:M26">
    <cfRule type="expression" dxfId="91" priority="4">
      <formula>OR($I$22=0,AND($J$20="",$J$21="",$J$22="",$J$23=""))</formula>
    </cfRule>
  </conditionalFormatting>
  <conditionalFormatting sqref="N23:AH27">
    <cfRule type="expression" dxfId="90" priority="5">
      <formula>K23=""</formula>
    </cfRule>
  </conditionalFormatting>
  <conditionalFormatting sqref="N24:AH26">
    <cfRule type="expression" dxfId="89" priority="6">
      <formula>K24=""</formula>
    </cfRule>
  </conditionalFormatting>
  <conditionalFormatting sqref="N25:AH25">
    <cfRule type="expression" dxfId="88" priority="7">
      <formula>K25=""</formula>
    </cfRule>
  </conditionalFormatting>
  <conditionalFormatting sqref="N27:AH27">
    <cfRule type="expression" dxfId="87" priority="8">
      <formula>K27=""</formula>
    </cfRule>
  </conditionalFormatting>
  <conditionalFormatting sqref="N23:AH27">
    <cfRule type="expression" dxfId="86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38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6</v>
      </c>
      <c r="C6" s="95"/>
      <c r="D6" s="95"/>
      <c r="E6" s="95"/>
      <c r="F6" s="95"/>
      <c r="G6" s="96"/>
      <c r="J6" s="6" t="s">
        <v>7</v>
      </c>
      <c r="K6" s="97" t="s">
        <v>8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9</v>
      </c>
      <c r="AM6" s="3"/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15</v>
      </c>
      <c r="AT6" s="3"/>
      <c r="AU6" s="3"/>
      <c r="AV6" s="3" t="s">
        <v>11</v>
      </c>
      <c r="AW6" s="3" t="s">
        <v>16</v>
      </c>
      <c r="AX6" s="3" t="s">
        <v>9</v>
      </c>
      <c r="AY6" s="3" t="s">
        <v>17</v>
      </c>
      <c r="AZ6" s="3" t="s">
        <v>18</v>
      </c>
      <c r="BA6" s="3" t="s">
        <v>19</v>
      </c>
      <c r="BB6" s="3" t="s">
        <v>20</v>
      </c>
    </row>
    <row r="7" spans="2:54" x14ac:dyDescent="0.25">
      <c r="B7" s="7" t="s">
        <v>21</v>
      </c>
      <c r="C7" s="8" t="s">
        <v>11</v>
      </c>
      <c r="D7" s="9" t="s">
        <v>12</v>
      </c>
      <c r="E7" s="9" t="s">
        <v>14</v>
      </c>
      <c r="F7" s="9" t="s">
        <v>15</v>
      </c>
      <c r="G7" s="10" t="s">
        <v>13</v>
      </c>
      <c r="I7" s="11">
        <v>5</v>
      </c>
      <c r="J7" s="12">
        <v>44887</v>
      </c>
      <c r="K7" s="13" t="s">
        <v>39</v>
      </c>
      <c r="L7" s="14">
        <v>1</v>
      </c>
      <c r="M7" s="15">
        <v>2</v>
      </c>
      <c r="N7" s="11" t="s">
        <v>40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Mexico_Polonia</v>
      </c>
      <c r="AJ7" s="3">
        <f t="shared" ref="AJ7:AJ12" si="1">IF(L7&gt;M7,3,IF(L7&lt;M7,0,1))</f>
        <v>0</v>
      </c>
      <c r="AK7" s="3">
        <f t="shared" ref="AK7:AK12" si="2">IF(AJ7=3,0,IF(AJ7=1,1,3))</f>
        <v>3</v>
      </c>
      <c r="AL7" s="3" t="str">
        <f t="shared" ref="AL7:AL12" si="3">IF(AJ7&gt;AK7,K7,IF(AK7&gt;AJ7,N7,"SIN GANADOR"))</f>
        <v>Polonia</v>
      </c>
      <c r="AM7" s="3"/>
      <c r="AN7" s="3">
        <f t="shared" ref="AN7:AN10" si="4">_xlfn.RANK.EQ(BB7,BB$7:BB$11,1)</f>
        <v>1</v>
      </c>
      <c r="AO7" s="3" t="s">
        <v>41</v>
      </c>
      <c r="AP7" s="3">
        <f t="shared" ref="AP7:AP10" si="5">SUMIF($K$7:$K$12,AO7,$AJ$7:$AJ$12) + SUMIF($N$7:$N$12,AO7,$AK$7:$AK$12)</f>
        <v>9</v>
      </c>
      <c r="AQ7" s="3">
        <f t="shared" ref="AQ7:AQ10" si="6">AR7-AS7</f>
        <v>7</v>
      </c>
      <c r="AR7" s="3">
        <f t="shared" ref="AR7:AR10" si="7">SUMIF($K$7:$K$12,AO7,$L$7:$L$12) + SUMIF($N$7:$N$12,AO7,$M$7:$M$12)</f>
        <v>9</v>
      </c>
      <c r="AS7" s="3">
        <f t="shared" ref="AS7:AS10" si="8">SUMIF($K$7:$K$12,AO7,$M$7:$M$12) + SUMIF($N$7:$N$12,AO7,$L$7:$L$12)</f>
        <v>2</v>
      </c>
      <c r="AT7" s="3"/>
      <c r="AU7" s="3"/>
      <c r="AV7" s="3" t="str">
        <f t="shared" ref="AV7:AV10" si="9">AO7</f>
        <v>Argentina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-90070900</v>
      </c>
      <c r="BA7" s="3">
        <f t="shared" ref="BA7:BA10" si="13">AZ7-AY7*10</f>
        <v>-90070910</v>
      </c>
      <c r="BB7" s="3">
        <f t="shared" ref="BB7:BB10" si="14">BA7+N23</f>
        <v>-90070909</v>
      </c>
    </row>
    <row r="8" spans="2:54" x14ac:dyDescent="0.25">
      <c r="B8" s="16">
        <v>1</v>
      </c>
      <c r="C8" s="17" t="str">
        <f t="shared" ref="C8:G8" si="15">IFERROR(VLOOKUP($B8,$AN$7:$AS$11,C$5,FALSE),"")</f>
        <v>Argentina</v>
      </c>
      <c r="D8" s="18">
        <f t="shared" si="15"/>
        <v>9</v>
      </c>
      <c r="E8" s="18">
        <f t="shared" si="15"/>
        <v>9</v>
      </c>
      <c r="F8" s="18">
        <f t="shared" si="15"/>
        <v>2</v>
      </c>
      <c r="G8" s="19">
        <f t="shared" si="15"/>
        <v>7</v>
      </c>
      <c r="I8" s="20">
        <v>6</v>
      </c>
      <c r="J8" s="21">
        <v>44887</v>
      </c>
      <c r="K8" s="22" t="s">
        <v>41</v>
      </c>
      <c r="L8" s="23">
        <v>4</v>
      </c>
      <c r="M8" s="24">
        <v>0</v>
      </c>
      <c r="N8" s="20" t="s">
        <v>42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Argentina_Arabia Saudita</v>
      </c>
      <c r="AJ8" s="3">
        <f t="shared" si="1"/>
        <v>3</v>
      </c>
      <c r="AK8" s="3">
        <f t="shared" si="2"/>
        <v>0</v>
      </c>
      <c r="AL8" s="3" t="str">
        <f t="shared" si="3"/>
        <v>Argentina</v>
      </c>
      <c r="AM8" s="3"/>
      <c r="AN8" s="3">
        <f t="shared" si="4"/>
        <v>3</v>
      </c>
      <c r="AO8" s="3" t="s">
        <v>39</v>
      </c>
      <c r="AP8" s="3">
        <f t="shared" si="5"/>
        <v>3</v>
      </c>
      <c r="AQ8" s="3">
        <f t="shared" si="6"/>
        <v>-2</v>
      </c>
      <c r="AR8" s="3">
        <f t="shared" si="7"/>
        <v>3</v>
      </c>
      <c r="AS8" s="3">
        <f t="shared" si="8"/>
        <v>5</v>
      </c>
      <c r="AT8" s="3"/>
      <c r="AU8" s="3"/>
      <c r="AV8" s="3" t="str">
        <f t="shared" si="9"/>
        <v>Mexico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-29980300</v>
      </c>
      <c r="BA8" s="3">
        <f t="shared" si="13"/>
        <v>-29980310</v>
      </c>
      <c r="BB8" s="3">
        <f t="shared" si="14"/>
        <v>-29980307</v>
      </c>
    </row>
    <row r="9" spans="2:54" x14ac:dyDescent="0.25">
      <c r="B9" s="25">
        <v>2</v>
      </c>
      <c r="C9" s="26" t="str">
        <f t="shared" ref="C9:G9" si="16">IFERROR(VLOOKUP($B9,$AN$7:$AS$11,C$5,FALSE),"")</f>
        <v>Polonia</v>
      </c>
      <c r="D9" s="27">
        <f t="shared" si="16"/>
        <v>6</v>
      </c>
      <c r="E9" s="27">
        <f t="shared" si="16"/>
        <v>5</v>
      </c>
      <c r="F9" s="27">
        <f t="shared" si="16"/>
        <v>3</v>
      </c>
      <c r="G9" s="28">
        <f t="shared" si="16"/>
        <v>2</v>
      </c>
      <c r="I9" s="29">
        <f t="shared" ref="I9:I12" si="17">I7+16</f>
        <v>21</v>
      </c>
      <c r="J9" s="30">
        <v>44891</v>
      </c>
      <c r="K9" s="31" t="s">
        <v>40</v>
      </c>
      <c r="L9" s="23">
        <v>2</v>
      </c>
      <c r="M9" s="24">
        <v>0</v>
      </c>
      <c r="N9" s="29" t="s">
        <v>42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Polonia_Arabia Saudita</v>
      </c>
      <c r="AJ9" s="3">
        <f t="shared" si="1"/>
        <v>3</v>
      </c>
      <c r="AK9" s="3">
        <f t="shared" si="2"/>
        <v>0</v>
      </c>
      <c r="AL9" s="3" t="str">
        <f t="shared" si="3"/>
        <v>Polonia</v>
      </c>
      <c r="AM9" s="3"/>
      <c r="AN9" s="3">
        <f t="shared" si="4"/>
        <v>2</v>
      </c>
      <c r="AO9" s="3" t="s">
        <v>40</v>
      </c>
      <c r="AP9" s="3">
        <f t="shared" si="5"/>
        <v>6</v>
      </c>
      <c r="AQ9" s="3">
        <f t="shared" si="6"/>
        <v>2</v>
      </c>
      <c r="AR9" s="3">
        <f t="shared" si="7"/>
        <v>5</v>
      </c>
      <c r="AS9" s="3">
        <f t="shared" si="8"/>
        <v>3</v>
      </c>
      <c r="AT9" s="3"/>
      <c r="AU9" s="3"/>
      <c r="AV9" s="3" t="str">
        <f t="shared" si="9"/>
        <v>Polonia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-60020500</v>
      </c>
      <c r="BA9" s="3">
        <f t="shared" si="13"/>
        <v>-60020510</v>
      </c>
      <c r="BB9" s="3">
        <f t="shared" si="14"/>
        <v>-60020508</v>
      </c>
    </row>
    <row r="10" spans="2:54" x14ac:dyDescent="0.25">
      <c r="B10" s="32">
        <v>3</v>
      </c>
      <c r="C10" s="33" t="str">
        <f t="shared" ref="C10:G10" si="18">IFERROR(VLOOKUP($B10,$AN$7:$AS$11,C$5,FALSE),"")</f>
        <v>Mexico</v>
      </c>
      <c r="D10" s="34">
        <f t="shared" si="18"/>
        <v>3</v>
      </c>
      <c r="E10" s="34">
        <f t="shared" si="18"/>
        <v>3</v>
      </c>
      <c r="F10" s="34">
        <f t="shared" si="18"/>
        <v>5</v>
      </c>
      <c r="G10" s="35">
        <f t="shared" si="18"/>
        <v>-2</v>
      </c>
      <c r="I10" s="20">
        <f t="shared" si="17"/>
        <v>22</v>
      </c>
      <c r="J10" s="21">
        <v>44891</v>
      </c>
      <c r="K10" s="22" t="s">
        <v>41</v>
      </c>
      <c r="L10" s="23">
        <v>3</v>
      </c>
      <c r="M10" s="24">
        <v>1</v>
      </c>
      <c r="N10" s="20" t="s">
        <v>39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Argentina_Mexico</v>
      </c>
      <c r="AJ10" s="3">
        <f t="shared" si="1"/>
        <v>3</v>
      </c>
      <c r="AK10" s="3">
        <f t="shared" si="2"/>
        <v>0</v>
      </c>
      <c r="AL10" s="3" t="str">
        <f t="shared" si="3"/>
        <v>Argentina</v>
      </c>
      <c r="AM10" s="3"/>
      <c r="AN10" s="3">
        <f t="shared" si="4"/>
        <v>4</v>
      </c>
      <c r="AO10" s="3" t="s">
        <v>42</v>
      </c>
      <c r="AP10" s="3">
        <f t="shared" si="5"/>
        <v>0</v>
      </c>
      <c r="AQ10" s="3">
        <f t="shared" si="6"/>
        <v>-7</v>
      </c>
      <c r="AR10" s="3">
        <f t="shared" si="7"/>
        <v>0</v>
      </c>
      <c r="AS10" s="3">
        <f t="shared" si="8"/>
        <v>7</v>
      </c>
      <c r="AT10" s="3"/>
      <c r="AU10" s="3"/>
      <c r="AV10" s="3" t="str">
        <f t="shared" si="9"/>
        <v>Arabia Saudita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70000</v>
      </c>
      <c r="BA10" s="3">
        <f t="shared" si="13"/>
        <v>69990</v>
      </c>
      <c r="BB10" s="3">
        <f t="shared" si="14"/>
        <v>69994</v>
      </c>
    </row>
    <row r="11" spans="2:54" x14ac:dyDescent="0.25">
      <c r="B11" s="36">
        <v>4</v>
      </c>
      <c r="C11" s="37" t="str">
        <f t="shared" ref="C11:G11" si="19">IFERROR(VLOOKUP($B11,$AN$7:$AS$11,C$5,FALSE),"")</f>
        <v>Arabia Saudita</v>
      </c>
      <c r="D11" s="38">
        <f t="shared" si="19"/>
        <v>0</v>
      </c>
      <c r="E11" s="38">
        <f t="shared" si="19"/>
        <v>0</v>
      </c>
      <c r="F11" s="38">
        <f t="shared" si="19"/>
        <v>7</v>
      </c>
      <c r="G11" s="39">
        <f t="shared" si="19"/>
        <v>-7</v>
      </c>
      <c r="I11" s="29">
        <f t="shared" si="17"/>
        <v>37</v>
      </c>
      <c r="J11" s="30">
        <v>44895</v>
      </c>
      <c r="K11" s="31" t="s">
        <v>40</v>
      </c>
      <c r="L11" s="23">
        <v>1</v>
      </c>
      <c r="M11" s="24">
        <v>2</v>
      </c>
      <c r="N11" s="29" t="s">
        <v>41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Polonia_Argentina</v>
      </c>
      <c r="AJ11" s="3">
        <f t="shared" si="1"/>
        <v>0</v>
      </c>
      <c r="AK11" s="3">
        <f t="shared" si="2"/>
        <v>3</v>
      </c>
      <c r="AL11" s="3" t="str">
        <f t="shared" si="3"/>
        <v>Argentina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38</v>
      </c>
      <c r="J12" s="41">
        <v>44895</v>
      </c>
      <c r="K12" s="42" t="s">
        <v>42</v>
      </c>
      <c r="L12" s="43">
        <v>0</v>
      </c>
      <c r="M12" s="44">
        <v>1</v>
      </c>
      <c r="N12" s="40" t="s">
        <v>39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Arabia Saudita_Mexico</v>
      </c>
      <c r="AJ12" s="3">
        <f t="shared" si="1"/>
        <v>0</v>
      </c>
      <c r="AK12" s="3">
        <f t="shared" si="2"/>
        <v>3</v>
      </c>
      <c r="AL12" s="3" t="str">
        <f t="shared" si="3"/>
        <v>Mexico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26</v>
      </c>
      <c r="C22" s="46"/>
      <c r="D22" s="46"/>
      <c r="E22" s="46"/>
      <c r="F22" s="46"/>
      <c r="G22" s="46"/>
      <c r="H22" s="47"/>
      <c r="I22" s="3">
        <v>1</v>
      </c>
      <c r="J22" s="81" t="s">
        <v>27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28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41</v>
      </c>
      <c r="K23" s="99"/>
      <c r="L23" s="85"/>
      <c r="M23" s="59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29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39</v>
      </c>
      <c r="K24" s="101"/>
      <c r="L24" s="102"/>
      <c r="M24" s="53">
        <v>3</v>
      </c>
      <c r="N24" s="52">
        <f t="shared" si="21"/>
        <v>3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40</v>
      </c>
      <c r="K25" s="101"/>
      <c r="L25" s="102"/>
      <c r="M25" s="53">
        <v>2</v>
      </c>
      <c r="N25" s="52">
        <f t="shared" si="21"/>
        <v>2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31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42</v>
      </c>
      <c r="K26" s="104"/>
      <c r="L26" s="87"/>
      <c r="M26" s="60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32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6"/>
      <c r="C28" s="57"/>
      <c r="D28" s="57"/>
      <c r="E28" s="57"/>
      <c r="F28" s="57"/>
      <c r="G28" s="57"/>
      <c r="H28" s="58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85" priority="1">
      <formula>J23=""</formula>
    </cfRule>
  </conditionalFormatting>
  <conditionalFormatting sqref="M24:M26">
    <cfRule type="expression" dxfId="84" priority="2">
      <formula>J24=""</formula>
    </cfRule>
  </conditionalFormatting>
  <conditionalFormatting sqref="M25">
    <cfRule type="expression" dxfId="83" priority="3">
      <formula>J25=""</formula>
    </cfRule>
  </conditionalFormatting>
  <conditionalFormatting sqref="B22:H28 J22:M26">
    <cfRule type="expression" dxfId="82" priority="4">
      <formula>OR($I$22=0,AND($J$20="",$J$21="",$J$22="",$J$23=""))</formula>
    </cfRule>
  </conditionalFormatting>
  <conditionalFormatting sqref="N23:AH27">
    <cfRule type="expression" dxfId="81" priority="5">
      <formula>K23=""</formula>
    </cfRule>
  </conditionalFormatting>
  <conditionalFormatting sqref="N24:AH26">
    <cfRule type="expression" dxfId="80" priority="6">
      <formula>K24=""</formula>
    </cfRule>
  </conditionalFormatting>
  <conditionalFormatting sqref="N25:AH25">
    <cfRule type="expression" dxfId="79" priority="7">
      <formula>K25=""</formula>
    </cfRule>
  </conditionalFormatting>
  <conditionalFormatting sqref="N27:AH27">
    <cfRule type="expression" dxfId="78" priority="8">
      <formula>K27=""</formula>
    </cfRule>
  </conditionalFormatting>
  <conditionalFormatting sqref="N23:AH27">
    <cfRule type="expression" dxfId="77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43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6</v>
      </c>
      <c r="C6" s="95"/>
      <c r="D6" s="95"/>
      <c r="E6" s="95"/>
      <c r="F6" s="95"/>
      <c r="G6" s="96"/>
      <c r="J6" s="6" t="s">
        <v>7</v>
      </c>
      <c r="K6" s="97" t="s">
        <v>8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9</v>
      </c>
      <c r="AM6" s="3"/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15</v>
      </c>
      <c r="AT6" s="3"/>
      <c r="AU6" s="3"/>
      <c r="AV6" s="3" t="s">
        <v>11</v>
      </c>
      <c r="AW6" s="3" t="s">
        <v>16</v>
      </c>
      <c r="AX6" s="3" t="s">
        <v>9</v>
      </c>
      <c r="AY6" s="3" t="s">
        <v>17</v>
      </c>
      <c r="AZ6" s="3" t="s">
        <v>18</v>
      </c>
      <c r="BA6" s="3" t="s">
        <v>19</v>
      </c>
      <c r="BB6" s="3" t="s">
        <v>20</v>
      </c>
    </row>
    <row r="7" spans="2:54" x14ac:dyDescent="0.25">
      <c r="B7" s="7" t="s">
        <v>21</v>
      </c>
      <c r="C7" s="8" t="s">
        <v>11</v>
      </c>
      <c r="D7" s="9" t="s">
        <v>12</v>
      </c>
      <c r="E7" s="9" t="s">
        <v>14</v>
      </c>
      <c r="F7" s="9" t="s">
        <v>15</v>
      </c>
      <c r="G7" s="10" t="s">
        <v>13</v>
      </c>
      <c r="I7" s="11">
        <v>7</v>
      </c>
      <c r="J7" s="12">
        <v>44887</v>
      </c>
      <c r="K7" s="13" t="s">
        <v>44</v>
      </c>
      <c r="L7" s="14">
        <v>2</v>
      </c>
      <c r="M7" s="15">
        <v>0</v>
      </c>
      <c r="N7" s="11" t="s">
        <v>45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Dinamarca_Tunez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Dinamarca</v>
      </c>
      <c r="AM7" s="3"/>
      <c r="AN7" s="3">
        <f t="shared" ref="AN7:AN10" si="4">_xlfn.RANK.EQ(BB7,BB$7:BB$11,1)</f>
        <v>1</v>
      </c>
      <c r="AO7" s="3" t="s">
        <v>46</v>
      </c>
      <c r="AP7" s="3">
        <f t="shared" ref="AP7:AP10" si="5">SUMIF($K$7:$K$12,AO7,$AJ$7:$AJ$12) + SUMIF($N$7:$N$12,AO7,$AK$7:$AK$12)</f>
        <v>9</v>
      </c>
      <c r="AQ7" s="3">
        <f t="shared" ref="AQ7:AQ10" si="6">AR7-AS7</f>
        <v>5</v>
      </c>
      <c r="AR7" s="3">
        <f t="shared" ref="AR7:AR10" si="7">SUMIF($K$7:$K$12,AO7,$L$7:$L$12) + SUMIF($N$7:$N$12,AO7,$M$7:$M$12)</f>
        <v>8</v>
      </c>
      <c r="AS7" s="3">
        <f t="shared" ref="AS7:AS10" si="8">SUMIF($K$7:$K$12,AO7,$M$7:$M$12) + SUMIF($N$7:$N$12,AO7,$L$7:$L$12)</f>
        <v>3</v>
      </c>
      <c r="AT7" s="3"/>
      <c r="AU7" s="3"/>
      <c r="AV7" s="3" t="str">
        <f t="shared" ref="AV7:AV10" si="9">AO7</f>
        <v>Francia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-90050800</v>
      </c>
      <c r="BA7" s="3">
        <f t="shared" ref="BA7:BA10" si="13">AZ7-AY7*10</f>
        <v>-90050810</v>
      </c>
      <c r="BB7" s="3">
        <f t="shared" ref="BB7:BB10" si="14">BA7+N23</f>
        <v>-90050809</v>
      </c>
    </row>
    <row r="8" spans="2:54" x14ac:dyDescent="0.25">
      <c r="B8" s="16">
        <v>1</v>
      </c>
      <c r="C8" s="17" t="str">
        <f t="shared" ref="C8:G8" si="15">IFERROR(VLOOKUP($B8,$AN$7:$AS$11,C$5,FALSE),"")</f>
        <v>Francia</v>
      </c>
      <c r="D8" s="18">
        <f t="shared" si="15"/>
        <v>9</v>
      </c>
      <c r="E8" s="18">
        <f t="shared" si="15"/>
        <v>8</v>
      </c>
      <c r="F8" s="18">
        <f t="shared" si="15"/>
        <v>3</v>
      </c>
      <c r="G8" s="19">
        <f t="shared" si="15"/>
        <v>5</v>
      </c>
      <c r="I8" s="20">
        <v>8</v>
      </c>
      <c r="J8" s="21">
        <v>44887</v>
      </c>
      <c r="K8" s="22" t="s">
        <v>46</v>
      </c>
      <c r="L8" s="23">
        <v>3</v>
      </c>
      <c r="M8" s="24">
        <v>1</v>
      </c>
      <c r="N8" s="20" t="s">
        <v>47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Francia_Australia</v>
      </c>
      <c r="AJ8" s="3">
        <f t="shared" si="1"/>
        <v>3</v>
      </c>
      <c r="AK8" s="3">
        <f t="shared" si="2"/>
        <v>0</v>
      </c>
      <c r="AL8" s="3" t="str">
        <f t="shared" si="3"/>
        <v>Francia</v>
      </c>
      <c r="AM8" s="3"/>
      <c r="AN8" s="3">
        <f t="shared" si="4"/>
        <v>2</v>
      </c>
      <c r="AO8" s="3" t="s">
        <v>44</v>
      </c>
      <c r="AP8" s="3">
        <f t="shared" si="5"/>
        <v>6</v>
      </c>
      <c r="AQ8" s="3">
        <f t="shared" si="6"/>
        <v>2</v>
      </c>
      <c r="AR8" s="3">
        <f t="shared" si="7"/>
        <v>5</v>
      </c>
      <c r="AS8" s="3">
        <f t="shared" si="8"/>
        <v>3</v>
      </c>
      <c r="AT8" s="3"/>
      <c r="AU8" s="3"/>
      <c r="AV8" s="3" t="str">
        <f t="shared" si="9"/>
        <v>Dinamarca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-60020500</v>
      </c>
      <c r="BA8" s="3">
        <f t="shared" si="13"/>
        <v>-60020510</v>
      </c>
      <c r="BB8" s="3">
        <f t="shared" si="14"/>
        <v>-60020508</v>
      </c>
    </row>
    <row r="9" spans="2:54" x14ac:dyDescent="0.25">
      <c r="B9" s="25">
        <v>2</v>
      </c>
      <c r="C9" s="26" t="str">
        <f t="shared" ref="C9:G9" si="16">IFERROR(VLOOKUP($B9,$AN$7:$AS$11,C$5,FALSE),"")</f>
        <v>Dinamarca</v>
      </c>
      <c r="D9" s="27">
        <f t="shared" si="16"/>
        <v>6</v>
      </c>
      <c r="E9" s="27">
        <f t="shared" si="16"/>
        <v>5</v>
      </c>
      <c r="F9" s="27">
        <f t="shared" si="16"/>
        <v>3</v>
      </c>
      <c r="G9" s="28">
        <f t="shared" si="16"/>
        <v>2</v>
      </c>
      <c r="I9" s="29">
        <f t="shared" ref="I9:I12" si="17">I7+16</f>
        <v>23</v>
      </c>
      <c r="J9" s="30">
        <v>44891</v>
      </c>
      <c r="K9" s="31" t="s">
        <v>45</v>
      </c>
      <c r="L9" s="23">
        <v>1</v>
      </c>
      <c r="M9" s="24">
        <v>1</v>
      </c>
      <c r="N9" s="29" t="s">
        <v>47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Tunez_Australia</v>
      </c>
      <c r="AJ9" s="3">
        <f t="shared" si="1"/>
        <v>1</v>
      </c>
      <c r="AK9" s="3">
        <f t="shared" si="2"/>
        <v>1</v>
      </c>
      <c r="AL9" s="3" t="str">
        <f t="shared" si="3"/>
        <v>SIN GANADOR</v>
      </c>
      <c r="AM9" s="3"/>
      <c r="AN9" s="3">
        <f t="shared" si="4"/>
        <v>4</v>
      </c>
      <c r="AO9" s="3" t="s">
        <v>45</v>
      </c>
      <c r="AP9" s="3">
        <f t="shared" si="5"/>
        <v>1</v>
      </c>
      <c r="AQ9" s="3">
        <f t="shared" si="6"/>
        <v>-4</v>
      </c>
      <c r="AR9" s="3">
        <f t="shared" si="7"/>
        <v>2</v>
      </c>
      <c r="AS9" s="3">
        <f t="shared" si="8"/>
        <v>6</v>
      </c>
      <c r="AT9" s="3"/>
      <c r="AU9" s="3"/>
      <c r="AV9" s="3" t="str">
        <f t="shared" si="9"/>
        <v>Tunez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-9960200</v>
      </c>
      <c r="BA9" s="3">
        <f t="shared" si="13"/>
        <v>-9960210</v>
      </c>
      <c r="BB9" s="3">
        <f t="shared" si="14"/>
        <v>-9960207</v>
      </c>
    </row>
    <row r="10" spans="2:54" x14ac:dyDescent="0.25">
      <c r="B10" s="32">
        <v>3</v>
      </c>
      <c r="C10" s="33" t="str">
        <f t="shared" ref="C10:G10" si="18">IFERROR(VLOOKUP($B10,$AN$7:$AS$11,C$5,FALSE),"")</f>
        <v>Australia</v>
      </c>
      <c r="D10" s="34">
        <f t="shared" si="18"/>
        <v>1</v>
      </c>
      <c r="E10" s="34">
        <f t="shared" si="18"/>
        <v>3</v>
      </c>
      <c r="F10" s="34">
        <f t="shared" si="18"/>
        <v>6</v>
      </c>
      <c r="G10" s="35">
        <f t="shared" si="18"/>
        <v>-3</v>
      </c>
      <c r="I10" s="20">
        <f t="shared" si="17"/>
        <v>24</v>
      </c>
      <c r="J10" s="21">
        <v>44891</v>
      </c>
      <c r="K10" s="22" t="s">
        <v>46</v>
      </c>
      <c r="L10" s="23">
        <v>2</v>
      </c>
      <c r="M10" s="24">
        <v>1</v>
      </c>
      <c r="N10" s="20" t="s">
        <v>44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Francia_Dinamarca</v>
      </c>
      <c r="AJ10" s="3">
        <f t="shared" si="1"/>
        <v>3</v>
      </c>
      <c r="AK10" s="3">
        <f t="shared" si="2"/>
        <v>0</v>
      </c>
      <c r="AL10" s="3" t="str">
        <f t="shared" si="3"/>
        <v>Francia</v>
      </c>
      <c r="AM10" s="3"/>
      <c r="AN10" s="3">
        <f t="shared" si="4"/>
        <v>3</v>
      </c>
      <c r="AO10" s="3" t="s">
        <v>47</v>
      </c>
      <c r="AP10" s="3">
        <f t="shared" si="5"/>
        <v>1</v>
      </c>
      <c r="AQ10" s="3">
        <f t="shared" si="6"/>
        <v>-3</v>
      </c>
      <c r="AR10" s="3">
        <f t="shared" si="7"/>
        <v>3</v>
      </c>
      <c r="AS10" s="3">
        <f t="shared" si="8"/>
        <v>6</v>
      </c>
      <c r="AT10" s="3"/>
      <c r="AU10" s="3"/>
      <c r="AV10" s="3" t="str">
        <f t="shared" si="9"/>
        <v>Australia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-9970300</v>
      </c>
      <c r="BA10" s="3">
        <f t="shared" si="13"/>
        <v>-9970310</v>
      </c>
      <c r="BB10" s="3">
        <f t="shared" si="14"/>
        <v>-9970306</v>
      </c>
    </row>
    <row r="11" spans="2:54" x14ac:dyDescent="0.25">
      <c r="B11" s="36">
        <v>4</v>
      </c>
      <c r="C11" s="37" t="str">
        <f t="shared" ref="C11:G11" si="19">IFERROR(VLOOKUP($B11,$AN$7:$AS$11,C$5,FALSE),"")</f>
        <v>Tunez</v>
      </c>
      <c r="D11" s="38">
        <f t="shared" si="19"/>
        <v>1</v>
      </c>
      <c r="E11" s="38">
        <f t="shared" si="19"/>
        <v>2</v>
      </c>
      <c r="F11" s="38">
        <f t="shared" si="19"/>
        <v>6</v>
      </c>
      <c r="G11" s="39">
        <f t="shared" si="19"/>
        <v>-4</v>
      </c>
      <c r="I11" s="29">
        <f t="shared" si="17"/>
        <v>39</v>
      </c>
      <c r="J11" s="30">
        <v>44895</v>
      </c>
      <c r="K11" s="31" t="s">
        <v>45</v>
      </c>
      <c r="L11" s="23">
        <v>1</v>
      </c>
      <c r="M11" s="24">
        <v>3</v>
      </c>
      <c r="N11" s="29" t="s">
        <v>46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Tunez_Francia</v>
      </c>
      <c r="AJ11" s="3">
        <f t="shared" si="1"/>
        <v>0</v>
      </c>
      <c r="AK11" s="3">
        <f t="shared" si="2"/>
        <v>3</v>
      </c>
      <c r="AL11" s="3" t="str">
        <f t="shared" si="3"/>
        <v>Francia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40</v>
      </c>
      <c r="J12" s="41">
        <v>44895</v>
      </c>
      <c r="K12" s="42" t="s">
        <v>47</v>
      </c>
      <c r="L12" s="43">
        <v>1</v>
      </c>
      <c r="M12" s="44">
        <v>2</v>
      </c>
      <c r="N12" s="40" t="s">
        <v>44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Australia_Dinamarca</v>
      </c>
      <c r="AJ12" s="3">
        <f t="shared" si="1"/>
        <v>0</v>
      </c>
      <c r="AK12" s="3">
        <f t="shared" si="2"/>
        <v>3</v>
      </c>
      <c r="AL12" s="3" t="str">
        <f t="shared" si="3"/>
        <v>Dinamarca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26</v>
      </c>
      <c r="C22" s="46"/>
      <c r="D22" s="46"/>
      <c r="E22" s="46"/>
      <c r="F22" s="46"/>
      <c r="G22" s="46"/>
      <c r="H22" s="47"/>
      <c r="I22" s="3">
        <v>1</v>
      </c>
      <c r="J22" s="81" t="s">
        <v>27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28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46</v>
      </c>
      <c r="K23" s="99"/>
      <c r="L23" s="85"/>
      <c r="M23" s="59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29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44</v>
      </c>
      <c r="K24" s="101"/>
      <c r="L24" s="102"/>
      <c r="M24" s="54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45</v>
      </c>
      <c r="K25" s="101"/>
      <c r="L25" s="102"/>
      <c r="M25" s="54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31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47</v>
      </c>
      <c r="K26" s="104"/>
      <c r="L26" s="87"/>
      <c r="M26" s="60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32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6"/>
      <c r="C28" s="57"/>
      <c r="D28" s="57"/>
      <c r="E28" s="57"/>
      <c r="F28" s="57"/>
      <c r="G28" s="57"/>
      <c r="H28" s="58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76" priority="1">
      <formula>J23=""</formula>
    </cfRule>
  </conditionalFormatting>
  <conditionalFormatting sqref="M24:M26">
    <cfRule type="expression" dxfId="75" priority="2">
      <formula>J24=""</formula>
    </cfRule>
  </conditionalFormatting>
  <conditionalFormatting sqref="M25">
    <cfRule type="expression" dxfId="74" priority="3">
      <formula>J25=""</formula>
    </cfRule>
  </conditionalFormatting>
  <conditionalFormatting sqref="B22:H28 J22:M26">
    <cfRule type="expression" dxfId="73" priority="4">
      <formula>OR($I$22=0,AND($J$20="",$J$21="",$J$22="",$J$23=""))</formula>
    </cfRule>
  </conditionalFormatting>
  <conditionalFormatting sqref="N23:AH27">
    <cfRule type="expression" dxfId="72" priority="5">
      <formula>K23=""</formula>
    </cfRule>
  </conditionalFormatting>
  <conditionalFormatting sqref="N24:AH26">
    <cfRule type="expression" dxfId="71" priority="6">
      <formula>K24=""</formula>
    </cfRule>
  </conditionalFormatting>
  <conditionalFormatting sqref="N25:AH25">
    <cfRule type="expression" dxfId="70" priority="7">
      <formula>K25=""</formula>
    </cfRule>
  </conditionalFormatting>
  <conditionalFormatting sqref="N27:AH27">
    <cfRule type="expression" dxfId="69" priority="8">
      <formula>K27=""</formula>
    </cfRule>
  </conditionalFormatting>
  <conditionalFormatting sqref="N23:AH27">
    <cfRule type="expression" dxfId="68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48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6</v>
      </c>
      <c r="C6" s="95"/>
      <c r="D6" s="95"/>
      <c r="E6" s="95"/>
      <c r="F6" s="95"/>
      <c r="G6" s="96"/>
      <c r="J6" s="6" t="s">
        <v>7</v>
      </c>
      <c r="K6" s="97" t="s">
        <v>8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9</v>
      </c>
      <c r="AM6" s="3"/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15</v>
      </c>
      <c r="AT6" s="3"/>
      <c r="AU6" s="3"/>
      <c r="AV6" s="3" t="s">
        <v>11</v>
      </c>
      <c r="AW6" s="3" t="s">
        <v>16</v>
      </c>
      <c r="AX6" s="3" t="s">
        <v>9</v>
      </c>
      <c r="AY6" s="3" t="s">
        <v>17</v>
      </c>
      <c r="AZ6" s="3" t="s">
        <v>18</v>
      </c>
      <c r="BA6" s="3" t="s">
        <v>19</v>
      </c>
      <c r="BB6" s="3" t="s">
        <v>20</v>
      </c>
    </row>
    <row r="7" spans="2:54" x14ac:dyDescent="0.25">
      <c r="B7" s="7" t="s">
        <v>21</v>
      </c>
      <c r="C7" s="8" t="s">
        <v>11</v>
      </c>
      <c r="D7" s="9" t="s">
        <v>12</v>
      </c>
      <c r="E7" s="9" t="s">
        <v>14</v>
      </c>
      <c r="F7" s="9" t="s">
        <v>15</v>
      </c>
      <c r="G7" s="10" t="s">
        <v>13</v>
      </c>
      <c r="I7" s="11">
        <v>9</v>
      </c>
      <c r="J7" s="12">
        <v>44888</v>
      </c>
      <c r="K7" s="13" t="s">
        <v>49</v>
      </c>
      <c r="L7" s="14">
        <v>2</v>
      </c>
      <c r="M7" s="15">
        <v>1</v>
      </c>
      <c r="N7" s="11" t="s">
        <v>50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Alemania_Japon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Alemania</v>
      </c>
      <c r="AM7" s="3"/>
      <c r="AN7" s="3">
        <f t="shared" ref="AN7:AN10" si="4">_xlfn.RANK.EQ(BB7,BB$7:BB$11,1)</f>
        <v>1</v>
      </c>
      <c r="AO7" s="3" t="s">
        <v>51</v>
      </c>
      <c r="AP7" s="3">
        <f t="shared" ref="AP7:AP10" si="5">SUMIF($K$7:$K$12,AO7,$AJ$7:$AJ$12) + SUMIF($N$7:$N$12,AO7,$AK$7:$AK$12)</f>
        <v>9</v>
      </c>
      <c r="AQ7" s="3">
        <f t="shared" ref="AQ7:AQ10" si="6">AR7-AS7</f>
        <v>4</v>
      </c>
      <c r="AR7" s="3">
        <f t="shared" ref="AR7:AR10" si="7">SUMIF($K$7:$K$12,AO7,$L$7:$L$12) + SUMIF($N$7:$N$12,AO7,$M$7:$M$12)</f>
        <v>6</v>
      </c>
      <c r="AS7" s="3">
        <f t="shared" ref="AS7:AS10" si="8">SUMIF($K$7:$K$12,AO7,$M$7:$M$12) + SUMIF($N$7:$N$12,AO7,$L$7:$L$12)</f>
        <v>2</v>
      </c>
      <c r="AT7" s="3"/>
      <c r="AU7" s="3"/>
      <c r="AV7" s="3" t="str">
        <f t="shared" ref="AV7:AV10" si="9">AO7</f>
        <v>España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-90040600</v>
      </c>
      <c r="BA7" s="3">
        <f t="shared" ref="BA7:BA10" si="13">AZ7-AY7*10</f>
        <v>-90040610</v>
      </c>
      <c r="BB7" s="3">
        <f t="shared" ref="BB7:BB10" si="14">BA7+N23</f>
        <v>-90040608</v>
      </c>
    </row>
    <row r="8" spans="2:54" x14ac:dyDescent="0.25">
      <c r="B8" s="16">
        <v>1</v>
      </c>
      <c r="C8" s="17" t="str">
        <f t="shared" ref="C8:G8" si="15">IFERROR(VLOOKUP($B8,$AN$7:$AS$11,C$5,FALSE),"")</f>
        <v>España</v>
      </c>
      <c r="D8" s="18">
        <f t="shared" si="15"/>
        <v>9</v>
      </c>
      <c r="E8" s="18">
        <f t="shared" si="15"/>
        <v>6</v>
      </c>
      <c r="F8" s="18">
        <f t="shared" si="15"/>
        <v>2</v>
      </c>
      <c r="G8" s="19">
        <f t="shared" si="15"/>
        <v>4</v>
      </c>
      <c r="I8" s="20">
        <v>10</v>
      </c>
      <c r="J8" s="21">
        <v>44888</v>
      </c>
      <c r="K8" s="22" t="s">
        <v>51</v>
      </c>
      <c r="L8" s="23">
        <v>2</v>
      </c>
      <c r="M8" s="24">
        <v>0</v>
      </c>
      <c r="N8" s="20" t="s">
        <v>52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España_Costa Rica</v>
      </c>
      <c r="AJ8" s="3">
        <f t="shared" si="1"/>
        <v>3</v>
      </c>
      <c r="AK8" s="3">
        <f t="shared" si="2"/>
        <v>0</v>
      </c>
      <c r="AL8" s="3" t="str">
        <f t="shared" si="3"/>
        <v>España</v>
      </c>
      <c r="AM8" s="3"/>
      <c r="AN8" s="3">
        <f t="shared" si="4"/>
        <v>2</v>
      </c>
      <c r="AO8" s="3" t="s">
        <v>49</v>
      </c>
      <c r="AP8" s="3">
        <f t="shared" si="5"/>
        <v>6</v>
      </c>
      <c r="AQ8" s="3">
        <f t="shared" si="6"/>
        <v>3</v>
      </c>
      <c r="AR8" s="3">
        <f t="shared" si="7"/>
        <v>6</v>
      </c>
      <c r="AS8" s="3">
        <f t="shared" si="8"/>
        <v>3</v>
      </c>
      <c r="AT8" s="3"/>
      <c r="AU8" s="3"/>
      <c r="AV8" s="3" t="str">
        <f t="shared" si="9"/>
        <v>Alemania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-60030600</v>
      </c>
      <c r="BA8" s="3">
        <f t="shared" si="13"/>
        <v>-60030610</v>
      </c>
      <c r="BB8" s="3">
        <f t="shared" si="14"/>
        <v>-60030609</v>
      </c>
    </row>
    <row r="9" spans="2:54" x14ac:dyDescent="0.25">
      <c r="B9" s="25">
        <v>2</v>
      </c>
      <c r="C9" s="26" t="str">
        <f t="shared" ref="C9:G9" si="16">IFERROR(VLOOKUP($B9,$AN$7:$AS$11,C$5,FALSE),"")</f>
        <v>Alemania</v>
      </c>
      <c r="D9" s="27">
        <f t="shared" si="16"/>
        <v>6</v>
      </c>
      <c r="E9" s="27">
        <f t="shared" si="16"/>
        <v>6</v>
      </c>
      <c r="F9" s="27">
        <f t="shared" si="16"/>
        <v>3</v>
      </c>
      <c r="G9" s="28">
        <f t="shared" si="16"/>
        <v>3</v>
      </c>
      <c r="I9" s="29">
        <f t="shared" ref="I9:I12" si="17">I7+16</f>
        <v>25</v>
      </c>
      <c r="J9" s="30">
        <v>44892</v>
      </c>
      <c r="K9" s="31" t="s">
        <v>50</v>
      </c>
      <c r="L9" s="23">
        <v>1</v>
      </c>
      <c r="M9" s="24">
        <v>1</v>
      </c>
      <c r="N9" s="29" t="s">
        <v>52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Japon_Costa Rica</v>
      </c>
      <c r="AJ9" s="3">
        <f t="shared" si="1"/>
        <v>1</v>
      </c>
      <c r="AK9" s="3">
        <f t="shared" si="2"/>
        <v>1</v>
      </c>
      <c r="AL9" s="3" t="str">
        <f t="shared" si="3"/>
        <v>SIN GANADOR</v>
      </c>
      <c r="AM9" s="3"/>
      <c r="AN9" s="3">
        <f t="shared" si="4"/>
        <v>3</v>
      </c>
      <c r="AO9" s="3" t="s">
        <v>50</v>
      </c>
      <c r="AP9" s="3">
        <f t="shared" si="5"/>
        <v>1</v>
      </c>
      <c r="AQ9" s="3">
        <f t="shared" si="6"/>
        <v>-2</v>
      </c>
      <c r="AR9" s="3">
        <f t="shared" si="7"/>
        <v>3</v>
      </c>
      <c r="AS9" s="3">
        <f t="shared" si="8"/>
        <v>5</v>
      </c>
      <c r="AT9" s="3"/>
      <c r="AU9" s="3"/>
      <c r="AV9" s="3" t="str">
        <f t="shared" si="9"/>
        <v>Japon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-9980300</v>
      </c>
      <c r="BA9" s="3">
        <f t="shared" si="13"/>
        <v>-9980310</v>
      </c>
      <c r="BB9" s="3">
        <f t="shared" si="14"/>
        <v>-9980307</v>
      </c>
    </row>
    <row r="10" spans="2:54" x14ac:dyDescent="0.25">
      <c r="B10" s="32">
        <v>3</v>
      </c>
      <c r="C10" s="33" t="str">
        <f t="shared" ref="C10:G10" si="18">IFERROR(VLOOKUP($B10,$AN$7:$AS$11,C$5,FALSE),"")</f>
        <v>Japon</v>
      </c>
      <c r="D10" s="34">
        <f t="shared" si="18"/>
        <v>1</v>
      </c>
      <c r="E10" s="34">
        <f t="shared" si="18"/>
        <v>3</v>
      </c>
      <c r="F10" s="34">
        <f t="shared" si="18"/>
        <v>5</v>
      </c>
      <c r="G10" s="35">
        <f t="shared" si="18"/>
        <v>-2</v>
      </c>
      <c r="I10" s="20">
        <f t="shared" si="17"/>
        <v>26</v>
      </c>
      <c r="J10" s="21">
        <v>44892</v>
      </c>
      <c r="K10" s="22" t="s">
        <v>51</v>
      </c>
      <c r="L10" s="23">
        <v>2</v>
      </c>
      <c r="M10" s="24">
        <v>1</v>
      </c>
      <c r="N10" s="20" t="s">
        <v>49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España_Alemania</v>
      </c>
      <c r="AJ10" s="3">
        <f t="shared" si="1"/>
        <v>3</v>
      </c>
      <c r="AK10" s="3">
        <f t="shared" si="2"/>
        <v>0</v>
      </c>
      <c r="AL10" s="3" t="str">
        <f t="shared" si="3"/>
        <v>España</v>
      </c>
      <c r="AM10" s="3"/>
      <c r="AN10" s="3">
        <f t="shared" si="4"/>
        <v>4</v>
      </c>
      <c r="AO10" s="3" t="s">
        <v>52</v>
      </c>
      <c r="AP10" s="3">
        <f t="shared" si="5"/>
        <v>1</v>
      </c>
      <c r="AQ10" s="3">
        <f t="shared" si="6"/>
        <v>-5</v>
      </c>
      <c r="AR10" s="3">
        <f t="shared" si="7"/>
        <v>1</v>
      </c>
      <c r="AS10" s="3">
        <f t="shared" si="8"/>
        <v>6</v>
      </c>
      <c r="AT10" s="3"/>
      <c r="AU10" s="3"/>
      <c r="AV10" s="3" t="str">
        <f t="shared" si="9"/>
        <v>Costa Rica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-9950100</v>
      </c>
      <c r="BA10" s="3">
        <f t="shared" si="13"/>
        <v>-9950110</v>
      </c>
      <c r="BB10" s="3">
        <f t="shared" si="14"/>
        <v>-9950106</v>
      </c>
    </row>
    <row r="11" spans="2:54" x14ac:dyDescent="0.25">
      <c r="B11" s="36">
        <v>4</v>
      </c>
      <c r="C11" s="37" t="str">
        <f t="shared" ref="C11:G11" si="19">IFERROR(VLOOKUP($B11,$AN$7:$AS$11,C$5,FALSE),"")</f>
        <v>Costa Rica</v>
      </c>
      <c r="D11" s="38">
        <f t="shared" si="19"/>
        <v>1</v>
      </c>
      <c r="E11" s="38">
        <f t="shared" si="19"/>
        <v>1</v>
      </c>
      <c r="F11" s="38">
        <f t="shared" si="19"/>
        <v>6</v>
      </c>
      <c r="G11" s="39">
        <f t="shared" si="19"/>
        <v>-5</v>
      </c>
      <c r="I11" s="29">
        <f t="shared" si="17"/>
        <v>41</v>
      </c>
      <c r="J11" s="30">
        <v>44896</v>
      </c>
      <c r="K11" s="31" t="s">
        <v>50</v>
      </c>
      <c r="L11" s="23">
        <v>1</v>
      </c>
      <c r="M11" s="24">
        <v>2</v>
      </c>
      <c r="N11" s="29" t="s">
        <v>51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Japon_España</v>
      </c>
      <c r="AJ11" s="3">
        <f t="shared" si="1"/>
        <v>0</v>
      </c>
      <c r="AK11" s="3">
        <f t="shared" si="2"/>
        <v>3</v>
      </c>
      <c r="AL11" s="3" t="str">
        <f t="shared" si="3"/>
        <v>España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42</v>
      </c>
      <c r="J12" s="41">
        <v>44896</v>
      </c>
      <c r="K12" s="42" t="s">
        <v>52</v>
      </c>
      <c r="L12" s="43">
        <v>0</v>
      </c>
      <c r="M12" s="44">
        <v>3</v>
      </c>
      <c r="N12" s="40" t="s">
        <v>49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Costa Rica_Alemania</v>
      </c>
      <c r="AJ12" s="3">
        <f t="shared" si="1"/>
        <v>0</v>
      </c>
      <c r="AK12" s="3">
        <f t="shared" si="2"/>
        <v>3</v>
      </c>
      <c r="AL12" s="3" t="str">
        <f t="shared" si="3"/>
        <v>Alemania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26</v>
      </c>
      <c r="C22" s="46"/>
      <c r="D22" s="46"/>
      <c r="E22" s="46"/>
      <c r="F22" s="46"/>
      <c r="G22" s="46"/>
      <c r="H22" s="47"/>
      <c r="I22" s="3">
        <v>1</v>
      </c>
      <c r="J22" s="81" t="s">
        <v>27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28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51</v>
      </c>
      <c r="K23" s="99"/>
      <c r="L23" s="85"/>
      <c r="M23" s="51">
        <v>2</v>
      </c>
      <c r="N23" s="52">
        <f t="shared" ref="N23:N27" si="21">IF(J23="",0,M23)</f>
        <v>2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29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49</v>
      </c>
      <c r="K24" s="101"/>
      <c r="L24" s="102"/>
      <c r="M24" s="53">
        <v>1</v>
      </c>
      <c r="N24" s="52">
        <f t="shared" si="21"/>
        <v>1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50</v>
      </c>
      <c r="K25" s="101"/>
      <c r="L25" s="102"/>
      <c r="M25" s="53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31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52</v>
      </c>
      <c r="K26" s="104"/>
      <c r="L26" s="87"/>
      <c r="M26" s="55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32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6"/>
      <c r="C28" s="57"/>
      <c r="D28" s="57"/>
      <c r="E28" s="57"/>
      <c r="F28" s="57"/>
      <c r="G28" s="57"/>
      <c r="H28" s="58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67" priority="1">
      <formula>J23=""</formula>
    </cfRule>
  </conditionalFormatting>
  <conditionalFormatting sqref="M24:M26">
    <cfRule type="expression" dxfId="66" priority="2">
      <formula>J24=""</formula>
    </cfRule>
  </conditionalFormatting>
  <conditionalFormatting sqref="M25">
    <cfRule type="expression" dxfId="65" priority="3">
      <formula>J25=""</formula>
    </cfRule>
  </conditionalFormatting>
  <conditionalFormatting sqref="B22:H28 J22:M26">
    <cfRule type="expression" dxfId="64" priority="4">
      <formula>OR($I$22=0,AND($J$20="",$J$21="",$J$22="",$J$23=""))</formula>
    </cfRule>
  </conditionalFormatting>
  <conditionalFormatting sqref="N23:AH27">
    <cfRule type="expression" dxfId="63" priority="5">
      <formula>K23=""</formula>
    </cfRule>
  </conditionalFormatting>
  <conditionalFormatting sqref="N24:AH26">
    <cfRule type="expression" dxfId="62" priority="6">
      <formula>K24=""</formula>
    </cfRule>
  </conditionalFormatting>
  <conditionalFormatting sqref="N25:AH25">
    <cfRule type="expression" dxfId="61" priority="7">
      <formula>K25=""</formula>
    </cfRule>
  </conditionalFormatting>
  <conditionalFormatting sqref="N27:AH27">
    <cfRule type="expression" dxfId="60" priority="8">
      <formula>K27=""</formula>
    </cfRule>
  </conditionalFormatting>
  <conditionalFormatting sqref="N23:AH27">
    <cfRule type="expression" dxfId="59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53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6</v>
      </c>
      <c r="C6" s="95"/>
      <c r="D6" s="95"/>
      <c r="E6" s="95"/>
      <c r="F6" s="95"/>
      <c r="G6" s="96"/>
      <c r="J6" s="6" t="s">
        <v>7</v>
      </c>
      <c r="K6" s="97" t="s">
        <v>8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9</v>
      </c>
      <c r="AM6" s="3"/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15</v>
      </c>
      <c r="AT6" s="3"/>
      <c r="AU6" s="3"/>
      <c r="AV6" s="3" t="s">
        <v>11</v>
      </c>
      <c r="AW6" s="3" t="s">
        <v>16</v>
      </c>
      <c r="AX6" s="3" t="s">
        <v>9</v>
      </c>
      <c r="AY6" s="3" t="s">
        <v>17</v>
      </c>
      <c r="AZ6" s="3" t="s">
        <v>18</v>
      </c>
      <c r="BA6" s="3" t="s">
        <v>19</v>
      </c>
      <c r="BB6" s="3" t="s">
        <v>20</v>
      </c>
    </row>
    <row r="7" spans="2:54" x14ac:dyDescent="0.25">
      <c r="B7" s="7" t="s">
        <v>21</v>
      </c>
      <c r="C7" s="8" t="s">
        <v>11</v>
      </c>
      <c r="D7" s="9" t="s">
        <v>12</v>
      </c>
      <c r="E7" s="9" t="s">
        <v>14</v>
      </c>
      <c r="F7" s="9" t="s">
        <v>15</v>
      </c>
      <c r="G7" s="10" t="s">
        <v>13</v>
      </c>
      <c r="I7" s="11">
        <v>11</v>
      </c>
      <c r="J7" s="12">
        <v>44888</v>
      </c>
      <c r="K7" s="13" t="s">
        <v>54</v>
      </c>
      <c r="L7" s="14">
        <v>0</v>
      </c>
      <c r="M7" s="15">
        <v>3</v>
      </c>
      <c r="N7" s="11" t="s">
        <v>55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Marruecos_Croacia</v>
      </c>
      <c r="AJ7" s="3">
        <f t="shared" ref="AJ7:AJ12" si="1">IF(L7&gt;M7,3,IF(L7&lt;M7,0,1))</f>
        <v>0</v>
      </c>
      <c r="AK7" s="3">
        <f t="shared" ref="AK7:AK12" si="2">IF(AJ7=3,0,IF(AJ7=1,1,3))</f>
        <v>3</v>
      </c>
      <c r="AL7" s="3" t="str">
        <f t="shared" ref="AL7:AL12" si="3">IF(AJ7&gt;AK7,K7,IF(AK7&gt;AJ7,N7,"SIN GANADOR"))</f>
        <v>Croacia</v>
      </c>
      <c r="AM7" s="3"/>
      <c r="AN7" s="3">
        <f t="shared" ref="AN7:AN10" si="4">_xlfn.RANK.EQ(BB7,BB$7:BB$11,1)</f>
        <v>1</v>
      </c>
      <c r="AO7" s="3" t="s">
        <v>56</v>
      </c>
      <c r="AP7" s="3">
        <f t="shared" ref="AP7:AP10" si="5">SUMIF($K$7:$K$12,AO7,$AJ$7:$AJ$12) + SUMIF($N$7:$N$12,AO7,$AK$7:$AK$12)</f>
        <v>7</v>
      </c>
      <c r="AQ7" s="3">
        <f t="shared" ref="AQ7:AQ10" si="6">AR7-AS7</f>
        <v>4</v>
      </c>
      <c r="AR7" s="3">
        <f t="shared" ref="AR7:AR10" si="7">SUMIF($K$7:$K$12,AO7,$L$7:$L$12) + SUMIF($N$7:$N$12,AO7,$M$7:$M$12)</f>
        <v>7</v>
      </c>
      <c r="AS7" s="3">
        <f t="shared" ref="AS7:AS10" si="8">SUMIF($K$7:$K$12,AO7,$M$7:$M$12) + SUMIF($N$7:$N$12,AO7,$L$7:$L$12)</f>
        <v>3</v>
      </c>
      <c r="AT7" s="3"/>
      <c r="AU7" s="3"/>
      <c r="AV7" s="3" t="str">
        <f t="shared" ref="AV7:AV10" si="9">AO7</f>
        <v>Belgica</v>
      </c>
      <c r="AW7" s="3" t="str">
        <f>IF(AZ7=AZ8,AV8,IF(AZ7=AZ9,AV9,IF(AZ7=AZ10,AV10,"")))</f>
        <v>Croacia</v>
      </c>
      <c r="AX7" s="3" t="str">
        <f t="shared" ref="AX7:AX10" si="10">IF(AW7="","",IFERROR(VLOOKUP(CONCATENATE(AV7,"_",AW7),$AI$7:$AL$16,4,FALSE),VLOOKUP(CONCATENATE(AW7,"_",AV7),$AI$7:$AL$16,4,FALSE)))</f>
        <v>SIN GANADOR</v>
      </c>
      <c r="AY7" s="3">
        <f t="shared" ref="AY7:AY10" si="11">IF(AX7="",1,IF(AX7=AV7,1,0))</f>
        <v>0</v>
      </c>
      <c r="AZ7" s="3">
        <f t="shared" ref="AZ7:AZ10" si="12">-AP7*10000000 - AQ7*10000 - AR7*100</f>
        <v>-70040700</v>
      </c>
      <c r="BA7" s="3">
        <f t="shared" ref="BA7:BA10" si="13">AZ7-AY7*10</f>
        <v>-70040700</v>
      </c>
      <c r="BB7" s="3">
        <f t="shared" ref="BB7:BB10" si="14">BA7+N23</f>
        <v>-70040699</v>
      </c>
    </row>
    <row r="8" spans="2:54" x14ac:dyDescent="0.25">
      <c r="B8" s="16">
        <v>1</v>
      </c>
      <c r="C8" s="17" t="str">
        <f t="shared" ref="C8:G8" si="15">IFERROR(VLOOKUP($B8,$AN$7:$AS$11,C$5,FALSE),"")</f>
        <v>Belgica</v>
      </c>
      <c r="D8" s="18">
        <f t="shared" si="15"/>
        <v>7</v>
      </c>
      <c r="E8" s="18">
        <f t="shared" si="15"/>
        <v>7</v>
      </c>
      <c r="F8" s="18">
        <f t="shared" si="15"/>
        <v>3</v>
      </c>
      <c r="G8" s="19">
        <f t="shared" si="15"/>
        <v>4</v>
      </c>
      <c r="I8" s="20">
        <v>12</v>
      </c>
      <c r="J8" s="21">
        <v>44888</v>
      </c>
      <c r="K8" s="22" t="s">
        <v>56</v>
      </c>
      <c r="L8" s="23">
        <v>2</v>
      </c>
      <c r="M8" s="24">
        <v>0</v>
      </c>
      <c r="N8" s="20" t="s">
        <v>57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Belgica_Canada</v>
      </c>
      <c r="AJ8" s="3">
        <f t="shared" si="1"/>
        <v>3</v>
      </c>
      <c r="AK8" s="3">
        <f t="shared" si="2"/>
        <v>0</v>
      </c>
      <c r="AL8" s="3" t="str">
        <f t="shared" si="3"/>
        <v>Belgica</v>
      </c>
      <c r="AM8" s="3"/>
      <c r="AN8" s="3">
        <f t="shared" si="4"/>
        <v>2</v>
      </c>
      <c r="AO8" s="3" t="s">
        <v>55</v>
      </c>
      <c r="AP8" s="3">
        <f t="shared" si="5"/>
        <v>7</v>
      </c>
      <c r="AQ8" s="3">
        <f t="shared" si="6"/>
        <v>4</v>
      </c>
      <c r="AR8" s="3">
        <f t="shared" si="7"/>
        <v>7</v>
      </c>
      <c r="AS8" s="3">
        <f t="shared" si="8"/>
        <v>3</v>
      </c>
      <c r="AT8" s="3"/>
      <c r="AU8" s="3"/>
      <c r="AV8" s="3" t="str">
        <f t="shared" si="9"/>
        <v>Croacia</v>
      </c>
      <c r="AW8" s="3" t="str">
        <f>IF(AZ8=AZ9,AV9,IF(AZ8=AZ10,AV10,IF(AZ8=AZ7,AV7,"")))</f>
        <v>Belgica</v>
      </c>
      <c r="AX8" s="3" t="str">
        <f t="shared" si="10"/>
        <v>SIN GANADOR</v>
      </c>
      <c r="AY8" s="3">
        <f t="shared" si="11"/>
        <v>0</v>
      </c>
      <c r="AZ8" s="3">
        <f t="shared" si="12"/>
        <v>-70040700</v>
      </c>
      <c r="BA8" s="3">
        <f t="shared" si="13"/>
        <v>-70040700</v>
      </c>
      <c r="BB8" s="3">
        <f t="shared" si="14"/>
        <v>-70040698</v>
      </c>
    </row>
    <row r="9" spans="2:54" x14ac:dyDescent="0.25">
      <c r="B9" s="25">
        <v>2</v>
      </c>
      <c r="C9" s="26" t="str">
        <f t="shared" ref="C9:G9" si="16">IFERROR(VLOOKUP($B9,$AN$7:$AS$11,C$5,FALSE),"")</f>
        <v>Croacia</v>
      </c>
      <c r="D9" s="27">
        <f t="shared" si="16"/>
        <v>7</v>
      </c>
      <c r="E9" s="27">
        <f t="shared" si="16"/>
        <v>7</v>
      </c>
      <c r="F9" s="27">
        <f t="shared" si="16"/>
        <v>3</v>
      </c>
      <c r="G9" s="28">
        <f t="shared" si="16"/>
        <v>4</v>
      </c>
      <c r="I9" s="29">
        <f t="shared" ref="I9:I12" si="17">I7+16</f>
        <v>27</v>
      </c>
      <c r="J9" s="30">
        <v>44892</v>
      </c>
      <c r="K9" s="31" t="s">
        <v>56</v>
      </c>
      <c r="L9" s="23">
        <v>3</v>
      </c>
      <c r="M9" s="24">
        <v>1</v>
      </c>
      <c r="N9" s="29" t="s">
        <v>54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Belgica_Marruecos</v>
      </c>
      <c r="AJ9" s="3">
        <f t="shared" si="1"/>
        <v>3</v>
      </c>
      <c r="AK9" s="3">
        <f t="shared" si="2"/>
        <v>0</v>
      </c>
      <c r="AL9" s="3" t="str">
        <f t="shared" si="3"/>
        <v>Belgica</v>
      </c>
      <c r="AM9" s="3"/>
      <c r="AN9" s="3">
        <f t="shared" si="4"/>
        <v>4</v>
      </c>
      <c r="AO9" s="3" t="s">
        <v>54</v>
      </c>
      <c r="AP9" s="3">
        <f t="shared" si="5"/>
        <v>0</v>
      </c>
      <c r="AQ9" s="3">
        <f t="shared" si="6"/>
        <v>-6</v>
      </c>
      <c r="AR9" s="3">
        <f t="shared" si="7"/>
        <v>1</v>
      </c>
      <c r="AS9" s="3">
        <f t="shared" si="8"/>
        <v>7</v>
      </c>
      <c r="AT9" s="3"/>
      <c r="AU9" s="3"/>
      <c r="AV9" s="3" t="str">
        <f t="shared" si="9"/>
        <v>Marruecos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59900</v>
      </c>
      <c r="BA9" s="3">
        <f t="shared" si="13"/>
        <v>59890</v>
      </c>
      <c r="BB9" s="3">
        <f t="shared" si="14"/>
        <v>59894</v>
      </c>
    </row>
    <row r="10" spans="2:54" x14ac:dyDescent="0.25">
      <c r="B10" s="32">
        <v>3</v>
      </c>
      <c r="C10" s="33" t="str">
        <f t="shared" ref="C10:G10" si="18">IFERROR(VLOOKUP($B10,$AN$7:$AS$11,C$5,FALSE),"")</f>
        <v>Canada</v>
      </c>
      <c r="D10" s="34">
        <f t="shared" si="18"/>
        <v>3</v>
      </c>
      <c r="E10" s="34">
        <f t="shared" si="18"/>
        <v>2</v>
      </c>
      <c r="F10" s="34">
        <f t="shared" si="18"/>
        <v>4</v>
      </c>
      <c r="G10" s="35">
        <f t="shared" si="18"/>
        <v>-2</v>
      </c>
      <c r="I10" s="20">
        <f t="shared" si="17"/>
        <v>28</v>
      </c>
      <c r="J10" s="21">
        <v>44892</v>
      </c>
      <c r="K10" s="22" t="s">
        <v>55</v>
      </c>
      <c r="L10" s="23">
        <v>2</v>
      </c>
      <c r="M10" s="24">
        <v>1</v>
      </c>
      <c r="N10" s="20" t="s">
        <v>57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Croacia_Canada</v>
      </c>
      <c r="AJ10" s="3">
        <f t="shared" si="1"/>
        <v>3</v>
      </c>
      <c r="AK10" s="3">
        <f t="shared" si="2"/>
        <v>0</v>
      </c>
      <c r="AL10" s="3" t="str">
        <f t="shared" si="3"/>
        <v>Croacia</v>
      </c>
      <c r="AM10" s="3"/>
      <c r="AN10" s="3">
        <f t="shared" si="4"/>
        <v>3</v>
      </c>
      <c r="AO10" s="3" t="s">
        <v>57</v>
      </c>
      <c r="AP10" s="3">
        <f t="shared" si="5"/>
        <v>3</v>
      </c>
      <c r="AQ10" s="3">
        <f t="shared" si="6"/>
        <v>-2</v>
      </c>
      <c r="AR10" s="3">
        <f t="shared" si="7"/>
        <v>2</v>
      </c>
      <c r="AS10" s="3">
        <f t="shared" si="8"/>
        <v>4</v>
      </c>
      <c r="AT10" s="3"/>
      <c r="AU10" s="3"/>
      <c r="AV10" s="3" t="str">
        <f t="shared" si="9"/>
        <v>Canada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-29980200</v>
      </c>
      <c r="BA10" s="3">
        <f t="shared" si="13"/>
        <v>-29980210</v>
      </c>
      <c r="BB10" s="3">
        <f t="shared" si="14"/>
        <v>-29980207</v>
      </c>
    </row>
    <row r="11" spans="2:54" x14ac:dyDescent="0.25">
      <c r="B11" s="36">
        <v>4</v>
      </c>
      <c r="C11" s="37" t="str">
        <f t="shared" ref="C11:G11" si="19">IFERROR(VLOOKUP($B11,$AN$7:$AS$11,C$5,FALSE),"")</f>
        <v>Marruecos</v>
      </c>
      <c r="D11" s="38">
        <f t="shared" si="19"/>
        <v>0</v>
      </c>
      <c r="E11" s="38">
        <f t="shared" si="19"/>
        <v>1</v>
      </c>
      <c r="F11" s="38">
        <f t="shared" si="19"/>
        <v>7</v>
      </c>
      <c r="G11" s="39">
        <f t="shared" si="19"/>
        <v>-6</v>
      </c>
      <c r="I11" s="29">
        <f t="shared" si="17"/>
        <v>43</v>
      </c>
      <c r="J11" s="30">
        <v>44896</v>
      </c>
      <c r="K11" s="31" t="s">
        <v>55</v>
      </c>
      <c r="L11" s="23">
        <v>2</v>
      </c>
      <c r="M11" s="24">
        <v>2</v>
      </c>
      <c r="N11" s="29" t="s">
        <v>56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Croacia_Belgica</v>
      </c>
      <c r="AJ11" s="3">
        <f t="shared" si="1"/>
        <v>1</v>
      </c>
      <c r="AK11" s="3">
        <f t="shared" si="2"/>
        <v>1</v>
      </c>
      <c r="AL11" s="3" t="str">
        <f t="shared" si="3"/>
        <v>SIN GANADOR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44</v>
      </c>
      <c r="J12" s="41">
        <v>44896</v>
      </c>
      <c r="K12" s="42" t="s">
        <v>57</v>
      </c>
      <c r="L12" s="43">
        <v>1</v>
      </c>
      <c r="M12" s="44">
        <v>0</v>
      </c>
      <c r="N12" s="40" t="s">
        <v>54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Canada_Marruecos</v>
      </c>
      <c r="AJ12" s="3">
        <f t="shared" si="1"/>
        <v>3</v>
      </c>
      <c r="AK12" s="3">
        <f t="shared" si="2"/>
        <v>0</v>
      </c>
      <c r="AL12" s="3" t="str">
        <f t="shared" si="3"/>
        <v>Canada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26</v>
      </c>
      <c r="C22" s="46"/>
      <c r="D22" s="46"/>
      <c r="E22" s="46"/>
      <c r="F22" s="46"/>
      <c r="G22" s="46"/>
      <c r="H22" s="47"/>
      <c r="I22" s="3">
        <v>1</v>
      </c>
      <c r="J22" s="81" t="s">
        <v>27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28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56</v>
      </c>
      <c r="K23" s="99"/>
      <c r="L23" s="85"/>
      <c r="M23" s="59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29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55</v>
      </c>
      <c r="K24" s="101"/>
      <c r="L24" s="102"/>
      <c r="M24" s="54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54</v>
      </c>
      <c r="K25" s="101"/>
      <c r="L25" s="102"/>
      <c r="M25" s="53">
        <v>4</v>
      </c>
      <c r="N25" s="52">
        <f t="shared" si="21"/>
        <v>4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31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57</v>
      </c>
      <c r="K26" s="104"/>
      <c r="L26" s="87"/>
      <c r="M26" s="55">
        <v>3</v>
      </c>
      <c r="N26" s="52">
        <f t="shared" si="21"/>
        <v>3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32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6"/>
      <c r="C28" s="57"/>
      <c r="D28" s="57"/>
      <c r="E28" s="57"/>
      <c r="F28" s="57"/>
      <c r="G28" s="57"/>
      <c r="H28" s="58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58" priority="1">
      <formula>J23=""</formula>
    </cfRule>
  </conditionalFormatting>
  <conditionalFormatting sqref="M24:M26">
    <cfRule type="expression" dxfId="57" priority="2">
      <formula>J24=""</formula>
    </cfRule>
  </conditionalFormatting>
  <conditionalFormatting sqref="M25">
    <cfRule type="expression" dxfId="56" priority="3">
      <formula>J25=""</formula>
    </cfRule>
  </conditionalFormatting>
  <conditionalFormatting sqref="B22:H28 J22:M26">
    <cfRule type="expression" dxfId="55" priority="4">
      <formula>OR($I$22=0,AND($J$20="",$J$21="",$J$22="",$J$23=""))</formula>
    </cfRule>
  </conditionalFormatting>
  <conditionalFormatting sqref="N23:AH27">
    <cfRule type="expression" dxfId="54" priority="5">
      <formula>K23=""</formula>
    </cfRule>
  </conditionalFormatting>
  <conditionalFormatting sqref="N24:AH26">
    <cfRule type="expression" dxfId="53" priority="6">
      <formula>K24=""</formula>
    </cfRule>
  </conditionalFormatting>
  <conditionalFormatting sqref="N25:AH25">
    <cfRule type="expression" dxfId="52" priority="7">
      <formula>K25=""</formula>
    </cfRule>
  </conditionalFormatting>
  <conditionalFormatting sqref="N27:AH27">
    <cfRule type="expression" dxfId="51" priority="8">
      <formula>K27=""</formula>
    </cfRule>
  </conditionalFormatting>
  <conditionalFormatting sqref="N23:AH27">
    <cfRule type="expression" dxfId="50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B1000"/>
  <sheetViews>
    <sheetView workbookViewId="0">
      <selection activeCell="M10" sqref="M10"/>
    </sheetView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58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6</v>
      </c>
      <c r="C6" s="95"/>
      <c r="D6" s="95"/>
      <c r="E6" s="95"/>
      <c r="F6" s="95"/>
      <c r="G6" s="96"/>
      <c r="J6" s="6" t="s">
        <v>7</v>
      </c>
      <c r="K6" s="97" t="s">
        <v>8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9</v>
      </c>
      <c r="AM6" s="3"/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15</v>
      </c>
      <c r="AT6" s="3"/>
      <c r="AU6" s="3"/>
      <c r="AV6" s="3" t="s">
        <v>11</v>
      </c>
      <c r="AW6" s="3" t="s">
        <v>16</v>
      </c>
      <c r="AX6" s="3" t="s">
        <v>9</v>
      </c>
      <c r="AY6" s="3" t="s">
        <v>17</v>
      </c>
      <c r="AZ6" s="3" t="s">
        <v>18</v>
      </c>
      <c r="BA6" s="3" t="s">
        <v>19</v>
      </c>
      <c r="BB6" s="3" t="s">
        <v>20</v>
      </c>
    </row>
    <row r="7" spans="2:54" x14ac:dyDescent="0.25">
      <c r="B7" s="7" t="s">
        <v>21</v>
      </c>
      <c r="C7" s="8" t="s">
        <v>11</v>
      </c>
      <c r="D7" s="9" t="s">
        <v>12</v>
      </c>
      <c r="E7" s="9" t="s">
        <v>14</v>
      </c>
      <c r="F7" s="9" t="s">
        <v>15</v>
      </c>
      <c r="G7" s="10" t="s">
        <v>13</v>
      </c>
      <c r="I7" s="11">
        <v>13</v>
      </c>
      <c r="J7" s="12">
        <v>44889</v>
      </c>
      <c r="K7" s="13" t="s">
        <v>59</v>
      </c>
      <c r="L7" s="14">
        <v>2</v>
      </c>
      <c r="M7" s="15">
        <v>1</v>
      </c>
      <c r="N7" s="11" t="s">
        <v>60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Suiza_Camerun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Suiza</v>
      </c>
      <c r="AM7" s="3"/>
      <c r="AN7" s="3">
        <f t="shared" ref="AN7:AN10" si="4">_xlfn.RANK.EQ(BB7,BB$7:BB$11,1)</f>
        <v>1</v>
      </c>
      <c r="AO7" s="3" t="s">
        <v>61</v>
      </c>
      <c r="AP7" s="3">
        <f t="shared" ref="AP7:AP10" si="5">SUMIF($K$7:$K$12,AO7,$AJ$7:$AJ$12) + SUMIF($N$7:$N$12,AO7,$AK$7:$AK$12)</f>
        <v>9</v>
      </c>
      <c r="AQ7" s="3">
        <f t="shared" ref="AQ7:AQ10" si="6">AR7-AS7</f>
        <v>7</v>
      </c>
      <c r="AR7" s="3">
        <f t="shared" ref="AR7:AR10" si="7">SUMIF($K$7:$K$12,AO7,$L$7:$L$12) + SUMIF($N$7:$N$12,AO7,$M$7:$M$12)</f>
        <v>9</v>
      </c>
      <c r="AS7" s="3">
        <f t="shared" ref="AS7:AS10" si="8">SUMIF($K$7:$K$12,AO7,$M$7:$M$12) + SUMIF($N$7:$N$12,AO7,$L$7:$L$12)</f>
        <v>2</v>
      </c>
      <c r="AT7" s="3"/>
      <c r="AU7" s="3"/>
      <c r="AV7" s="3" t="str">
        <f t="shared" ref="AV7:AV10" si="9">AO7</f>
        <v>Brasil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-90070900</v>
      </c>
      <c r="BA7" s="3">
        <f t="shared" ref="BA7:BA10" si="13">AZ7-AY7*10</f>
        <v>-90070910</v>
      </c>
      <c r="BB7" s="3">
        <f t="shared" ref="BB7:BB10" si="14">BA7+N23</f>
        <v>-90070909</v>
      </c>
    </row>
    <row r="8" spans="2:54" x14ac:dyDescent="0.25">
      <c r="B8" s="16">
        <v>1</v>
      </c>
      <c r="C8" s="17" t="str">
        <f t="shared" ref="C8:G8" si="15">IFERROR(VLOOKUP($B8,$AN$7:$AS$11,C$5,FALSE),"")</f>
        <v>Brasil</v>
      </c>
      <c r="D8" s="18">
        <f t="shared" si="15"/>
        <v>9</v>
      </c>
      <c r="E8" s="18">
        <f t="shared" si="15"/>
        <v>9</v>
      </c>
      <c r="F8" s="18">
        <f t="shared" si="15"/>
        <v>2</v>
      </c>
      <c r="G8" s="19">
        <f t="shared" si="15"/>
        <v>7</v>
      </c>
      <c r="I8" s="20">
        <v>14</v>
      </c>
      <c r="J8" s="21">
        <v>44889</v>
      </c>
      <c r="K8" s="22" t="s">
        <v>61</v>
      </c>
      <c r="L8" s="23">
        <v>3</v>
      </c>
      <c r="M8" s="24">
        <v>0</v>
      </c>
      <c r="N8" s="20" t="s">
        <v>62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Brasil_Serbia</v>
      </c>
      <c r="AJ8" s="3">
        <f t="shared" si="1"/>
        <v>3</v>
      </c>
      <c r="AK8" s="3">
        <f t="shared" si="2"/>
        <v>0</v>
      </c>
      <c r="AL8" s="3" t="str">
        <f t="shared" si="3"/>
        <v>Brasil</v>
      </c>
      <c r="AM8" s="3"/>
      <c r="AN8" s="3">
        <f t="shared" si="4"/>
        <v>2</v>
      </c>
      <c r="AO8" s="3" t="s">
        <v>59</v>
      </c>
      <c r="AP8" s="3">
        <f t="shared" si="5"/>
        <v>6</v>
      </c>
      <c r="AQ8" s="3">
        <f t="shared" si="6"/>
        <v>1</v>
      </c>
      <c r="AR8" s="3">
        <f t="shared" si="7"/>
        <v>5</v>
      </c>
      <c r="AS8" s="3">
        <f t="shared" si="8"/>
        <v>4</v>
      </c>
      <c r="AT8" s="3"/>
      <c r="AU8" s="3"/>
      <c r="AV8" s="3" t="str">
        <f t="shared" si="9"/>
        <v>Suiza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-60010500</v>
      </c>
      <c r="BA8" s="3">
        <f t="shared" si="13"/>
        <v>-60010510</v>
      </c>
      <c r="BB8" s="3">
        <f t="shared" si="14"/>
        <v>-60010508</v>
      </c>
    </row>
    <row r="9" spans="2:54" x14ac:dyDescent="0.25">
      <c r="B9" s="25">
        <v>2</v>
      </c>
      <c r="C9" s="26" t="str">
        <f t="shared" ref="C9:G9" si="16">IFERROR(VLOOKUP($B9,$AN$7:$AS$11,C$5,FALSE),"")</f>
        <v>Suiza</v>
      </c>
      <c r="D9" s="27">
        <f t="shared" si="16"/>
        <v>6</v>
      </c>
      <c r="E9" s="27">
        <f t="shared" si="16"/>
        <v>5</v>
      </c>
      <c r="F9" s="27">
        <f t="shared" si="16"/>
        <v>4</v>
      </c>
      <c r="G9" s="28">
        <f t="shared" si="16"/>
        <v>1</v>
      </c>
      <c r="I9" s="29">
        <f t="shared" ref="I9:I12" si="17">I7+16</f>
        <v>29</v>
      </c>
      <c r="J9" s="30">
        <v>44893</v>
      </c>
      <c r="K9" s="31" t="s">
        <v>60</v>
      </c>
      <c r="L9" s="23">
        <v>0</v>
      </c>
      <c r="M9" s="35">
        <v>1</v>
      </c>
      <c r="N9" s="29" t="s">
        <v>62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Camerun_Serbia</v>
      </c>
      <c r="AJ9" s="3">
        <f t="shared" si="1"/>
        <v>0</v>
      </c>
      <c r="AK9" s="3">
        <f t="shared" si="2"/>
        <v>3</v>
      </c>
      <c r="AL9" s="3" t="str">
        <f t="shared" si="3"/>
        <v>Serbia</v>
      </c>
      <c r="AM9" s="3"/>
      <c r="AN9" s="3">
        <f t="shared" si="4"/>
        <v>3</v>
      </c>
      <c r="AO9" s="3" t="s">
        <v>62</v>
      </c>
      <c r="AP9" s="3">
        <f t="shared" si="5"/>
        <v>3</v>
      </c>
      <c r="AQ9" s="3">
        <f t="shared" si="6"/>
        <v>-3</v>
      </c>
      <c r="AR9" s="3">
        <f t="shared" si="7"/>
        <v>2</v>
      </c>
      <c r="AS9" s="3">
        <f t="shared" si="8"/>
        <v>5</v>
      </c>
      <c r="AT9" s="3"/>
      <c r="AU9" s="3"/>
      <c r="AV9" s="3" t="str">
        <f t="shared" si="9"/>
        <v>Serbia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-29970200</v>
      </c>
      <c r="BA9" s="3">
        <f t="shared" si="13"/>
        <v>-29970210</v>
      </c>
      <c r="BB9" s="3">
        <f t="shared" si="14"/>
        <v>-29970207</v>
      </c>
    </row>
    <row r="10" spans="2:54" x14ac:dyDescent="0.25">
      <c r="B10" s="32">
        <v>3</v>
      </c>
      <c r="C10" s="33" t="str">
        <f t="shared" ref="C10:G10" si="18">IFERROR(VLOOKUP($B10,$AN$7:$AS$11,C$5,FALSE),"")</f>
        <v>Serbia</v>
      </c>
      <c r="D10" s="34">
        <f t="shared" si="18"/>
        <v>3</v>
      </c>
      <c r="E10" s="34">
        <f t="shared" si="18"/>
        <v>2</v>
      </c>
      <c r="F10" s="34">
        <f t="shared" si="18"/>
        <v>5</v>
      </c>
      <c r="G10" s="35">
        <f t="shared" si="18"/>
        <v>-3</v>
      </c>
      <c r="I10" s="20">
        <f t="shared" si="17"/>
        <v>30</v>
      </c>
      <c r="J10" s="21">
        <v>44893</v>
      </c>
      <c r="K10" s="22" t="s">
        <v>61</v>
      </c>
      <c r="L10" s="23">
        <v>2</v>
      </c>
      <c r="M10" s="24">
        <v>1</v>
      </c>
      <c r="N10" s="20" t="s">
        <v>59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Brasil_Suiza</v>
      </c>
      <c r="AJ10" s="3">
        <f t="shared" si="1"/>
        <v>3</v>
      </c>
      <c r="AK10" s="3">
        <f t="shared" si="2"/>
        <v>0</v>
      </c>
      <c r="AL10" s="3" t="str">
        <f t="shared" si="3"/>
        <v>Brasil</v>
      </c>
      <c r="AM10" s="3"/>
      <c r="AN10" s="3">
        <f t="shared" si="4"/>
        <v>4</v>
      </c>
      <c r="AO10" s="3" t="s">
        <v>60</v>
      </c>
      <c r="AP10" s="3">
        <f t="shared" si="5"/>
        <v>0</v>
      </c>
      <c r="AQ10" s="3">
        <f t="shared" si="6"/>
        <v>-5</v>
      </c>
      <c r="AR10" s="3">
        <f t="shared" si="7"/>
        <v>2</v>
      </c>
      <c r="AS10" s="3">
        <f t="shared" si="8"/>
        <v>7</v>
      </c>
      <c r="AT10" s="3"/>
      <c r="AU10" s="3"/>
      <c r="AV10" s="3" t="str">
        <f t="shared" si="9"/>
        <v>Camerun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49800</v>
      </c>
      <c r="BA10" s="3">
        <f t="shared" si="13"/>
        <v>49790</v>
      </c>
      <c r="BB10" s="3">
        <f t="shared" si="14"/>
        <v>49794</v>
      </c>
    </row>
    <row r="11" spans="2:54" x14ac:dyDescent="0.25">
      <c r="B11" s="36">
        <v>4</v>
      </c>
      <c r="C11" s="37" t="str">
        <f t="shared" ref="C11:G11" si="19">IFERROR(VLOOKUP($B11,$AN$7:$AS$11,C$5,FALSE),"")</f>
        <v>Camerun</v>
      </c>
      <c r="D11" s="38">
        <f t="shared" si="19"/>
        <v>0</v>
      </c>
      <c r="E11" s="38">
        <f t="shared" si="19"/>
        <v>2</v>
      </c>
      <c r="F11" s="38">
        <f t="shared" si="19"/>
        <v>7</v>
      </c>
      <c r="G11" s="39">
        <f t="shared" si="19"/>
        <v>-5</v>
      </c>
      <c r="I11" s="29">
        <f t="shared" si="17"/>
        <v>45</v>
      </c>
      <c r="J11" s="30">
        <v>44897</v>
      </c>
      <c r="K11" s="31" t="s">
        <v>62</v>
      </c>
      <c r="L11" s="23">
        <v>1</v>
      </c>
      <c r="M11" s="24">
        <v>2</v>
      </c>
      <c r="N11" s="29" t="s">
        <v>59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Serbia_Suiza</v>
      </c>
      <c r="AJ11" s="3">
        <f t="shared" si="1"/>
        <v>0</v>
      </c>
      <c r="AK11" s="3">
        <f t="shared" si="2"/>
        <v>3</v>
      </c>
      <c r="AL11" s="3" t="str">
        <f t="shared" si="3"/>
        <v>Suiza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46</v>
      </c>
      <c r="J12" s="41">
        <v>44897</v>
      </c>
      <c r="K12" s="42" t="s">
        <v>60</v>
      </c>
      <c r="L12" s="43">
        <v>1</v>
      </c>
      <c r="M12" s="44">
        <v>4</v>
      </c>
      <c r="N12" s="40" t="s">
        <v>61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Camerun_Brasil</v>
      </c>
      <c r="AJ12" s="3">
        <f t="shared" si="1"/>
        <v>0</v>
      </c>
      <c r="AK12" s="3">
        <f t="shared" si="2"/>
        <v>3</v>
      </c>
      <c r="AL12" s="3" t="str">
        <f t="shared" si="3"/>
        <v>Brasil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26</v>
      </c>
      <c r="C22" s="46"/>
      <c r="D22" s="46"/>
      <c r="E22" s="46"/>
      <c r="F22" s="46"/>
      <c r="G22" s="46"/>
      <c r="H22" s="47"/>
      <c r="I22" s="3">
        <v>1</v>
      </c>
      <c r="J22" s="81" t="s">
        <v>27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28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61</v>
      </c>
      <c r="K23" s="99"/>
      <c r="L23" s="85"/>
      <c r="M23" s="59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29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59</v>
      </c>
      <c r="K24" s="101"/>
      <c r="L24" s="102"/>
      <c r="M24" s="54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62</v>
      </c>
      <c r="K25" s="101"/>
      <c r="L25" s="102"/>
      <c r="M25" s="54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31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60</v>
      </c>
      <c r="K26" s="104"/>
      <c r="L26" s="87"/>
      <c r="M26" s="60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32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6"/>
      <c r="C28" s="57"/>
      <c r="D28" s="57"/>
      <c r="E28" s="57"/>
      <c r="F28" s="57"/>
      <c r="G28" s="57"/>
      <c r="H28" s="58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49" priority="1">
      <formula>J23=""</formula>
    </cfRule>
  </conditionalFormatting>
  <conditionalFormatting sqref="M24:M26">
    <cfRule type="expression" dxfId="48" priority="2">
      <formula>J24=""</formula>
    </cfRule>
  </conditionalFormatting>
  <conditionalFormatting sqref="M25">
    <cfRule type="expression" dxfId="47" priority="3">
      <formula>J25=""</formula>
    </cfRule>
  </conditionalFormatting>
  <conditionalFormatting sqref="B22:H28 J22:M26">
    <cfRule type="expression" dxfId="46" priority="4">
      <formula>OR($I$22=0,AND($J$20="",$J$21="",$J$22="",$J$23=""))</formula>
    </cfRule>
  </conditionalFormatting>
  <conditionalFormatting sqref="N23:AH27">
    <cfRule type="expression" dxfId="45" priority="5">
      <formula>K23=""</formula>
    </cfRule>
  </conditionalFormatting>
  <conditionalFormatting sqref="N24:AH26">
    <cfRule type="expression" dxfId="44" priority="6">
      <formula>K24=""</formula>
    </cfRule>
  </conditionalFormatting>
  <conditionalFormatting sqref="N25:AH25">
    <cfRule type="expression" dxfId="43" priority="7">
      <formula>K25=""</formula>
    </cfRule>
  </conditionalFormatting>
  <conditionalFormatting sqref="N27:AH27">
    <cfRule type="expression" dxfId="42" priority="8">
      <formula>K27=""</formula>
    </cfRule>
  </conditionalFormatting>
  <conditionalFormatting sqref="N23:AH27">
    <cfRule type="expression" dxfId="41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BB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3.7109375" customWidth="1"/>
    <col min="4" max="10" width="10.7109375" customWidth="1"/>
    <col min="11" max="11" width="13.7109375" customWidth="1"/>
    <col min="12" max="13" width="10.7109375" customWidth="1"/>
    <col min="14" max="34" width="13.7109375" customWidth="1"/>
    <col min="35" max="35" width="20" customWidth="1"/>
    <col min="36" max="46" width="11.42578125" customWidth="1"/>
    <col min="47" max="47" width="10.42578125" customWidth="1"/>
    <col min="48" max="48" width="13.7109375" customWidth="1"/>
    <col min="49" max="49" width="10.42578125" customWidth="1"/>
    <col min="50" max="50" width="9.85546875" customWidth="1"/>
    <col min="51" max="51" width="13" customWidth="1"/>
    <col min="52" max="52" width="29.85546875" customWidth="1"/>
    <col min="53" max="53" width="25.7109375" customWidth="1"/>
    <col min="54" max="54" width="11.42578125" customWidth="1"/>
  </cols>
  <sheetData>
    <row r="1" spans="2:54" x14ac:dyDescent="0.25"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x14ac:dyDescent="0.25"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2:54" x14ac:dyDescent="0.25">
      <c r="B3" s="88" t="s">
        <v>63</v>
      </c>
      <c r="C3" s="89"/>
      <c r="D3" s="89"/>
      <c r="E3" s="89"/>
      <c r="F3" s="89"/>
      <c r="G3" s="90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2:54" x14ac:dyDescent="0.25">
      <c r="B4" s="91"/>
      <c r="C4" s="92"/>
      <c r="D4" s="92"/>
      <c r="E4" s="92"/>
      <c r="F4" s="92"/>
      <c r="G4" s="9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2:54" x14ac:dyDescent="0.25">
      <c r="B5" s="4"/>
      <c r="C5" s="5">
        <v>2</v>
      </c>
      <c r="D5" s="5">
        <v>3</v>
      </c>
      <c r="E5" s="5">
        <v>5</v>
      </c>
      <c r="F5" s="5">
        <v>6</v>
      </c>
      <c r="G5" s="5">
        <v>4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2:54" x14ac:dyDescent="0.25">
      <c r="B6" s="94" t="s">
        <v>6</v>
      </c>
      <c r="C6" s="95"/>
      <c r="D6" s="95"/>
      <c r="E6" s="95"/>
      <c r="F6" s="95"/>
      <c r="G6" s="96"/>
      <c r="J6" s="6" t="s">
        <v>7</v>
      </c>
      <c r="K6" s="97" t="s">
        <v>8</v>
      </c>
      <c r="L6" s="95"/>
      <c r="M6" s="95"/>
      <c r="N6" s="9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5"/>
      <c r="AJ6" s="3">
        <v>1</v>
      </c>
      <c r="AK6" s="3">
        <v>2</v>
      </c>
      <c r="AL6" s="3" t="s">
        <v>9</v>
      </c>
      <c r="AM6" s="3"/>
      <c r="AN6" s="3" t="s">
        <v>10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15</v>
      </c>
      <c r="AT6" s="3"/>
      <c r="AU6" s="3"/>
      <c r="AV6" s="3" t="s">
        <v>11</v>
      </c>
      <c r="AW6" s="3" t="s">
        <v>16</v>
      </c>
      <c r="AX6" s="3" t="s">
        <v>9</v>
      </c>
      <c r="AY6" s="3" t="s">
        <v>17</v>
      </c>
      <c r="AZ6" s="3" t="s">
        <v>18</v>
      </c>
      <c r="BA6" s="3" t="s">
        <v>19</v>
      </c>
      <c r="BB6" s="3" t="s">
        <v>20</v>
      </c>
    </row>
    <row r="7" spans="2:54" x14ac:dyDescent="0.25">
      <c r="B7" s="7" t="s">
        <v>21</v>
      </c>
      <c r="C7" s="8" t="s">
        <v>11</v>
      </c>
      <c r="D7" s="9" t="s">
        <v>12</v>
      </c>
      <c r="E7" s="9" t="s">
        <v>14</v>
      </c>
      <c r="F7" s="9" t="s">
        <v>15</v>
      </c>
      <c r="G7" s="10" t="s">
        <v>13</v>
      </c>
      <c r="I7" s="11">
        <v>15</v>
      </c>
      <c r="J7" s="12">
        <v>44889</v>
      </c>
      <c r="K7" s="13" t="s">
        <v>64</v>
      </c>
      <c r="L7" s="14">
        <v>2</v>
      </c>
      <c r="M7" s="15">
        <v>1</v>
      </c>
      <c r="N7" s="11" t="s">
        <v>65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 t="str">
        <f t="shared" ref="AI7:AI12" si="0">CONCATENATE(K7,"_",N7)</f>
        <v>Uruguay_Corea</v>
      </c>
      <c r="AJ7" s="3">
        <f t="shared" ref="AJ7:AJ12" si="1">IF(L7&gt;M7,3,IF(L7&lt;M7,0,1))</f>
        <v>3</v>
      </c>
      <c r="AK7" s="3">
        <f t="shared" ref="AK7:AK12" si="2">IF(AJ7=3,0,IF(AJ7=1,1,3))</f>
        <v>0</v>
      </c>
      <c r="AL7" s="3" t="str">
        <f t="shared" ref="AL7:AL12" si="3">IF(AJ7&gt;AK7,K7,IF(AK7&gt;AJ7,N7,"SIN GANADOR"))</f>
        <v>Uruguay</v>
      </c>
      <c r="AM7" s="3"/>
      <c r="AN7" s="3">
        <f t="shared" ref="AN7:AN10" si="4">_xlfn.RANK.EQ(BB7,BB$7:BB$11,1)</f>
        <v>2</v>
      </c>
      <c r="AO7" s="3" t="s">
        <v>66</v>
      </c>
      <c r="AP7" s="3">
        <f t="shared" ref="AP7:AP10" si="5">SUMIF($K$7:$K$12,AO7,$AJ$7:$AJ$12) + SUMIF($N$7:$N$12,AO7,$AK$7:$AK$12)</f>
        <v>6</v>
      </c>
      <c r="AQ7" s="3">
        <f t="shared" ref="AQ7:AQ10" si="6">AR7-AS7</f>
        <v>3</v>
      </c>
      <c r="AR7" s="3">
        <f t="shared" ref="AR7:AR10" si="7">SUMIF($K$7:$K$12,AO7,$L$7:$L$12) + SUMIF($N$7:$N$12,AO7,$M$7:$M$12)</f>
        <v>7</v>
      </c>
      <c r="AS7" s="3">
        <f t="shared" ref="AS7:AS10" si="8">SUMIF($K$7:$K$12,AO7,$M$7:$M$12) + SUMIF($N$7:$N$12,AO7,$L$7:$L$12)</f>
        <v>4</v>
      </c>
      <c r="AT7" s="3"/>
      <c r="AU7" s="3"/>
      <c r="AV7" s="3" t="str">
        <f t="shared" ref="AV7:AV10" si="9">AO7</f>
        <v>Portugal</v>
      </c>
      <c r="AW7" s="3" t="str">
        <f>IF(AZ7=AZ8,AV8,IF(AZ7=AZ9,AV9,IF(AZ7=AZ10,AV10,"")))</f>
        <v/>
      </c>
      <c r="AX7" s="3" t="str">
        <f t="shared" ref="AX7:AX10" si="10">IF(AW7="","",IFERROR(VLOOKUP(CONCATENATE(AV7,"_",AW7),$AI$7:$AL$16,4,FALSE),VLOOKUP(CONCATENATE(AW7,"_",AV7),$AI$7:$AL$16,4,FALSE)))</f>
        <v/>
      </c>
      <c r="AY7" s="3">
        <f t="shared" ref="AY7:AY10" si="11">IF(AX7="",1,IF(AX7=AV7,1,0))</f>
        <v>1</v>
      </c>
      <c r="AZ7" s="3">
        <f t="shared" ref="AZ7:AZ10" si="12">-AP7*10000000 - AQ7*10000 - AR7*100</f>
        <v>-60030700</v>
      </c>
      <c r="BA7" s="3">
        <f t="shared" ref="BA7:BA10" si="13">AZ7-AY7*10</f>
        <v>-60030710</v>
      </c>
      <c r="BB7" s="3">
        <f t="shared" ref="BB7:BB10" si="14">BA7+N23</f>
        <v>-60030709</v>
      </c>
    </row>
    <row r="8" spans="2:54" x14ac:dyDescent="0.25">
      <c r="B8" s="16">
        <v>1</v>
      </c>
      <c r="C8" s="17" t="str">
        <f t="shared" ref="C8:G8" si="15">IFERROR(VLOOKUP($B8,$AN$7:$AS$11,C$5,FALSE),"")</f>
        <v>Uruguay</v>
      </c>
      <c r="D8" s="18">
        <f t="shared" si="15"/>
        <v>9</v>
      </c>
      <c r="E8" s="18">
        <f t="shared" si="15"/>
        <v>7</v>
      </c>
      <c r="F8" s="18">
        <f t="shared" si="15"/>
        <v>3</v>
      </c>
      <c r="G8" s="19">
        <f t="shared" si="15"/>
        <v>4</v>
      </c>
      <c r="I8" s="20">
        <v>16</v>
      </c>
      <c r="J8" s="21">
        <v>44889</v>
      </c>
      <c r="K8" s="22" t="s">
        <v>66</v>
      </c>
      <c r="L8" s="23">
        <v>3</v>
      </c>
      <c r="M8" s="24">
        <v>0</v>
      </c>
      <c r="N8" s="20" t="s">
        <v>67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tr">
        <f t="shared" si="0"/>
        <v>Portugal_Gana</v>
      </c>
      <c r="AJ8" s="3">
        <f t="shared" si="1"/>
        <v>3</v>
      </c>
      <c r="AK8" s="3">
        <f t="shared" si="2"/>
        <v>0</v>
      </c>
      <c r="AL8" s="3" t="str">
        <f t="shared" si="3"/>
        <v>Portugal</v>
      </c>
      <c r="AM8" s="3"/>
      <c r="AN8" s="3">
        <f t="shared" si="4"/>
        <v>1</v>
      </c>
      <c r="AO8" s="3" t="s">
        <v>64</v>
      </c>
      <c r="AP8" s="3">
        <f t="shared" si="5"/>
        <v>9</v>
      </c>
      <c r="AQ8" s="3">
        <f t="shared" si="6"/>
        <v>4</v>
      </c>
      <c r="AR8" s="3">
        <f t="shared" si="7"/>
        <v>7</v>
      </c>
      <c r="AS8" s="3">
        <f t="shared" si="8"/>
        <v>3</v>
      </c>
      <c r="AT8" s="3"/>
      <c r="AU8" s="3"/>
      <c r="AV8" s="3" t="str">
        <f t="shared" si="9"/>
        <v>Uruguay</v>
      </c>
      <c r="AW8" s="3" t="str">
        <f>IF(AZ8=AZ9,AV9,IF(AZ8=AZ10,AV10,IF(AZ8=AZ7,AV7,"")))</f>
        <v/>
      </c>
      <c r="AX8" s="3" t="str">
        <f t="shared" si="10"/>
        <v/>
      </c>
      <c r="AY8" s="3">
        <f t="shared" si="11"/>
        <v>1</v>
      </c>
      <c r="AZ8" s="3">
        <f t="shared" si="12"/>
        <v>-90040700</v>
      </c>
      <c r="BA8" s="3">
        <f t="shared" si="13"/>
        <v>-90040710</v>
      </c>
      <c r="BB8" s="3">
        <f t="shared" si="14"/>
        <v>-90040708</v>
      </c>
    </row>
    <row r="9" spans="2:54" x14ac:dyDescent="0.25">
      <c r="B9" s="25">
        <v>2</v>
      </c>
      <c r="C9" s="26" t="str">
        <f t="shared" ref="C9:G9" si="16">IFERROR(VLOOKUP($B9,$AN$7:$AS$11,C$5,FALSE),"")</f>
        <v>Portugal</v>
      </c>
      <c r="D9" s="27">
        <f t="shared" si="16"/>
        <v>6</v>
      </c>
      <c r="E9" s="27">
        <f t="shared" si="16"/>
        <v>7</v>
      </c>
      <c r="F9" s="27">
        <f t="shared" si="16"/>
        <v>4</v>
      </c>
      <c r="G9" s="28">
        <f t="shared" si="16"/>
        <v>3</v>
      </c>
      <c r="I9" s="29">
        <f t="shared" ref="I9:I12" si="17">I7+16</f>
        <v>31</v>
      </c>
      <c r="J9" s="30">
        <v>44893</v>
      </c>
      <c r="K9" s="31" t="s">
        <v>65</v>
      </c>
      <c r="L9" s="23">
        <v>1</v>
      </c>
      <c r="M9" s="24">
        <v>1</v>
      </c>
      <c r="N9" s="29" t="s">
        <v>67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tr">
        <f t="shared" si="0"/>
        <v>Corea_Gana</v>
      </c>
      <c r="AJ9" s="3">
        <f t="shared" si="1"/>
        <v>1</v>
      </c>
      <c r="AK9" s="3">
        <f t="shared" si="2"/>
        <v>1</v>
      </c>
      <c r="AL9" s="3" t="str">
        <f t="shared" si="3"/>
        <v>SIN GANADOR</v>
      </c>
      <c r="AM9" s="3"/>
      <c r="AN9" s="3">
        <f t="shared" si="4"/>
        <v>3</v>
      </c>
      <c r="AO9" s="3" t="s">
        <v>65</v>
      </c>
      <c r="AP9" s="3">
        <f t="shared" si="5"/>
        <v>1</v>
      </c>
      <c r="AQ9" s="3">
        <f t="shared" si="6"/>
        <v>-2</v>
      </c>
      <c r="AR9" s="3">
        <f t="shared" si="7"/>
        <v>3</v>
      </c>
      <c r="AS9" s="3">
        <f t="shared" si="8"/>
        <v>5</v>
      </c>
      <c r="AT9" s="3"/>
      <c r="AU9" s="3"/>
      <c r="AV9" s="3" t="str">
        <f t="shared" si="9"/>
        <v>Corea</v>
      </c>
      <c r="AW9" s="3" t="str">
        <f>IF(AZ9=AZ10,AV10,IF(AZ9=AZ7,AV7,IF(AZ9=AZ8,AV8,"")))</f>
        <v/>
      </c>
      <c r="AX9" s="3" t="str">
        <f t="shared" si="10"/>
        <v/>
      </c>
      <c r="AY9" s="3">
        <f t="shared" si="11"/>
        <v>1</v>
      </c>
      <c r="AZ9" s="3">
        <f t="shared" si="12"/>
        <v>-9980300</v>
      </c>
      <c r="BA9" s="3">
        <f t="shared" si="13"/>
        <v>-9980310</v>
      </c>
      <c r="BB9" s="3">
        <f t="shared" si="14"/>
        <v>-9980307</v>
      </c>
    </row>
    <row r="10" spans="2:54" x14ac:dyDescent="0.25">
      <c r="B10" s="32">
        <v>3</v>
      </c>
      <c r="C10" s="33" t="str">
        <f t="shared" ref="C10:G10" si="18">IFERROR(VLOOKUP($B10,$AN$7:$AS$11,C$5,FALSE),"")</f>
        <v>Corea</v>
      </c>
      <c r="D10" s="34">
        <f t="shared" si="18"/>
        <v>1</v>
      </c>
      <c r="E10" s="34">
        <f t="shared" si="18"/>
        <v>3</v>
      </c>
      <c r="F10" s="34">
        <f t="shared" si="18"/>
        <v>5</v>
      </c>
      <c r="G10" s="35">
        <f t="shared" si="18"/>
        <v>-2</v>
      </c>
      <c r="I10" s="20">
        <f t="shared" si="17"/>
        <v>32</v>
      </c>
      <c r="J10" s="21">
        <v>44893</v>
      </c>
      <c r="K10" s="22" t="s">
        <v>66</v>
      </c>
      <c r="L10" s="23">
        <v>2</v>
      </c>
      <c r="M10" s="24">
        <v>3</v>
      </c>
      <c r="N10" s="20" t="s">
        <v>64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tr">
        <f t="shared" si="0"/>
        <v>Portugal_Uruguay</v>
      </c>
      <c r="AJ10" s="3">
        <f t="shared" si="1"/>
        <v>0</v>
      </c>
      <c r="AK10" s="3">
        <f t="shared" si="2"/>
        <v>3</v>
      </c>
      <c r="AL10" s="3" t="str">
        <f t="shared" si="3"/>
        <v>Uruguay</v>
      </c>
      <c r="AM10" s="3"/>
      <c r="AN10" s="3">
        <f t="shared" si="4"/>
        <v>4</v>
      </c>
      <c r="AO10" s="3" t="s">
        <v>67</v>
      </c>
      <c r="AP10" s="3">
        <f t="shared" si="5"/>
        <v>1</v>
      </c>
      <c r="AQ10" s="3">
        <f t="shared" si="6"/>
        <v>-5</v>
      </c>
      <c r="AR10" s="3">
        <f t="shared" si="7"/>
        <v>1</v>
      </c>
      <c r="AS10" s="3">
        <f t="shared" si="8"/>
        <v>6</v>
      </c>
      <c r="AT10" s="3"/>
      <c r="AU10" s="3"/>
      <c r="AV10" s="3" t="str">
        <f t="shared" si="9"/>
        <v>Gana</v>
      </c>
      <c r="AW10" s="3" t="str">
        <f>IF(AZ10=AZ7,AV7,IF(AZ10=AZ8,AV8,IF(AZ10=AZ9,AV9,"")))</f>
        <v/>
      </c>
      <c r="AX10" s="3" t="str">
        <f t="shared" si="10"/>
        <v/>
      </c>
      <c r="AY10" s="3">
        <f t="shared" si="11"/>
        <v>1</v>
      </c>
      <c r="AZ10" s="3">
        <f t="shared" si="12"/>
        <v>-9950100</v>
      </c>
      <c r="BA10" s="3">
        <f t="shared" si="13"/>
        <v>-9950110</v>
      </c>
      <c r="BB10" s="3">
        <f t="shared" si="14"/>
        <v>-9950106</v>
      </c>
    </row>
    <row r="11" spans="2:54" x14ac:dyDescent="0.25">
      <c r="B11" s="36">
        <v>4</v>
      </c>
      <c r="C11" s="37" t="str">
        <f t="shared" ref="C11:G11" si="19">IFERROR(VLOOKUP($B11,$AN$7:$AS$11,C$5,FALSE),"")</f>
        <v>Gana</v>
      </c>
      <c r="D11" s="38">
        <f t="shared" si="19"/>
        <v>1</v>
      </c>
      <c r="E11" s="38">
        <f t="shared" si="19"/>
        <v>1</v>
      </c>
      <c r="F11" s="38">
        <f t="shared" si="19"/>
        <v>6</v>
      </c>
      <c r="G11" s="39">
        <f t="shared" si="19"/>
        <v>-5</v>
      </c>
      <c r="I11" s="29">
        <f t="shared" si="17"/>
        <v>47</v>
      </c>
      <c r="J11" s="30">
        <v>44897</v>
      </c>
      <c r="K11" s="31" t="s">
        <v>67</v>
      </c>
      <c r="L11" s="23">
        <v>0</v>
      </c>
      <c r="M11" s="24">
        <v>2</v>
      </c>
      <c r="N11" s="29" t="s">
        <v>64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tr">
        <f t="shared" si="0"/>
        <v>Gana_Uruguay</v>
      </c>
      <c r="AJ11" s="3">
        <f t="shared" si="1"/>
        <v>0</v>
      </c>
      <c r="AK11" s="3">
        <f t="shared" si="2"/>
        <v>3</v>
      </c>
      <c r="AL11" s="3" t="str">
        <f t="shared" si="3"/>
        <v>Uruguay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2:54" x14ac:dyDescent="0.25">
      <c r="I12" s="40">
        <f t="shared" si="17"/>
        <v>48</v>
      </c>
      <c r="J12" s="41">
        <v>44897</v>
      </c>
      <c r="K12" s="42" t="s">
        <v>65</v>
      </c>
      <c r="L12" s="43">
        <v>1</v>
      </c>
      <c r="M12" s="44">
        <v>2</v>
      </c>
      <c r="N12" s="40" t="s">
        <v>66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tr">
        <f t="shared" si="0"/>
        <v>Corea_Portugal</v>
      </c>
      <c r="AJ12" s="3">
        <f t="shared" si="1"/>
        <v>0</v>
      </c>
      <c r="AK12" s="3">
        <f t="shared" si="2"/>
        <v>3</v>
      </c>
      <c r="AL12" s="3" t="str">
        <f t="shared" si="3"/>
        <v>Portugal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2:54" x14ac:dyDescent="0.25"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x14ac:dyDescent="0.25"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x14ac:dyDescent="0.25"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x14ac:dyDescent="0.25"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2:54" x14ac:dyDescent="0.25"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2:54" x14ac:dyDescent="0.25"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x14ac:dyDescent="0.25"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2:54" x14ac:dyDescent="0.25"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customHeight="1" x14ac:dyDescent="0.25"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 ht="15.75" customHeight="1" x14ac:dyDescent="0.25">
      <c r="B22" s="45" t="s">
        <v>26</v>
      </c>
      <c r="C22" s="46"/>
      <c r="D22" s="46"/>
      <c r="E22" s="46"/>
      <c r="F22" s="46"/>
      <c r="G22" s="46"/>
      <c r="H22" s="47"/>
      <c r="I22" s="3">
        <v>1</v>
      </c>
      <c r="J22" s="81" t="s">
        <v>27</v>
      </c>
      <c r="K22" s="82"/>
      <c r="L22" s="82"/>
      <c r="M22" s="83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 ht="15.75" customHeight="1" x14ac:dyDescent="0.25">
      <c r="B23" s="48" t="s">
        <v>28</v>
      </c>
      <c r="C23" s="49"/>
      <c r="D23" s="49"/>
      <c r="E23" s="49"/>
      <c r="F23" s="49"/>
      <c r="G23" s="49"/>
      <c r="H23" s="50"/>
      <c r="I23" s="3">
        <f t="shared" ref="I23:I26" si="20">IF(J23="",0,1)</f>
        <v>1</v>
      </c>
      <c r="J23" s="98" t="s">
        <v>66</v>
      </c>
      <c r="K23" s="99"/>
      <c r="L23" s="85"/>
      <c r="M23" s="59">
        <v>1</v>
      </c>
      <c r="N23" s="52">
        <f t="shared" ref="N23:N27" si="21">IF(J23="",0,M23)</f>
        <v>1</v>
      </c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 ht="15.75" customHeight="1" x14ac:dyDescent="0.25">
      <c r="B24" s="48" t="s">
        <v>29</v>
      </c>
      <c r="C24" s="49"/>
      <c r="D24" s="49"/>
      <c r="E24" s="49"/>
      <c r="F24" s="49"/>
      <c r="G24" s="49"/>
      <c r="H24" s="50"/>
      <c r="I24" s="3">
        <f t="shared" si="20"/>
        <v>1</v>
      </c>
      <c r="J24" s="100" t="s">
        <v>64</v>
      </c>
      <c r="K24" s="101"/>
      <c r="L24" s="102"/>
      <c r="M24" s="54">
        <v>2</v>
      </c>
      <c r="N24" s="52">
        <f t="shared" si="21"/>
        <v>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customHeight="1" x14ac:dyDescent="0.25">
      <c r="B25" s="48" t="s">
        <v>30</v>
      </c>
      <c r="C25" s="49"/>
      <c r="D25" s="49"/>
      <c r="E25" s="49"/>
      <c r="F25" s="49"/>
      <c r="G25" s="49"/>
      <c r="H25" s="50"/>
      <c r="I25" s="3">
        <f t="shared" si="20"/>
        <v>1</v>
      </c>
      <c r="J25" s="100" t="s">
        <v>65</v>
      </c>
      <c r="K25" s="101"/>
      <c r="L25" s="102"/>
      <c r="M25" s="54">
        <v>3</v>
      </c>
      <c r="N25" s="52">
        <f t="shared" si="21"/>
        <v>3</v>
      </c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5.75" customHeight="1" x14ac:dyDescent="0.25">
      <c r="B26" s="48" t="s">
        <v>31</v>
      </c>
      <c r="C26" s="49"/>
      <c r="D26" s="49"/>
      <c r="E26" s="49"/>
      <c r="F26" s="49"/>
      <c r="G26" s="49"/>
      <c r="H26" s="50"/>
      <c r="I26" s="3">
        <f t="shared" si="20"/>
        <v>1</v>
      </c>
      <c r="J26" s="103" t="s">
        <v>67</v>
      </c>
      <c r="K26" s="104"/>
      <c r="L26" s="87"/>
      <c r="M26" s="55">
        <v>4</v>
      </c>
      <c r="N26" s="52">
        <f t="shared" si="21"/>
        <v>4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5.75" customHeight="1" x14ac:dyDescent="0.25">
      <c r="B27" s="48" t="s">
        <v>32</v>
      </c>
      <c r="C27" s="49"/>
      <c r="D27" s="49"/>
      <c r="E27" s="49"/>
      <c r="F27" s="49"/>
      <c r="G27" s="49"/>
      <c r="H27" s="50"/>
      <c r="I27" s="3"/>
      <c r="N27" s="52">
        <f t="shared" si="21"/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5.75" customHeight="1" x14ac:dyDescent="0.25">
      <c r="B28" s="56"/>
      <c r="C28" s="57"/>
      <c r="D28" s="57"/>
      <c r="E28" s="57"/>
      <c r="F28" s="57"/>
      <c r="G28" s="57"/>
      <c r="H28" s="58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5.75" customHeight="1" x14ac:dyDescent="0.25"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 ht="15.75" customHeight="1" x14ac:dyDescent="0.25"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2:54" ht="15.75" customHeight="1" x14ac:dyDescent="0.25"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2:54" ht="15.75" customHeight="1" x14ac:dyDescent="0.25"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5:54" ht="15.75" customHeight="1" x14ac:dyDescent="0.25"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5:54" ht="15.75" customHeight="1" x14ac:dyDescent="0.25"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5:54" ht="15.75" customHeight="1" x14ac:dyDescent="0.25"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5:54" ht="15.75" customHeight="1" x14ac:dyDescent="0.25"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5:54" ht="15.75" customHeight="1" x14ac:dyDescent="0.25"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5:54" ht="15.75" customHeight="1" x14ac:dyDescent="0.25"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5:54" ht="15.75" customHeight="1" x14ac:dyDescent="0.25"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5:54" ht="15.75" customHeight="1" x14ac:dyDescent="0.25"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5:54" ht="15.75" customHeight="1" x14ac:dyDescent="0.25"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5:54" ht="15.75" customHeight="1" x14ac:dyDescent="0.25"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5:54" ht="15.75" customHeight="1" x14ac:dyDescent="0.25"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5:54" ht="15.75" customHeight="1" x14ac:dyDescent="0.25"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5:54" ht="15.75" customHeight="1" x14ac:dyDescent="0.25"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5:54" ht="15.75" customHeight="1" x14ac:dyDescent="0.25"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5:54" ht="15.75" customHeight="1" x14ac:dyDescent="0.25"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5:54" ht="15.75" customHeight="1" x14ac:dyDescent="0.25"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ht="15.75" customHeight="1" x14ac:dyDescent="0.25"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ht="15.75" customHeight="1" x14ac:dyDescent="0.25"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5:54" ht="15.75" customHeight="1" x14ac:dyDescent="0.25"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5:54" ht="15.75" customHeight="1" x14ac:dyDescent="0.25"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5:54" ht="15.75" customHeight="1" x14ac:dyDescent="0.25"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5:54" ht="15.75" customHeight="1" x14ac:dyDescent="0.25"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5:54" ht="15.75" customHeight="1" x14ac:dyDescent="0.25"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5:54" ht="15.75" customHeight="1" x14ac:dyDescent="0.25"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5:54" ht="15.75" customHeight="1" x14ac:dyDescent="0.25"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5:54" ht="15.75" customHeight="1" x14ac:dyDescent="0.25"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5:54" ht="15.75" customHeight="1" x14ac:dyDescent="0.25"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5:54" ht="15.75" customHeight="1" x14ac:dyDescent="0.25"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5:54" ht="15.75" customHeight="1" x14ac:dyDescent="0.25"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5:54" ht="15.75" customHeight="1" x14ac:dyDescent="0.25"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5:54" ht="15.75" customHeight="1" x14ac:dyDescent="0.25"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5:54" ht="15.75" customHeight="1" x14ac:dyDescent="0.25"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5:54" ht="15.75" customHeight="1" x14ac:dyDescent="0.25"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5:54" ht="15.75" customHeight="1" x14ac:dyDescent="0.25"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5:54" ht="15.75" customHeight="1" x14ac:dyDescent="0.25"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5:54" ht="15.75" customHeight="1" x14ac:dyDescent="0.25"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5:54" ht="15.75" customHeight="1" x14ac:dyDescent="0.25"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5:54" ht="15.75" customHeight="1" x14ac:dyDescent="0.25"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5:54" ht="15.75" customHeight="1" x14ac:dyDescent="0.25"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5:54" ht="15.75" customHeight="1" x14ac:dyDescent="0.25"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5:54" ht="15.75" customHeight="1" x14ac:dyDescent="0.25"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5:54" ht="15.75" customHeight="1" x14ac:dyDescent="0.25"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5:54" ht="15.75" customHeight="1" x14ac:dyDescent="0.25"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5:54" ht="15.75" customHeight="1" x14ac:dyDescent="0.25"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5:54" ht="15.75" customHeight="1" x14ac:dyDescent="0.25"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5:54" ht="15.75" customHeight="1" x14ac:dyDescent="0.25"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5:54" ht="15.75" customHeight="1" x14ac:dyDescent="0.25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5:54" ht="15.75" customHeight="1" x14ac:dyDescent="0.25"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5:54" ht="15.75" customHeight="1" x14ac:dyDescent="0.25"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5:54" ht="15.75" customHeight="1" x14ac:dyDescent="0.25"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5:54" ht="15.75" customHeight="1" x14ac:dyDescent="0.25"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5:54" ht="15.75" customHeight="1" x14ac:dyDescent="0.25"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5:54" ht="15.75" customHeight="1" x14ac:dyDescent="0.25"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5:54" ht="15.75" customHeight="1" x14ac:dyDescent="0.25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5:54" ht="15.75" customHeight="1" x14ac:dyDescent="0.25"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5:54" ht="15.75" customHeight="1" x14ac:dyDescent="0.25"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5:54" ht="15.75" customHeight="1" x14ac:dyDescent="0.25"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5:54" ht="15.75" customHeight="1" x14ac:dyDescent="0.25"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5:54" ht="15.75" customHeight="1" x14ac:dyDescent="0.25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5:54" ht="15.75" customHeight="1" x14ac:dyDescent="0.25"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5:54" ht="15.75" customHeight="1" x14ac:dyDescent="0.25"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5:54" ht="15.75" customHeight="1" x14ac:dyDescent="0.25"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5:54" ht="15.75" customHeight="1" x14ac:dyDescent="0.25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5:54" ht="15.75" customHeight="1" x14ac:dyDescent="0.25"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5:54" ht="15.75" customHeight="1" x14ac:dyDescent="0.25"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5:54" ht="15.75" customHeight="1" x14ac:dyDescent="0.25"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5:54" ht="15.75" customHeight="1" x14ac:dyDescent="0.25"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5:54" ht="15.75" customHeight="1" x14ac:dyDescent="0.25"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5:54" ht="15.75" customHeight="1" x14ac:dyDescent="0.25"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5:54" ht="15.75" customHeight="1" x14ac:dyDescent="0.25"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5:54" ht="15.75" customHeight="1" x14ac:dyDescent="0.25"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5:54" ht="15.75" customHeight="1" x14ac:dyDescent="0.25"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5:54" ht="15.75" customHeight="1" x14ac:dyDescent="0.25"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5:54" ht="15.75" customHeight="1" x14ac:dyDescent="0.25"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5:54" ht="15.75" customHeight="1" x14ac:dyDescent="0.25"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5:54" ht="15.75" customHeight="1" x14ac:dyDescent="0.25"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5:54" ht="15.75" customHeight="1" x14ac:dyDescent="0.25"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5:54" ht="15.75" customHeight="1" x14ac:dyDescent="0.25"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5:54" ht="15.75" customHeight="1" x14ac:dyDescent="0.25"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5:54" ht="15.75" customHeight="1" x14ac:dyDescent="0.25"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5:54" ht="15.75" customHeight="1" x14ac:dyDescent="0.25"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5:54" ht="15.75" customHeight="1" x14ac:dyDescent="0.25"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5:54" ht="15.75" customHeight="1" x14ac:dyDescent="0.25"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5:54" ht="15.75" customHeight="1" x14ac:dyDescent="0.25"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5:54" ht="15.75" customHeight="1" x14ac:dyDescent="0.25"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5:54" ht="15.75" customHeight="1" x14ac:dyDescent="0.25"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5:54" ht="15.75" customHeight="1" x14ac:dyDescent="0.25"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5:54" ht="15.75" customHeight="1" x14ac:dyDescent="0.25"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5:54" ht="15.75" customHeight="1" x14ac:dyDescent="0.25"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5:54" ht="15.75" customHeight="1" x14ac:dyDescent="0.25"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5:54" ht="15.75" customHeight="1" x14ac:dyDescent="0.25"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5:54" ht="15.75" customHeight="1" x14ac:dyDescent="0.25"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5:54" ht="15.75" customHeight="1" x14ac:dyDescent="0.25"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5:54" ht="15.75" customHeight="1" x14ac:dyDescent="0.25"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5:54" ht="15.75" customHeight="1" x14ac:dyDescent="0.25"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5:54" ht="15.75" customHeight="1" x14ac:dyDescent="0.25"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5:54" ht="15.75" customHeight="1" x14ac:dyDescent="0.25"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5:54" ht="15.75" customHeight="1" x14ac:dyDescent="0.25"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5:54" ht="15.75" customHeight="1" x14ac:dyDescent="0.25"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5:54" ht="15.75" customHeight="1" x14ac:dyDescent="0.25"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5:54" ht="15.75" customHeight="1" x14ac:dyDescent="0.25"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5:54" ht="15.75" customHeight="1" x14ac:dyDescent="0.25"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5:54" ht="15.75" customHeight="1" x14ac:dyDescent="0.25"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5:54" ht="15.75" customHeight="1" x14ac:dyDescent="0.25"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5:54" ht="15.75" customHeight="1" x14ac:dyDescent="0.25"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5:54" ht="15.75" customHeight="1" x14ac:dyDescent="0.25"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5:54" ht="15.75" customHeight="1" x14ac:dyDescent="0.25"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5:54" ht="15.75" customHeight="1" x14ac:dyDescent="0.25"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5:54" ht="15.75" customHeight="1" x14ac:dyDescent="0.25"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5:54" ht="15.75" customHeight="1" x14ac:dyDescent="0.25"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5:54" ht="15.75" customHeight="1" x14ac:dyDescent="0.25"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5:54" ht="15.75" customHeight="1" x14ac:dyDescent="0.25"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5:54" ht="15.75" customHeight="1" x14ac:dyDescent="0.25"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5:54" ht="15.75" customHeight="1" x14ac:dyDescent="0.25"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5:54" ht="15.75" customHeight="1" x14ac:dyDescent="0.25"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5:54" ht="15.75" customHeight="1" x14ac:dyDescent="0.25"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5:54" ht="15.75" customHeight="1" x14ac:dyDescent="0.25"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5:54" ht="15.75" customHeight="1" x14ac:dyDescent="0.25"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5:54" ht="15.75" customHeight="1" x14ac:dyDescent="0.25"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5:54" ht="15.75" customHeight="1" x14ac:dyDescent="0.25"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5:54" ht="15.75" customHeight="1" x14ac:dyDescent="0.25"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5:54" ht="15.75" customHeight="1" x14ac:dyDescent="0.25"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5:54" ht="15.75" customHeight="1" x14ac:dyDescent="0.25"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5:54" ht="15.75" customHeight="1" x14ac:dyDescent="0.25"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5:54" ht="15.75" customHeight="1" x14ac:dyDescent="0.25"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5:54" ht="15.75" customHeight="1" x14ac:dyDescent="0.25"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5:54" ht="15.75" customHeight="1" x14ac:dyDescent="0.25"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5:54" ht="15.75" customHeight="1" x14ac:dyDescent="0.25"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5:54" ht="15.75" customHeight="1" x14ac:dyDescent="0.25"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5:54" ht="15.75" customHeight="1" x14ac:dyDescent="0.25"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5:54" ht="15.75" customHeight="1" x14ac:dyDescent="0.25"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5:54" ht="15.75" customHeight="1" x14ac:dyDescent="0.25"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5:54" ht="15.75" customHeight="1" x14ac:dyDescent="0.25"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5:54" ht="15.75" customHeight="1" x14ac:dyDescent="0.25"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5:54" ht="15.75" customHeight="1" x14ac:dyDescent="0.25"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5:54" ht="15.75" customHeight="1" x14ac:dyDescent="0.25"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5:54" ht="15.75" customHeight="1" x14ac:dyDescent="0.25"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5:54" ht="15.75" customHeight="1" x14ac:dyDescent="0.25"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5:54" ht="15.75" customHeight="1" x14ac:dyDescent="0.25"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5:54" ht="15.75" customHeight="1" x14ac:dyDescent="0.25"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5:54" ht="15.75" customHeight="1" x14ac:dyDescent="0.25"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5:54" ht="15.75" customHeight="1" x14ac:dyDescent="0.25"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5:54" ht="15.75" customHeight="1" x14ac:dyDescent="0.25"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5:54" ht="15.75" customHeight="1" x14ac:dyDescent="0.25"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5:54" ht="15.75" customHeight="1" x14ac:dyDescent="0.25"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5:54" ht="15.75" customHeight="1" x14ac:dyDescent="0.25"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5:54" ht="15.75" customHeight="1" x14ac:dyDescent="0.25"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5:54" ht="15.75" customHeight="1" x14ac:dyDescent="0.25"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5:54" ht="15.75" customHeight="1" x14ac:dyDescent="0.25"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5:54" ht="15.75" customHeight="1" x14ac:dyDescent="0.25"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5:54" ht="15.75" customHeight="1" x14ac:dyDescent="0.25"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5:54" ht="15.75" customHeight="1" x14ac:dyDescent="0.25"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5:54" ht="15.75" customHeight="1" x14ac:dyDescent="0.25"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5:54" ht="15.75" customHeight="1" x14ac:dyDescent="0.25"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5:54" ht="15.75" customHeight="1" x14ac:dyDescent="0.25"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5:54" ht="15.75" customHeight="1" x14ac:dyDescent="0.25"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5:54" ht="15.75" customHeight="1" x14ac:dyDescent="0.25"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5:54" ht="15.75" customHeight="1" x14ac:dyDescent="0.25"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5:54" ht="15.75" customHeight="1" x14ac:dyDescent="0.25"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5:54" ht="15.75" customHeight="1" x14ac:dyDescent="0.25"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5:54" ht="15.75" customHeight="1" x14ac:dyDescent="0.25"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5:54" ht="15.75" customHeight="1" x14ac:dyDescent="0.25"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5:54" ht="15.75" customHeight="1" x14ac:dyDescent="0.25"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5:54" ht="15.75" customHeight="1" x14ac:dyDescent="0.25"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5:54" ht="15.75" customHeight="1" x14ac:dyDescent="0.25"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5:54" ht="15.75" customHeight="1" x14ac:dyDescent="0.25"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5:54" ht="15.75" customHeight="1" x14ac:dyDescent="0.25"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5:54" ht="15.75" customHeight="1" x14ac:dyDescent="0.25"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5:54" ht="15.75" customHeight="1" x14ac:dyDescent="0.25"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5:54" ht="15.75" customHeight="1" x14ac:dyDescent="0.25"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5:54" ht="15.75" customHeight="1" x14ac:dyDescent="0.25"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5:54" ht="15.75" customHeight="1" x14ac:dyDescent="0.25"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5:54" ht="15.75" customHeight="1" x14ac:dyDescent="0.25"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5:54" ht="15.75" customHeight="1" x14ac:dyDescent="0.25"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5:54" ht="15.75" customHeight="1" x14ac:dyDescent="0.25"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5:54" ht="15.75" customHeight="1" x14ac:dyDescent="0.25"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5:54" ht="15.75" customHeight="1" x14ac:dyDescent="0.25"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5:54" ht="15.75" customHeight="1" x14ac:dyDescent="0.25"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5:54" ht="15.75" customHeight="1" x14ac:dyDescent="0.25"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5:54" ht="15.75" customHeight="1" x14ac:dyDescent="0.25"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5:54" ht="15.75" customHeight="1" x14ac:dyDescent="0.25"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5:54" ht="15.75" customHeight="1" x14ac:dyDescent="0.25"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5:54" ht="15.75" customHeight="1" x14ac:dyDescent="0.25"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5:54" ht="15.75" customHeight="1" x14ac:dyDescent="0.25"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5:54" ht="15.75" customHeight="1" x14ac:dyDescent="0.25"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5:54" ht="15.75" customHeight="1" x14ac:dyDescent="0.25"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5:54" ht="15.75" customHeight="1" x14ac:dyDescent="0.25"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5:54" ht="15.75" customHeight="1" x14ac:dyDescent="0.25"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5:54" ht="15.75" customHeight="1" x14ac:dyDescent="0.25"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5:54" ht="15.75" customHeight="1" x14ac:dyDescent="0.25"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5:54" ht="15.75" customHeight="1" x14ac:dyDescent="0.25"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5:54" ht="15.75" customHeight="1" x14ac:dyDescent="0.25"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5:54" ht="15.75" customHeight="1" x14ac:dyDescent="0.25"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5:54" ht="15.75" customHeight="1" x14ac:dyDescent="0.25"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5:54" ht="15.75" customHeight="1" x14ac:dyDescent="0.25"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5:54" ht="15.75" customHeight="1" x14ac:dyDescent="0.25"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5:54" ht="15.75" customHeight="1" x14ac:dyDescent="0.25"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5:54" ht="15.75" customHeight="1" x14ac:dyDescent="0.25"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5:54" ht="15.75" customHeight="1" x14ac:dyDescent="0.25"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5:54" ht="15.75" customHeight="1" x14ac:dyDescent="0.25"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5:54" ht="15.75" customHeight="1" x14ac:dyDescent="0.25"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5:54" ht="15.75" customHeight="1" x14ac:dyDescent="0.25"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5:54" ht="15.75" customHeight="1" x14ac:dyDescent="0.25"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5:54" ht="15.75" customHeight="1" x14ac:dyDescent="0.25"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5:54" ht="15.75" customHeight="1" x14ac:dyDescent="0.25"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5:54" ht="15.75" customHeight="1" x14ac:dyDescent="0.25"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5:54" ht="15.75" customHeight="1" x14ac:dyDescent="0.25"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5:54" ht="15.75" customHeight="1" x14ac:dyDescent="0.25"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5:54" ht="15.75" customHeight="1" x14ac:dyDescent="0.25"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5:54" ht="15.75" customHeight="1" x14ac:dyDescent="0.25"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5:54" ht="15.75" customHeight="1" x14ac:dyDescent="0.25"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5:54" ht="15.75" customHeight="1" x14ac:dyDescent="0.25"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5:54" ht="15.75" customHeight="1" x14ac:dyDescent="0.25"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5:54" ht="15.75" customHeight="1" x14ac:dyDescent="0.25"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5:54" ht="15.75" customHeight="1" x14ac:dyDescent="0.25"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5:54" ht="15.75" customHeight="1" x14ac:dyDescent="0.25"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5:54" ht="15.75" customHeight="1" x14ac:dyDescent="0.25"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5:54" ht="15.75" customHeight="1" x14ac:dyDescent="0.25"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5:54" ht="15.75" customHeight="1" x14ac:dyDescent="0.25"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5:54" ht="15.75" customHeight="1" x14ac:dyDescent="0.25"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5:54" ht="15.75" customHeight="1" x14ac:dyDescent="0.25"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5:54" ht="15.75" customHeight="1" x14ac:dyDescent="0.25"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5:54" ht="15.75" customHeight="1" x14ac:dyDescent="0.25"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5:54" ht="15.75" customHeight="1" x14ac:dyDescent="0.25"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5:54" ht="15.75" customHeight="1" x14ac:dyDescent="0.25"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5:54" ht="15.75" customHeight="1" x14ac:dyDescent="0.25"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5:54" ht="15.75" customHeight="1" x14ac:dyDescent="0.25"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5:54" ht="15.75" customHeight="1" x14ac:dyDescent="0.25"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5:54" ht="15.75" customHeight="1" x14ac:dyDescent="0.25"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5:54" ht="15.75" customHeight="1" x14ac:dyDescent="0.25"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5:54" ht="15.75" customHeight="1" x14ac:dyDescent="0.25"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5:54" ht="15.75" customHeight="1" x14ac:dyDescent="0.25"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5:54" ht="15.75" customHeight="1" x14ac:dyDescent="0.25"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5:54" ht="15.75" customHeight="1" x14ac:dyDescent="0.25"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5:54" ht="15.75" customHeight="1" x14ac:dyDescent="0.25"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5:54" ht="15.75" customHeight="1" x14ac:dyDescent="0.25"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5:54" ht="15.75" customHeight="1" x14ac:dyDescent="0.25"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5:54" ht="15.75" customHeight="1" x14ac:dyDescent="0.25"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5:54" ht="15.75" customHeight="1" x14ac:dyDescent="0.25"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5:54" ht="15.75" customHeight="1" x14ac:dyDescent="0.25"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5:54" ht="15.75" customHeight="1" x14ac:dyDescent="0.25"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5:54" ht="15.75" customHeight="1" x14ac:dyDescent="0.25"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5:54" ht="15.75" customHeight="1" x14ac:dyDescent="0.25"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5:54" ht="15.75" customHeight="1" x14ac:dyDescent="0.25"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5:54" ht="15.75" customHeight="1" x14ac:dyDescent="0.25"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5:54" ht="15.75" customHeight="1" x14ac:dyDescent="0.25"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5:54" ht="15.75" customHeight="1" x14ac:dyDescent="0.25"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5:54" ht="15.75" customHeight="1" x14ac:dyDescent="0.25"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5:54" ht="15.75" customHeight="1" x14ac:dyDescent="0.25"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5:54" ht="15.75" customHeight="1" x14ac:dyDescent="0.25"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5:54" ht="15.75" customHeight="1" x14ac:dyDescent="0.25"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5:54" ht="15.75" customHeight="1" x14ac:dyDescent="0.25"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5:54" ht="15.75" customHeight="1" x14ac:dyDescent="0.25"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5:54" ht="15.75" customHeight="1" x14ac:dyDescent="0.25"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5:54" ht="15.75" customHeight="1" x14ac:dyDescent="0.25"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5:54" ht="15.75" customHeight="1" x14ac:dyDescent="0.25"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5:54" ht="15.75" customHeight="1" x14ac:dyDescent="0.25"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5:54" ht="15.75" customHeight="1" x14ac:dyDescent="0.25"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5:54" ht="15.75" customHeight="1" x14ac:dyDescent="0.25"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5:54" ht="15.75" customHeight="1" x14ac:dyDescent="0.25"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5:54" ht="15.75" customHeight="1" x14ac:dyDescent="0.25"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5:54" ht="15.75" customHeight="1" x14ac:dyDescent="0.25"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5:54" ht="15.75" customHeight="1" x14ac:dyDescent="0.25"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5:54" ht="15.75" customHeight="1" x14ac:dyDescent="0.25"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5:54" ht="15.75" customHeight="1" x14ac:dyDescent="0.25"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5:54" ht="15.75" customHeight="1" x14ac:dyDescent="0.25"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5:54" ht="15.75" customHeight="1" x14ac:dyDescent="0.25"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5:54" ht="15.75" customHeight="1" x14ac:dyDescent="0.25"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5:54" ht="15.75" customHeight="1" x14ac:dyDescent="0.25"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5:54" ht="15.75" customHeight="1" x14ac:dyDescent="0.25"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5:54" ht="15.75" customHeight="1" x14ac:dyDescent="0.25"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5:54" ht="15.75" customHeight="1" x14ac:dyDescent="0.25"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5:54" ht="15.75" customHeight="1" x14ac:dyDescent="0.25"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5:54" ht="15.75" customHeight="1" x14ac:dyDescent="0.25"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5:54" ht="15.75" customHeight="1" x14ac:dyDescent="0.25"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5:54" ht="15.75" customHeight="1" x14ac:dyDescent="0.25"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5:54" ht="15.75" customHeight="1" x14ac:dyDescent="0.25"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5:54" ht="15.75" customHeight="1" x14ac:dyDescent="0.25"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5:54" ht="15.75" customHeight="1" x14ac:dyDescent="0.25"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5:54" ht="15.75" customHeight="1" x14ac:dyDescent="0.25"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5:54" ht="15.75" customHeight="1" x14ac:dyDescent="0.25"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5:54" ht="15.75" customHeight="1" x14ac:dyDescent="0.25"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5:54" ht="15.75" customHeight="1" x14ac:dyDescent="0.25"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5:54" ht="15.75" customHeight="1" x14ac:dyDescent="0.25"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5:54" ht="15.75" customHeight="1" x14ac:dyDescent="0.25"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5:54" ht="15.75" customHeight="1" x14ac:dyDescent="0.25"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5:54" ht="15.75" customHeight="1" x14ac:dyDescent="0.25"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5:54" ht="15.75" customHeight="1" x14ac:dyDescent="0.25"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5:54" ht="15.75" customHeight="1" x14ac:dyDescent="0.25"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5:54" ht="15.75" customHeight="1" x14ac:dyDescent="0.25"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5:54" ht="15.75" customHeight="1" x14ac:dyDescent="0.25"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5:54" ht="15.75" customHeight="1" x14ac:dyDescent="0.25"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5:54" ht="15.75" customHeight="1" x14ac:dyDescent="0.25"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5:54" ht="15.75" customHeight="1" x14ac:dyDescent="0.25"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5:54" ht="15.75" customHeight="1" x14ac:dyDescent="0.25"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5:54" ht="15.75" customHeight="1" x14ac:dyDescent="0.25"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5:54" ht="15.75" customHeight="1" x14ac:dyDescent="0.25"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5:54" ht="15.75" customHeight="1" x14ac:dyDescent="0.25"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5:54" ht="15.75" customHeight="1" x14ac:dyDescent="0.25"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5:54" ht="15.75" customHeight="1" x14ac:dyDescent="0.25"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5:54" ht="15.75" customHeight="1" x14ac:dyDescent="0.25"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5:54" ht="15.75" customHeight="1" x14ac:dyDescent="0.25"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5:54" ht="15.75" customHeight="1" x14ac:dyDescent="0.25"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5:54" ht="15.75" customHeight="1" x14ac:dyDescent="0.25"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5:54" ht="15.75" customHeight="1" x14ac:dyDescent="0.25"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5:54" ht="15.75" customHeight="1" x14ac:dyDescent="0.25"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5:54" ht="15.75" customHeight="1" x14ac:dyDescent="0.25"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5:54" ht="15.75" customHeight="1" x14ac:dyDescent="0.25"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5:54" ht="15.75" customHeight="1" x14ac:dyDescent="0.25"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5:54" ht="15.75" customHeight="1" x14ac:dyDescent="0.25"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5:54" ht="15.75" customHeight="1" x14ac:dyDescent="0.25"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5:54" ht="15.75" customHeight="1" x14ac:dyDescent="0.25"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5:54" ht="15.75" customHeight="1" x14ac:dyDescent="0.25"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5:54" ht="15.75" customHeight="1" x14ac:dyDescent="0.25"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5:54" ht="15.75" customHeight="1" x14ac:dyDescent="0.25"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5:54" ht="15.75" customHeight="1" x14ac:dyDescent="0.25"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5:54" ht="15.75" customHeight="1" x14ac:dyDescent="0.25"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5:54" ht="15.75" customHeight="1" x14ac:dyDescent="0.25"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5:54" ht="15.75" customHeight="1" x14ac:dyDescent="0.25"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5:54" ht="15.75" customHeight="1" x14ac:dyDescent="0.25"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5:54" ht="15.75" customHeight="1" x14ac:dyDescent="0.25"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5:54" ht="15.75" customHeight="1" x14ac:dyDescent="0.25"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15:54" ht="15.75" customHeight="1" x14ac:dyDescent="0.25"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5:54" ht="15.75" customHeight="1" x14ac:dyDescent="0.25"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5:54" ht="15.75" customHeight="1" x14ac:dyDescent="0.25"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5:54" ht="15.75" customHeight="1" x14ac:dyDescent="0.25"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5:54" ht="15.75" customHeight="1" x14ac:dyDescent="0.25"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5:54" ht="15.75" customHeight="1" x14ac:dyDescent="0.25"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5:54" ht="15.75" customHeight="1" x14ac:dyDescent="0.25"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5:54" ht="15.75" customHeight="1" x14ac:dyDescent="0.25"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5:54" ht="15.75" customHeight="1" x14ac:dyDescent="0.25"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5:54" ht="15.75" customHeight="1" x14ac:dyDescent="0.25"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5:54" ht="15.75" customHeight="1" x14ac:dyDescent="0.25"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5:54" ht="15.75" customHeight="1" x14ac:dyDescent="0.25"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5:54" ht="15.75" customHeight="1" x14ac:dyDescent="0.25"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5:54" ht="15.75" customHeight="1" x14ac:dyDescent="0.25"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5:54" ht="15.75" customHeight="1" x14ac:dyDescent="0.25"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5:54" ht="15.75" customHeight="1" x14ac:dyDescent="0.25"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5:54" ht="15.75" customHeight="1" x14ac:dyDescent="0.25"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15:54" ht="15.75" customHeight="1" x14ac:dyDescent="0.25"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5:54" ht="15.75" customHeight="1" x14ac:dyDescent="0.25"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5:54" ht="15.75" customHeight="1" x14ac:dyDescent="0.25"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5:54" ht="15.75" customHeight="1" x14ac:dyDescent="0.25"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5:54" ht="15.75" customHeight="1" x14ac:dyDescent="0.25"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5:54" ht="15.75" customHeight="1" x14ac:dyDescent="0.25"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5:54" ht="15.75" customHeight="1" x14ac:dyDescent="0.25"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5:54" ht="15.75" customHeight="1" x14ac:dyDescent="0.25"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5:54" ht="15.75" customHeight="1" x14ac:dyDescent="0.25"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5:54" ht="15.75" customHeight="1" x14ac:dyDescent="0.25"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5:54" ht="15.75" customHeight="1" x14ac:dyDescent="0.25"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5:54" ht="15.75" customHeight="1" x14ac:dyDescent="0.25"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5:54" ht="15.75" customHeight="1" x14ac:dyDescent="0.25"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5:54" ht="15.75" customHeight="1" x14ac:dyDescent="0.25"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5:54" ht="15.75" customHeight="1" x14ac:dyDescent="0.25"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5:54" ht="15.75" customHeight="1" x14ac:dyDescent="0.25"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5:54" ht="15.75" customHeight="1" x14ac:dyDescent="0.25"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5:54" ht="15.75" customHeight="1" x14ac:dyDescent="0.25"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5:54" ht="15.75" customHeight="1" x14ac:dyDescent="0.25"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5:54" ht="15.75" customHeight="1" x14ac:dyDescent="0.25"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5:54" ht="15.75" customHeight="1" x14ac:dyDescent="0.25"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5:54" ht="15.75" customHeight="1" x14ac:dyDescent="0.25"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5:54" ht="15.75" customHeight="1" x14ac:dyDescent="0.25"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5:54" ht="15.75" customHeight="1" x14ac:dyDescent="0.25"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5:54" ht="15.75" customHeight="1" x14ac:dyDescent="0.25"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5:54" ht="15.75" customHeight="1" x14ac:dyDescent="0.25"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5:54" ht="15.75" customHeight="1" x14ac:dyDescent="0.25"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5:54" ht="15.75" customHeight="1" x14ac:dyDescent="0.25"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5:54" ht="15.75" customHeight="1" x14ac:dyDescent="0.25"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5:54" ht="15.75" customHeight="1" x14ac:dyDescent="0.25"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5:54" ht="15.75" customHeight="1" x14ac:dyDescent="0.25"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5:54" ht="15.75" customHeight="1" x14ac:dyDescent="0.25"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5:54" ht="15.75" customHeight="1" x14ac:dyDescent="0.25"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5:54" ht="15.75" customHeight="1" x14ac:dyDescent="0.25"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5:54" ht="15.75" customHeight="1" x14ac:dyDescent="0.25"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5:54" ht="15.75" customHeight="1" x14ac:dyDescent="0.25"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5:54" ht="15.75" customHeight="1" x14ac:dyDescent="0.25"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5:54" ht="15.75" customHeight="1" x14ac:dyDescent="0.25"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5:54" ht="15.75" customHeight="1" x14ac:dyDescent="0.25"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5:54" ht="15.75" customHeight="1" x14ac:dyDescent="0.25"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5:54" ht="15.75" customHeight="1" x14ac:dyDescent="0.25"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5:54" ht="15.75" customHeight="1" x14ac:dyDescent="0.25"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5:54" ht="15.75" customHeight="1" x14ac:dyDescent="0.25"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5:54" ht="15.75" customHeight="1" x14ac:dyDescent="0.25"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5:54" ht="15.75" customHeight="1" x14ac:dyDescent="0.25"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5:54" ht="15.75" customHeight="1" x14ac:dyDescent="0.25"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5:54" ht="15.75" customHeight="1" x14ac:dyDescent="0.25"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5:54" ht="15.75" customHeight="1" x14ac:dyDescent="0.25"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5:54" ht="15.75" customHeight="1" x14ac:dyDescent="0.25"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5:54" ht="15.75" customHeight="1" x14ac:dyDescent="0.25"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5:54" ht="15.75" customHeight="1" x14ac:dyDescent="0.25"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5:54" ht="15.75" customHeight="1" x14ac:dyDescent="0.25"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5:54" ht="15.75" customHeight="1" x14ac:dyDescent="0.25"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5:54" ht="15.75" customHeight="1" x14ac:dyDescent="0.25"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5:54" ht="15.75" customHeight="1" x14ac:dyDescent="0.25"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5:54" ht="15.75" customHeight="1" x14ac:dyDescent="0.25"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5:54" ht="15.75" customHeight="1" x14ac:dyDescent="0.25"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5:54" ht="15.75" customHeight="1" x14ac:dyDescent="0.25"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5:54" ht="15.75" customHeight="1" x14ac:dyDescent="0.25"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5:54" ht="15.75" customHeight="1" x14ac:dyDescent="0.25"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5:54" ht="15.75" customHeight="1" x14ac:dyDescent="0.25"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5:54" ht="15.75" customHeight="1" x14ac:dyDescent="0.25"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5:54" ht="15.75" customHeight="1" x14ac:dyDescent="0.25"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5:54" ht="15.75" customHeight="1" x14ac:dyDescent="0.25"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5:54" ht="15.75" customHeight="1" x14ac:dyDescent="0.25"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5:54" ht="15.75" customHeight="1" x14ac:dyDescent="0.25"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5:54" ht="15.75" customHeight="1" x14ac:dyDescent="0.25"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5:54" ht="15.75" customHeight="1" x14ac:dyDescent="0.25"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5:54" ht="15.75" customHeight="1" x14ac:dyDescent="0.25"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5:54" ht="15.75" customHeight="1" x14ac:dyDescent="0.25"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5:54" ht="15.75" customHeight="1" x14ac:dyDescent="0.25"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5:54" ht="15.75" customHeight="1" x14ac:dyDescent="0.25"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5:54" ht="15.75" customHeight="1" x14ac:dyDescent="0.25"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5:54" ht="15.75" customHeight="1" x14ac:dyDescent="0.25"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5:54" ht="15.75" customHeight="1" x14ac:dyDescent="0.25"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5:54" ht="15.75" customHeight="1" x14ac:dyDescent="0.25"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5:54" ht="15.75" customHeight="1" x14ac:dyDescent="0.25"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5:54" ht="15.75" customHeight="1" x14ac:dyDescent="0.25"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5:54" ht="15.75" customHeight="1" x14ac:dyDescent="0.25"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5:54" ht="15.75" customHeight="1" x14ac:dyDescent="0.25"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5:54" ht="15.75" customHeight="1" x14ac:dyDescent="0.25"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5:54" ht="15.75" customHeight="1" x14ac:dyDescent="0.25"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5:54" ht="15.75" customHeight="1" x14ac:dyDescent="0.25"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5:54" ht="15.75" customHeight="1" x14ac:dyDescent="0.25"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5:54" ht="15.75" customHeight="1" x14ac:dyDescent="0.25"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5:54" ht="15.75" customHeight="1" x14ac:dyDescent="0.25"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5:54" ht="15.75" customHeight="1" x14ac:dyDescent="0.25"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5:54" ht="15.75" customHeight="1" x14ac:dyDescent="0.25"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15:54" ht="15.75" customHeight="1" x14ac:dyDescent="0.25"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15:54" ht="15.75" customHeight="1" x14ac:dyDescent="0.25"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15:54" ht="15.75" customHeight="1" x14ac:dyDescent="0.25"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15:54" ht="15.75" customHeight="1" x14ac:dyDescent="0.25"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5:54" ht="15.75" customHeight="1" x14ac:dyDescent="0.25"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15:54" ht="15.75" customHeight="1" x14ac:dyDescent="0.25"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5:54" ht="15.75" customHeight="1" x14ac:dyDescent="0.25"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15:54" ht="15.75" customHeight="1" x14ac:dyDescent="0.25"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15:54" ht="15.75" customHeight="1" x14ac:dyDescent="0.25"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15:54" ht="15.75" customHeight="1" x14ac:dyDescent="0.25"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15:54" ht="15.75" customHeight="1" x14ac:dyDescent="0.25"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15:54" ht="15.75" customHeight="1" x14ac:dyDescent="0.25"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15:54" ht="15.75" customHeight="1" x14ac:dyDescent="0.25"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5:54" ht="15.75" customHeight="1" x14ac:dyDescent="0.25"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5:54" ht="15.75" customHeight="1" x14ac:dyDescent="0.25"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15:54" ht="15.75" customHeight="1" x14ac:dyDescent="0.25"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15:54" ht="15.75" customHeight="1" x14ac:dyDescent="0.25"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15:54" ht="15.75" customHeight="1" x14ac:dyDescent="0.25"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15:54" ht="15.75" customHeight="1" x14ac:dyDescent="0.25"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15:54" ht="15.75" customHeight="1" x14ac:dyDescent="0.25"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15:54" ht="15.75" customHeight="1" x14ac:dyDescent="0.25"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15:54" ht="15.75" customHeight="1" x14ac:dyDescent="0.25"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15:54" ht="15.75" customHeight="1" x14ac:dyDescent="0.25"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15:54" ht="15.75" customHeight="1" x14ac:dyDescent="0.25"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15:54" ht="15.75" customHeight="1" x14ac:dyDescent="0.25"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15:54" ht="15.75" customHeight="1" x14ac:dyDescent="0.25"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5:54" ht="15.75" customHeight="1" x14ac:dyDescent="0.25"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15:54" ht="15.75" customHeight="1" x14ac:dyDescent="0.25"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5:54" ht="15.75" customHeight="1" x14ac:dyDescent="0.25"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15:54" ht="15.75" customHeight="1" x14ac:dyDescent="0.25"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15:54" ht="15.75" customHeight="1" x14ac:dyDescent="0.25"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15:54" ht="15.75" customHeight="1" x14ac:dyDescent="0.25"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5:54" ht="15.75" customHeight="1" x14ac:dyDescent="0.25"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5:54" ht="15.75" customHeight="1" x14ac:dyDescent="0.25"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15:54" ht="15.75" customHeight="1" x14ac:dyDescent="0.25"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5:54" ht="15.75" customHeight="1" x14ac:dyDescent="0.25"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15:54" ht="15.75" customHeight="1" x14ac:dyDescent="0.25"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15:54" ht="15.75" customHeight="1" x14ac:dyDescent="0.25"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15:54" ht="15.75" customHeight="1" x14ac:dyDescent="0.25"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5:54" ht="15.75" customHeight="1" x14ac:dyDescent="0.25"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15:54" ht="15.75" customHeight="1" x14ac:dyDescent="0.25"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15:54" ht="15.75" customHeight="1" x14ac:dyDescent="0.25"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5:54" ht="15.75" customHeight="1" x14ac:dyDescent="0.25"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5:54" ht="15.75" customHeight="1" x14ac:dyDescent="0.25"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5:54" ht="15.75" customHeight="1" x14ac:dyDescent="0.25"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15:54" ht="15.75" customHeight="1" x14ac:dyDescent="0.25"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15:54" ht="15.75" customHeight="1" x14ac:dyDescent="0.25"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15:54" ht="15.75" customHeight="1" x14ac:dyDescent="0.25"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15:54" ht="15.75" customHeight="1" x14ac:dyDescent="0.25"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5:54" ht="15.75" customHeight="1" x14ac:dyDescent="0.25"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5:54" ht="15.75" customHeight="1" x14ac:dyDescent="0.25"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5:54" ht="15.75" customHeight="1" x14ac:dyDescent="0.25"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15:54" ht="15.75" customHeight="1" x14ac:dyDescent="0.25"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5:54" ht="15.75" customHeight="1" x14ac:dyDescent="0.25"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5:54" ht="15.75" customHeight="1" x14ac:dyDescent="0.25"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5:54" ht="15.75" customHeight="1" x14ac:dyDescent="0.25"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5:54" ht="15.75" customHeight="1" x14ac:dyDescent="0.25"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5:54" ht="15.75" customHeight="1" x14ac:dyDescent="0.25"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5:54" ht="15.75" customHeight="1" x14ac:dyDescent="0.25"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5:54" ht="15.75" customHeight="1" x14ac:dyDescent="0.25"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5:54" ht="15.75" customHeight="1" x14ac:dyDescent="0.25"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15:54" ht="15.75" customHeight="1" x14ac:dyDescent="0.25"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15:54" ht="15.75" customHeight="1" x14ac:dyDescent="0.25"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15:54" ht="15.75" customHeight="1" x14ac:dyDescent="0.25"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5:54" ht="15.75" customHeight="1" x14ac:dyDescent="0.25"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15:54" ht="15.75" customHeight="1" x14ac:dyDescent="0.25"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5:54" ht="15.75" customHeight="1" x14ac:dyDescent="0.25"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15:54" ht="15.75" customHeight="1" x14ac:dyDescent="0.25"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5:54" ht="15.75" customHeight="1" x14ac:dyDescent="0.25"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5:54" ht="15.75" customHeight="1" x14ac:dyDescent="0.25"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15:54" ht="15.75" customHeight="1" x14ac:dyDescent="0.25"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5:54" ht="15.75" customHeight="1" x14ac:dyDescent="0.25"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5:54" ht="15.75" customHeight="1" x14ac:dyDescent="0.25"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5:54" ht="15.75" customHeight="1" x14ac:dyDescent="0.25"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5:54" ht="15.75" customHeight="1" x14ac:dyDescent="0.25"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5:54" ht="15.75" customHeight="1" x14ac:dyDescent="0.25"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5:54" ht="15.75" customHeight="1" x14ac:dyDescent="0.25"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5:54" ht="15.75" customHeight="1" x14ac:dyDescent="0.25"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5:54" ht="15.75" customHeight="1" x14ac:dyDescent="0.25"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5:54" ht="15.75" customHeight="1" x14ac:dyDescent="0.25"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5:54" ht="15.75" customHeight="1" x14ac:dyDescent="0.25"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5:54" ht="15.75" customHeight="1" x14ac:dyDescent="0.25"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5:54" ht="15.75" customHeight="1" x14ac:dyDescent="0.25"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5:54" ht="15.75" customHeight="1" x14ac:dyDescent="0.25"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5:54" ht="15.75" customHeight="1" x14ac:dyDescent="0.25"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5:54" ht="15.75" customHeight="1" x14ac:dyDescent="0.25"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15:54" ht="15.75" customHeight="1" x14ac:dyDescent="0.25"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5:54" ht="15.75" customHeight="1" x14ac:dyDescent="0.25"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5:54" ht="15.75" customHeight="1" x14ac:dyDescent="0.25"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5:54" ht="15.75" customHeight="1" x14ac:dyDescent="0.25"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5:54" ht="15.75" customHeight="1" x14ac:dyDescent="0.25"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5:54" ht="15.75" customHeight="1" x14ac:dyDescent="0.25"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5:54" ht="15.75" customHeight="1" x14ac:dyDescent="0.25"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5:54" ht="15.75" customHeight="1" x14ac:dyDescent="0.25"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5:54" ht="15.75" customHeight="1" x14ac:dyDescent="0.25"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5:54" ht="15.75" customHeight="1" x14ac:dyDescent="0.25"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5:54" ht="15.75" customHeight="1" x14ac:dyDescent="0.25"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5:54" ht="15.75" customHeight="1" x14ac:dyDescent="0.25"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5:54" ht="15.75" customHeight="1" x14ac:dyDescent="0.25"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5:54" ht="15.75" customHeight="1" x14ac:dyDescent="0.25"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5:54" ht="15.75" customHeight="1" x14ac:dyDescent="0.25"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5:54" ht="15.75" customHeight="1" x14ac:dyDescent="0.25"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5:54" ht="15.75" customHeight="1" x14ac:dyDescent="0.25"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5:54" ht="15.75" customHeight="1" x14ac:dyDescent="0.25"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5:54" ht="15.75" customHeight="1" x14ac:dyDescent="0.25"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5:54" ht="15.75" customHeight="1" x14ac:dyDescent="0.25"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5:54" ht="15.75" customHeight="1" x14ac:dyDescent="0.25"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5:54" ht="15.75" customHeight="1" x14ac:dyDescent="0.25"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5:54" ht="15.75" customHeight="1" x14ac:dyDescent="0.25"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5:54" ht="15.75" customHeight="1" x14ac:dyDescent="0.25"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5:54" ht="15.75" customHeight="1" x14ac:dyDescent="0.25"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5:54" ht="15.75" customHeight="1" x14ac:dyDescent="0.25"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5:54" ht="15.75" customHeight="1" x14ac:dyDescent="0.25"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5:54" ht="15.75" customHeight="1" x14ac:dyDescent="0.25"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5:54" ht="15.75" customHeight="1" x14ac:dyDescent="0.25"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5:54" ht="15.75" customHeight="1" x14ac:dyDescent="0.25"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5:54" ht="15.75" customHeight="1" x14ac:dyDescent="0.25"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5:54" ht="15.75" customHeight="1" x14ac:dyDescent="0.25"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5:54" ht="15.75" customHeight="1" x14ac:dyDescent="0.25"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5:54" ht="15.75" customHeight="1" x14ac:dyDescent="0.25"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5:54" ht="15.75" customHeight="1" x14ac:dyDescent="0.25"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5:54" ht="15.75" customHeight="1" x14ac:dyDescent="0.25"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5:54" ht="15.75" customHeight="1" x14ac:dyDescent="0.25"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5:54" ht="15.75" customHeight="1" x14ac:dyDescent="0.25"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5:54" ht="15.75" customHeight="1" x14ac:dyDescent="0.25"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15:54" ht="15.75" customHeight="1" x14ac:dyDescent="0.25"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5:54" ht="15.75" customHeight="1" x14ac:dyDescent="0.25"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5:54" ht="15.75" customHeight="1" x14ac:dyDescent="0.25"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5:54" ht="15.75" customHeight="1" x14ac:dyDescent="0.25"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5:54" ht="15.75" customHeight="1" x14ac:dyDescent="0.25"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5:54" ht="15.75" customHeight="1" x14ac:dyDescent="0.25"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5:54" ht="15.75" customHeight="1" x14ac:dyDescent="0.25"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15:54" ht="15.75" customHeight="1" x14ac:dyDescent="0.25"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15:54" ht="15.75" customHeight="1" x14ac:dyDescent="0.25"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15:54" ht="15.75" customHeight="1" x14ac:dyDescent="0.25"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5:54" ht="15.75" customHeight="1" x14ac:dyDescent="0.25"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5:54" ht="15.75" customHeight="1" x14ac:dyDescent="0.25"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15:54" ht="15.75" customHeight="1" x14ac:dyDescent="0.25"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15:54" ht="15.75" customHeight="1" x14ac:dyDescent="0.25"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5:54" ht="15.75" customHeight="1" x14ac:dyDescent="0.25"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5:54" ht="15.75" customHeight="1" x14ac:dyDescent="0.25"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5:54" ht="15.75" customHeight="1" x14ac:dyDescent="0.25"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15:54" ht="15.75" customHeight="1" x14ac:dyDescent="0.25"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15:54" ht="15.75" customHeight="1" x14ac:dyDescent="0.25"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5:54" ht="15.75" customHeight="1" x14ac:dyDescent="0.25"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15:54" ht="15.75" customHeight="1" x14ac:dyDescent="0.25"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15:54" ht="15.75" customHeight="1" x14ac:dyDescent="0.25"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15:54" ht="15.75" customHeight="1" x14ac:dyDescent="0.25"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15:54" ht="15.75" customHeight="1" x14ac:dyDescent="0.25"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15:54" ht="15.75" customHeight="1" x14ac:dyDescent="0.25"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15:54" ht="15.75" customHeight="1" x14ac:dyDescent="0.25"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15:54" ht="15.75" customHeight="1" x14ac:dyDescent="0.25"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15:54" ht="15.75" customHeight="1" x14ac:dyDescent="0.25"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5:54" ht="15.75" customHeight="1" x14ac:dyDescent="0.25"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15:54" ht="15.75" customHeight="1" x14ac:dyDescent="0.25"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5:54" ht="15.75" customHeight="1" x14ac:dyDescent="0.25"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15:54" ht="15.75" customHeight="1" x14ac:dyDescent="0.25"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15:54" ht="15.75" customHeight="1" x14ac:dyDescent="0.25"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5:54" ht="15.75" customHeight="1" x14ac:dyDescent="0.25"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15:54" ht="15.75" customHeight="1" x14ac:dyDescent="0.25"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15:54" ht="15.75" customHeight="1" x14ac:dyDescent="0.25"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15:54" ht="15.75" customHeight="1" x14ac:dyDescent="0.25"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5:54" ht="15.75" customHeight="1" x14ac:dyDescent="0.25"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5:54" ht="15.75" customHeight="1" x14ac:dyDescent="0.25"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5:54" ht="15.75" customHeight="1" x14ac:dyDescent="0.25"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5:54" ht="15.75" customHeight="1" x14ac:dyDescent="0.25"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5:54" ht="15.75" customHeight="1" x14ac:dyDescent="0.25"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5:54" ht="15.75" customHeight="1" x14ac:dyDescent="0.25"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5:54" ht="15.75" customHeight="1" x14ac:dyDescent="0.25"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5:54" ht="15.75" customHeight="1" x14ac:dyDescent="0.25"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5:54" ht="15.75" customHeight="1" x14ac:dyDescent="0.25"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5:54" ht="15.75" customHeight="1" x14ac:dyDescent="0.25"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5:54" ht="15.75" customHeight="1" x14ac:dyDescent="0.25"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5:54" ht="15.75" customHeight="1" x14ac:dyDescent="0.25"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5:54" ht="15.75" customHeight="1" x14ac:dyDescent="0.25"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15:54" ht="15.75" customHeight="1" x14ac:dyDescent="0.25"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15:54" ht="15.75" customHeight="1" x14ac:dyDescent="0.25"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15:54" ht="15.75" customHeight="1" x14ac:dyDescent="0.25"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15:54" ht="15.75" customHeight="1" x14ac:dyDescent="0.25"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5:54" ht="15.75" customHeight="1" x14ac:dyDescent="0.25"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15:54" ht="15.75" customHeight="1" x14ac:dyDescent="0.25"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15:54" ht="15.75" customHeight="1" x14ac:dyDescent="0.25"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15:54" ht="15.75" customHeight="1" x14ac:dyDescent="0.25"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15:54" ht="15.75" customHeight="1" x14ac:dyDescent="0.25"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15:54" ht="15.75" customHeight="1" x14ac:dyDescent="0.25"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5:54" ht="15.75" customHeight="1" x14ac:dyDescent="0.25"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15:54" ht="15.75" customHeight="1" x14ac:dyDescent="0.25"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15:54" ht="15.75" customHeight="1" x14ac:dyDescent="0.25"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5:54" ht="15.75" customHeight="1" x14ac:dyDescent="0.25"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15:54" ht="15.75" customHeight="1" x14ac:dyDescent="0.25"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15:54" ht="15.75" customHeight="1" x14ac:dyDescent="0.25"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5:54" ht="15.75" customHeight="1" x14ac:dyDescent="0.25"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15:54" ht="15.75" customHeight="1" x14ac:dyDescent="0.25"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15:54" ht="15.75" customHeight="1" x14ac:dyDescent="0.25"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5:54" ht="15.75" customHeight="1" x14ac:dyDescent="0.25"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15:54" ht="15.75" customHeight="1" x14ac:dyDescent="0.25"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15:54" ht="15.75" customHeight="1" x14ac:dyDescent="0.25"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15:54" ht="15.75" customHeight="1" x14ac:dyDescent="0.25"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15:54" ht="15.75" customHeight="1" x14ac:dyDescent="0.25"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5:54" ht="15.75" customHeight="1" x14ac:dyDescent="0.25"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15:54" ht="15.75" customHeight="1" x14ac:dyDescent="0.25"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15:54" ht="15.75" customHeight="1" x14ac:dyDescent="0.25"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15:54" ht="15.75" customHeight="1" x14ac:dyDescent="0.25"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15:54" ht="15.75" customHeight="1" x14ac:dyDescent="0.25"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15:54" ht="15.75" customHeight="1" x14ac:dyDescent="0.25"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15:54" ht="15.75" customHeight="1" x14ac:dyDescent="0.25"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15:54" ht="15.75" customHeight="1" x14ac:dyDescent="0.25"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15:54" ht="15.75" customHeight="1" x14ac:dyDescent="0.25"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15:54" ht="15.75" customHeight="1" x14ac:dyDescent="0.25"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15:54" ht="15.75" customHeight="1" x14ac:dyDescent="0.25"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5:54" ht="15.75" customHeight="1" x14ac:dyDescent="0.25"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15:54" ht="15.75" customHeight="1" x14ac:dyDescent="0.25"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15:54" ht="15.75" customHeight="1" x14ac:dyDescent="0.25"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15:54" ht="15.75" customHeight="1" x14ac:dyDescent="0.25"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15:54" ht="15.75" customHeight="1" x14ac:dyDescent="0.25"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15:54" ht="15.75" customHeight="1" x14ac:dyDescent="0.25"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15:54" ht="15.75" customHeight="1" x14ac:dyDescent="0.25"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15:54" ht="15.75" customHeight="1" x14ac:dyDescent="0.25"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15:54" ht="15.75" customHeight="1" x14ac:dyDescent="0.25"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15:54" ht="15.75" customHeight="1" x14ac:dyDescent="0.25"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15:54" ht="15.75" customHeight="1" x14ac:dyDescent="0.25"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15:54" ht="15.75" customHeight="1" x14ac:dyDescent="0.25"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15:54" ht="15.75" customHeight="1" x14ac:dyDescent="0.25"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15:54" ht="15.75" customHeight="1" x14ac:dyDescent="0.25"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15:54" ht="15.75" customHeight="1" x14ac:dyDescent="0.25"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15:54" ht="15.75" customHeight="1" x14ac:dyDescent="0.25"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15:54" ht="15.75" customHeight="1" x14ac:dyDescent="0.25"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15:54" ht="15.75" customHeight="1" x14ac:dyDescent="0.25"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15:54" ht="15.75" customHeight="1" x14ac:dyDescent="0.25"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15:54" ht="15.75" customHeight="1" x14ac:dyDescent="0.25"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15:54" ht="15.75" customHeight="1" x14ac:dyDescent="0.25"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15:54" ht="15.75" customHeight="1" x14ac:dyDescent="0.25"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15:54" ht="15.75" customHeight="1" x14ac:dyDescent="0.25"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15:54" ht="15.75" customHeight="1" x14ac:dyDescent="0.25"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15:54" ht="15.75" customHeight="1" x14ac:dyDescent="0.25"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15:54" ht="15.75" customHeight="1" x14ac:dyDescent="0.25"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15:54" ht="15.75" customHeight="1" x14ac:dyDescent="0.25"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15:54" ht="15.75" customHeight="1" x14ac:dyDescent="0.25"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15:54" ht="15.75" customHeight="1" x14ac:dyDescent="0.25"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15:54" ht="15.75" customHeight="1" x14ac:dyDescent="0.25"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15:54" ht="15.75" customHeight="1" x14ac:dyDescent="0.25"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15:54" ht="15.75" customHeight="1" x14ac:dyDescent="0.25"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15:54" ht="15.75" customHeight="1" x14ac:dyDescent="0.25"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15:54" ht="15.75" customHeight="1" x14ac:dyDescent="0.25"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5:54" ht="15.75" customHeight="1" x14ac:dyDescent="0.25"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5:54" ht="15.75" customHeight="1" x14ac:dyDescent="0.25"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15:54" ht="15.75" customHeight="1" x14ac:dyDescent="0.25"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15:54" ht="15.75" customHeight="1" x14ac:dyDescent="0.25"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15:54" ht="15.75" customHeight="1" x14ac:dyDescent="0.25"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15:54" ht="15.75" customHeight="1" x14ac:dyDescent="0.25"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15:54" ht="15.75" customHeight="1" x14ac:dyDescent="0.25"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15:54" ht="15.75" customHeight="1" x14ac:dyDescent="0.25"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15:54" ht="15.75" customHeight="1" x14ac:dyDescent="0.25"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15:54" ht="15.75" customHeight="1" x14ac:dyDescent="0.25"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15:54" ht="15.75" customHeight="1" x14ac:dyDescent="0.25"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5:54" ht="15.75" customHeight="1" x14ac:dyDescent="0.25"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15:54" ht="15.75" customHeight="1" x14ac:dyDescent="0.25"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15:54" ht="15.75" customHeight="1" x14ac:dyDescent="0.25"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15:54" ht="15.75" customHeight="1" x14ac:dyDescent="0.25"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15:54" ht="15.75" customHeight="1" x14ac:dyDescent="0.25"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15:54" ht="15.75" customHeight="1" x14ac:dyDescent="0.25"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15:54" ht="15.75" customHeight="1" x14ac:dyDescent="0.25"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15:54" ht="15.75" customHeight="1" x14ac:dyDescent="0.25"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15:54" ht="15.75" customHeight="1" x14ac:dyDescent="0.25"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15:54" ht="15.75" customHeight="1" x14ac:dyDescent="0.25"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5:54" ht="15.75" customHeight="1" x14ac:dyDescent="0.25"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15:54" ht="15.75" customHeight="1" x14ac:dyDescent="0.25"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15:54" ht="15.75" customHeight="1" x14ac:dyDescent="0.25"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15:54" ht="15.75" customHeight="1" x14ac:dyDescent="0.25"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15:54" ht="15.75" customHeight="1" x14ac:dyDescent="0.25"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5:54" ht="15.75" customHeight="1" x14ac:dyDescent="0.25"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15:54" ht="15.75" customHeight="1" x14ac:dyDescent="0.25"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15:54" ht="15.75" customHeight="1" x14ac:dyDescent="0.25"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15:54" ht="15.75" customHeight="1" x14ac:dyDescent="0.25"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15:54" ht="15.75" customHeight="1" x14ac:dyDescent="0.25"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5:54" ht="15.75" customHeight="1" x14ac:dyDescent="0.25"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15:54" ht="15.75" customHeight="1" x14ac:dyDescent="0.25"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15:54" ht="15.75" customHeight="1" x14ac:dyDescent="0.25"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15:54" ht="15.75" customHeight="1" x14ac:dyDescent="0.25"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15:54" ht="15.75" customHeight="1" x14ac:dyDescent="0.25"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15:54" ht="15.75" customHeight="1" x14ac:dyDescent="0.25"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5:54" ht="15.75" customHeight="1" x14ac:dyDescent="0.25"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15:54" ht="15.75" customHeight="1" x14ac:dyDescent="0.25"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15:54" ht="15.75" customHeight="1" x14ac:dyDescent="0.25"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15:54" ht="15.75" customHeight="1" x14ac:dyDescent="0.25"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15:54" ht="15.75" customHeight="1" x14ac:dyDescent="0.25"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15:54" ht="15.75" customHeight="1" x14ac:dyDescent="0.25"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15:54" ht="15.75" customHeight="1" x14ac:dyDescent="0.25"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15:54" ht="15.75" customHeight="1" x14ac:dyDescent="0.25"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5:54" ht="15.75" customHeight="1" x14ac:dyDescent="0.25"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5:54" ht="15.75" customHeight="1" x14ac:dyDescent="0.25"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15:54" ht="15.75" customHeight="1" x14ac:dyDescent="0.25"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15:54" ht="15.75" customHeight="1" x14ac:dyDescent="0.25"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15:54" ht="15.75" customHeight="1" x14ac:dyDescent="0.25"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15:54" ht="15.75" customHeight="1" x14ac:dyDescent="0.25"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15:54" ht="15.75" customHeight="1" x14ac:dyDescent="0.25"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15:54" ht="15.75" customHeight="1" x14ac:dyDescent="0.25"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15:54" ht="15.75" customHeight="1" x14ac:dyDescent="0.25"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15:54" ht="15.75" customHeight="1" x14ac:dyDescent="0.25"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15:54" ht="15.75" customHeight="1" x14ac:dyDescent="0.25"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15:54" ht="15.75" customHeight="1" x14ac:dyDescent="0.25"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15:54" ht="15.75" customHeight="1" x14ac:dyDescent="0.25"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15:54" ht="15.75" customHeight="1" x14ac:dyDescent="0.25"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15:54" ht="15.75" customHeight="1" x14ac:dyDescent="0.25"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15:54" ht="15.75" customHeight="1" x14ac:dyDescent="0.25"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15:54" ht="15.75" customHeight="1" x14ac:dyDescent="0.25"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5:54" ht="15.75" customHeight="1" x14ac:dyDescent="0.25"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15:54" ht="15.75" customHeight="1" x14ac:dyDescent="0.25"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15:54" ht="15.75" customHeight="1" x14ac:dyDescent="0.25"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15:54" ht="15.75" customHeight="1" x14ac:dyDescent="0.25"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5:54" ht="15.75" customHeight="1" x14ac:dyDescent="0.25"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15:54" ht="15.75" customHeight="1" x14ac:dyDescent="0.25"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15:54" ht="15.75" customHeight="1" x14ac:dyDescent="0.25"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5:54" ht="15.75" customHeight="1" x14ac:dyDescent="0.25"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5:54" ht="15.75" customHeight="1" x14ac:dyDescent="0.25"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15:54" ht="15.75" customHeight="1" x14ac:dyDescent="0.25"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15:54" ht="15.75" customHeight="1" x14ac:dyDescent="0.25"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5:54" ht="15.75" customHeight="1" x14ac:dyDescent="0.25"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15:54" ht="15.75" customHeight="1" x14ac:dyDescent="0.25"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5:54" ht="15.75" customHeight="1" x14ac:dyDescent="0.25"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15:54" ht="15.75" customHeight="1" x14ac:dyDescent="0.25"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15:54" ht="15.75" customHeight="1" x14ac:dyDescent="0.25"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5:54" ht="15.75" customHeight="1" x14ac:dyDescent="0.25"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15:54" ht="15.75" customHeight="1" x14ac:dyDescent="0.25"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15:54" ht="15.75" customHeight="1" x14ac:dyDescent="0.25"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15:54" ht="15.75" customHeight="1" x14ac:dyDescent="0.25"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15:54" ht="15.75" customHeight="1" x14ac:dyDescent="0.25"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15:54" ht="15.75" customHeight="1" x14ac:dyDescent="0.25"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15:54" ht="15.75" customHeight="1" x14ac:dyDescent="0.25"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5:54" ht="15.75" customHeight="1" x14ac:dyDescent="0.25"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5:54" ht="15.75" customHeight="1" x14ac:dyDescent="0.25"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15:54" ht="15.75" customHeight="1" x14ac:dyDescent="0.25"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15:54" ht="15.75" customHeight="1" x14ac:dyDescent="0.25"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15:54" ht="15.75" customHeight="1" x14ac:dyDescent="0.25"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15:54" ht="15.75" customHeight="1" x14ac:dyDescent="0.25"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15:54" ht="15.75" customHeight="1" x14ac:dyDescent="0.25"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5:54" ht="15.75" customHeight="1" x14ac:dyDescent="0.25"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15:54" ht="15.75" customHeight="1" x14ac:dyDescent="0.25"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15:54" ht="15.75" customHeight="1" x14ac:dyDescent="0.25"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15:54" ht="15.75" customHeight="1" x14ac:dyDescent="0.25"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15:54" ht="15.75" customHeight="1" x14ac:dyDescent="0.25"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15:54" ht="15.75" customHeight="1" x14ac:dyDescent="0.25"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5:54" ht="15.75" customHeight="1" x14ac:dyDescent="0.25"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15:54" ht="15.75" customHeight="1" x14ac:dyDescent="0.25"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5:54" ht="15.75" customHeight="1" x14ac:dyDescent="0.25"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15:54" ht="15.75" customHeight="1" x14ac:dyDescent="0.25"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15:54" ht="15.75" customHeight="1" x14ac:dyDescent="0.25"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15:54" ht="15.75" customHeight="1" x14ac:dyDescent="0.25"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15:54" ht="15.75" customHeight="1" x14ac:dyDescent="0.25"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15:54" ht="15.75" customHeight="1" x14ac:dyDescent="0.25"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15:54" ht="15.75" customHeight="1" x14ac:dyDescent="0.25"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15:54" ht="15.75" customHeight="1" x14ac:dyDescent="0.25"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15:54" ht="15.75" customHeight="1" x14ac:dyDescent="0.25"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5:54" ht="15.75" customHeight="1" x14ac:dyDescent="0.25"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5:54" ht="15.75" customHeight="1" x14ac:dyDescent="0.25"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15:54" ht="15.75" customHeight="1" x14ac:dyDescent="0.25"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5:54" ht="15.75" customHeight="1" x14ac:dyDescent="0.25"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5:54" ht="15.75" customHeight="1" x14ac:dyDescent="0.25"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5:54" ht="15.75" customHeight="1" x14ac:dyDescent="0.25"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5:54" ht="15.75" customHeight="1" x14ac:dyDescent="0.25"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15:54" ht="15.75" customHeight="1" x14ac:dyDescent="0.25"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5:54" ht="15.75" customHeight="1" x14ac:dyDescent="0.25"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15:54" ht="15.75" customHeight="1" x14ac:dyDescent="0.25"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15:54" ht="15.75" customHeight="1" x14ac:dyDescent="0.25"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15:54" ht="15.75" customHeight="1" x14ac:dyDescent="0.25"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15:54" ht="15.75" customHeight="1" x14ac:dyDescent="0.25"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15:54" ht="15.75" customHeight="1" x14ac:dyDescent="0.25"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15:54" ht="15.75" customHeight="1" x14ac:dyDescent="0.25"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15:54" ht="15.75" customHeight="1" x14ac:dyDescent="0.25"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15:54" ht="15.75" customHeight="1" x14ac:dyDescent="0.25"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15:54" ht="15.75" customHeight="1" x14ac:dyDescent="0.25"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15:54" ht="15.75" customHeight="1" x14ac:dyDescent="0.25"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15:54" ht="15.75" customHeight="1" x14ac:dyDescent="0.25"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15:54" ht="15.75" customHeight="1" x14ac:dyDescent="0.25"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15:54" ht="15.75" customHeight="1" x14ac:dyDescent="0.25"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15:54" ht="15.75" customHeight="1" x14ac:dyDescent="0.25"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15:54" ht="15.75" customHeight="1" x14ac:dyDescent="0.25"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15:54" ht="15.75" customHeight="1" x14ac:dyDescent="0.25"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15:54" ht="15.75" customHeight="1" x14ac:dyDescent="0.25"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15:54" ht="15.75" customHeight="1" x14ac:dyDescent="0.25"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5:54" ht="15.75" customHeight="1" x14ac:dyDescent="0.25"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15:54" ht="15.75" customHeight="1" x14ac:dyDescent="0.25"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15:54" ht="15.75" customHeight="1" x14ac:dyDescent="0.25"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15:54" ht="15.75" customHeight="1" x14ac:dyDescent="0.25"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15:54" ht="15.75" customHeight="1" x14ac:dyDescent="0.25"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15:54" ht="15.75" customHeight="1" x14ac:dyDescent="0.25"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5:54" ht="15.75" customHeight="1" x14ac:dyDescent="0.25"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5:54" ht="15.75" customHeight="1" x14ac:dyDescent="0.25"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15:54" ht="15.75" customHeight="1" x14ac:dyDescent="0.25"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5:54" ht="15.75" customHeight="1" x14ac:dyDescent="0.25"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5:54" ht="15.75" customHeight="1" x14ac:dyDescent="0.25"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5:54" ht="15.75" customHeight="1" x14ac:dyDescent="0.25"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15:54" ht="15.75" customHeight="1" x14ac:dyDescent="0.25"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15:54" ht="15.75" customHeight="1" x14ac:dyDescent="0.25"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15:54" ht="15.75" customHeight="1" x14ac:dyDescent="0.25"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15:54" ht="15.75" customHeight="1" x14ac:dyDescent="0.25"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15:54" ht="15.75" customHeight="1" x14ac:dyDescent="0.25"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15:54" ht="15.75" customHeight="1" x14ac:dyDescent="0.25"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5:54" ht="15.75" customHeight="1" x14ac:dyDescent="0.25"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15:54" ht="15.75" customHeight="1" x14ac:dyDescent="0.25"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5:54" ht="15.75" customHeight="1" x14ac:dyDescent="0.25"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15:54" ht="15.75" customHeight="1" x14ac:dyDescent="0.25"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15:54" ht="15.75" customHeight="1" x14ac:dyDescent="0.25"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15:54" ht="15.75" customHeight="1" x14ac:dyDescent="0.25"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15:54" ht="15.75" customHeight="1" x14ac:dyDescent="0.25"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5:54" ht="15.75" customHeight="1" x14ac:dyDescent="0.25"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15:54" ht="15.75" customHeight="1" x14ac:dyDescent="0.25"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15:54" ht="15.75" customHeight="1" x14ac:dyDescent="0.25"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15:54" ht="15.75" customHeight="1" x14ac:dyDescent="0.25"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15:54" ht="15.75" customHeight="1" x14ac:dyDescent="0.25"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15:54" ht="15.75" customHeight="1" x14ac:dyDescent="0.25"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15:54" ht="15.75" customHeight="1" x14ac:dyDescent="0.25"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15:54" ht="15.75" customHeight="1" x14ac:dyDescent="0.25"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15:54" ht="15.75" customHeight="1" x14ac:dyDescent="0.25"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15:54" ht="15.75" customHeight="1" x14ac:dyDescent="0.25"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5:54" ht="15.75" customHeight="1" x14ac:dyDescent="0.25"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5:54" ht="15.75" customHeight="1" x14ac:dyDescent="0.25"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5:54" ht="15.75" customHeight="1" x14ac:dyDescent="0.25"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5:54" ht="15.75" customHeight="1" x14ac:dyDescent="0.25"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5:54" ht="15.75" customHeight="1" x14ac:dyDescent="0.25"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5:54" ht="15.75" customHeight="1" x14ac:dyDescent="0.25"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5:54" ht="15.75" customHeight="1" x14ac:dyDescent="0.25"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5:54" ht="15.75" customHeight="1" x14ac:dyDescent="0.25"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5:54" ht="15.75" customHeight="1" x14ac:dyDescent="0.25"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5:54" ht="15.75" customHeight="1" x14ac:dyDescent="0.25"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15:54" ht="15.75" customHeight="1" x14ac:dyDescent="0.25"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5:54" ht="15.75" customHeight="1" x14ac:dyDescent="0.25"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15:54" ht="15.75" customHeight="1" x14ac:dyDescent="0.25"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5:54" ht="15.75" customHeight="1" x14ac:dyDescent="0.25"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5:54" ht="15.75" customHeight="1" x14ac:dyDescent="0.25"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15:54" ht="15.75" customHeight="1" x14ac:dyDescent="0.25"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15:54" ht="15.75" customHeight="1" x14ac:dyDescent="0.25"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15:54" ht="15.75" customHeight="1" x14ac:dyDescent="0.25"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15:54" ht="15.75" customHeight="1" x14ac:dyDescent="0.25"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15:54" ht="15.75" customHeight="1" x14ac:dyDescent="0.25"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15:54" ht="15.75" customHeight="1" x14ac:dyDescent="0.25"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15:54" ht="15.75" customHeight="1" x14ac:dyDescent="0.25"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5:54" ht="15.75" customHeight="1" x14ac:dyDescent="0.25"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5:54" ht="15.75" customHeight="1" x14ac:dyDescent="0.25"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15:54" ht="15.75" customHeight="1" x14ac:dyDescent="0.25"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5:54" ht="15.75" customHeight="1" x14ac:dyDescent="0.25"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15:54" ht="15.75" customHeight="1" x14ac:dyDescent="0.25"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5:54" ht="15.75" customHeight="1" x14ac:dyDescent="0.25"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15:54" ht="15.75" customHeight="1" x14ac:dyDescent="0.25"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15:54" ht="15.75" customHeight="1" x14ac:dyDescent="0.25"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5:54" ht="15.75" customHeight="1" x14ac:dyDescent="0.25"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15:54" ht="15.75" customHeight="1" x14ac:dyDescent="0.25"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5:54" ht="15.75" customHeight="1" x14ac:dyDescent="0.25"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15:54" ht="15.75" customHeight="1" x14ac:dyDescent="0.25"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15:54" ht="15.75" customHeight="1" x14ac:dyDescent="0.25"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15:54" ht="15.75" customHeight="1" x14ac:dyDescent="0.25"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15:54" ht="15.75" customHeight="1" x14ac:dyDescent="0.25"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15:54" ht="15.75" customHeight="1" x14ac:dyDescent="0.25"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15:54" ht="15.75" customHeight="1" x14ac:dyDescent="0.25"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15:54" ht="15.75" customHeight="1" x14ac:dyDescent="0.25"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5:54" ht="15.75" customHeight="1" x14ac:dyDescent="0.25"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5:54" ht="15.75" customHeight="1" x14ac:dyDescent="0.25"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15:54" ht="15.75" customHeight="1" x14ac:dyDescent="0.25"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15:54" ht="15.75" customHeight="1" x14ac:dyDescent="0.25"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15:54" ht="15.75" customHeight="1" x14ac:dyDescent="0.25"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15:54" ht="15.75" customHeight="1" x14ac:dyDescent="0.25"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15:54" ht="15.75" customHeight="1" x14ac:dyDescent="0.25"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15:54" ht="15.75" customHeight="1" x14ac:dyDescent="0.25"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15:54" ht="15.75" customHeight="1" x14ac:dyDescent="0.25"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15:54" ht="15.75" customHeight="1" x14ac:dyDescent="0.25"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15:54" ht="15.75" customHeight="1" x14ac:dyDescent="0.25"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5:54" ht="15.75" customHeight="1" x14ac:dyDescent="0.25"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15:54" ht="15.75" customHeight="1" x14ac:dyDescent="0.25"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15:54" ht="15.75" customHeight="1" x14ac:dyDescent="0.25"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15:54" ht="15.75" customHeight="1" x14ac:dyDescent="0.25"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15:54" ht="15.75" customHeight="1" x14ac:dyDescent="0.25"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5:54" ht="15.75" customHeight="1" x14ac:dyDescent="0.25"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15:54" ht="15.75" customHeight="1" x14ac:dyDescent="0.25"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15:54" ht="15.75" customHeight="1" x14ac:dyDescent="0.25"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15:54" ht="15.75" customHeight="1" x14ac:dyDescent="0.25"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15:54" ht="15.75" customHeight="1" x14ac:dyDescent="0.25"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15:54" ht="15.75" customHeight="1" x14ac:dyDescent="0.25"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5:54" ht="15.75" customHeight="1" x14ac:dyDescent="0.25"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5:54" ht="15.75" customHeight="1" x14ac:dyDescent="0.25"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15:54" ht="15.75" customHeight="1" x14ac:dyDescent="0.25"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5:54" ht="15.75" customHeight="1" x14ac:dyDescent="0.25"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15:54" ht="15.75" customHeight="1" x14ac:dyDescent="0.25"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5:54" ht="15.75" customHeight="1" x14ac:dyDescent="0.25"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15:54" ht="15.75" customHeight="1" x14ac:dyDescent="0.25"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15:54" ht="15.75" customHeight="1" x14ac:dyDescent="0.25"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5:54" ht="15.75" customHeight="1" x14ac:dyDescent="0.25"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5:54" ht="15.75" customHeight="1" x14ac:dyDescent="0.25"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15:54" ht="15.75" customHeight="1" x14ac:dyDescent="0.25"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15:54" ht="15.75" customHeight="1" x14ac:dyDescent="0.25"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15:54" ht="15.75" customHeight="1" x14ac:dyDescent="0.25"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15:54" ht="15.75" customHeight="1" x14ac:dyDescent="0.25"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15:54" ht="15.75" customHeight="1" x14ac:dyDescent="0.25"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15:54" ht="15.75" customHeight="1" x14ac:dyDescent="0.25"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15:54" ht="15.75" customHeight="1" x14ac:dyDescent="0.25"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5:54" ht="15.75" customHeight="1" x14ac:dyDescent="0.25"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15:54" ht="15.75" customHeight="1" x14ac:dyDescent="0.25"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15:54" ht="15.75" customHeight="1" x14ac:dyDescent="0.25"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15:54" ht="15.75" customHeight="1" x14ac:dyDescent="0.25"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15:54" ht="15.75" customHeight="1" x14ac:dyDescent="0.25"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15:54" ht="15.75" customHeight="1" x14ac:dyDescent="0.25"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15:54" ht="15.75" customHeight="1" x14ac:dyDescent="0.25"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15:54" ht="15.75" customHeight="1" x14ac:dyDescent="0.25"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15:54" ht="15.75" customHeight="1" x14ac:dyDescent="0.25"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5:54" ht="15.75" customHeight="1" x14ac:dyDescent="0.25"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15:54" ht="15.75" customHeight="1" x14ac:dyDescent="0.25"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15:54" ht="15.75" customHeight="1" x14ac:dyDescent="0.25"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15:54" ht="15.75" customHeight="1" x14ac:dyDescent="0.25"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15:54" ht="15.75" customHeight="1" x14ac:dyDescent="0.25"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15:54" ht="15.75" customHeight="1" x14ac:dyDescent="0.25"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15:54" ht="15.75" customHeight="1" x14ac:dyDescent="0.25"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15:54" ht="15.75" customHeight="1" x14ac:dyDescent="0.25"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5:54" ht="15.75" customHeight="1" x14ac:dyDescent="0.25"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15:54" ht="15.75" customHeight="1" x14ac:dyDescent="0.25"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15:54" ht="15.75" customHeight="1" x14ac:dyDescent="0.25"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15:54" ht="15.75" customHeight="1" x14ac:dyDescent="0.25"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15:54" ht="15.75" customHeight="1" x14ac:dyDescent="0.25"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5:54" ht="15.75" customHeight="1" x14ac:dyDescent="0.25"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15:54" ht="15.75" customHeight="1" x14ac:dyDescent="0.25"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5:54" ht="15.75" customHeight="1" x14ac:dyDescent="0.25"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5:54" ht="15.75" customHeight="1" x14ac:dyDescent="0.25"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15:54" ht="15.75" customHeight="1" x14ac:dyDescent="0.25"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5:54" ht="15.75" customHeight="1" x14ac:dyDescent="0.25"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5:54" ht="15.75" customHeight="1" x14ac:dyDescent="0.25"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15:54" ht="15.75" customHeight="1" x14ac:dyDescent="0.25"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5:54" ht="15.75" customHeight="1" x14ac:dyDescent="0.25"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5:54" ht="15.75" customHeight="1" x14ac:dyDescent="0.25"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15:54" ht="15.75" customHeight="1" x14ac:dyDescent="0.25"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15:54" ht="15.75" customHeight="1" x14ac:dyDescent="0.25"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15:54" ht="15.75" customHeight="1" x14ac:dyDescent="0.25"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15:54" ht="15.75" customHeight="1" x14ac:dyDescent="0.25"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15:54" ht="15.75" customHeight="1" x14ac:dyDescent="0.25"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15:54" ht="15.75" customHeight="1" x14ac:dyDescent="0.25"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5:54" ht="15.75" customHeight="1" x14ac:dyDescent="0.25"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15:54" ht="15.75" customHeight="1" x14ac:dyDescent="0.25"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5:54" ht="15.75" customHeight="1" x14ac:dyDescent="0.25"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5:54" ht="15.75" customHeight="1" x14ac:dyDescent="0.25"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5:54" ht="15.75" customHeight="1" x14ac:dyDescent="0.25"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spans="15:54" ht="15.75" customHeight="1" x14ac:dyDescent="0.25"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spans="15:54" ht="15.75" customHeight="1" x14ac:dyDescent="0.25"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spans="15:54" ht="15.75" customHeight="1" x14ac:dyDescent="0.25"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spans="15:54" ht="15.75" customHeight="1" x14ac:dyDescent="0.25"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mergeCells count="8">
    <mergeCell ref="J24:L24"/>
    <mergeCell ref="J25:L25"/>
    <mergeCell ref="J26:L26"/>
    <mergeCell ref="B3:G4"/>
    <mergeCell ref="B6:G6"/>
    <mergeCell ref="K6:N6"/>
    <mergeCell ref="J22:M22"/>
    <mergeCell ref="J23:L23"/>
  </mergeCells>
  <conditionalFormatting sqref="M23:M26">
    <cfRule type="expression" dxfId="40" priority="1">
      <formula>J23=""</formula>
    </cfRule>
  </conditionalFormatting>
  <conditionalFormatting sqref="M24:M26">
    <cfRule type="expression" dxfId="39" priority="2">
      <formula>J24=""</formula>
    </cfRule>
  </conditionalFormatting>
  <conditionalFormatting sqref="M25">
    <cfRule type="expression" dxfId="38" priority="3">
      <formula>J25=""</formula>
    </cfRule>
  </conditionalFormatting>
  <conditionalFormatting sqref="B22:H28 J22:M26">
    <cfRule type="expression" dxfId="37" priority="4">
      <formula>OR($I$22=0,AND($J$20="",$J$21="",$J$22="",$J$23=""))</formula>
    </cfRule>
  </conditionalFormatting>
  <conditionalFormatting sqref="N23:AH27">
    <cfRule type="expression" dxfId="36" priority="5">
      <formula>K23=""</formula>
    </cfRule>
  </conditionalFormatting>
  <conditionalFormatting sqref="N24:AH26">
    <cfRule type="expression" dxfId="35" priority="6">
      <formula>K24=""</formula>
    </cfRule>
  </conditionalFormatting>
  <conditionalFormatting sqref="N25:AH25">
    <cfRule type="expression" dxfId="34" priority="7">
      <formula>K25=""</formula>
    </cfRule>
  </conditionalFormatting>
  <conditionalFormatting sqref="N27:AH27">
    <cfRule type="expression" dxfId="33" priority="8">
      <formula>K27=""</formula>
    </cfRule>
  </conditionalFormatting>
  <conditionalFormatting sqref="N23:AH27">
    <cfRule type="expression" dxfId="32" priority="9">
      <formula>OR($I$22=0,AND($J$20="",$J$21="",$J$22="",$J$23=""))</formula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W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11.28515625" customWidth="1"/>
    <col min="4" max="4" width="9.140625" customWidth="1"/>
    <col min="5" max="8" width="10.7109375" customWidth="1"/>
    <col min="9" max="9" width="9.140625" customWidth="1"/>
    <col min="10" max="13" width="10.7109375" customWidth="1"/>
    <col min="14" max="14" width="9.140625" customWidth="1"/>
    <col min="15" max="26" width="10.7109375" customWidth="1"/>
  </cols>
  <sheetData>
    <row r="2" spans="2:19" x14ac:dyDescent="0.25">
      <c r="B2" s="94" t="s">
        <v>68</v>
      </c>
      <c r="C2" s="95"/>
      <c r="D2" s="96"/>
    </row>
    <row r="4" spans="2:19" x14ac:dyDescent="0.25">
      <c r="G4" s="94" t="s">
        <v>69</v>
      </c>
      <c r="H4" s="95"/>
      <c r="I4" s="96"/>
    </row>
    <row r="5" spans="2:19" x14ac:dyDescent="0.25">
      <c r="B5" s="61">
        <v>49</v>
      </c>
      <c r="C5" s="62" t="s">
        <v>70</v>
      </c>
      <c r="D5" s="63" t="s">
        <v>71</v>
      </c>
    </row>
    <row r="6" spans="2:19" x14ac:dyDescent="0.25">
      <c r="B6" s="64" t="str">
        <f>'GRUPO A'!C8</f>
        <v>Holanda</v>
      </c>
      <c r="C6" s="65">
        <v>2</v>
      </c>
      <c r="D6" s="66"/>
    </row>
    <row r="7" spans="2:19" x14ac:dyDescent="0.25">
      <c r="B7" s="67" t="str">
        <f>'GRUPO B'!C9</f>
        <v>USA</v>
      </c>
      <c r="C7" s="68">
        <v>1</v>
      </c>
      <c r="D7" s="69"/>
      <c r="E7" s="70"/>
      <c r="G7" s="61">
        <v>57</v>
      </c>
      <c r="H7" s="62" t="s">
        <v>70</v>
      </c>
      <c r="I7" s="63" t="s">
        <v>71</v>
      </c>
    </row>
    <row r="8" spans="2:19" x14ac:dyDescent="0.25">
      <c r="E8" s="71"/>
      <c r="G8" s="64" t="str">
        <f>IF(C7&gt;C6,B7,IF(C6&gt;C7,B6,IF(D7&gt;D6,B7,IF(D6&gt;D7,B6,""))))</f>
        <v>Holanda</v>
      </c>
      <c r="H8" s="65">
        <v>1</v>
      </c>
      <c r="I8" s="66"/>
      <c r="L8" s="94" t="s">
        <v>72</v>
      </c>
      <c r="M8" s="95"/>
      <c r="N8" s="96"/>
    </row>
    <row r="9" spans="2:19" x14ac:dyDescent="0.25">
      <c r="B9" s="61">
        <v>50</v>
      </c>
      <c r="C9" s="62" t="s">
        <v>70</v>
      </c>
      <c r="D9" s="63" t="s">
        <v>71</v>
      </c>
      <c r="E9" s="72"/>
      <c r="F9" s="73"/>
      <c r="G9" s="67" t="str">
        <f>IF(C11&gt;C10,B11,IF(C10&gt;C11,B10,IF(D11&gt;D10,B11,IF(D10&gt;D11,B10,""))))</f>
        <v>Argentina</v>
      </c>
      <c r="H9" s="68">
        <v>2</v>
      </c>
      <c r="I9" s="69"/>
      <c r="J9" s="70"/>
    </row>
    <row r="10" spans="2:19" x14ac:dyDescent="0.25">
      <c r="B10" s="64" t="str">
        <f>'GRUPO C'!C8</f>
        <v>Argentina</v>
      </c>
      <c r="C10" s="65">
        <v>3</v>
      </c>
      <c r="D10" s="66"/>
      <c r="E10" s="74"/>
      <c r="J10" s="71"/>
    </row>
    <row r="11" spans="2:19" x14ac:dyDescent="0.25">
      <c r="B11" s="67" t="str">
        <f>'GRUPO D'!C9</f>
        <v>Dinamarca</v>
      </c>
      <c r="C11" s="68">
        <v>2</v>
      </c>
      <c r="D11" s="69"/>
      <c r="E11" s="75"/>
      <c r="J11" s="71"/>
      <c r="L11" s="61">
        <v>61</v>
      </c>
      <c r="M11" s="62" t="s">
        <v>70</v>
      </c>
      <c r="N11" s="63" t="s">
        <v>71</v>
      </c>
    </row>
    <row r="12" spans="2:19" x14ac:dyDescent="0.25">
      <c r="J12" s="71"/>
      <c r="L12" s="64" t="str">
        <f>IF(H9&gt;H8,G9,IF(H8&gt;H9,G8,IF(I9&gt;I8,G9,IF(I8&gt;I9,G8,""))))</f>
        <v>Argentina</v>
      </c>
      <c r="M12" s="65">
        <v>3</v>
      </c>
      <c r="N12" s="66"/>
    </row>
    <row r="13" spans="2:19" x14ac:dyDescent="0.25">
      <c r="B13" s="61">
        <v>53</v>
      </c>
      <c r="C13" s="62" t="s">
        <v>70</v>
      </c>
      <c r="D13" s="63" t="s">
        <v>71</v>
      </c>
      <c r="J13" s="71"/>
      <c r="K13" s="73"/>
      <c r="L13" s="67" t="str">
        <f>IF(H17&gt;H16,G17,IF(H16&gt;H17,G16,IF(I17&gt;I16,G17,IF(I16&gt;I17,G16,""))))</f>
        <v>Brasil</v>
      </c>
      <c r="M13" s="68">
        <v>2</v>
      </c>
      <c r="N13" s="69"/>
      <c r="O13" s="70"/>
    </row>
    <row r="14" spans="2:19" x14ac:dyDescent="0.25">
      <c r="B14" s="64" t="str">
        <f>'GRUPO E'!C8</f>
        <v>España</v>
      </c>
      <c r="C14" s="65">
        <v>2</v>
      </c>
      <c r="D14" s="66"/>
      <c r="J14" s="71"/>
      <c r="O14" s="71"/>
    </row>
    <row r="15" spans="2:19" x14ac:dyDescent="0.25">
      <c r="B15" s="67" t="str">
        <f>'GRUPO F'!C9</f>
        <v>Croacia</v>
      </c>
      <c r="C15" s="68">
        <v>1</v>
      </c>
      <c r="D15" s="69"/>
      <c r="E15" s="70"/>
      <c r="G15" s="61">
        <v>58</v>
      </c>
      <c r="H15" s="62" t="s">
        <v>70</v>
      </c>
      <c r="I15" s="63" t="s">
        <v>71</v>
      </c>
      <c r="J15" s="71"/>
      <c r="O15" s="71"/>
    </row>
    <row r="16" spans="2:19" x14ac:dyDescent="0.25">
      <c r="E16" s="71"/>
      <c r="G16" s="64" t="str">
        <f>IF(C15&gt;C14,B15,IF(C14&gt;C15,B14,IF(D15&gt;D14,B15,IF(D14&gt;D15,B14,""))))</f>
        <v>España</v>
      </c>
      <c r="H16" s="65">
        <v>2</v>
      </c>
      <c r="I16" s="66"/>
      <c r="J16" s="74"/>
      <c r="O16" s="71"/>
      <c r="Q16" s="94" t="s">
        <v>73</v>
      </c>
      <c r="R16" s="95"/>
      <c r="S16" s="96"/>
    </row>
    <row r="17" spans="2:23" x14ac:dyDescent="0.25">
      <c r="B17" s="61">
        <v>54</v>
      </c>
      <c r="C17" s="62" t="s">
        <v>70</v>
      </c>
      <c r="D17" s="63" t="s">
        <v>71</v>
      </c>
      <c r="E17" s="72"/>
      <c r="F17" s="73"/>
      <c r="G17" s="67" t="str">
        <f>IF(C19&gt;C18,B19,IF(C18&gt;C19,B18,IF(D19&gt;D18,B19,IF(D18&gt;D19,B18,""))))</f>
        <v>Brasil</v>
      </c>
      <c r="H17" s="68">
        <v>3</v>
      </c>
      <c r="I17" s="69"/>
      <c r="O17" s="71"/>
    </row>
    <row r="18" spans="2:23" x14ac:dyDescent="0.25">
      <c r="B18" s="64" t="str">
        <f>'GRUPO G'!C8</f>
        <v>Brasil</v>
      </c>
      <c r="C18" s="65">
        <v>2</v>
      </c>
      <c r="D18" s="66"/>
      <c r="E18" s="74"/>
      <c r="O18" s="71"/>
    </row>
    <row r="19" spans="2:23" x14ac:dyDescent="0.25">
      <c r="B19" s="67" t="str">
        <f>'GRUPO H'!C9</f>
        <v>Portugal</v>
      </c>
      <c r="C19" s="68">
        <v>1</v>
      </c>
      <c r="D19" s="69"/>
      <c r="E19" s="75"/>
      <c r="O19" s="71"/>
      <c r="Q19" s="61">
        <v>64</v>
      </c>
      <c r="R19" s="62" t="s">
        <v>70</v>
      </c>
      <c r="S19" s="63" t="s">
        <v>71</v>
      </c>
    </row>
    <row r="20" spans="2:23" x14ac:dyDescent="0.25">
      <c r="O20" s="71"/>
      <c r="Q20" s="64" t="str">
        <f>IF(M13&gt;M12,L13,IF(M12&gt;M13,L12,IF(N13&gt;N12,L13,IF(N12&gt;N13,L12,""))))</f>
        <v>Argentina</v>
      </c>
      <c r="R20" s="65">
        <v>3</v>
      </c>
      <c r="S20" s="66"/>
    </row>
    <row r="21" spans="2:23" ht="15.75" customHeight="1" x14ac:dyDescent="0.25">
      <c r="B21" s="61">
        <v>51</v>
      </c>
      <c r="C21" s="62" t="s">
        <v>70</v>
      </c>
      <c r="D21" s="63" t="s">
        <v>71</v>
      </c>
      <c r="O21" s="71"/>
      <c r="P21" s="76"/>
      <c r="Q21" s="67" t="str">
        <f>IF(M29&gt;M28,L29,IF(M28&gt;M29,L28,IF(N29&gt;N28,L29,IF(N28&gt;N29,L28,""))))</f>
        <v>Francia</v>
      </c>
      <c r="R21" s="68">
        <v>1</v>
      </c>
      <c r="S21" s="69"/>
    </row>
    <row r="22" spans="2:23" ht="15.75" customHeight="1" x14ac:dyDescent="0.25">
      <c r="B22" s="64" t="str">
        <f>'GRUPO B'!C8</f>
        <v>Inglaterra</v>
      </c>
      <c r="C22" s="65">
        <v>3</v>
      </c>
      <c r="D22" s="66"/>
      <c r="O22" s="71"/>
    </row>
    <row r="23" spans="2:23" ht="15.75" customHeight="1" x14ac:dyDescent="0.25">
      <c r="B23" s="67" t="str">
        <f>'GRUPO A'!C9</f>
        <v>Senegal</v>
      </c>
      <c r="C23" s="68">
        <v>1</v>
      </c>
      <c r="D23" s="69"/>
      <c r="E23" s="70"/>
      <c r="G23" s="61">
        <v>59</v>
      </c>
      <c r="H23" s="62" t="s">
        <v>70</v>
      </c>
      <c r="I23" s="63" t="s">
        <v>71</v>
      </c>
      <c r="O23" s="71"/>
      <c r="V23" s="94" t="s">
        <v>74</v>
      </c>
      <c r="W23" s="96"/>
    </row>
    <row r="24" spans="2:23" ht="15.75" customHeight="1" x14ac:dyDescent="0.25">
      <c r="E24" s="71"/>
      <c r="G24" s="64" t="str">
        <f>IF(C23&gt;C22,B23,IF(C22&gt;C23,B22,IF(D23&gt;D22,B23,IF(D22&gt;D23,B22,""))))</f>
        <v>Inglaterra</v>
      </c>
      <c r="H24" s="65">
        <v>1</v>
      </c>
      <c r="I24" s="66"/>
      <c r="O24" s="71"/>
      <c r="V24" s="64" t="s">
        <v>75</v>
      </c>
      <c r="W24" s="77" t="str">
        <f>IF(R20&gt;R21,Q20,IF(R21&gt;R20,Q21,IF(S20&gt;S21,Q20,IF(S21&gt;S20,Q21,""))))</f>
        <v>Argentina</v>
      </c>
    </row>
    <row r="25" spans="2:23" ht="15.75" customHeight="1" x14ac:dyDescent="0.25">
      <c r="B25" s="61">
        <v>52</v>
      </c>
      <c r="C25" s="62" t="s">
        <v>70</v>
      </c>
      <c r="D25" s="63" t="s">
        <v>71</v>
      </c>
      <c r="E25" s="72"/>
      <c r="F25" s="73"/>
      <c r="G25" s="67" t="str">
        <f>IF(C27&gt;C26,B27,IF(C26&gt;C27,B26,IF(D27&gt;D26,B27,IF(D26&gt;D27,B26,""))))</f>
        <v>Francia</v>
      </c>
      <c r="H25" s="68">
        <v>2</v>
      </c>
      <c r="I25" s="69"/>
      <c r="J25" s="70"/>
      <c r="O25" s="71"/>
      <c r="Q25" s="94" t="s">
        <v>76</v>
      </c>
      <c r="R25" s="95"/>
      <c r="S25" s="96"/>
      <c r="V25" s="78" t="s">
        <v>77</v>
      </c>
      <c r="W25" s="79" t="str">
        <f>IF(W24=Q20,Q21,IF(W24=Q21,Q20,""))</f>
        <v>Francia</v>
      </c>
    </row>
    <row r="26" spans="2:23" ht="15.75" customHeight="1" x14ac:dyDescent="0.25">
      <c r="B26" s="64" t="str">
        <f>'GRUPO D'!C8</f>
        <v>Francia</v>
      </c>
      <c r="C26" s="65">
        <v>2</v>
      </c>
      <c r="D26" s="66"/>
      <c r="E26" s="74"/>
      <c r="J26" s="71"/>
      <c r="O26" s="71"/>
      <c r="V26" s="67" t="s">
        <v>78</v>
      </c>
      <c r="W26" s="80" t="str">
        <f>IF(R29&gt;R30,Q29,IF(R30&gt;R29,Q30,IF(S29&gt;S30,Q29,IF(S30&gt;S29,Q30,""))))</f>
        <v>Brasil</v>
      </c>
    </row>
    <row r="27" spans="2:23" ht="15.75" customHeight="1" x14ac:dyDescent="0.25">
      <c r="B27" s="67" t="str">
        <f>'GRUPO C'!C9</f>
        <v>Polonia</v>
      </c>
      <c r="C27" s="68">
        <v>1</v>
      </c>
      <c r="D27" s="69"/>
      <c r="E27" s="75"/>
      <c r="J27" s="71"/>
      <c r="L27" s="61">
        <v>62</v>
      </c>
      <c r="M27" s="62" t="s">
        <v>70</v>
      </c>
      <c r="N27" s="63" t="s">
        <v>71</v>
      </c>
      <c r="O27" s="71"/>
    </row>
    <row r="28" spans="2:23" ht="15.75" customHeight="1" x14ac:dyDescent="0.25">
      <c r="J28" s="71"/>
      <c r="L28" s="64" t="str">
        <f>IF(H25&gt;H24,G25,IF(H24&gt;H25,G24,IF(I25&gt;I24,G25,IF(I24&gt;I25,G24,""))))</f>
        <v>Francia</v>
      </c>
      <c r="M28" s="65">
        <v>2</v>
      </c>
      <c r="N28" s="66"/>
      <c r="O28" s="74"/>
      <c r="Q28" s="61">
        <v>63</v>
      </c>
      <c r="R28" s="62" t="s">
        <v>70</v>
      </c>
      <c r="S28" s="63" t="s">
        <v>71</v>
      </c>
    </row>
    <row r="29" spans="2:23" ht="15.75" customHeight="1" x14ac:dyDescent="0.25">
      <c r="B29" s="61">
        <v>55</v>
      </c>
      <c r="C29" s="62" t="s">
        <v>70</v>
      </c>
      <c r="D29" s="63" t="s">
        <v>71</v>
      </c>
      <c r="J29" s="71"/>
      <c r="K29" s="73"/>
      <c r="L29" s="67" t="str">
        <f>IF(H33&gt;H32,G33,IF(H32&gt;H33,G32,IF(I33&gt;I32,G33,IF(I32&gt;I33,G32,""))))</f>
        <v>Uruguay</v>
      </c>
      <c r="M29" s="68">
        <v>1</v>
      </c>
      <c r="N29" s="69"/>
      <c r="Q29" s="64" t="str">
        <f>IF(Q20=L12,L13,IF(Q20=L13,L12,""))</f>
        <v>Brasil</v>
      </c>
      <c r="R29" s="65">
        <v>2</v>
      </c>
      <c r="S29" s="66"/>
    </row>
    <row r="30" spans="2:23" ht="15.75" customHeight="1" x14ac:dyDescent="0.25">
      <c r="B30" s="64" t="str">
        <f>'GRUPO F'!C8</f>
        <v>Belgica</v>
      </c>
      <c r="C30" s="65">
        <v>0</v>
      </c>
      <c r="D30" s="66"/>
      <c r="J30" s="71"/>
      <c r="Q30" s="67" t="str">
        <f>IF(Q21=L28,L29,IF(Q21=L29,L28,""))</f>
        <v>Uruguay</v>
      </c>
      <c r="R30" s="68">
        <v>1</v>
      </c>
      <c r="S30" s="69"/>
    </row>
    <row r="31" spans="2:23" ht="15.75" customHeight="1" x14ac:dyDescent="0.25">
      <c r="B31" s="67" t="str">
        <f>'GRUPO E'!C9</f>
        <v>Alemania</v>
      </c>
      <c r="C31" s="68">
        <v>1</v>
      </c>
      <c r="D31" s="69"/>
      <c r="E31" s="70"/>
      <c r="G31" s="61">
        <v>60</v>
      </c>
      <c r="H31" s="62" t="s">
        <v>70</v>
      </c>
      <c r="I31" s="63" t="s">
        <v>71</v>
      </c>
      <c r="J31" s="71"/>
    </row>
    <row r="32" spans="2:23" ht="15.75" customHeight="1" x14ac:dyDescent="0.25">
      <c r="E32" s="71"/>
      <c r="G32" s="64" t="str">
        <f>IF(C31&gt;C30,B31,IF(C30&gt;C31,B30,IF(D31&gt;D30,B31,IF(D30&gt;D31,B30,""))))</f>
        <v>Alemania</v>
      </c>
      <c r="H32" s="65">
        <v>1</v>
      </c>
      <c r="I32" s="66"/>
      <c r="J32" s="74"/>
    </row>
    <row r="33" spans="2:9" ht="15.75" customHeight="1" x14ac:dyDescent="0.25">
      <c r="B33" s="61">
        <v>56</v>
      </c>
      <c r="C33" s="62" t="s">
        <v>70</v>
      </c>
      <c r="D33" s="63" t="s">
        <v>71</v>
      </c>
      <c r="E33" s="72"/>
      <c r="F33" s="73"/>
      <c r="G33" s="67" t="str">
        <f>IF(C35&gt;C34,B35,IF(C34&gt;C35,B34,IF(D35&gt;D34,B35,IF(D34&gt;D35,B34,""))))</f>
        <v>Uruguay</v>
      </c>
      <c r="H33" s="68">
        <v>3</v>
      </c>
      <c r="I33" s="69"/>
    </row>
    <row r="34" spans="2:9" ht="15.75" customHeight="1" x14ac:dyDescent="0.25">
      <c r="B34" s="64" t="str">
        <f>'GRUPO H'!C8</f>
        <v>Uruguay</v>
      </c>
      <c r="C34" s="65">
        <v>2</v>
      </c>
      <c r="D34" s="66"/>
      <c r="E34" s="74"/>
    </row>
    <row r="35" spans="2:9" ht="15.75" customHeight="1" x14ac:dyDescent="0.25">
      <c r="B35" s="67" t="str">
        <f>'GRUPO G'!C9</f>
        <v>Suiza</v>
      </c>
      <c r="C35" s="68">
        <v>1</v>
      </c>
      <c r="D35" s="69"/>
      <c r="E35" s="75"/>
    </row>
    <row r="36" spans="2:9" ht="15.75" customHeight="1" x14ac:dyDescent="0.25"/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Q25:S25"/>
    <mergeCell ref="B2:D2"/>
    <mergeCell ref="G4:I4"/>
    <mergeCell ref="L8:N8"/>
    <mergeCell ref="Q16:S16"/>
    <mergeCell ref="V23:W23"/>
  </mergeCells>
  <conditionalFormatting sqref="D6">
    <cfRule type="expression" dxfId="31" priority="1">
      <formula>$C$6=$C$7</formula>
    </cfRule>
  </conditionalFormatting>
  <conditionalFormatting sqref="D7">
    <cfRule type="expression" dxfId="30" priority="2">
      <formula>$C$6=$C$7</formula>
    </cfRule>
  </conditionalFormatting>
  <conditionalFormatting sqref="D10">
    <cfRule type="expression" dxfId="29" priority="3">
      <formula>C10=C11</formula>
    </cfRule>
  </conditionalFormatting>
  <conditionalFormatting sqref="D11">
    <cfRule type="expression" dxfId="28" priority="4">
      <formula>C10=C11</formula>
    </cfRule>
  </conditionalFormatting>
  <conditionalFormatting sqref="D22">
    <cfRule type="expression" dxfId="27" priority="5">
      <formula>C22=C23</formula>
    </cfRule>
  </conditionalFormatting>
  <conditionalFormatting sqref="D23">
    <cfRule type="expression" dxfId="26" priority="6">
      <formula>C22=C23</formula>
    </cfRule>
  </conditionalFormatting>
  <conditionalFormatting sqref="D26">
    <cfRule type="expression" dxfId="25" priority="7">
      <formula>C26=C27</formula>
    </cfRule>
  </conditionalFormatting>
  <conditionalFormatting sqref="D27">
    <cfRule type="expression" dxfId="24" priority="8">
      <formula>C26=C27</formula>
    </cfRule>
  </conditionalFormatting>
  <conditionalFormatting sqref="I8">
    <cfRule type="expression" dxfId="23" priority="9">
      <formula>H8=H9</formula>
    </cfRule>
  </conditionalFormatting>
  <conditionalFormatting sqref="I9">
    <cfRule type="expression" dxfId="22" priority="10">
      <formula>H8=H9</formula>
    </cfRule>
  </conditionalFormatting>
  <conditionalFormatting sqref="N12">
    <cfRule type="expression" dxfId="21" priority="11">
      <formula>M12=M13</formula>
    </cfRule>
  </conditionalFormatting>
  <conditionalFormatting sqref="N13">
    <cfRule type="expression" dxfId="20" priority="12">
      <formula>M12=M13</formula>
    </cfRule>
  </conditionalFormatting>
  <conditionalFormatting sqref="D30">
    <cfRule type="expression" dxfId="19" priority="13">
      <formula>C30=C31</formula>
    </cfRule>
  </conditionalFormatting>
  <conditionalFormatting sqref="D31">
    <cfRule type="expression" dxfId="18" priority="14">
      <formula>C30=C31</formula>
    </cfRule>
  </conditionalFormatting>
  <conditionalFormatting sqref="D34">
    <cfRule type="expression" dxfId="17" priority="15">
      <formula>C34=C35</formula>
    </cfRule>
  </conditionalFormatting>
  <conditionalFormatting sqref="D35">
    <cfRule type="expression" dxfId="16" priority="16">
      <formula>C34=C35</formula>
    </cfRule>
  </conditionalFormatting>
  <conditionalFormatting sqref="N28">
    <cfRule type="expression" dxfId="15" priority="17">
      <formula>M28=M29</formula>
    </cfRule>
  </conditionalFormatting>
  <conditionalFormatting sqref="N29">
    <cfRule type="expression" dxfId="14" priority="18">
      <formula>M28=M29</formula>
    </cfRule>
  </conditionalFormatting>
  <conditionalFormatting sqref="D14">
    <cfRule type="expression" dxfId="13" priority="19">
      <formula>C14=C15</formula>
    </cfRule>
  </conditionalFormatting>
  <conditionalFormatting sqref="D15">
    <cfRule type="expression" dxfId="12" priority="20">
      <formula>C14=C15</formula>
    </cfRule>
  </conditionalFormatting>
  <conditionalFormatting sqref="D18">
    <cfRule type="expression" dxfId="11" priority="21">
      <formula>C18=C19</formula>
    </cfRule>
  </conditionalFormatting>
  <conditionalFormatting sqref="D19">
    <cfRule type="expression" dxfId="10" priority="22">
      <formula>C18=C19</formula>
    </cfRule>
  </conditionalFormatting>
  <conditionalFormatting sqref="I16">
    <cfRule type="expression" dxfId="9" priority="23">
      <formula>H16=H17</formula>
    </cfRule>
  </conditionalFormatting>
  <conditionalFormatting sqref="I17">
    <cfRule type="expression" dxfId="8" priority="24">
      <formula>H16=H17</formula>
    </cfRule>
  </conditionalFormatting>
  <conditionalFormatting sqref="I24">
    <cfRule type="expression" dxfId="7" priority="25">
      <formula>H24=H25</formula>
    </cfRule>
  </conditionalFormatting>
  <conditionalFormatting sqref="I25">
    <cfRule type="expression" dxfId="6" priority="26">
      <formula>H24=H25</formula>
    </cfRule>
  </conditionalFormatting>
  <conditionalFormatting sqref="I32">
    <cfRule type="expression" dxfId="5" priority="27">
      <formula>H32=H33</formula>
    </cfRule>
  </conditionalFormatting>
  <conditionalFormatting sqref="I33">
    <cfRule type="expression" dxfId="4" priority="28">
      <formula>H32=H33</formula>
    </cfRule>
  </conditionalFormatting>
  <conditionalFormatting sqref="S20">
    <cfRule type="expression" dxfId="3" priority="29">
      <formula>R20=#REF!</formula>
    </cfRule>
  </conditionalFormatting>
  <conditionalFormatting sqref="S21">
    <cfRule type="expression" dxfId="2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0" priority="32">
      <formula>R29=R30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2022-11-20T16:58:49Z</dcterms:modified>
</cp:coreProperties>
</file>