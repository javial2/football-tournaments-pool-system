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</workbook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<sst xmlns="http://schemas.openxmlformats.org/spreadsheetml/2006/main" count="454" uniqueCount="79">
  <si>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</si>
  <si>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</si>
  <si>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Pablo Ariztia</t>
  </si>
  <si>
    <t>Mail</t>
  </si>
  <si>
    <t>pariztia97@gmail.com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</si>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</sst>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sz val="11.0"/>
      <color/>
      <name val="Calibri"/>
    </font>
    <font/>
    <font>
      <u/>
      <sz val="11.0"/>
      <color/>
      <name val="Calibri"/>
    </font>
    <font>
      <sz val="20.0"/>
      <color/>
      <name val="Calibri"/>
    </font>
    <font>
      <sz val="11.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1" numFmtId="0" xfId="0" applyFont="1"/>
    <xf borderId="10" fillId="3" fontId="4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Border="1" applyFont="1"/>
    <xf borderId="0" fillId="0" fontId="5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Border="1" applyFont="1"/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Border="1" applyFont="1"/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0" fillId="0" fontId="1" numFmtId="0" xfId="0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Alignment="1" applyBorder="1" applyFont="1">
      <alignment readingOrder="0"/>
    </xf>
    <xf borderId="57" fillId="9" fontId="1" numFmtId="0" xfId="0" applyBorder="1" applyFill="1" applyFont="1"/>
    <xf borderId="40" fillId="3" fontId="1" numFmtId="0" xfId="0" applyBorder="1" applyFont="1"/>
    <xf borderId="40" fillId="0" fontId="1" numFmtId="0" xfId="0" applyAlignment="1" applyBorder="1" applyFont="1">
      <alignment readingOrder="0"/>
    </xf>
    <xf borderId="58" fillId="9" fontId="1" numFmtId="0" xfId="0" applyBorder="1" applyFont="1"/>
    <xf borderId="59" fillId="0" fontId="1" numFmtId="0" xfId="0" applyBorder="1" applyFont="1"/>
    <xf borderId="6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65" fillId="0" fontId="1" numFmtId="0" xfId="0" applyBorder="1" applyFont="1"/>
    <xf borderId="66" fillId="5" fontId="1" numFmtId="0" xfId="0" applyBorder="1" applyFont="1"/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  <xf borderId="57" fillId="9" fontId="1" numFmtId="0" xfId="0" applyAlignment="1" applyBorder="1" applyFont="1">
      <alignment readingOrder="0"/>
    </xf>
    <xf borderId="58" fillId="9" fontId="1" numFmtId="0" xfId="0" applyAlignment="1" applyBorder="1" applyFont="1">
      <alignment readingOrder="0"/>
    </xf>
  </cellXfs>
  <cellStyles count="1">
    <cellStyle xfId="0" name="Normal" builtinId="0"/>
  </cellStyles>
  <dxfs count="2">
    <dxf>
      <font>
        <color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2:D2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1.0</v>
      </c>
      <c r="M7" s="32">
        <v>3.0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 t="str">
        <f t="shared" ref="AJ7:AJ12" si="3">IF(L7&gt;M7,3,IF(L7&lt;M7,0,1))</f>
        <v>0</v>
      </c>
      <c r="AK7" s="10" t="str">
        <f t="shared" ref="AK7:AK12" si="4">IF(AJ7=3,0,IF(AJ7=1,1,3))</f>
        <v>3</v>
      </c>
      <c r="AL7" s="10" t="str">
        <f t="shared" ref="AL7:AL12" si="5">IF(AJ7&gt;AK7,K7,IF(AK7&gt;AJ7,N7,"SIN GANADOR"))</f>
        <v>Holanda</v>
      </c>
      <c r="AM7" s="10"/>
      <c r="AN7" s="10" t="str">
        <f t="shared" ref="AN7:AN10" si="6">_xlfn.RANK.EQ(BB7,BB$7:BB$11,1)</f>
        <v>4</v>
      </c>
      <c r="AO7" s="10" t="s">
        <v>24</v>
      </c>
      <c r="AP7" s="10" t="str">
        <f t="shared" ref="AP7:AP10" si="7">SUMIF($K$7:$K$12,AO7,$AJ$7:$AJ$12) + SUMIF($N$7:$N$12,AO7,$AK$7:$AK$12)</f>
        <v>0</v>
      </c>
      <c r="AQ7" s="10" t="str">
        <f t="shared" ref="AQ7:AQ10" si="8">AR7-AS7</f>
        <v>-6</v>
      </c>
      <c r="AR7" s="10" t="str">
        <f t="shared" ref="AR7:AR10" si="9">SUMIF($K$7:$K$12,AO7,$L$7:$L$12) + SUMIF($N$7:$N$12,AO7,$M$7:$M$12)</f>
        <v>2</v>
      </c>
      <c r="AS7" s="10" t="str">
        <f t="shared" ref="AS7:AS10" si="10">SUMIF($K$7:$K$12,AO7,$M$7:$M$12) + SUMIF($N$7:$N$12,AO7,$L$7:$L$12)</f>
        <v>8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 t="str">
        <f t="shared" ref="AY7:AY10" si="13">IF(AX7="",1,IF(AX7=AV7,1,0))</f>
        <v>1</v>
      </c>
      <c r="AZ7" s="10" t="str">
        <f t="shared" ref="AZ7:AZ10" si="14">-AP7*10000000 - AQ7*10000 - AR7*100</f>
        <v>59800</v>
      </c>
      <c r="BA7" s="10" t="str">
        <f t="shared" ref="BA7:BA10" si="15">AZ7-AY7*10</f>
        <v>59790</v>
      </c>
      <c r="BB7" s="10" t="str">
        <f t="shared" ref="BB7:BB10" si="16">BA7+N23</f>
        <v>59791</v>
      </c>
    </row>
    <row r="8">
      <c r="B8" s="33">
        <v>1.0</v>
      </c>
      <c r="C8" s="34" t="str">
        <f t="shared" ref="C8:G8" si="1">IFERROR(VLOOKUP($B8,$AN$7:$AS$11,C$5,FALSE),"")</f>
        <v>Holanda</v>
      </c>
      <c r="D8" s="35" t="str">
        <f t="shared" si="1"/>
        <v>9</v>
      </c>
      <c r="E8" s="35" t="str">
        <f t="shared" si="1"/>
        <v>10</v>
      </c>
      <c r="F8" s="35" t="str">
        <f t="shared" si="1"/>
        <v>4</v>
      </c>
      <c r="G8" s="36" t="str">
        <f t="shared" si="1"/>
        <v>6</v>
      </c>
      <c r="I8" s="37">
        <v>2.0</v>
      </c>
      <c r="J8" s="38">
        <v>44886.0</v>
      </c>
      <c r="K8" s="39" t="s">
        <v>24</v>
      </c>
      <c r="L8" s="40">
        <v>0.0</v>
      </c>
      <c r="M8" s="41">
        <v>2.0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 t="str">
        <f t="shared" si="3"/>
        <v>0</v>
      </c>
      <c r="AK8" s="10" t="str">
        <f t="shared" si="4"/>
        <v>3</v>
      </c>
      <c r="AL8" s="10" t="str">
        <f t="shared" si="5"/>
        <v>Ecuador</v>
      </c>
      <c r="AM8" s="10"/>
      <c r="AN8" s="10" t="str">
        <f t="shared" si="6"/>
        <v>1</v>
      </c>
      <c r="AO8" s="10" t="s">
        <v>23</v>
      </c>
      <c r="AP8" s="10" t="str">
        <f t="shared" si="7"/>
        <v>9</v>
      </c>
      <c r="AQ8" s="10" t="str">
        <f t="shared" si="8"/>
        <v>6</v>
      </c>
      <c r="AR8" s="10" t="str">
        <f t="shared" si="9"/>
        <v>10</v>
      </c>
      <c r="AS8" s="10" t="str">
        <f t="shared" si="10"/>
        <v>4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 t="str">
        <f t="shared" si="13"/>
        <v>1</v>
      </c>
      <c r="AZ8" s="10" t="str">
        <f t="shared" si="14"/>
        <v>-90061000</v>
      </c>
      <c r="BA8" s="10" t="str">
        <f t="shared" si="15"/>
        <v>-90061010</v>
      </c>
      <c r="BB8" s="10" t="str">
        <f t="shared" si="16"/>
        <v>-90061008</v>
      </c>
    </row>
    <row r="9">
      <c r="B9" s="42">
        <v>2.0</v>
      </c>
      <c r="C9" s="43" t="str">
        <f t="shared" ref="C9:G9" si="17">IFERROR(VLOOKUP($B9,$AN$7:$AS$11,C$5,FALSE),"")</f>
        <v>Ecuador</v>
      </c>
      <c r="D9" s="44" t="str">
        <f t="shared" si="17"/>
        <v>6</v>
      </c>
      <c r="E9" s="44" t="str">
        <f t="shared" si="17"/>
        <v>5</v>
      </c>
      <c r="F9" s="44" t="str">
        <f t="shared" si="17"/>
        <v>3</v>
      </c>
      <c r="G9" s="45" t="str">
        <f t="shared" si="17"/>
        <v>2</v>
      </c>
      <c r="I9" s="46" t="str">
        <f t="shared" ref="I9:I12" si="19">I7+16</f>
        <v>17</v>
      </c>
      <c r="J9" s="47">
        <v>44890.0</v>
      </c>
      <c r="K9" s="48" t="s">
        <v>24</v>
      </c>
      <c r="L9" s="40">
        <v>1.0</v>
      </c>
      <c r="M9" s="41">
        <v>2.0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 t="str">
        <f t="shared" si="3"/>
        <v>0</v>
      </c>
      <c r="AK9" s="10" t="str">
        <f t="shared" si="4"/>
        <v>3</v>
      </c>
      <c r="AL9" s="10" t="str">
        <f t="shared" si="5"/>
        <v>Senegal</v>
      </c>
      <c r="AM9" s="10"/>
      <c r="AN9" s="10" t="str">
        <f t="shared" si="6"/>
        <v>3</v>
      </c>
      <c r="AO9" s="10" t="s">
        <v>22</v>
      </c>
      <c r="AP9" s="10" t="str">
        <f t="shared" si="7"/>
        <v>3</v>
      </c>
      <c r="AQ9" s="10" t="str">
        <f t="shared" si="8"/>
        <v>-2</v>
      </c>
      <c r="AR9" s="10" t="str">
        <f t="shared" si="9"/>
        <v>3</v>
      </c>
      <c r="AS9" s="10" t="str">
        <f t="shared" si="10"/>
        <v>5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 t="str">
        <f t="shared" si="13"/>
        <v>1</v>
      </c>
      <c r="AZ9" s="10" t="str">
        <f t="shared" si="14"/>
        <v>-29980300</v>
      </c>
      <c r="BA9" s="10" t="str">
        <f t="shared" si="15"/>
        <v>-29980310</v>
      </c>
      <c r="BB9" s="10" t="str">
        <f t="shared" si="16"/>
        <v>-29980307</v>
      </c>
    </row>
    <row r="10">
      <c r="B10" s="49">
        <v>3.0</v>
      </c>
      <c r="C10" s="50" t="str">
        <f t="shared" ref="C10:G10" si="18">IFERROR(VLOOKUP($B10,$AN$7:$AS$11,C$5,FALSE),"")</f>
        <v>Senegal</v>
      </c>
      <c r="D10" s="51" t="str">
        <f t="shared" si="18"/>
        <v>3</v>
      </c>
      <c r="E10" s="51" t="str">
        <f t="shared" si="18"/>
        <v>3</v>
      </c>
      <c r="F10" s="51" t="str">
        <f t="shared" si="18"/>
        <v>5</v>
      </c>
      <c r="G10" s="52" t="str">
        <f t="shared" si="18"/>
        <v>-2</v>
      </c>
      <c r="I10" s="37" t="str">
        <f t="shared" si="19"/>
        <v>18</v>
      </c>
      <c r="J10" s="38">
        <v>44890.0</v>
      </c>
      <c r="K10" s="39" t="s">
        <v>23</v>
      </c>
      <c r="L10" s="40">
        <v>3.0</v>
      </c>
      <c r="M10" s="41">
        <v>2.0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 t="str">
        <f t="shared" si="3"/>
        <v>3</v>
      </c>
      <c r="AK10" s="10" t="str">
        <f t="shared" si="4"/>
        <v>0</v>
      </c>
      <c r="AL10" s="10" t="str">
        <f t="shared" si="5"/>
        <v>Holanda</v>
      </c>
      <c r="AM10" s="10"/>
      <c r="AN10" s="10" t="str">
        <f t="shared" si="6"/>
        <v>2</v>
      </c>
      <c r="AO10" s="10" t="s">
        <v>25</v>
      </c>
      <c r="AP10" s="10" t="str">
        <f t="shared" si="7"/>
        <v>6</v>
      </c>
      <c r="AQ10" s="10" t="str">
        <f t="shared" si="8"/>
        <v>2</v>
      </c>
      <c r="AR10" s="10" t="str">
        <f t="shared" si="9"/>
        <v>5</v>
      </c>
      <c r="AS10" s="10" t="str">
        <f t="shared" si="10"/>
        <v>3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 t="str">
        <f t="shared" si="13"/>
        <v>1</v>
      </c>
      <c r="AZ10" s="10" t="str">
        <f t="shared" si="14"/>
        <v>-60020500</v>
      </c>
      <c r="BA10" s="10" t="str">
        <f t="shared" si="15"/>
        <v>-60020510</v>
      </c>
      <c r="BB10" s="10" t="str">
        <f t="shared" si="16"/>
        <v>-60020506</v>
      </c>
    </row>
    <row r="11">
      <c r="B11" s="53">
        <v>4.0</v>
      </c>
      <c r="C11" s="54" t="str">
        <f t="shared" ref="C11:G11" si="20">IFERROR(VLOOKUP($B11,$AN$7:$AS$11,C$5,FALSE),"")</f>
        <v>Qatar</v>
      </c>
      <c r="D11" s="55" t="str">
        <f t="shared" si="20"/>
        <v>0</v>
      </c>
      <c r="E11" s="55" t="str">
        <f t="shared" si="20"/>
        <v>2</v>
      </c>
      <c r="F11" s="55" t="str">
        <f t="shared" si="20"/>
        <v>8</v>
      </c>
      <c r="G11" s="56" t="str">
        <f t="shared" si="20"/>
        <v>-6</v>
      </c>
      <c r="I11" s="46" t="str">
        <f t="shared" si="19"/>
        <v>33</v>
      </c>
      <c r="J11" s="47">
        <v>44894.0</v>
      </c>
      <c r="K11" s="48" t="s">
        <v>25</v>
      </c>
      <c r="L11" s="40">
        <v>1.0</v>
      </c>
      <c r="M11" s="41">
        <v>0.0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 t="str">
        <f t="shared" si="3"/>
        <v>3</v>
      </c>
      <c r="AK11" s="10" t="str">
        <f t="shared" si="4"/>
        <v>0</v>
      </c>
      <c r="AL11" s="10" t="str">
        <f t="shared" si="5"/>
        <v>Ecuador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 t="str">
        <f t="shared" si="19"/>
        <v>34</v>
      </c>
      <c r="J12" s="58">
        <v>44894.0</v>
      </c>
      <c r="K12" s="59" t="s">
        <v>23</v>
      </c>
      <c r="L12" s="60">
        <v>4.0</v>
      </c>
      <c r="M12" s="61">
        <v>1.0</v>
      </c>
      <c r="N12" s="57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 t="str">
        <f t="shared" si="3"/>
        <v>3</v>
      </c>
      <c r="AK12" s="10" t="str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 t="str">
        <f t="shared" ref="I23:I26" si="21">IF(J23="",0,1)</f>
        <v>1</v>
      </c>
      <c r="J23" s="68" t="s">
        <v>24</v>
      </c>
      <c r="K23" s="69"/>
      <c r="L23" s="6"/>
      <c r="M23" s="70">
        <v>1.0</v>
      </c>
      <c r="N23" s="71" t="str">
        <f t="shared" ref="N23:N27" si="22">IF(J23="",0,M23)</f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 t="str">
        <f t="shared" si="21"/>
        <v>1</v>
      </c>
      <c r="J24" s="72" t="s">
        <v>23</v>
      </c>
      <c r="K24" s="73"/>
      <c r="L24" s="74"/>
      <c r="M24" s="75">
        <v>2.0</v>
      </c>
      <c r="N24" s="71" t="str">
        <f t="shared" si="22"/>
        <v>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 t="str">
        <f t="shared" si="21"/>
        <v>1</v>
      </c>
      <c r="J25" s="72" t="s">
        <v>22</v>
      </c>
      <c r="K25" s="73"/>
      <c r="L25" s="74"/>
      <c r="M25" s="75">
        <v>3.0</v>
      </c>
      <c r="N25" s="71" t="str">
        <f t="shared" si="22"/>
        <v>3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 t="str">
        <f t="shared" si="21"/>
        <v>1</v>
      </c>
      <c r="J26" s="76" t="s">
        <v>25</v>
      </c>
      <c r="K26" s="77"/>
      <c r="L26" s="9"/>
      <c r="M26" s="78">
        <v>4.0</v>
      </c>
      <c r="N26" s="71" t="str">
        <f t="shared" si="22"/>
        <v>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 t="str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</sheetData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2.0</v>
      </c>
      <c r="M7" s="32">
        <v>0.0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 t="str">
        <f t="shared" ref="AJ7:AJ12" si="3">IF(L7&gt;M7,3,IF(L7&lt;M7,0,1))</f>
        <v>3</v>
      </c>
      <c r="AK7" s="10" t="str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 t="str">
        <f t="shared" ref="AN7:AN10" si="6">_xlfn.RANK.EQ(BB7,BB$7:BB$11,1)</f>
        <v>1</v>
      </c>
      <c r="AO7" s="10" t="s">
        <v>34</v>
      </c>
      <c r="AP7" s="10" t="str">
        <f t="shared" ref="AP7:AP10" si="7">SUMIF($K$7:$K$12,AO7,$AJ$7:$AJ$12) + SUMIF($N$7:$N$12,AO7,$AK$7:$AK$12)</f>
        <v>9</v>
      </c>
      <c r="AQ7" s="10" t="str">
        <f t="shared" ref="AQ7:AQ10" si="8">AR7-AS7</f>
        <v>6</v>
      </c>
      <c r="AR7" s="10" t="str">
        <f t="shared" ref="AR7:AR10" si="9">SUMIF($K$7:$K$12,AO7,$L$7:$L$12) + SUMIF($N$7:$N$12,AO7,$M$7:$M$12)</f>
        <v>7</v>
      </c>
      <c r="AS7" s="10" t="str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 t="str">
        <f t="shared" ref="AY7:AY10" si="13">IF(AX7="",1,IF(AX7=AV7,1,0))</f>
        <v>1</v>
      </c>
      <c r="AZ7" s="10" t="str">
        <f t="shared" ref="AZ7:AZ10" si="14">-AP7*10000000 - AQ7*10000 - AR7*100</f>
        <v>-90060700</v>
      </c>
      <c r="BA7" s="10" t="str">
        <f t="shared" ref="BA7:BA10" si="15">AZ7-AY7*10</f>
        <v>-90060710</v>
      </c>
      <c r="BB7" s="10" t="str">
        <f t="shared" ref="BB7:BB10" si="16">BA7+N23</f>
        <v>-90060709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 t="str">
        <f t="shared" si="1"/>
        <v>9</v>
      </c>
      <c r="E8" s="35" t="str">
        <f t="shared" si="1"/>
        <v>7</v>
      </c>
      <c r="F8" s="35" t="str">
        <f t="shared" si="1"/>
        <v>1</v>
      </c>
      <c r="G8" s="36" t="str">
        <f t="shared" si="1"/>
        <v>6</v>
      </c>
      <c r="I8" s="37">
        <v>4.0</v>
      </c>
      <c r="J8" s="38">
        <v>44886.0</v>
      </c>
      <c r="K8" s="39" t="s">
        <v>36</v>
      </c>
      <c r="L8" s="40">
        <v>1.0</v>
      </c>
      <c r="M8" s="41">
        <v>1.0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 t="str">
        <f t="shared" si="3"/>
        <v>1</v>
      </c>
      <c r="AK8" s="10" t="str">
        <f t="shared" si="4"/>
        <v>1</v>
      </c>
      <c r="AL8" s="10" t="str">
        <f t="shared" si="5"/>
        <v>SIN GANADOR</v>
      </c>
      <c r="AM8" s="10"/>
      <c r="AN8" s="10" t="str">
        <f t="shared" si="6"/>
        <v>2</v>
      </c>
      <c r="AO8" s="10" t="s">
        <v>36</v>
      </c>
      <c r="AP8" s="10" t="str">
        <f t="shared" si="7"/>
        <v>4</v>
      </c>
      <c r="AQ8" s="10" t="str">
        <f t="shared" si="8"/>
        <v>1</v>
      </c>
      <c r="AR8" s="10" t="str">
        <f t="shared" si="9"/>
        <v>5</v>
      </c>
      <c r="AS8" s="10" t="str">
        <f t="shared" si="10"/>
        <v>4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 t="str">
        <f t="shared" si="13"/>
        <v>1</v>
      </c>
      <c r="AZ8" s="10" t="str">
        <f t="shared" si="14"/>
        <v>-40010500</v>
      </c>
      <c r="BA8" s="10" t="str">
        <f t="shared" si="15"/>
        <v>-40010510</v>
      </c>
      <c r="BB8" s="10" t="str">
        <f t="shared" si="16"/>
        <v>-40010508</v>
      </c>
    </row>
    <row r="9">
      <c r="B9" s="42">
        <v>2.0</v>
      </c>
      <c r="C9" s="43" t="str">
        <f t="shared" ref="C9:G9" si="17">IFERROR(VLOOKUP($B9,$AN$7:$AS$11,C$5,FALSE),"")</f>
        <v>USA</v>
      </c>
      <c r="D9" s="44" t="str">
        <f t="shared" si="17"/>
        <v>4</v>
      </c>
      <c r="E9" s="44" t="str">
        <f t="shared" si="17"/>
        <v>5</v>
      </c>
      <c r="F9" s="44" t="str">
        <f t="shared" si="17"/>
        <v>4</v>
      </c>
      <c r="G9" s="45" t="str">
        <f t="shared" si="17"/>
        <v>1</v>
      </c>
      <c r="I9" s="46" t="str">
        <f t="shared" ref="I9:I12" si="19">I7+16</f>
        <v>19</v>
      </c>
      <c r="J9" s="47">
        <v>44890.0</v>
      </c>
      <c r="K9" s="48" t="s">
        <v>37</v>
      </c>
      <c r="L9" s="40">
        <v>1.0</v>
      </c>
      <c r="M9" s="41">
        <v>0.0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 t="str">
        <f t="shared" si="3"/>
        <v>3</v>
      </c>
      <c r="AK9" s="10" t="str">
        <f t="shared" si="4"/>
        <v>0</v>
      </c>
      <c r="AL9" s="10" t="str">
        <f t="shared" si="5"/>
        <v>Gales</v>
      </c>
      <c r="AM9" s="10"/>
      <c r="AN9" s="10" t="str">
        <f t="shared" si="6"/>
        <v>4</v>
      </c>
      <c r="AO9" s="10" t="s">
        <v>35</v>
      </c>
      <c r="AP9" s="10" t="str">
        <f t="shared" si="7"/>
        <v>0</v>
      </c>
      <c r="AQ9" s="10" t="str">
        <f t="shared" si="8"/>
        <v>-5</v>
      </c>
      <c r="AR9" s="10" t="str">
        <f t="shared" si="9"/>
        <v>1</v>
      </c>
      <c r="AS9" s="10" t="str">
        <f t="shared" si="10"/>
        <v>6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 t="str">
        <f t="shared" si="13"/>
        <v>1</v>
      </c>
      <c r="AZ9" s="10" t="str">
        <f t="shared" si="14"/>
        <v>49900</v>
      </c>
      <c r="BA9" s="10" t="str">
        <f t="shared" si="15"/>
        <v>49890</v>
      </c>
      <c r="BB9" s="10" t="str">
        <f t="shared" si="16"/>
        <v>49893</v>
      </c>
    </row>
    <row r="10">
      <c r="B10" s="49">
        <v>3.0</v>
      </c>
      <c r="C10" s="50" t="str">
        <f t="shared" ref="C10:G10" si="18">IFERROR(VLOOKUP($B10,$AN$7:$AS$11,C$5,FALSE),"")</f>
        <v>Gales</v>
      </c>
      <c r="D10" s="51" t="str">
        <f t="shared" si="18"/>
        <v>4</v>
      </c>
      <c r="E10" s="51" t="str">
        <f t="shared" si="18"/>
        <v>2</v>
      </c>
      <c r="F10" s="51" t="str">
        <f t="shared" si="18"/>
        <v>4</v>
      </c>
      <c r="G10" s="52" t="str">
        <f t="shared" si="18"/>
        <v>-2</v>
      </c>
      <c r="I10" s="37" t="str">
        <f t="shared" si="19"/>
        <v>20</v>
      </c>
      <c r="J10" s="38">
        <v>44890.0</v>
      </c>
      <c r="K10" s="39" t="s">
        <v>34</v>
      </c>
      <c r="L10" s="40">
        <v>2.0</v>
      </c>
      <c r="M10" s="41">
        <v>1.0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 t="str">
        <f t="shared" si="3"/>
        <v>3</v>
      </c>
      <c r="AK10" s="10" t="str">
        <f t="shared" si="4"/>
        <v>0</v>
      </c>
      <c r="AL10" s="10" t="str">
        <f t="shared" si="5"/>
        <v>Inglaterra</v>
      </c>
      <c r="AM10" s="10"/>
      <c r="AN10" s="10" t="str">
        <f t="shared" si="6"/>
        <v>3</v>
      </c>
      <c r="AO10" s="10" t="s">
        <v>37</v>
      </c>
      <c r="AP10" s="10" t="str">
        <f t="shared" si="7"/>
        <v>4</v>
      </c>
      <c r="AQ10" s="10" t="str">
        <f t="shared" si="8"/>
        <v>-2</v>
      </c>
      <c r="AR10" s="10" t="str">
        <f t="shared" si="9"/>
        <v>2</v>
      </c>
      <c r="AS10" s="10" t="str">
        <f t="shared" si="10"/>
        <v>4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 t="str">
        <f t="shared" si="13"/>
        <v>1</v>
      </c>
      <c r="AZ10" s="10" t="str">
        <f t="shared" si="14"/>
        <v>-39980200</v>
      </c>
      <c r="BA10" s="10" t="str">
        <f t="shared" si="15"/>
        <v>-39980210</v>
      </c>
      <c r="BB10" s="10" t="str">
        <f t="shared" si="16"/>
        <v>-39980206</v>
      </c>
    </row>
    <row r="11">
      <c r="B11" s="53">
        <v>4.0</v>
      </c>
      <c r="C11" s="54" t="str">
        <f t="shared" ref="C11:G11" si="20">IFERROR(VLOOKUP($B11,$AN$7:$AS$11,C$5,FALSE),"")</f>
        <v>Iran</v>
      </c>
      <c r="D11" s="55" t="str">
        <f t="shared" si="20"/>
        <v>0</v>
      </c>
      <c r="E11" s="55" t="str">
        <f t="shared" si="20"/>
        <v>1</v>
      </c>
      <c r="F11" s="55" t="str">
        <f t="shared" si="20"/>
        <v>6</v>
      </c>
      <c r="G11" s="56" t="str">
        <f t="shared" si="20"/>
        <v>-5</v>
      </c>
      <c r="I11" s="46" t="str">
        <f t="shared" si="19"/>
        <v>35</v>
      </c>
      <c r="J11" s="47">
        <v>44894.0</v>
      </c>
      <c r="K11" s="48" t="s">
        <v>37</v>
      </c>
      <c r="L11" s="40">
        <v>0.0</v>
      </c>
      <c r="M11" s="41">
        <v>3.0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 t="str">
        <f t="shared" si="3"/>
        <v>0</v>
      </c>
      <c r="AK11" s="10" t="str">
        <f t="shared" si="4"/>
        <v>3</v>
      </c>
      <c r="AL11" s="10" t="str">
        <f t="shared" si="5"/>
        <v>Inglaterra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 t="str">
        <f t="shared" si="19"/>
        <v>36</v>
      </c>
      <c r="J12" s="58">
        <v>44894.0</v>
      </c>
      <c r="K12" s="59" t="s">
        <v>35</v>
      </c>
      <c r="L12" s="60">
        <v>1.0</v>
      </c>
      <c r="M12" s="61">
        <v>3.0</v>
      </c>
      <c r="N12" s="57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 t="str">
        <f t="shared" si="3"/>
        <v>0</v>
      </c>
      <c r="AK12" s="10" t="str">
        <f t="shared" si="4"/>
        <v>3</v>
      </c>
      <c r="AL12" s="10" t="str">
        <f t="shared" si="5"/>
        <v>USA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 t="str">
        <f t="shared" ref="I23:I26" si="21">IF(J23="",0,1)</f>
        <v>1</v>
      </c>
      <c r="J23" s="68" t="s">
        <v>34</v>
      </c>
      <c r="K23" s="69"/>
      <c r="L23" s="6"/>
      <c r="M23" s="70">
        <v>1.0</v>
      </c>
      <c r="N23" s="71" t="str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 t="str">
        <f t="shared" si="21"/>
        <v>1</v>
      </c>
      <c r="J24" s="72" t="s">
        <v>36</v>
      </c>
      <c r="K24" s="73"/>
      <c r="L24" s="74"/>
      <c r="M24" s="75">
        <v>2.0</v>
      </c>
      <c r="N24" s="71" t="str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 t="str">
        <f t="shared" si="21"/>
        <v>1</v>
      </c>
      <c r="J25" s="72" t="s">
        <v>35</v>
      </c>
      <c r="K25" s="73"/>
      <c r="L25" s="74"/>
      <c r="M25" s="75">
        <v>3.0</v>
      </c>
      <c r="N25" s="71" t="str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 t="str">
        <f t="shared" si="21"/>
        <v>1</v>
      </c>
      <c r="J26" s="76" t="s">
        <v>37</v>
      </c>
      <c r="K26" s="77"/>
      <c r="L26" s="9"/>
      <c r="M26" s="78">
        <v>4.0</v>
      </c>
      <c r="N26" s="71" t="str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 t="str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</sheetData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0.0</v>
      </c>
      <c r="M7" s="32">
        <v>1.0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 t="str">
        <f t="shared" ref="AJ7:AJ12" si="3">IF(L7&gt;M7,3,IF(L7&lt;M7,0,1))</f>
        <v>0</v>
      </c>
      <c r="AK7" s="10" t="str">
        <f t="shared" ref="AK7:AK12" si="4">IF(AJ7=3,0,IF(AJ7=1,1,3))</f>
        <v>3</v>
      </c>
      <c r="AL7" s="10" t="str">
        <f t="shared" ref="AL7:AL12" si="5">IF(AJ7&gt;AK7,K7,IF(AK7&gt;AJ7,N7,"SIN GANADOR"))</f>
        <v>Polonia</v>
      </c>
      <c r="AM7" s="10"/>
      <c r="AN7" s="10" t="str">
        <f t="shared" ref="AN7:AN10" si="6">_xlfn.RANK.EQ(BB7,BB$7:BB$11,1)</f>
        <v>1</v>
      </c>
      <c r="AO7" s="10" t="s">
        <v>41</v>
      </c>
      <c r="AP7" s="10" t="str">
        <f t="shared" ref="AP7:AP10" si="7">SUMIF($K$7:$K$12,AO7,$AJ$7:$AJ$12) + SUMIF($N$7:$N$12,AO7,$AK$7:$AK$12)</f>
        <v>9</v>
      </c>
      <c r="AQ7" s="10" t="str">
        <f t="shared" ref="AQ7:AQ10" si="8">AR7-AS7</f>
        <v>8</v>
      </c>
      <c r="AR7" s="10" t="str">
        <f t="shared" ref="AR7:AR10" si="9">SUMIF($K$7:$K$12,AO7,$L$7:$L$12) + SUMIF($N$7:$N$12,AO7,$M$7:$M$12)</f>
        <v>9</v>
      </c>
      <c r="AS7" s="10" t="str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 t="str">
        <f t="shared" ref="AY7:AY10" si="13">IF(AX7="",1,IF(AX7=AV7,1,0))</f>
        <v>1</v>
      </c>
      <c r="AZ7" s="10" t="str">
        <f t="shared" ref="AZ7:AZ10" si="14">-AP7*10000000 - AQ7*10000 - AR7*100</f>
        <v>-90080900</v>
      </c>
      <c r="BA7" s="10" t="str">
        <f t="shared" ref="BA7:BA10" si="15">AZ7-AY7*10</f>
        <v>-90080910</v>
      </c>
      <c r="BB7" s="10" t="str">
        <f t="shared" ref="BB7:BB10" si="16">BA7+N23</f>
        <v>-90080909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 t="str">
        <f t="shared" si="1"/>
        <v>9</v>
      </c>
      <c r="E8" s="35" t="str">
        <f t="shared" si="1"/>
        <v>9</v>
      </c>
      <c r="F8" s="35" t="str">
        <f t="shared" si="1"/>
        <v>1</v>
      </c>
      <c r="G8" s="36" t="str">
        <f t="shared" si="1"/>
        <v>8</v>
      </c>
      <c r="I8" s="37">
        <v>6.0</v>
      </c>
      <c r="J8" s="38">
        <v>44887.0</v>
      </c>
      <c r="K8" s="39" t="s">
        <v>41</v>
      </c>
      <c r="L8" s="40">
        <v>5.0</v>
      </c>
      <c r="M8" s="41">
        <v>0.0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 t="str">
        <f t="shared" si="3"/>
        <v>3</v>
      </c>
      <c r="AK8" s="10" t="str">
        <f t="shared" si="4"/>
        <v>0</v>
      </c>
      <c r="AL8" s="10" t="str">
        <f t="shared" si="5"/>
        <v>Argentina</v>
      </c>
      <c r="AM8" s="10"/>
      <c r="AN8" s="10" t="str">
        <f t="shared" si="6"/>
        <v>3</v>
      </c>
      <c r="AO8" s="10" t="s">
        <v>39</v>
      </c>
      <c r="AP8" s="10" t="str">
        <f t="shared" si="7"/>
        <v>3</v>
      </c>
      <c r="AQ8" s="10" t="str">
        <f t="shared" si="8"/>
        <v>-1</v>
      </c>
      <c r="AR8" s="10" t="str">
        <f t="shared" si="9"/>
        <v>3</v>
      </c>
      <c r="AS8" s="10" t="str">
        <f t="shared" si="10"/>
        <v>4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 t="str">
        <f t="shared" si="13"/>
        <v>1</v>
      </c>
      <c r="AZ8" s="10" t="str">
        <f t="shared" si="14"/>
        <v>-29990300</v>
      </c>
      <c r="BA8" s="10" t="str">
        <f t="shared" si="15"/>
        <v>-29990310</v>
      </c>
      <c r="BB8" s="10" t="str">
        <f t="shared" si="16"/>
        <v>-29990308</v>
      </c>
    </row>
    <row r="9">
      <c r="B9" s="42">
        <v>2.0</v>
      </c>
      <c r="C9" s="43" t="str">
        <f t="shared" ref="C9:G9" si="17">IFERROR(VLOOKUP($B9,$AN$7:$AS$11,C$5,FALSE),"")</f>
        <v>Polonia</v>
      </c>
      <c r="D9" s="44" t="str">
        <f t="shared" si="17"/>
        <v>6</v>
      </c>
      <c r="E9" s="44" t="str">
        <f t="shared" si="17"/>
        <v>4</v>
      </c>
      <c r="F9" s="44" t="str">
        <f t="shared" si="17"/>
        <v>2</v>
      </c>
      <c r="G9" s="45" t="str">
        <f t="shared" si="17"/>
        <v>2</v>
      </c>
      <c r="I9" s="46" t="str">
        <f t="shared" ref="I9:I12" si="19">I7+16</f>
        <v>21</v>
      </c>
      <c r="J9" s="47">
        <v>44891.0</v>
      </c>
      <c r="K9" s="48" t="s">
        <v>40</v>
      </c>
      <c r="L9" s="40">
        <v>3.0</v>
      </c>
      <c r="M9" s="41">
        <v>1.0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 t="str">
        <f t="shared" si="3"/>
        <v>3</v>
      </c>
      <c r="AK9" s="10" t="str">
        <f t="shared" si="4"/>
        <v>0</v>
      </c>
      <c r="AL9" s="10" t="str">
        <f t="shared" si="5"/>
        <v>Polonia</v>
      </c>
      <c r="AM9" s="10"/>
      <c r="AN9" s="10" t="str">
        <f t="shared" si="6"/>
        <v>2</v>
      </c>
      <c r="AO9" s="10" t="s">
        <v>40</v>
      </c>
      <c r="AP9" s="10" t="str">
        <f t="shared" si="7"/>
        <v>6</v>
      </c>
      <c r="AQ9" s="10" t="str">
        <f t="shared" si="8"/>
        <v>2</v>
      </c>
      <c r="AR9" s="10" t="str">
        <f t="shared" si="9"/>
        <v>4</v>
      </c>
      <c r="AS9" s="10" t="str">
        <f t="shared" si="10"/>
        <v>2</v>
      </c>
      <c r="AT9" s="10"/>
      <c r="AU9" s="10"/>
      <c r="AV9" s="10" t="str">
        <f t="shared" si="11"/>
        <v>Polonia</v>
      </c>
      <c r="AW9" s="10" t="str">
        <f>IF(AZ9=AZ10,AV10,IF(AZ9=AZ7,AV7,IF(AZ9=AZ8,AV8,"")))</f>
        <v/>
      </c>
      <c r="AX9" s="10" t="str">
        <f t="shared" si="12"/>
        <v/>
      </c>
      <c r="AY9" s="10" t="str">
        <f t="shared" si="13"/>
        <v>1</v>
      </c>
      <c r="AZ9" s="10" t="str">
        <f t="shared" si="14"/>
        <v>-60020400</v>
      </c>
      <c r="BA9" s="10" t="str">
        <f t="shared" si="15"/>
        <v>-60020410</v>
      </c>
      <c r="BB9" s="10" t="str">
        <f t="shared" si="16"/>
        <v>-60020407</v>
      </c>
    </row>
    <row r="10">
      <c r="B10" s="49">
        <v>3.0</v>
      </c>
      <c r="C10" s="50" t="str">
        <f t="shared" ref="C10:G10" si="18">IFERROR(VLOOKUP($B10,$AN$7:$AS$11,C$5,FALSE),"")</f>
        <v>Mexico</v>
      </c>
      <c r="D10" s="51" t="str">
        <f t="shared" si="18"/>
        <v>3</v>
      </c>
      <c r="E10" s="51" t="str">
        <f t="shared" si="18"/>
        <v>3</v>
      </c>
      <c r="F10" s="51" t="str">
        <f t="shared" si="18"/>
        <v>4</v>
      </c>
      <c r="G10" s="52" t="str">
        <f t="shared" si="18"/>
        <v>-1</v>
      </c>
      <c r="I10" s="37" t="str">
        <f t="shared" si="19"/>
        <v>22</v>
      </c>
      <c r="J10" s="38">
        <v>44891.0</v>
      </c>
      <c r="K10" s="39" t="s">
        <v>41</v>
      </c>
      <c r="L10" s="40">
        <v>3.0</v>
      </c>
      <c r="M10" s="41">
        <v>1.0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 t="str">
        <f t="shared" si="3"/>
        <v>3</v>
      </c>
      <c r="AK10" s="10" t="str">
        <f t="shared" si="4"/>
        <v>0</v>
      </c>
      <c r="AL10" s="10" t="str">
        <f t="shared" si="5"/>
        <v>Argentina</v>
      </c>
      <c r="AM10" s="10"/>
      <c r="AN10" s="10" t="str">
        <f t="shared" si="6"/>
        <v>4</v>
      </c>
      <c r="AO10" s="10" t="s">
        <v>42</v>
      </c>
      <c r="AP10" s="10" t="str">
        <f t="shared" si="7"/>
        <v>0</v>
      </c>
      <c r="AQ10" s="10" t="str">
        <f t="shared" si="8"/>
        <v>-9</v>
      </c>
      <c r="AR10" s="10" t="str">
        <f t="shared" si="9"/>
        <v>1</v>
      </c>
      <c r="AS10" s="10" t="str">
        <f t="shared" si="10"/>
        <v>10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/>
      </c>
      <c r="AX10" s="10" t="str">
        <f t="shared" si="12"/>
        <v/>
      </c>
      <c r="AY10" s="10" t="str">
        <f t="shared" si="13"/>
        <v>1</v>
      </c>
      <c r="AZ10" s="10" t="str">
        <f t="shared" si="14"/>
        <v>89900</v>
      </c>
      <c r="BA10" s="10" t="str">
        <f t="shared" si="15"/>
        <v>89890</v>
      </c>
      <c r="BB10" s="10" t="str">
        <f t="shared" si="16"/>
        <v>89894</v>
      </c>
    </row>
    <row r="11">
      <c r="B11" s="53">
        <v>4.0</v>
      </c>
      <c r="C11" s="54" t="str">
        <f t="shared" ref="C11:G11" si="20">IFERROR(VLOOKUP($B11,$AN$7:$AS$11,C$5,FALSE),"")</f>
        <v>Arabia Saudita</v>
      </c>
      <c r="D11" s="55" t="str">
        <f t="shared" si="20"/>
        <v>0</v>
      </c>
      <c r="E11" s="55" t="str">
        <f t="shared" si="20"/>
        <v>1</v>
      </c>
      <c r="F11" s="55" t="str">
        <f t="shared" si="20"/>
        <v>10</v>
      </c>
      <c r="G11" s="56" t="str">
        <f t="shared" si="20"/>
        <v>-9</v>
      </c>
      <c r="I11" s="46" t="str">
        <f t="shared" si="19"/>
        <v>37</v>
      </c>
      <c r="J11" s="47">
        <v>44895.0</v>
      </c>
      <c r="K11" s="48" t="s">
        <v>40</v>
      </c>
      <c r="L11" s="40">
        <v>0.0</v>
      </c>
      <c r="M11" s="41">
        <v>1.0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 t="str">
        <f t="shared" si="3"/>
        <v>0</v>
      </c>
      <c r="AK11" s="10" t="str">
        <f t="shared" si="4"/>
        <v>3</v>
      </c>
      <c r="AL11" s="10" t="str">
        <f t="shared" si="5"/>
        <v>Argentina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 t="str">
        <f t="shared" si="19"/>
        <v>38</v>
      </c>
      <c r="J12" s="58">
        <v>44895.0</v>
      </c>
      <c r="K12" s="59" t="s">
        <v>42</v>
      </c>
      <c r="L12" s="60">
        <v>0.0</v>
      </c>
      <c r="M12" s="61">
        <v>2.0</v>
      </c>
      <c r="N12" s="57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 t="str">
        <f t="shared" si="3"/>
        <v>0</v>
      </c>
      <c r="AK12" s="10" t="str">
        <f t="shared" si="4"/>
        <v>3</v>
      </c>
      <c r="AL12" s="10" t="str">
        <f t="shared" si="5"/>
        <v>Mexico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 t="str">
        <f t="shared" ref="I23:I26" si="21">IF(J23="",0,1)</f>
        <v>1</v>
      </c>
      <c r="J23" s="68" t="s">
        <v>41</v>
      </c>
      <c r="K23" s="69"/>
      <c r="L23" s="6"/>
      <c r="M23" s="70">
        <v>1.0</v>
      </c>
      <c r="N23" s="71" t="str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 t="str">
        <f t="shared" si="21"/>
        <v>1</v>
      </c>
      <c r="J24" s="72" t="s">
        <v>39</v>
      </c>
      <c r="K24" s="73"/>
      <c r="L24" s="74"/>
      <c r="M24" s="75">
        <v>2.0</v>
      </c>
      <c r="N24" s="71" t="str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 t="str">
        <f t="shared" si="21"/>
        <v>1</v>
      </c>
      <c r="J25" s="72" t="s">
        <v>40</v>
      </c>
      <c r="K25" s="73"/>
      <c r="L25" s="74"/>
      <c r="M25" s="75">
        <v>3.0</v>
      </c>
      <c r="N25" s="71" t="str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 t="str">
        <f t="shared" si="21"/>
        <v>1</v>
      </c>
      <c r="J26" s="76" t="s">
        <v>42</v>
      </c>
      <c r="K26" s="77"/>
      <c r="L26" s="9"/>
      <c r="M26" s="78">
        <v>4.0</v>
      </c>
      <c r="N26" s="71" t="str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 t="str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</sheetData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2.0</v>
      </c>
      <c r="M7" s="32">
        <v>0.0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 t="str">
        <f t="shared" ref="AJ7:AJ12" si="3">IF(L7&gt;M7,3,IF(L7&lt;M7,0,1))</f>
        <v>3</v>
      </c>
      <c r="AK7" s="10" t="str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 t="str">
        <f t="shared" ref="AN7:AN10" si="6">_xlfn.RANK.EQ(BB7,BB$7:BB$11,1)</f>
        <v>1</v>
      </c>
      <c r="AO7" s="10" t="s">
        <v>46</v>
      </c>
      <c r="AP7" s="10" t="str">
        <f t="shared" ref="AP7:AP10" si="7">SUMIF($K$7:$K$12,AO7,$AJ$7:$AJ$12) + SUMIF($N$7:$N$12,AO7,$AK$7:$AK$12)</f>
        <v>7</v>
      </c>
      <c r="AQ7" s="10" t="str">
        <f t="shared" ref="AQ7:AQ10" si="8">AR7-AS7</f>
        <v>4</v>
      </c>
      <c r="AR7" s="10" t="str">
        <f t="shared" ref="AR7:AR10" si="9">SUMIF($K$7:$K$12,AO7,$L$7:$L$12) + SUMIF($N$7:$N$12,AO7,$M$7:$M$12)</f>
        <v>8</v>
      </c>
      <c r="AS7" s="10" t="str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 t="str">
        <f t="shared" ref="AY7:AY10" si="13">IF(AX7="",1,IF(AX7=AV7,1,0))</f>
        <v>1</v>
      </c>
      <c r="AZ7" s="10" t="str">
        <f t="shared" ref="AZ7:AZ10" si="14">-AP7*10000000 - AQ7*10000 - AR7*100</f>
        <v>-70040800</v>
      </c>
      <c r="BA7" s="10" t="str">
        <f t="shared" ref="BA7:BA10" si="15">AZ7-AY7*10</f>
        <v>-70040810</v>
      </c>
      <c r="BB7" s="10" t="str">
        <f t="shared" ref="BB7:BB10" si="16">BA7+N23</f>
        <v>-70040809</v>
      </c>
    </row>
    <row r="8">
      <c r="B8" s="33">
        <v>1.0</v>
      </c>
      <c r="C8" s="34" t="str">
        <f t="shared" ref="C8:G8" si="1">IFERROR(VLOOKUP($B8,$AN$7:$AS$11,C$5,FALSE),"")</f>
        <v>Francia</v>
      </c>
      <c r="D8" s="35" t="str">
        <f t="shared" si="1"/>
        <v>7</v>
      </c>
      <c r="E8" s="35" t="str">
        <f t="shared" si="1"/>
        <v>8</v>
      </c>
      <c r="F8" s="35" t="str">
        <f t="shared" si="1"/>
        <v>4</v>
      </c>
      <c r="G8" s="36" t="str">
        <f t="shared" si="1"/>
        <v>4</v>
      </c>
      <c r="I8" s="37">
        <v>8.0</v>
      </c>
      <c r="J8" s="38">
        <v>44887.0</v>
      </c>
      <c r="K8" s="39" t="s">
        <v>46</v>
      </c>
      <c r="L8" s="40">
        <v>4.0</v>
      </c>
      <c r="M8" s="41">
        <v>2.0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 t="str">
        <f t="shared" si="3"/>
        <v>3</v>
      </c>
      <c r="AK8" s="10" t="str">
        <f t="shared" si="4"/>
        <v>0</v>
      </c>
      <c r="AL8" s="10" t="str">
        <f t="shared" si="5"/>
        <v>Francia</v>
      </c>
      <c r="AM8" s="10"/>
      <c r="AN8" s="10" t="str">
        <f t="shared" si="6"/>
        <v>2</v>
      </c>
      <c r="AO8" s="10" t="s">
        <v>44</v>
      </c>
      <c r="AP8" s="10" t="str">
        <f t="shared" si="7"/>
        <v>7</v>
      </c>
      <c r="AQ8" s="10" t="str">
        <f t="shared" si="8"/>
        <v>4</v>
      </c>
      <c r="AR8" s="10" t="str">
        <f t="shared" si="9"/>
        <v>7</v>
      </c>
      <c r="AS8" s="10" t="str">
        <f t="shared" si="10"/>
        <v>3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 t="str">
        <f t="shared" si="13"/>
        <v>1</v>
      </c>
      <c r="AZ8" s="10" t="str">
        <f t="shared" si="14"/>
        <v>-70040700</v>
      </c>
      <c r="BA8" s="10" t="str">
        <f t="shared" si="15"/>
        <v>-70040710</v>
      </c>
      <c r="BB8" s="10" t="str">
        <f t="shared" si="16"/>
        <v>-70040708</v>
      </c>
    </row>
    <row r="9">
      <c r="B9" s="42">
        <v>2.0</v>
      </c>
      <c r="C9" s="43" t="str">
        <f t="shared" ref="C9:G9" si="17">IFERROR(VLOOKUP($B9,$AN$7:$AS$11,C$5,FALSE),"")</f>
        <v>Dinamarca</v>
      </c>
      <c r="D9" s="44" t="str">
        <f t="shared" si="17"/>
        <v>7</v>
      </c>
      <c r="E9" s="44" t="str">
        <f t="shared" si="17"/>
        <v>7</v>
      </c>
      <c r="F9" s="44" t="str">
        <f t="shared" si="17"/>
        <v>3</v>
      </c>
      <c r="G9" s="45" t="str">
        <f t="shared" si="17"/>
        <v>4</v>
      </c>
      <c r="I9" s="46" t="str">
        <f t="shared" ref="I9:I12" si="19">I7+16</f>
        <v>23</v>
      </c>
      <c r="J9" s="47">
        <v>44891.0</v>
      </c>
      <c r="K9" s="48" t="s">
        <v>45</v>
      </c>
      <c r="L9" s="40">
        <v>2.0</v>
      </c>
      <c r="M9" s="41">
        <v>1.0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 t="str">
        <f t="shared" si="3"/>
        <v>3</v>
      </c>
      <c r="AK9" s="10" t="str">
        <f t="shared" si="4"/>
        <v>0</v>
      </c>
      <c r="AL9" s="10" t="str">
        <f t="shared" si="5"/>
        <v>Tunez</v>
      </c>
      <c r="AM9" s="10"/>
      <c r="AN9" s="10" t="str">
        <f t="shared" si="6"/>
        <v>3</v>
      </c>
      <c r="AO9" s="10" t="s">
        <v>45</v>
      </c>
      <c r="AP9" s="10" t="str">
        <f t="shared" si="7"/>
        <v>3</v>
      </c>
      <c r="AQ9" s="10" t="str">
        <f t="shared" si="8"/>
        <v>-3</v>
      </c>
      <c r="AR9" s="10" t="str">
        <f t="shared" si="9"/>
        <v>2</v>
      </c>
      <c r="AS9" s="10" t="str">
        <f t="shared" si="10"/>
        <v>5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 t="str">
        <f t="shared" si="13"/>
        <v>1</v>
      </c>
      <c r="AZ9" s="10" t="str">
        <f t="shared" si="14"/>
        <v>-29970200</v>
      </c>
      <c r="BA9" s="10" t="str">
        <f t="shared" si="15"/>
        <v>-29970210</v>
      </c>
      <c r="BB9" s="10" t="str">
        <f t="shared" si="16"/>
        <v>-29970207</v>
      </c>
    </row>
    <row r="10">
      <c r="B10" s="49">
        <v>3.0</v>
      </c>
      <c r="C10" s="50" t="str">
        <f t="shared" ref="C10:G10" si="18">IFERROR(VLOOKUP($B10,$AN$7:$AS$11,C$5,FALSE),"")</f>
        <v>Tunez</v>
      </c>
      <c r="D10" s="51" t="str">
        <f t="shared" si="18"/>
        <v>3</v>
      </c>
      <c r="E10" s="51" t="str">
        <f t="shared" si="18"/>
        <v>2</v>
      </c>
      <c r="F10" s="51" t="str">
        <f t="shared" si="18"/>
        <v>5</v>
      </c>
      <c r="G10" s="52" t="str">
        <f t="shared" si="18"/>
        <v>-3</v>
      </c>
      <c r="I10" s="37" t="str">
        <f t="shared" si="19"/>
        <v>24</v>
      </c>
      <c r="J10" s="38">
        <v>44891.0</v>
      </c>
      <c r="K10" s="39" t="s">
        <v>46</v>
      </c>
      <c r="L10" s="40">
        <v>2.0</v>
      </c>
      <c r="M10" s="41">
        <v>2.0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 t="str">
        <f t="shared" si="3"/>
        <v>1</v>
      </c>
      <c r="AK10" s="10" t="str">
        <f t="shared" si="4"/>
        <v>1</v>
      </c>
      <c r="AL10" s="10" t="str">
        <f t="shared" si="5"/>
        <v>SIN GANADOR</v>
      </c>
      <c r="AM10" s="10"/>
      <c r="AN10" s="10" t="str">
        <f t="shared" si="6"/>
        <v>4</v>
      </c>
      <c r="AO10" s="10" t="s">
        <v>47</v>
      </c>
      <c r="AP10" s="10" t="str">
        <f t="shared" si="7"/>
        <v>0</v>
      </c>
      <c r="AQ10" s="10" t="str">
        <f t="shared" si="8"/>
        <v>-5</v>
      </c>
      <c r="AR10" s="10" t="str">
        <f t="shared" si="9"/>
        <v>4</v>
      </c>
      <c r="AS10" s="10" t="str">
        <f t="shared" si="10"/>
        <v>9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 t="str">
        <f t="shared" si="13"/>
        <v>1</v>
      </c>
      <c r="AZ10" s="10" t="str">
        <f t="shared" si="14"/>
        <v>49600</v>
      </c>
      <c r="BA10" s="10" t="str">
        <f t="shared" si="15"/>
        <v>49590</v>
      </c>
      <c r="BB10" s="10" t="str">
        <f t="shared" si="16"/>
        <v>49594</v>
      </c>
    </row>
    <row r="11">
      <c r="B11" s="53">
        <v>4.0</v>
      </c>
      <c r="C11" s="54" t="str">
        <f t="shared" ref="C11:G11" si="20">IFERROR(VLOOKUP($B11,$AN$7:$AS$11,C$5,FALSE),"")</f>
        <v>Australia</v>
      </c>
      <c r="D11" s="55" t="str">
        <f t="shared" si="20"/>
        <v>0</v>
      </c>
      <c r="E11" s="55" t="str">
        <f t="shared" si="20"/>
        <v>4</v>
      </c>
      <c r="F11" s="55" t="str">
        <f t="shared" si="20"/>
        <v>9</v>
      </c>
      <c r="G11" s="56" t="str">
        <f t="shared" si="20"/>
        <v>-5</v>
      </c>
      <c r="I11" s="46" t="str">
        <f t="shared" si="19"/>
        <v>39</v>
      </c>
      <c r="J11" s="47">
        <v>44895.0</v>
      </c>
      <c r="K11" s="48" t="s">
        <v>45</v>
      </c>
      <c r="L11" s="40">
        <v>0.0</v>
      </c>
      <c r="M11" s="41">
        <v>2.0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 t="str">
        <f t="shared" si="3"/>
        <v>0</v>
      </c>
      <c r="AK11" s="10" t="str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 t="str">
        <f t="shared" si="19"/>
        <v>40</v>
      </c>
      <c r="J12" s="58">
        <v>44895.0</v>
      </c>
      <c r="K12" s="59" t="s">
        <v>47</v>
      </c>
      <c r="L12" s="60">
        <v>1.0</v>
      </c>
      <c r="M12" s="61">
        <v>3.0</v>
      </c>
      <c r="N12" s="57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 t="str">
        <f t="shared" si="3"/>
        <v>0</v>
      </c>
      <c r="AK12" s="10" t="str">
        <f t="shared" si="4"/>
        <v>3</v>
      </c>
      <c r="AL12" s="10" t="str">
        <f t="shared" si="5"/>
        <v>Dinamarca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 t="str">
        <f t="shared" ref="I23:I26" si="21">IF(J23="",0,1)</f>
        <v>1</v>
      </c>
      <c r="J23" s="68" t="s">
        <v>46</v>
      </c>
      <c r="K23" s="69"/>
      <c r="L23" s="6"/>
      <c r="M23" s="70">
        <v>1.0</v>
      </c>
      <c r="N23" s="71" t="str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 t="str">
        <f t="shared" si="21"/>
        <v>1</v>
      </c>
      <c r="J24" s="72" t="s">
        <v>44</v>
      </c>
      <c r="K24" s="73"/>
      <c r="L24" s="74"/>
      <c r="M24" s="75">
        <v>2.0</v>
      </c>
      <c r="N24" s="71" t="str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 t="str">
        <f t="shared" si="21"/>
        <v>1</v>
      </c>
      <c r="J25" s="72" t="s">
        <v>45</v>
      </c>
      <c r="K25" s="73"/>
      <c r="L25" s="74"/>
      <c r="M25" s="75">
        <v>3.0</v>
      </c>
      <c r="N25" s="71" t="str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 t="str">
        <f t="shared" si="21"/>
        <v>1</v>
      </c>
      <c r="J26" s="76" t="s">
        <v>47</v>
      </c>
      <c r="K26" s="77"/>
      <c r="L26" s="9"/>
      <c r="M26" s="78">
        <v>4.0</v>
      </c>
      <c r="N26" s="71" t="str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 t="str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</sheetData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2.0</v>
      </c>
      <c r="M7" s="32">
        <v>1.0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 t="str">
        <f t="shared" ref="AJ7:AJ12" si="3">IF(L7&gt;M7,3,IF(L7&lt;M7,0,1))</f>
        <v>3</v>
      </c>
      <c r="AK7" s="10" t="str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 t="str">
        <f t="shared" ref="AN7:AN10" si="6">_xlfn.RANK.EQ(BB7,BB$7:BB$11,1)</f>
        <v>1</v>
      </c>
      <c r="AO7" s="10" t="s">
        <v>51</v>
      </c>
      <c r="AP7" s="10" t="str">
        <f t="shared" ref="AP7:AP10" si="7">SUMIF($K$7:$K$12,AO7,$AJ$7:$AJ$12) + SUMIF($N$7:$N$12,AO7,$AK$7:$AK$12)</f>
        <v>9</v>
      </c>
      <c r="AQ7" s="10" t="str">
        <f t="shared" ref="AQ7:AQ10" si="8">AR7-AS7</f>
        <v>7</v>
      </c>
      <c r="AR7" s="10" t="str">
        <f t="shared" ref="AR7:AR10" si="9">SUMIF($K$7:$K$12,AO7,$L$7:$L$12) + SUMIF($N$7:$N$12,AO7,$M$7:$M$12)</f>
        <v>9</v>
      </c>
      <c r="AS7" s="10" t="str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 t="str">
        <f t="shared" ref="AY7:AY10" si="13">IF(AX7="",1,IF(AX7=AV7,1,0))</f>
        <v>1</v>
      </c>
      <c r="AZ7" s="10" t="str">
        <f t="shared" ref="AZ7:AZ10" si="14">-AP7*10000000 - AQ7*10000 - AR7*100</f>
        <v>-90070900</v>
      </c>
      <c r="BA7" s="10" t="str">
        <f t="shared" ref="BA7:BA10" si="15">AZ7-AY7*10</f>
        <v>-90070910</v>
      </c>
      <c r="BB7" s="10" t="str">
        <f t="shared" ref="BB7:BB10" si="16">BA7+N23</f>
        <v>-90070909</v>
      </c>
    </row>
    <row r="8">
      <c r="B8" s="33">
        <v>1.0</v>
      </c>
      <c r="C8" s="34" t="str">
        <f t="shared" ref="C8:G8" si="1">IFERROR(VLOOKUP($B8,$AN$7:$AS$11,C$5,FALSE),"")</f>
        <v>España</v>
      </c>
      <c r="D8" s="35" t="str">
        <f t="shared" si="1"/>
        <v>9</v>
      </c>
      <c r="E8" s="35" t="str">
        <f t="shared" si="1"/>
        <v>9</v>
      </c>
      <c r="F8" s="35" t="str">
        <f t="shared" si="1"/>
        <v>2</v>
      </c>
      <c r="G8" s="36" t="str">
        <f t="shared" si="1"/>
        <v>7</v>
      </c>
      <c r="I8" s="37">
        <v>10.0</v>
      </c>
      <c r="J8" s="38">
        <v>44888.0</v>
      </c>
      <c r="K8" s="39" t="s">
        <v>51</v>
      </c>
      <c r="L8" s="40">
        <v>4.0</v>
      </c>
      <c r="M8" s="41">
        <v>1.0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 t="str">
        <f t="shared" si="3"/>
        <v>3</v>
      </c>
      <c r="AK8" s="10" t="str">
        <f t="shared" si="4"/>
        <v>0</v>
      </c>
      <c r="AL8" s="10" t="str">
        <f t="shared" si="5"/>
        <v>España</v>
      </c>
      <c r="AM8" s="10"/>
      <c r="AN8" s="10" t="str">
        <f t="shared" si="6"/>
        <v>2</v>
      </c>
      <c r="AO8" s="10" t="s">
        <v>49</v>
      </c>
      <c r="AP8" s="10" t="str">
        <f t="shared" si="7"/>
        <v>6</v>
      </c>
      <c r="AQ8" s="10" t="str">
        <f t="shared" si="8"/>
        <v>3</v>
      </c>
      <c r="AR8" s="10" t="str">
        <f t="shared" si="9"/>
        <v>6</v>
      </c>
      <c r="AS8" s="10" t="str">
        <f t="shared" si="10"/>
        <v>3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 t="str">
        <f t="shared" si="13"/>
        <v>1</v>
      </c>
      <c r="AZ8" s="10" t="str">
        <f t="shared" si="14"/>
        <v>-60030600</v>
      </c>
      <c r="BA8" s="10" t="str">
        <f t="shared" si="15"/>
        <v>-60030610</v>
      </c>
      <c r="BB8" s="10" t="str">
        <f t="shared" si="16"/>
        <v>-60030608</v>
      </c>
    </row>
    <row r="9">
      <c r="B9" s="42">
        <v>2.0</v>
      </c>
      <c r="C9" s="43" t="str">
        <f t="shared" ref="C9:G9" si="17">IFERROR(VLOOKUP($B9,$AN$7:$AS$11,C$5,FALSE),"")</f>
        <v>Alemania</v>
      </c>
      <c r="D9" s="44" t="str">
        <f t="shared" si="17"/>
        <v>6</v>
      </c>
      <c r="E9" s="44" t="str">
        <f t="shared" si="17"/>
        <v>6</v>
      </c>
      <c r="F9" s="44" t="str">
        <f t="shared" si="17"/>
        <v>3</v>
      </c>
      <c r="G9" s="45" t="str">
        <f t="shared" si="17"/>
        <v>3</v>
      </c>
      <c r="I9" s="46" t="str">
        <f t="shared" ref="I9:I12" si="19">I7+16</f>
        <v>25</v>
      </c>
      <c r="J9" s="47">
        <v>44892.0</v>
      </c>
      <c r="K9" s="48" t="s">
        <v>50</v>
      </c>
      <c r="L9" s="40">
        <v>1.0</v>
      </c>
      <c r="M9" s="41">
        <v>0.0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 t="str">
        <f t="shared" si="3"/>
        <v>3</v>
      </c>
      <c r="AK9" s="10" t="str">
        <f t="shared" si="4"/>
        <v>0</v>
      </c>
      <c r="AL9" s="10" t="str">
        <f t="shared" si="5"/>
        <v>Japon</v>
      </c>
      <c r="AM9" s="10"/>
      <c r="AN9" s="10" t="str">
        <f t="shared" si="6"/>
        <v>3</v>
      </c>
      <c r="AO9" s="10" t="s">
        <v>50</v>
      </c>
      <c r="AP9" s="10" t="str">
        <f t="shared" si="7"/>
        <v>3</v>
      </c>
      <c r="AQ9" s="10" t="str">
        <f t="shared" si="8"/>
        <v>-2</v>
      </c>
      <c r="AR9" s="10" t="str">
        <f t="shared" si="9"/>
        <v>3</v>
      </c>
      <c r="AS9" s="10" t="str">
        <f t="shared" si="10"/>
        <v>5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 t="str">
        <f t="shared" si="13"/>
        <v>1</v>
      </c>
      <c r="AZ9" s="10" t="str">
        <f t="shared" si="14"/>
        <v>-29980300</v>
      </c>
      <c r="BA9" s="10" t="str">
        <f t="shared" si="15"/>
        <v>-29980310</v>
      </c>
      <c r="BB9" s="10" t="str">
        <f t="shared" si="16"/>
        <v>-29980307</v>
      </c>
    </row>
    <row r="10">
      <c r="B10" s="49">
        <v>3.0</v>
      </c>
      <c r="C10" s="50" t="str">
        <f t="shared" ref="C10:G10" si="18">IFERROR(VLOOKUP($B10,$AN$7:$AS$11,C$5,FALSE),"")</f>
        <v>Japon</v>
      </c>
      <c r="D10" s="51" t="str">
        <f t="shared" si="18"/>
        <v>3</v>
      </c>
      <c r="E10" s="51" t="str">
        <f t="shared" si="18"/>
        <v>3</v>
      </c>
      <c r="F10" s="51" t="str">
        <f t="shared" si="18"/>
        <v>5</v>
      </c>
      <c r="G10" s="52" t="str">
        <f t="shared" si="18"/>
        <v>-2</v>
      </c>
      <c r="I10" s="37" t="str">
        <f t="shared" si="19"/>
        <v>26</v>
      </c>
      <c r="J10" s="38">
        <v>44892.0</v>
      </c>
      <c r="K10" s="39" t="s">
        <v>51</v>
      </c>
      <c r="L10" s="40">
        <v>2.0</v>
      </c>
      <c r="M10" s="41">
        <v>0.0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 t="str">
        <f t="shared" si="3"/>
        <v>3</v>
      </c>
      <c r="AK10" s="10" t="str">
        <f t="shared" si="4"/>
        <v>0</v>
      </c>
      <c r="AL10" s="10" t="str">
        <f t="shared" si="5"/>
        <v>España</v>
      </c>
      <c r="AM10" s="10"/>
      <c r="AN10" s="10" t="str">
        <f t="shared" si="6"/>
        <v>4</v>
      </c>
      <c r="AO10" s="10" t="s">
        <v>52</v>
      </c>
      <c r="AP10" s="10" t="str">
        <f t="shared" si="7"/>
        <v>0</v>
      </c>
      <c r="AQ10" s="10" t="str">
        <f t="shared" si="8"/>
        <v>-8</v>
      </c>
      <c r="AR10" s="10" t="str">
        <f t="shared" si="9"/>
        <v>1</v>
      </c>
      <c r="AS10" s="10" t="str">
        <f t="shared" si="10"/>
        <v>9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 t="str">
        <f t="shared" si="13"/>
        <v>1</v>
      </c>
      <c r="AZ10" s="10" t="str">
        <f t="shared" si="14"/>
        <v>79900</v>
      </c>
      <c r="BA10" s="10" t="str">
        <f t="shared" si="15"/>
        <v>79890</v>
      </c>
      <c r="BB10" s="10" t="str">
        <f t="shared" si="16"/>
        <v>79894</v>
      </c>
    </row>
    <row r="11">
      <c r="B11" s="53">
        <v>4.0</v>
      </c>
      <c r="C11" s="54" t="str">
        <f t="shared" ref="C11:G11" si="20">IFERROR(VLOOKUP($B11,$AN$7:$AS$11,C$5,FALSE),"")</f>
        <v>Costa Rica</v>
      </c>
      <c r="D11" s="55" t="str">
        <f t="shared" si="20"/>
        <v>0</v>
      </c>
      <c r="E11" s="55" t="str">
        <f t="shared" si="20"/>
        <v>1</v>
      </c>
      <c r="F11" s="55" t="str">
        <f t="shared" si="20"/>
        <v>9</v>
      </c>
      <c r="G11" s="56" t="str">
        <f t="shared" si="20"/>
        <v>-8</v>
      </c>
      <c r="I11" s="46" t="str">
        <f t="shared" si="19"/>
        <v>41</v>
      </c>
      <c r="J11" s="47">
        <v>44896.0</v>
      </c>
      <c r="K11" s="48" t="s">
        <v>50</v>
      </c>
      <c r="L11" s="40">
        <v>1.0</v>
      </c>
      <c r="M11" s="41">
        <v>3.0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 t="str">
        <f t="shared" si="3"/>
        <v>0</v>
      </c>
      <c r="AK11" s="10" t="str">
        <f t="shared" si="4"/>
        <v>3</v>
      </c>
      <c r="AL11" s="10" t="str">
        <f t="shared" si="5"/>
        <v>España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 t="str">
        <f t="shared" si="19"/>
        <v>42</v>
      </c>
      <c r="J12" s="58">
        <v>44896.0</v>
      </c>
      <c r="K12" s="59" t="s">
        <v>52</v>
      </c>
      <c r="L12" s="60">
        <v>0.0</v>
      </c>
      <c r="M12" s="61">
        <v>4.0</v>
      </c>
      <c r="N12" s="57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 t="str">
        <f t="shared" si="3"/>
        <v>0</v>
      </c>
      <c r="AK12" s="10" t="str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 t="str">
        <f t="shared" ref="I23:I26" si="21">IF(J23="",0,1)</f>
        <v>1</v>
      </c>
      <c r="J23" s="68" t="s">
        <v>51</v>
      </c>
      <c r="K23" s="69"/>
      <c r="L23" s="6"/>
      <c r="M23" s="70">
        <v>1.0</v>
      </c>
      <c r="N23" s="71" t="str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 t="str">
        <f t="shared" si="21"/>
        <v>1</v>
      </c>
      <c r="J24" s="72" t="s">
        <v>49</v>
      </c>
      <c r="K24" s="73"/>
      <c r="L24" s="74"/>
      <c r="M24" s="75">
        <v>2.0</v>
      </c>
      <c r="N24" s="71" t="str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 t="str">
        <f t="shared" si="21"/>
        <v>1</v>
      </c>
      <c r="J25" s="72" t="s">
        <v>50</v>
      </c>
      <c r="K25" s="73"/>
      <c r="L25" s="74"/>
      <c r="M25" s="75">
        <v>3.0</v>
      </c>
      <c r="N25" s="71" t="str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 t="str">
        <f t="shared" si="21"/>
        <v>1</v>
      </c>
      <c r="J26" s="76" t="s">
        <v>52</v>
      </c>
      <c r="K26" s="77"/>
      <c r="L26" s="9"/>
      <c r="M26" s="78">
        <v>4.0</v>
      </c>
      <c r="N26" s="71" t="str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 t="str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</sheetData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1.0</v>
      </c>
      <c r="M7" s="32">
        <v>2.0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 t="str">
        <f t="shared" ref="AJ7:AJ12" si="3">IF(L7&gt;M7,3,IF(L7&lt;M7,0,1))</f>
        <v>0</v>
      </c>
      <c r="AK7" s="10" t="str">
        <f t="shared" ref="AK7:AK12" si="4">IF(AJ7=3,0,IF(AJ7=1,1,3))</f>
        <v>3</v>
      </c>
      <c r="AL7" s="10" t="str">
        <f t="shared" ref="AL7:AL12" si="5">IF(AJ7&gt;AK7,K7,IF(AK7&gt;AJ7,N7,"SIN GANADOR"))</f>
        <v>Croacia</v>
      </c>
      <c r="AM7" s="10"/>
      <c r="AN7" s="10" t="str">
        <f t="shared" ref="AN7:AN10" si="6">_xlfn.RANK.EQ(BB7,BB$7:BB$11,1)</f>
        <v>1</v>
      </c>
      <c r="AO7" s="10" t="s">
        <v>56</v>
      </c>
      <c r="AP7" s="10" t="str">
        <f t="shared" ref="AP7:AP10" si="7">SUMIF($K$7:$K$12,AO7,$AJ$7:$AJ$12) + SUMIF($N$7:$N$12,AO7,$AK$7:$AK$12)</f>
        <v>7</v>
      </c>
      <c r="AQ7" s="10" t="str">
        <f t="shared" ref="AQ7:AQ10" si="8">AR7-AS7</f>
        <v>2</v>
      </c>
      <c r="AR7" s="10" t="str">
        <f t="shared" ref="AR7:AR10" si="9">SUMIF($K$7:$K$12,AO7,$L$7:$L$12) + SUMIF($N$7:$N$12,AO7,$M$7:$M$12)</f>
        <v>6</v>
      </c>
      <c r="AS7" s="10" t="str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 t="str">
        <f t="shared" ref="AY7:AY10" si="13">IF(AX7="",1,IF(AX7=AV7,1,0))</f>
        <v>1</v>
      </c>
      <c r="AZ7" s="10" t="str">
        <f t="shared" ref="AZ7:AZ10" si="14">-AP7*10000000 - AQ7*10000 - AR7*100</f>
        <v>-70020600</v>
      </c>
      <c r="BA7" s="10" t="str">
        <f t="shared" ref="BA7:BA10" si="15">AZ7-AY7*10</f>
        <v>-70020610</v>
      </c>
      <c r="BB7" s="10" t="str">
        <f t="shared" ref="BB7:BB10" si="16">BA7+N23</f>
        <v>-70020609</v>
      </c>
    </row>
    <row r="8">
      <c r="B8" s="33">
        <v>1.0</v>
      </c>
      <c r="C8" s="34" t="str">
        <f t="shared" ref="C8:G8" si="1">IFERROR(VLOOKUP($B8,$AN$7:$AS$11,C$5,FALSE),"")</f>
        <v>Belgica</v>
      </c>
      <c r="D8" s="35" t="str">
        <f t="shared" si="1"/>
        <v>7</v>
      </c>
      <c r="E8" s="35" t="str">
        <f t="shared" si="1"/>
        <v>6</v>
      </c>
      <c r="F8" s="35" t="str">
        <f t="shared" si="1"/>
        <v>4</v>
      </c>
      <c r="G8" s="36" t="str">
        <f t="shared" si="1"/>
        <v>2</v>
      </c>
      <c r="I8" s="37">
        <v>12.0</v>
      </c>
      <c r="J8" s="38">
        <v>44888.0</v>
      </c>
      <c r="K8" s="39" t="s">
        <v>56</v>
      </c>
      <c r="L8" s="40">
        <v>1.0</v>
      </c>
      <c r="M8" s="41">
        <v>0.0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 t="str">
        <f t="shared" si="3"/>
        <v>3</v>
      </c>
      <c r="AK8" s="10" t="str">
        <f t="shared" si="4"/>
        <v>0</v>
      </c>
      <c r="AL8" s="10" t="str">
        <f t="shared" si="5"/>
        <v>Belgica</v>
      </c>
      <c r="AM8" s="10"/>
      <c r="AN8" s="10" t="str">
        <f t="shared" si="6"/>
        <v>2</v>
      </c>
      <c r="AO8" s="10" t="s">
        <v>55</v>
      </c>
      <c r="AP8" s="10" t="str">
        <f t="shared" si="7"/>
        <v>5</v>
      </c>
      <c r="AQ8" s="10" t="str">
        <f t="shared" si="8"/>
        <v>1</v>
      </c>
      <c r="AR8" s="10" t="str">
        <f t="shared" si="9"/>
        <v>5</v>
      </c>
      <c r="AS8" s="10" t="str">
        <f t="shared" si="10"/>
        <v>4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 t="str">
        <f t="shared" si="13"/>
        <v>1</v>
      </c>
      <c r="AZ8" s="10" t="str">
        <f t="shared" si="14"/>
        <v>-50010500</v>
      </c>
      <c r="BA8" s="10" t="str">
        <f t="shared" si="15"/>
        <v>-50010510</v>
      </c>
      <c r="BB8" s="10" t="str">
        <f t="shared" si="16"/>
        <v>-50010508</v>
      </c>
    </row>
    <row r="9">
      <c r="B9" s="42">
        <v>2.0</v>
      </c>
      <c r="C9" s="43" t="str">
        <f t="shared" ref="C9:G9" si="17">IFERROR(VLOOKUP($B9,$AN$7:$AS$11,C$5,FALSE),"")</f>
        <v>Croacia</v>
      </c>
      <c r="D9" s="44" t="str">
        <f t="shared" si="17"/>
        <v>5</v>
      </c>
      <c r="E9" s="44" t="str">
        <f t="shared" si="17"/>
        <v>5</v>
      </c>
      <c r="F9" s="44" t="str">
        <f t="shared" si="17"/>
        <v>4</v>
      </c>
      <c r="G9" s="45" t="str">
        <f t="shared" si="17"/>
        <v>1</v>
      </c>
      <c r="I9" s="46" t="str">
        <f t="shared" ref="I9:I12" si="19">I7+16</f>
        <v>27</v>
      </c>
      <c r="J9" s="47">
        <v>44892.0</v>
      </c>
      <c r="K9" s="48" t="s">
        <v>56</v>
      </c>
      <c r="L9" s="40">
        <v>3.0</v>
      </c>
      <c r="M9" s="41">
        <v>2.0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 t="str">
        <f t="shared" si="3"/>
        <v>3</v>
      </c>
      <c r="AK9" s="10" t="str">
        <f t="shared" si="4"/>
        <v>0</v>
      </c>
      <c r="AL9" s="10" t="str">
        <f t="shared" si="5"/>
        <v>Belgica</v>
      </c>
      <c r="AM9" s="10"/>
      <c r="AN9" s="10" t="str">
        <f t="shared" si="6"/>
        <v>4</v>
      </c>
      <c r="AO9" s="10" t="s">
        <v>54</v>
      </c>
      <c r="AP9" s="10" t="str">
        <f t="shared" si="7"/>
        <v>1</v>
      </c>
      <c r="AQ9" s="10" t="str">
        <f t="shared" si="8"/>
        <v>-2</v>
      </c>
      <c r="AR9" s="10" t="str">
        <f t="shared" si="9"/>
        <v>4</v>
      </c>
      <c r="AS9" s="10" t="str">
        <f t="shared" si="10"/>
        <v>6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 t="str">
        <f t="shared" si="13"/>
        <v>1</v>
      </c>
      <c r="AZ9" s="10" t="str">
        <f t="shared" si="14"/>
        <v>-9980400</v>
      </c>
      <c r="BA9" s="10" t="str">
        <f t="shared" si="15"/>
        <v>-9980410</v>
      </c>
      <c r="BB9" s="10" t="str">
        <f t="shared" si="16"/>
        <v>-9980407</v>
      </c>
    </row>
    <row r="10">
      <c r="B10" s="49">
        <v>3.0</v>
      </c>
      <c r="C10" s="50" t="str">
        <f t="shared" ref="C10:G10" si="18">IFERROR(VLOOKUP($B10,$AN$7:$AS$11,C$5,FALSE),"")</f>
        <v>Canada</v>
      </c>
      <c r="D10" s="51" t="str">
        <f t="shared" si="18"/>
        <v>2</v>
      </c>
      <c r="E10" s="51" t="str">
        <f t="shared" si="18"/>
        <v>2</v>
      </c>
      <c r="F10" s="51" t="str">
        <f t="shared" si="18"/>
        <v>3</v>
      </c>
      <c r="G10" s="52" t="str">
        <f t="shared" si="18"/>
        <v>-1</v>
      </c>
      <c r="I10" s="37" t="str">
        <f t="shared" si="19"/>
        <v>28</v>
      </c>
      <c r="J10" s="38">
        <v>44892.0</v>
      </c>
      <c r="K10" s="39" t="s">
        <v>55</v>
      </c>
      <c r="L10" s="40">
        <v>1.0</v>
      </c>
      <c r="M10" s="41">
        <v>1.0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 t="str">
        <f t="shared" si="3"/>
        <v>1</v>
      </c>
      <c r="AK10" s="10" t="str">
        <f t="shared" si="4"/>
        <v>1</v>
      </c>
      <c r="AL10" s="10" t="str">
        <f t="shared" si="5"/>
        <v>SIN GANADOR</v>
      </c>
      <c r="AM10" s="10"/>
      <c r="AN10" s="10" t="str">
        <f t="shared" si="6"/>
        <v>3</v>
      </c>
      <c r="AO10" s="10" t="s">
        <v>57</v>
      </c>
      <c r="AP10" s="10" t="str">
        <f t="shared" si="7"/>
        <v>2</v>
      </c>
      <c r="AQ10" s="10" t="str">
        <f t="shared" si="8"/>
        <v>-1</v>
      </c>
      <c r="AR10" s="10" t="str">
        <f t="shared" si="9"/>
        <v>2</v>
      </c>
      <c r="AS10" s="10" t="str">
        <f t="shared" si="10"/>
        <v>3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 t="str">
        <f t="shared" si="13"/>
        <v>1</v>
      </c>
      <c r="AZ10" s="10" t="str">
        <f t="shared" si="14"/>
        <v>-19990200</v>
      </c>
      <c r="BA10" s="10" t="str">
        <f t="shared" si="15"/>
        <v>-19990210</v>
      </c>
      <c r="BB10" s="10" t="str">
        <f t="shared" si="16"/>
        <v>-19990206</v>
      </c>
    </row>
    <row r="11">
      <c r="B11" s="53">
        <v>4.0</v>
      </c>
      <c r="C11" s="54" t="str">
        <f t="shared" ref="C11:G11" si="20">IFERROR(VLOOKUP($B11,$AN$7:$AS$11,C$5,FALSE),"")</f>
        <v>Marruecos</v>
      </c>
      <c r="D11" s="55" t="str">
        <f t="shared" si="20"/>
        <v>1</v>
      </c>
      <c r="E11" s="55" t="str">
        <f t="shared" si="20"/>
        <v>4</v>
      </c>
      <c r="F11" s="55" t="str">
        <f t="shared" si="20"/>
        <v>6</v>
      </c>
      <c r="G11" s="56" t="str">
        <f t="shared" si="20"/>
        <v>-2</v>
      </c>
      <c r="I11" s="46" t="str">
        <f t="shared" si="19"/>
        <v>43</v>
      </c>
      <c r="J11" s="47">
        <v>44896.0</v>
      </c>
      <c r="K11" s="48" t="s">
        <v>55</v>
      </c>
      <c r="L11" s="40">
        <v>2.0</v>
      </c>
      <c r="M11" s="41">
        <v>2.0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 t="str">
        <f t="shared" si="3"/>
        <v>1</v>
      </c>
      <c r="AK11" s="10" t="str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 t="str">
        <f t="shared" si="19"/>
        <v>44</v>
      </c>
      <c r="J12" s="58">
        <v>44896.0</v>
      </c>
      <c r="K12" s="59" t="s">
        <v>57</v>
      </c>
      <c r="L12" s="60">
        <v>1.0</v>
      </c>
      <c r="M12" s="61">
        <v>1.0</v>
      </c>
      <c r="N12" s="57" t="s">
        <v>54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 t="str">
        <f t="shared" si="3"/>
        <v>1</v>
      </c>
      <c r="AK12" s="10" t="str">
        <f t="shared" si="4"/>
        <v>1</v>
      </c>
      <c r="AL12" s="10" t="str">
        <f t="shared" si="5"/>
        <v>SIN GANADOR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 t="str">
        <f t="shared" ref="I23:I26" si="21">IF(J23="",0,1)</f>
        <v>1</v>
      </c>
      <c r="J23" s="68" t="s">
        <v>56</v>
      </c>
      <c r="K23" s="69"/>
      <c r="L23" s="6"/>
      <c r="M23" s="70">
        <v>1.0</v>
      </c>
      <c r="N23" s="71" t="str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 t="str">
        <f t="shared" si="21"/>
        <v>1</v>
      </c>
      <c r="J24" s="72" t="s">
        <v>55</v>
      </c>
      <c r="K24" s="73"/>
      <c r="L24" s="74"/>
      <c r="M24" s="75">
        <v>2.0</v>
      </c>
      <c r="N24" s="71" t="str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 t="str">
        <f t="shared" si="21"/>
        <v>1</v>
      </c>
      <c r="J25" s="72" t="s">
        <v>54</v>
      </c>
      <c r="K25" s="73"/>
      <c r="L25" s="74"/>
      <c r="M25" s="75">
        <v>3.0</v>
      </c>
      <c r="N25" s="71" t="str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 t="str">
        <f t="shared" si="21"/>
        <v>1</v>
      </c>
      <c r="J26" s="76" t="s">
        <v>57</v>
      </c>
      <c r="K26" s="77"/>
      <c r="L26" s="9"/>
      <c r="M26" s="78">
        <v>4.0</v>
      </c>
      <c r="N26" s="71" t="str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 t="str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</sheetData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2.0</v>
      </c>
      <c r="M7" s="32">
        <v>0.0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 t="str">
        <f t="shared" ref="AJ7:AJ12" si="3">IF(L7&gt;M7,3,IF(L7&lt;M7,0,1))</f>
        <v>3</v>
      </c>
      <c r="AK7" s="10" t="str">
        <f t="shared" ref="AK7:AK12" si="4">IF(AJ7=3,0,IF(AJ7=1,1,3))</f>
        <v>0</v>
      </c>
      <c r="AL7" s="10" t="str">
        <f t="shared" ref="AL7:AL12" si="5">IF(AJ7&gt;AK7,K7,IF(AK7&gt;AJ7,N7,"SIN GANADOR"))</f>
        <v>Suiza</v>
      </c>
      <c r="AM7" s="10"/>
      <c r="AN7" s="10" t="str">
        <f t="shared" ref="AN7:AN10" si="6">_xlfn.RANK.EQ(BB7,BB$7:BB$11,1)</f>
        <v>1</v>
      </c>
      <c r="AO7" s="10" t="s">
        <v>61</v>
      </c>
      <c r="AP7" s="10" t="str">
        <f t="shared" ref="AP7:AP10" si="7">SUMIF($K$7:$K$12,AO7,$AJ$7:$AJ$12) + SUMIF($N$7:$N$12,AO7,$AK$7:$AK$12)</f>
        <v>9</v>
      </c>
      <c r="AQ7" s="10" t="str">
        <f t="shared" ref="AQ7:AQ10" si="8">AR7-AS7</f>
        <v>7</v>
      </c>
      <c r="AR7" s="10" t="str">
        <f t="shared" ref="AR7:AR10" si="9">SUMIF($K$7:$K$12,AO7,$L$7:$L$12) + SUMIF($N$7:$N$12,AO7,$M$7:$M$12)</f>
        <v>8</v>
      </c>
      <c r="AS7" s="10" t="str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 t="str">
        <f t="shared" ref="AY7:AY10" si="13">IF(AX7="",1,IF(AX7=AV7,1,0))</f>
        <v>1</v>
      </c>
      <c r="AZ7" s="10" t="str">
        <f t="shared" ref="AZ7:AZ10" si="14">-AP7*10000000 - AQ7*10000 - AR7*100</f>
        <v>-90070800</v>
      </c>
      <c r="BA7" s="10" t="str">
        <f t="shared" ref="BA7:BA10" si="15">AZ7-AY7*10</f>
        <v>-90070810</v>
      </c>
      <c r="BB7" s="10" t="str">
        <f t="shared" ref="BB7:BB10" si="16">BA7+N23</f>
        <v>-90070809</v>
      </c>
    </row>
    <row r="8">
      <c r="B8" s="33">
        <v>1.0</v>
      </c>
      <c r="C8" s="34" t="str">
        <f t="shared" ref="C8:G8" si="1">IFERROR(VLOOKUP($B8,$AN$7:$AS$11,C$5,FALSE),"")</f>
        <v>Brasil</v>
      </c>
      <c r="D8" s="35" t="str">
        <f t="shared" si="1"/>
        <v>9</v>
      </c>
      <c r="E8" s="35" t="str">
        <f t="shared" si="1"/>
        <v>8</v>
      </c>
      <c r="F8" s="35" t="str">
        <f t="shared" si="1"/>
        <v>1</v>
      </c>
      <c r="G8" s="36" t="str">
        <f t="shared" si="1"/>
        <v>7</v>
      </c>
      <c r="I8" s="37">
        <v>14.0</v>
      </c>
      <c r="J8" s="38">
        <v>44889.0</v>
      </c>
      <c r="K8" s="39" t="s">
        <v>61</v>
      </c>
      <c r="L8" s="40">
        <v>3.0</v>
      </c>
      <c r="M8" s="41">
        <v>1.0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 t="str">
        <f t="shared" si="3"/>
        <v>3</v>
      </c>
      <c r="AK8" s="10" t="str">
        <f t="shared" si="4"/>
        <v>0</v>
      </c>
      <c r="AL8" s="10" t="str">
        <f t="shared" si="5"/>
        <v>Brasil</v>
      </c>
      <c r="AM8" s="10"/>
      <c r="AN8" s="10" t="str">
        <f t="shared" si="6"/>
        <v>2</v>
      </c>
      <c r="AO8" s="10" t="s">
        <v>59</v>
      </c>
      <c r="AP8" s="10" t="str">
        <f t="shared" si="7"/>
        <v>6</v>
      </c>
      <c r="AQ8" s="10" t="str">
        <f t="shared" si="8"/>
        <v>2</v>
      </c>
      <c r="AR8" s="10" t="str">
        <f t="shared" si="9"/>
        <v>4</v>
      </c>
      <c r="AS8" s="10" t="str">
        <f t="shared" si="10"/>
        <v>2</v>
      </c>
      <c r="AT8" s="10"/>
      <c r="AU8" s="10"/>
      <c r="AV8" s="10" t="str">
        <f t="shared" si="11"/>
        <v>Suiza</v>
      </c>
      <c r="AW8" s="10" t="str">
        <f>IF(AZ8=AZ9,AV9,IF(AZ8=AZ10,AV10,IF(AZ8=AZ7,AV7,"")))</f>
        <v/>
      </c>
      <c r="AX8" s="10" t="str">
        <f t="shared" si="12"/>
        <v/>
      </c>
      <c r="AY8" s="10" t="str">
        <f t="shared" si="13"/>
        <v>1</v>
      </c>
      <c r="AZ8" s="10" t="str">
        <f t="shared" si="14"/>
        <v>-60020400</v>
      </c>
      <c r="BA8" s="10" t="str">
        <f t="shared" si="15"/>
        <v>-60020410</v>
      </c>
      <c r="BB8" s="10" t="str">
        <f t="shared" si="16"/>
        <v>-60020408</v>
      </c>
    </row>
    <row r="9">
      <c r="B9" s="42">
        <v>2.0</v>
      </c>
      <c r="C9" s="43" t="str">
        <f t="shared" ref="C9:G9" si="17">IFERROR(VLOOKUP($B9,$AN$7:$AS$11,C$5,FALSE),"")</f>
        <v>Suiza</v>
      </c>
      <c r="D9" s="44" t="str">
        <f t="shared" si="17"/>
        <v>6</v>
      </c>
      <c r="E9" s="44" t="str">
        <f t="shared" si="17"/>
        <v>4</v>
      </c>
      <c r="F9" s="44" t="str">
        <f t="shared" si="17"/>
        <v>2</v>
      </c>
      <c r="G9" s="45" t="str">
        <f t="shared" si="17"/>
        <v>2</v>
      </c>
      <c r="I9" s="46" t="str">
        <f t="shared" ref="I9:I12" si="19">I7+16</f>
        <v>29</v>
      </c>
      <c r="J9" s="47">
        <v>44893.0</v>
      </c>
      <c r="K9" s="48" t="s">
        <v>60</v>
      </c>
      <c r="L9" s="40">
        <v>1.0</v>
      </c>
      <c r="M9" s="41">
        <v>1.0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 t="str">
        <f t="shared" si="3"/>
        <v>1</v>
      </c>
      <c r="AK9" s="10" t="str">
        <f t="shared" si="4"/>
        <v>1</v>
      </c>
      <c r="AL9" s="10" t="str">
        <f t="shared" si="5"/>
        <v>SIN GANADOR</v>
      </c>
      <c r="AM9" s="10"/>
      <c r="AN9" s="10" t="str">
        <f t="shared" si="6"/>
        <v>3</v>
      </c>
      <c r="AO9" s="10" t="s">
        <v>62</v>
      </c>
      <c r="AP9" s="10" t="str">
        <f t="shared" si="7"/>
        <v>1</v>
      </c>
      <c r="AQ9" s="10" t="str">
        <f t="shared" si="8"/>
        <v>-3</v>
      </c>
      <c r="AR9" s="10" t="str">
        <f t="shared" si="9"/>
        <v>3</v>
      </c>
      <c r="AS9" s="10" t="str">
        <f t="shared" si="10"/>
        <v>6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 t="str">
        <f t="shared" si="13"/>
        <v>1</v>
      </c>
      <c r="AZ9" s="10" t="str">
        <f t="shared" si="14"/>
        <v>-9970300</v>
      </c>
      <c r="BA9" s="10" t="str">
        <f t="shared" si="15"/>
        <v>-9970310</v>
      </c>
      <c r="BB9" s="10" t="str">
        <f t="shared" si="16"/>
        <v>-9970307</v>
      </c>
    </row>
    <row r="10">
      <c r="B10" s="49">
        <v>3.0</v>
      </c>
      <c r="C10" s="50" t="str">
        <f t="shared" ref="C10:G10" si="18">IFERROR(VLOOKUP($B10,$AN$7:$AS$11,C$5,FALSE),"")</f>
        <v>Serbia</v>
      </c>
      <c r="D10" s="51" t="str">
        <f t="shared" si="18"/>
        <v>1</v>
      </c>
      <c r="E10" s="51" t="str">
        <f t="shared" si="18"/>
        <v>3</v>
      </c>
      <c r="F10" s="51" t="str">
        <f t="shared" si="18"/>
        <v>6</v>
      </c>
      <c r="G10" s="52" t="str">
        <f t="shared" si="18"/>
        <v>-3</v>
      </c>
      <c r="I10" s="37" t="str">
        <f t="shared" si="19"/>
        <v>30</v>
      </c>
      <c r="J10" s="38">
        <v>44893.0</v>
      </c>
      <c r="K10" s="39" t="s">
        <v>61</v>
      </c>
      <c r="L10" s="40">
        <v>1.0</v>
      </c>
      <c r="M10" s="41">
        <v>0.0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 t="str">
        <f t="shared" si="3"/>
        <v>3</v>
      </c>
      <c r="AK10" s="10" t="str">
        <f t="shared" si="4"/>
        <v>0</v>
      </c>
      <c r="AL10" s="10" t="str">
        <f t="shared" si="5"/>
        <v>Brasil</v>
      </c>
      <c r="AM10" s="10"/>
      <c r="AN10" s="10" t="str">
        <f t="shared" si="6"/>
        <v>4</v>
      </c>
      <c r="AO10" s="10" t="s">
        <v>60</v>
      </c>
      <c r="AP10" s="10" t="str">
        <f t="shared" si="7"/>
        <v>1</v>
      </c>
      <c r="AQ10" s="10" t="str">
        <f t="shared" si="8"/>
        <v>-6</v>
      </c>
      <c r="AR10" s="10" t="str">
        <f t="shared" si="9"/>
        <v>1</v>
      </c>
      <c r="AS10" s="10" t="str">
        <f t="shared" si="10"/>
        <v>7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/>
      </c>
      <c r="AX10" s="10" t="str">
        <f t="shared" si="12"/>
        <v/>
      </c>
      <c r="AY10" s="10" t="str">
        <f t="shared" si="13"/>
        <v>1</v>
      </c>
      <c r="AZ10" s="10" t="str">
        <f t="shared" si="14"/>
        <v>-9940100</v>
      </c>
      <c r="BA10" s="10" t="str">
        <f t="shared" si="15"/>
        <v>-9940110</v>
      </c>
      <c r="BB10" s="10" t="str">
        <f t="shared" si="16"/>
        <v>-9940106</v>
      </c>
    </row>
    <row r="11">
      <c r="B11" s="53">
        <v>4.0</v>
      </c>
      <c r="C11" s="54" t="str">
        <f t="shared" ref="C11:G11" si="20">IFERROR(VLOOKUP($B11,$AN$7:$AS$11,C$5,FALSE),"")</f>
        <v>Camerun</v>
      </c>
      <c r="D11" s="55" t="str">
        <f t="shared" si="20"/>
        <v>1</v>
      </c>
      <c r="E11" s="55" t="str">
        <f t="shared" si="20"/>
        <v>1</v>
      </c>
      <c r="F11" s="55" t="str">
        <f t="shared" si="20"/>
        <v>7</v>
      </c>
      <c r="G11" s="56" t="str">
        <f t="shared" si="20"/>
        <v>-6</v>
      </c>
      <c r="I11" s="46" t="str">
        <f t="shared" si="19"/>
        <v>45</v>
      </c>
      <c r="J11" s="47">
        <v>44897.0</v>
      </c>
      <c r="K11" s="48" t="s">
        <v>62</v>
      </c>
      <c r="L11" s="40">
        <v>1.0</v>
      </c>
      <c r="M11" s="41">
        <v>2.0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 t="str">
        <f t="shared" si="3"/>
        <v>0</v>
      </c>
      <c r="AK11" s="10" t="str">
        <f t="shared" si="4"/>
        <v>3</v>
      </c>
      <c r="AL11" s="10" t="str">
        <f t="shared" si="5"/>
        <v>Suiza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 t="str">
        <f t="shared" si="19"/>
        <v>46</v>
      </c>
      <c r="J12" s="58">
        <v>44897.0</v>
      </c>
      <c r="K12" s="59" t="s">
        <v>60</v>
      </c>
      <c r="L12" s="60">
        <v>0.0</v>
      </c>
      <c r="M12" s="61">
        <v>4.0</v>
      </c>
      <c r="N12" s="57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 t="str">
        <f t="shared" si="3"/>
        <v>0</v>
      </c>
      <c r="AK12" s="10" t="str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 t="str">
        <f t="shared" ref="I23:I26" si="21">IF(J23="",0,1)</f>
        <v>1</v>
      </c>
      <c r="J23" s="68" t="s">
        <v>61</v>
      </c>
      <c r="K23" s="69"/>
      <c r="L23" s="6"/>
      <c r="M23" s="70">
        <v>1.0</v>
      </c>
      <c r="N23" s="71" t="str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 t="str">
        <f t="shared" si="21"/>
        <v>1</v>
      </c>
      <c r="J24" s="72" t="s">
        <v>59</v>
      </c>
      <c r="K24" s="73"/>
      <c r="L24" s="74"/>
      <c r="M24" s="75">
        <v>2.0</v>
      </c>
      <c r="N24" s="71" t="str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 t="str">
        <f t="shared" si="21"/>
        <v>1</v>
      </c>
      <c r="J25" s="72" t="s">
        <v>62</v>
      </c>
      <c r="K25" s="73"/>
      <c r="L25" s="74"/>
      <c r="M25" s="75">
        <v>3.0</v>
      </c>
      <c r="N25" s="71" t="str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 t="str">
        <f t="shared" si="21"/>
        <v>1</v>
      </c>
      <c r="J26" s="76" t="s">
        <v>60</v>
      </c>
      <c r="K26" s="77"/>
      <c r="L26" s="9"/>
      <c r="M26" s="78">
        <v>4.0</v>
      </c>
      <c r="N26" s="71" t="str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 t="str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</sheetData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2.0</v>
      </c>
      <c r="M7" s="32">
        <v>0.0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 t="str">
        <f t="shared" ref="AJ7:AJ12" si="3">IF(L7&gt;M7,3,IF(L7&lt;M7,0,1))</f>
        <v>3</v>
      </c>
      <c r="AK7" s="10" t="str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 t="str">
        <f t="shared" ref="AN7:AN10" si="6">_xlfn.RANK.EQ(BB7,BB$7:BB$11,1)</f>
        <v>2</v>
      </c>
      <c r="AO7" s="10" t="s">
        <v>66</v>
      </c>
      <c r="AP7" s="10" t="str">
        <f t="shared" ref="AP7:AP10" si="7">SUMIF($K$7:$K$12,AO7,$AJ$7:$AJ$12) + SUMIF($N$7:$N$12,AO7,$AK$7:$AK$12)</f>
        <v>6</v>
      </c>
      <c r="AQ7" s="10" t="str">
        <f t="shared" ref="AQ7:AQ10" si="8">AR7-AS7</f>
        <v>4</v>
      </c>
      <c r="AR7" s="10" t="str">
        <f t="shared" ref="AR7:AR10" si="9">SUMIF($K$7:$K$12,AO7,$L$7:$L$12) + SUMIF($N$7:$N$12,AO7,$M$7:$M$12)</f>
        <v>5</v>
      </c>
      <c r="AS7" s="10" t="str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 t="str">
        <f t="shared" ref="AY7:AY10" si="13">IF(AX7="",1,IF(AX7=AV7,1,0))</f>
        <v>1</v>
      </c>
      <c r="AZ7" s="10" t="str">
        <f t="shared" ref="AZ7:AZ10" si="14">-AP7*10000000 - AQ7*10000 - AR7*100</f>
        <v>-60040500</v>
      </c>
      <c r="BA7" s="10" t="str">
        <f t="shared" ref="BA7:BA10" si="15">AZ7-AY7*10</f>
        <v>-60040510</v>
      </c>
      <c r="BB7" s="10" t="str">
        <f t="shared" ref="BB7:BB10" si="16">BA7+N23</f>
        <v>-60040509</v>
      </c>
    </row>
    <row r="8">
      <c r="B8" s="33">
        <v>1.0</v>
      </c>
      <c r="C8" s="34" t="str">
        <f t="shared" ref="C8:G8" si="1">IFERROR(VLOOKUP($B8,$AN$7:$AS$11,C$5,FALSE),"")</f>
        <v>Uruguay</v>
      </c>
      <c r="D8" s="35" t="str">
        <f t="shared" si="1"/>
        <v>9</v>
      </c>
      <c r="E8" s="35" t="str">
        <f t="shared" si="1"/>
        <v>5</v>
      </c>
      <c r="F8" s="35" t="str">
        <f t="shared" si="1"/>
        <v>1</v>
      </c>
      <c r="G8" s="36" t="str">
        <f t="shared" si="1"/>
        <v>4</v>
      </c>
      <c r="I8" s="37">
        <v>16.0</v>
      </c>
      <c r="J8" s="38">
        <v>44889.0</v>
      </c>
      <c r="K8" s="39" t="s">
        <v>66</v>
      </c>
      <c r="L8" s="40">
        <v>2.0</v>
      </c>
      <c r="M8" s="41">
        <v>0.0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 t="str">
        <f t="shared" si="3"/>
        <v>3</v>
      </c>
      <c r="AK8" s="10" t="str">
        <f t="shared" si="4"/>
        <v>0</v>
      </c>
      <c r="AL8" s="10" t="str">
        <f t="shared" si="5"/>
        <v>Portugal</v>
      </c>
      <c r="AM8" s="10"/>
      <c r="AN8" s="10" t="str">
        <f t="shared" si="6"/>
        <v>1</v>
      </c>
      <c r="AO8" s="10" t="s">
        <v>64</v>
      </c>
      <c r="AP8" s="10" t="str">
        <f t="shared" si="7"/>
        <v>9</v>
      </c>
      <c r="AQ8" s="10" t="str">
        <f t="shared" si="8"/>
        <v>4</v>
      </c>
      <c r="AR8" s="10" t="str">
        <f t="shared" si="9"/>
        <v>5</v>
      </c>
      <c r="AS8" s="10" t="str">
        <f t="shared" si="10"/>
        <v>1</v>
      </c>
      <c r="AT8" s="10"/>
      <c r="AU8" s="10"/>
      <c r="AV8" s="10" t="str">
        <f t="shared" si="11"/>
        <v>Uruguay</v>
      </c>
      <c r="AW8" s="10" t="str">
        <f>IF(AZ8=AZ9,AV9,IF(AZ8=AZ10,AV10,IF(AZ8=AZ7,AV7,"")))</f>
        <v/>
      </c>
      <c r="AX8" s="10" t="str">
        <f t="shared" si="12"/>
        <v/>
      </c>
      <c r="AY8" s="10" t="str">
        <f t="shared" si="13"/>
        <v>1</v>
      </c>
      <c r="AZ8" s="10" t="str">
        <f t="shared" si="14"/>
        <v>-90040500</v>
      </c>
      <c r="BA8" s="10" t="str">
        <f t="shared" si="15"/>
        <v>-90040510</v>
      </c>
      <c r="BB8" s="10" t="str">
        <f t="shared" si="16"/>
        <v>-90040508</v>
      </c>
    </row>
    <row r="9">
      <c r="B9" s="42">
        <v>2.0</v>
      </c>
      <c r="C9" s="43" t="str">
        <f t="shared" ref="C9:G9" si="17">IFERROR(VLOOKUP($B9,$AN$7:$AS$11,C$5,FALSE),"")</f>
        <v>Portugal</v>
      </c>
      <c r="D9" s="44" t="str">
        <f t="shared" si="17"/>
        <v>6</v>
      </c>
      <c r="E9" s="44" t="str">
        <f t="shared" si="17"/>
        <v>5</v>
      </c>
      <c r="F9" s="44" t="str">
        <f t="shared" si="17"/>
        <v>1</v>
      </c>
      <c r="G9" s="45" t="str">
        <f t="shared" si="17"/>
        <v>4</v>
      </c>
      <c r="I9" s="46" t="str">
        <f t="shared" ref="I9:I12" si="19">I7+16</f>
        <v>31</v>
      </c>
      <c r="J9" s="47">
        <v>44893.0</v>
      </c>
      <c r="K9" s="48" t="s">
        <v>65</v>
      </c>
      <c r="L9" s="40">
        <v>1.0</v>
      </c>
      <c r="M9" s="41">
        <v>2.0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 t="str">
        <f t="shared" si="3"/>
        <v>0</v>
      </c>
      <c r="AK9" s="10" t="str">
        <f t="shared" si="4"/>
        <v>3</v>
      </c>
      <c r="AL9" s="10" t="str">
        <f t="shared" si="5"/>
        <v>Gana</v>
      </c>
      <c r="AM9" s="10"/>
      <c r="AN9" s="10" t="str">
        <f t="shared" si="6"/>
        <v>4</v>
      </c>
      <c r="AO9" s="10" t="s">
        <v>65</v>
      </c>
      <c r="AP9" s="10" t="str">
        <f t="shared" si="7"/>
        <v>0</v>
      </c>
      <c r="AQ9" s="10" t="str">
        <f t="shared" si="8"/>
        <v>-6</v>
      </c>
      <c r="AR9" s="10" t="str">
        <f t="shared" si="9"/>
        <v>1</v>
      </c>
      <c r="AS9" s="10" t="str">
        <f t="shared" si="10"/>
        <v>7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 t="str">
        <f t="shared" si="13"/>
        <v>1</v>
      </c>
      <c r="AZ9" s="10" t="str">
        <f t="shared" si="14"/>
        <v>59900</v>
      </c>
      <c r="BA9" s="10" t="str">
        <f t="shared" si="15"/>
        <v>59890</v>
      </c>
      <c r="BB9" s="10" t="str">
        <f t="shared" si="16"/>
        <v>59893</v>
      </c>
    </row>
    <row r="10">
      <c r="B10" s="49">
        <v>3.0</v>
      </c>
      <c r="C10" s="50" t="str">
        <f t="shared" ref="C10:G10" si="18">IFERROR(VLOOKUP($B10,$AN$7:$AS$11,C$5,FALSE),"")</f>
        <v>Gana</v>
      </c>
      <c r="D10" s="51" t="str">
        <f t="shared" si="18"/>
        <v>3</v>
      </c>
      <c r="E10" s="51" t="str">
        <f t="shared" si="18"/>
        <v>3</v>
      </c>
      <c r="F10" s="51" t="str">
        <f t="shared" si="18"/>
        <v>5</v>
      </c>
      <c r="G10" s="52" t="str">
        <f t="shared" si="18"/>
        <v>-2</v>
      </c>
      <c r="I10" s="37" t="str">
        <f t="shared" si="19"/>
        <v>32</v>
      </c>
      <c r="J10" s="38">
        <v>44893.0</v>
      </c>
      <c r="K10" s="39" t="s">
        <v>66</v>
      </c>
      <c r="L10" s="40">
        <v>0.0</v>
      </c>
      <c r="M10" s="41">
        <v>1.0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 t="str">
        <f t="shared" si="3"/>
        <v>0</v>
      </c>
      <c r="AK10" s="10" t="str">
        <f t="shared" si="4"/>
        <v>3</v>
      </c>
      <c r="AL10" s="10" t="str">
        <f t="shared" si="5"/>
        <v>Uruguay</v>
      </c>
      <c r="AM10" s="10"/>
      <c r="AN10" s="10" t="str">
        <f t="shared" si="6"/>
        <v>3</v>
      </c>
      <c r="AO10" s="10" t="s">
        <v>67</v>
      </c>
      <c r="AP10" s="10" t="str">
        <f t="shared" si="7"/>
        <v>3</v>
      </c>
      <c r="AQ10" s="10" t="str">
        <f t="shared" si="8"/>
        <v>-2</v>
      </c>
      <c r="AR10" s="10" t="str">
        <f t="shared" si="9"/>
        <v>3</v>
      </c>
      <c r="AS10" s="10" t="str">
        <f t="shared" si="10"/>
        <v>5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 t="str">
        <f t="shared" si="13"/>
        <v>1</v>
      </c>
      <c r="AZ10" s="10" t="str">
        <f t="shared" si="14"/>
        <v>-29980300</v>
      </c>
      <c r="BA10" s="10" t="str">
        <f t="shared" si="15"/>
        <v>-29980310</v>
      </c>
      <c r="BB10" s="10" t="str">
        <f t="shared" si="16"/>
        <v>-29980306</v>
      </c>
    </row>
    <row r="11">
      <c r="B11" s="53">
        <v>4.0</v>
      </c>
      <c r="C11" s="54" t="str">
        <f t="shared" ref="C11:G11" si="20">IFERROR(VLOOKUP($B11,$AN$7:$AS$11,C$5,FALSE),"")</f>
        <v>Corea</v>
      </c>
      <c r="D11" s="55" t="str">
        <f t="shared" si="20"/>
        <v>0</v>
      </c>
      <c r="E11" s="55" t="str">
        <f t="shared" si="20"/>
        <v>1</v>
      </c>
      <c r="F11" s="55" t="str">
        <f t="shared" si="20"/>
        <v>7</v>
      </c>
      <c r="G11" s="56" t="str">
        <f t="shared" si="20"/>
        <v>-6</v>
      </c>
      <c r="I11" s="46" t="str">
        <f t="shared" si="19"/>
        <v>47</v>
      </c>
      <c r="J11" s="47">
        <v>44897.0</v>
      </c>
      <c r="K11" s="48" t="s">
        <v>67</v>
      </c>
      <c r="L11" s="40">
        <v>1.0</v>
      </c>
      <c r="M11" s="41">
        <v>2.0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 t="str">
        <f t="shared" si="3"/>
        <v>0</v>
      </c>
      <c r="AK11" s="10" t="str">
        <f t="shared" si="4"/>
        <v>3</v>
      </c>
      <c r="AL11" s="10" t="str">
        <f t="shared" si="5"/>
        <v>Uruguay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 t="str">
        <f t="shared" si="19"/>
        <v>48</v>
      </c>
      <c r="J12" s="58">
        <v>44897.0</v>
      </c>
      <c r="K12" s="59" t="s">
        <v>65</v>
      </c>
      <c r="L12" s="60">
        <v>0.0</v>
      </c>
      <c r="M12" s="61">
        <v>3.0</v>
      </c>
      <c r="N12" s="57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 t="str">
        <f t="shared" si="3"/>
        <v>0</v>
      </c>
      <c r="AK12" s="10" t="str">
        <f t="shared" si="4"/>
        <v>3</v>
      </c>
      <c r="AL12" s="10" t="str">
        <f t="shared" si="5"/>
        <v>Portugal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 t="str">
        <f t="shared" ref="I23:I26" si="21">IF(J23="",0,1)</f>
        <v>1</v>
      </c>
      <c r="J23" s="68" t="s">
        <v>66</v>
      </c>
      <c r="K23" s="69"/>
      <c r="L23" s="6"/>
      <c r="M23" s="70">
        <v>1.0</v>
      </c>
      <c r="N23" s="71" t="str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 t="str">
        <f t="shared" si="21"/>
        <v>1</v>
      </c>
      <c r="J24" s="72" t="s">
        <v>64</v>
      </c>
      <c r="K24" s="73"/>
      <c r="L24" s="74"/>
      <c r="M24" s="75">
        <v>2.0</v>
      </c>
      <c r="N24" s="71" t="str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 t="str">
        <f t="shared" si="21"/>
        <v>1</v>
      </c>
      <c r="J25" s="72" t="s">
        <v>65</v>
      </c>
      <c r="K25" s="73"/>
      <c r="L25" s="74"/>
      <c r="M25" s="75">
        <v>3.0</v>
      </c>
      <c r="N25" s="71" t="str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 t="str">
        <f t="shared" si="21"/>
        <v>1</v>
      </c>
      <c r="J26" s="76" t="s">
        <v>67</v>
      </c>
      <c r="K26" s="77"/>
      <c r="L26" s="9"/>
      <c r="M26" s="78">
        <v>4.0</v>
      </c>
      <c r="N26" s="71" t="str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 t="str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</sheetData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3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83">
        <v>49.0</v>
      </c>
      <c r="C5" s="84" t="s">
        <v>70</v>
      </c>
      <c r="D5" s="85" t="s">
        <v>71</v>
      </c>
    </row>
    <row r="6">
      <c r="B6" s="86" t="str">
        <f>'GRUPO A'!C8</f>
        <v>Holanda</v>
      </c>
      <c r="C6" s="87">
        <v>2.0</v>
      </c>
      <c r="D6" s="88"/>
    </row>
    <row r="7">
      <c r="B7" s="89" t="str">
        <f>'GRUPO B'!C9</f>
        <v>USA</v>
      </c>
      <c r="C7" s="90">
        <v>0.0</v>
      </c>
      <c r="D7" s="91"/>
      <c r="E7" s="92"/>
      <c r="G7" s="83">
        <v>57.0</v>
      </c>
      <c r="H7" s="84" t="s">
        <v>70</v>
      </c>
      <c r="I7" s="85" t="s">
        <v>71</v>
      </c>
    </row>
    <row r="8">
      <c r="E8" s="93"/>
      <c r="G8" s="86" t="str">
        <f>IF(C7&gt;C6,B7,IF(C6&gt;C7,B6,IF(D7&gt;D6,B7,IF(D6&gt;D7,B6,""))))</f>
        <v>Holanda</v>
      </c>
      <c r="H8" s="87">
        <v>1.0</v>
      </c>
      <c r="I8" s="88"/>
      <c r="L8" s="19" t="s">
        <v>72</v>
      </c>
      <c r="M8" s="20"/>
      <c r="N8" s="21"/>
    </row>
    <row r="9">
      <c r="B9" s="83">
        <v>50.0</v>
      </c>
      <c r="C9" s="84" t="s">
        <v>70</v>
      </c>
      <c r="D9" s="85" t="s">
        <v>71</v>
      </c>
      <c r="E9" s="94"/>
      <c r="F9" s="95"/>
      <c r="G9" s="89" t="str">
        <f>IF(C11&gt;C10,B11,IF(C10&gt;C11,B10,IF(D11&gt;D10,B11,IF(D10&gt;D11,B10,""))))</f>
        <v>Argentina</v>
      </c>
      <c r="H9" s="90">
        <v>2.0</v>
      </c>
      <c r="I9" s="91"/>
      <c r="J9" s="92"/>
    </row>
    <row r="10">
      <c r="B10" s="86" t="str">
        <f>'GRUPO C'!C8</f>
        <v>Argentina</v>
      </c>
      <c r="C10" s="87">
        <v>2.0</v>
      </c>
      <c r="D10" s="88"/>
      <c r="E10" s="96"/>
      <c r="J10" s="93"/>
    </row>
    <row r="11">
      <c r="B11" s="89" t="str">
        <f>'GRUPO D'!C9</f>
        <v>Dinamarca</v>
      </c>
      <c r="C11" s="90">
        <v>1.0</v>
      </c>
      <c r="D11" s="91"/>
      <c r="E11" s="97"/>
      <c r="J11" s="93"/>
      <c r="L11" s="83">
        <v>61.0</v>
      </c>
      <c r="M11" s="84" t="s">
        <v>70</v>
      </c>
      <c r="N11" s="85" t="s">
        <v>71</v>
      </c>
    </row>
    <row r="12">
      <c r="J12" s="93"/>
      <c r="L12" s="86" t="str">
        <f>IF(H9&gt;H8,G9,IF(H8&gt;H9,G8,IF(I9&gt;I8,G9,IF(I8&gt;I9,G8,""))))</f>
        <v>Argentina</v>
      </c>
      <c r="M12" s="87">
        <v>1.0</v>
      </c>
      <c r="N12" s="88"/>
    </row>
    <row r="13">
      <c r="B13" s="83">
        <v>53.0</v>
      </c>
      <c r="C13" s="84" t="s">
        <v>70</v>
      </c>
      <c r="D13" s="85" t="s">
        <v>71</v>
      </c>
      <c r="J13" s="93"/>
      <c r="K13" s="95"/>
      <c r="L13" s="89" t="str">
        <f>IF(H17&gt;H16,G17,IF(H16&gt;H17,G16,IF(I17&gt;I16,G17,IF(I16&gt;I17,G16,""))))</f>
        <v>Brasil</v>
      </c>
      <c r="M13" s="90">
        <v>0.0</v>
      </c>
      <c r="N13" s="91"/>
      <c r="O13" s="92"/>
    </row>
    <row r="14">
      <c r="B14" s="86" t="str">
        <f>'GRUPO E'!C8</f>
        <v>España</v>
      </c>
      <c r="C14" s="87">
        <v>3.0</v>
      </c>
      <c r="D14" s="88"/>
      <c r="J14" s="93"/>
      <c r="O14" s="93"/>
    </row>
    <row r="15">
      <c r="B15" s="89" t="str">
        <f>'GRUPO F'!C9</f>
        <v>Croacia</v>
      </c>
      <c r="C15" s="90">
        <v>2.0</v>
      </c>
      <c r="D15" s="91"/>
      <c r="E15" s="92"/>
      <c r="G15" s="83">
        <v>58.0</v>
      </c>
      <c r="H15" s="84" t="s">
        <v>70</v>
      </c>
      <c r="I15" s="85" t="s">
        <v>71</v>
      </c>
      <c r="J15" s="93"/>
      <c r="O15" s="93"/>
    </row>
    <row r="16">
      <c r="E16" s="93"/>
      <c r="G16" s="86" t="str">
        <f>IF(C15&gt;C14,B15,IF(C14&gt;C15,B14,IF(D15&gt;D14,B15,IF(D14&gt;D15,B14,""))))</f>
        <v>España</v>
      </c>
      <c r="H16" s="87">
        <v>0.0</v>
      </c>
      <c r="I16" s="88"/>
      <c r="J16" s="96"/>
      <c r="O16" s="93"/>
      <c r="Q16" s="19" t="s">
        <v>73</v>
      </c>
      <c r="R16" s="20"/>
      <c r="S16" s="21"/>
    </row>
    <row r="17">
      <c r="B17" s="83">
        <v>54.0</v>
      </c>
      <c r="C17" s="84" t="s">
        <v>70</v>
      </c>
      <c r="D17" s="85" t="s">
        <v>71</v>
      </c>
      <c r="E17" s="94"/>
      <c r="F17" s="95"/>
      <c r="G17" s="89" t="str">
        <f>IF(C19&gt;C18,B19,IF(C18&gt;C19,B18,IF(D19&gt;D18,B19,IF(D18&gt;D19,B18,""))))</f>
        <v>Brasil</v>
      </c>
      <c r="H17" s="90">
        <v>2.0</v>
      </c>
      <c r="I17" s="91"/>
      <c r="O17" s="93"/>
    </row>
    <row r="18">
      <c r="B18" s="86" t="str">
        <f>'GRUPO G'!C8</f>
        <v>Brasil</v>
      </c>
      <c r="C18" s="87">
        <v>2.0</v>
      </c>
      <c r="D18" s="88"/>
      <c r="E18" s="96"/>
      <c r="O18" s="93"/>
    </row>
    <row r="19">
      <c r="B19" s="89" t="str">
        <f>'GRUPO H'!C9</f>
        <v>Portugal</v>
      </c>
      <c r="C19" s="90">
        <v>0.0</v>
      </c>
      <c r="D19" s="91"/>
      <c r="E19" s="97"/>
      <c r="O19" s="93"/>
      <c r="Q19" s="83">
        <v>64.0</v>
      </c>
      <c r="R19" s="84" t="s">
        <v>70</v>
      </c>
      <c r="S19" s="85" t="s">
        <v>71</v>
      </c>
    </row>
    <row r="20">
      <c r="O20" s="93"/>
      <c r="Q20" s="86" t="str">
        <f>IF(M13&gt;M12,L13,IF(M12&gt;M13,L12,IF(N13&gt;N12,L13,IF(N12&gt;N13,L12,""))))</f>
        <v>Argentina</v>
      </c>
      <c r="R20" s="87">
        <v>3.0</v>
      </c>
      <c r="S20" s="88"/>
    </row>
    <row r="21" ht="15.75" customHeight="1">
      <c r="B21" s="83">
        <v>51.0</v>
      </c>
      <c r="C21" s="84" t="s">
        <v>70</v>
      </c>
      <c r="D21" s="85" t="s">
        <v>71</v>
      </c>
      <c r="O21" s="93"/>
      <c r="P21" s="98"/>
      <c r="Q21" s="89" t="str">
        <f>IF(M29&gt;M28,L29,IF(M28&gt;M29,L28,IF(N29&gt;N28,L29,IF(N28&gt;N29,L28,""))))</f>
        <v>Inglaterra</v>
      </c>
      <c r="R21" s="90">
        <v>0.0</v>
      </c>
      <c r="S21" s="91"/>
    </row>
    <row r="22" ht="15.75" customHeight="1">
      <c r="B22" s="86" t="str">
        <f>'GRUPO B'!C8</f>
        <v>Inglaterra</v>
      </c>
      <c r="C22" s="87">
        <v>1.0</v>
      </c>
      <c r="D22" s="88"/>
      <c r="O22" s="93"/>
    </row>
    <row r="23" ht="15.75" customHeight="1">
      <c r="B23" s="89" t="str">
        <f>'GRUPO A'!C9</f>
        <v>Ecuador</v>
      </c>
      <c r="C23" s="90">
        <v>0.0</v>
      </c>
      <c r="D23" s="91"/>
      <c r="E23" s="92"/>
      <c r="G23" s="83">
        <v>59.0</v>
      </c>
      <c r="H23" s="84" t="s">
        <v>70</v>
      </c>
      <c r="I23" s="85" t="s">
        <v>71</v>
      </c>
      <c r="O23" s="93"/>
      <c r="V23" s="19" t="s">
        <v>74</v>
      </c>
      <c r="W23" s="21"/>
    </row>
    <row r="24" ht="15.75" customHeight="1">
      <c r="E24" s="93"/>
      <c r="G24" s="86" t="str">
        <f>IF(C23&gt;C22,B23,IF(C22&gt;C23,B22,IF(D23&gt;D22,B23,IF(D22&gt;D23,B22,""))))</f>
        <v>Inglaterra</v>
      </c>
      <c r="H24" s="87">
        <v>1.0</v>
      </c>
      <c r="I24" s="88"/>
      <c r="O24" s="93"/>
      <c r="V24" s="86" t="s">
        <v>75</v>
      </c>
      <c r="W24" s="99" t="str">
        <f>IF(R20&gt;R21,Q20,IF(R21&gt;R20,Q21,IF(S20&gt;S21,Q20,IF(S21&gt;S20,Q21,""))))</f>
        <v>Argentina</v>
      </c>
    </row>
    <row r="25" ht="15.75" customHeight="1">
      <c r="B25" s="83">
        <v>52.0</v>
      </c>
      <c r="C25" s="84" t="s">
        <v>70</v>
      </c>
      <c r="D25" s="85" t="s">
        <v>71</v>
      </c>
      <c r="E25" s="94"/>
      <c r="F25" s="95"/>
      <c r="G25" s="89" t="str">
        <f>IF(C27&gt;C26,B27,IF(C26&gt;C27,B26,IF(D27&gt;D26,B27,IF(D26&gt;D27,B26,""))))</f>
        <v>Francia</v>
      </c>
      <c r="H25" s="90">
        <v>0.0</v>
      </c>
      <c r="I25" s="91"/>
      <c r="J25" s="92"/>
      <c r="O25" s="93"/>
      <c r="Q25" s="19" t="s">
        <v>76</v>
      </c>
      <c r="R25" s="20"/>
      <c r="S25" s="21"/>
      <c r="V25" s="100" t="s">
        <v>77</v>
      </c>
      <c r="W25" s="101" t="str">
        <f>IF(W24=Q20,Q21,IF(W24=Q21,Q20,""))</f>
        <v>Inglaterra</v>
      </c>
    </row>
    <row r="26" ht="15.75" customHeight="1">
      <c r="B26" s="86" t="str">
        <f>'GRUPO D'!C8</f>
        <v>Francia</v>
      </c>
      <c r="C26" s="87">
        <v>2.0</v>
      </c>
      <c r="D26" s="88"/>
      <c r="E26" s="96"/>
      <c r="J26" s="93"/>
      <c r="O26" s="93"/>
      <c r="V26" s="89" t="s">
        <v>78</v>
      </c>
      <c r="W26" s="102" t="str">
        <f>IF(R29&gt;R30,Q29,IF(R30&gt;R29,Q30,IF(S29&gt;S30,Q29,IF(S30&gt;S29,Q30,""))))</f>
        <v>Brasil</v>
      </c>
    </row>
    <row r="27" ht="15.75" customHeight="1">
      <c r="B27" s="89" t="str">
        <f>'GRUPO C'!C9</f>
        <v>Polonia</v>
      </c>
      <c r="C27" s="90">
        <v>0.0</v>
      </c>
      <c r="D27" s="91"/>
      <c r="E27" s="97"/>
      <c r="J27" s="93"/>
      <c r="L27" s="83">
        <v>62.0</v>
      </c>
      <c r="M27" s="84" t="s">
        <v>70</v>
      </c>
      <c r="N27" s="85" t="s">
        <v>71</v>
      </c>
      <c r="O27" s="93"/>
    </row>
    <row r="28" ht="15.75" customHeight="1">
      <c r="J28" s="93"/>
      <c r="L28" s="86" t="str">
        <f>IF(H25&gt;H24,G25,IF(H24&gt;H25,G24,IF(I25&gt;I24,G25,IF(I24&gt;I25,G24,""))))</f>
        <v>Inglaterra</v>
      </c>
      <c r="M28" s="87">
        <v>2.0</v>
      </c>
      <c r="N28" s="88"/>
      <c r="O28" s="96"/>
      <c r="Q28" s="83">
        <v>63.0</v>
      </c>
      <c r="R28" s="84" t="s">
        <v>70</v>
      </c>
      <c r="S28" s="85" t="s">
        <v>71</v>
      </c>
    </row>
    <row r="29" ht="15.75" customHeight="1">
      <c r="B29" s="83">
        <v>55.0</v>
      </c>
      <c r="C29" s="84" t="s">
        <v>70</v>
      </c>
      <c r="D29" s="85" t="s">
        <v>71</v>
      </c>
      <c r="J29" s="93"/>
      <c r="K29" s="95"/>
      <c r="L29" s="89" t="str">
        <f>IF(H33&gt;H32,G33,IF(H32&gt;H33,G32,IF(I33&gt;I32,G33,IF(I32&gt;I33,G32,""))))</f>
        <v>Alemania</v>
      </c>
      <c r="M29" s="90">
        <v>1.0</v>
      </c>
      <c r="N29" s="91"/>
      <c r="Q29" s="86" t="str">
        <f>IF(Q20=L12,L13,IF(Q20=L13,L12,""))</f>
        <v>Brasil</v>
      </c>
      <c r="R29" s="87">
        <v>2.0</v>
      </c>
      <c r="S29" s="88"/>
    </row>
    <row r="30" ht="15.75" customHeight="1">
      <c r="B30" s="86" t="str">
        <f>'GRUPO F'!C8</f>
        <v>Belgica</v>
      </c>
      <c r="C30" s="87">
        <v>1.0</v>
      </c>
      <c r="D30" s="88"/>
      <c r="J30" s="93"/>
      <c r="Q30" s="89" t="str">
        <f>IF(Q21=L28,L29,IF(Q21=L29,L28,""))</f>
        <v>Alemania</v>
      </c>
      <c r="R30" s="90">
        <v>0.0</v>
      </c>
      <c r="S30" s="91"/>
    </row>
    <row r="31" ht="15.75" customHeight="1">
      <c r="B31" s="89" t="str">
        <f>'GRUPO E'!C9</f>
        <v>Alemania</v>
      </c>
      <c r="C31" s="90">
        <v>3.0</v>
      </c>
      <c r="D31" s="91"/>
      <c r="E31" s="92"/>
      <c r="G31" s="83">
        <v>60.0</v>
      </c>
      <c r="H31" s="84" t="s">
        <v>70</v>
      </c>
      <c r="I31" s="85" t="s">
        <v>71</v>
      </c>
      <c r="J31" s="93"/>
    </row>
    <row r="32" ht="15.75" customHeight="1">
      <c r="E32" s="93"/>
      <c r="G32" s="86" t="str">
        <f>IF(C31&gt;C30,B31,IF(C30&gt;C31,B30,IF(D31&gt;D30,B31,IF(D30&gt;D31,B30,""))))</f>
        <v>Alemania</v>
      </c>
      <c r="H32" s="87">
        <v>2.0</v>
      </c>
      <c r="I32" s="88"/>
      <c r="J32" s="96"/>
    </row>
    <row r="33" ht="15.75" customHeight="1">
      <c r="B33" s="83">
        <v>56.0</v>
      </c>
      <c r="C33" s="84" t="s">
        <v>70</v>
      </c>
      <c r="D33" s="85" t="s">
        <v>71</v>
      </c>
      <c r="E33" s="94"/>
      <c r="F33" s="95"/>
      <c r="G33" s="89" t="str">
        <f>IF(C35&gt;C34,B35,IF(C34&gt;C35,B34,IF(D35&gt;D34,B35,IF(D34&gt;D35,B34,""))))</f>
        <v>Uruguay</v>
      </c>
      <c r="H33" s="90">
        <v>1.0</v>
      </c>
      <c r="I33" s="91"/>
    </row>
    <row r="34" ht="15.75" customHeight="1">
      <c r="B34" s="86" t="str">
        <f>'GRUPO H'!C8</f>
        <v>Uruguay</v>
      </c>
      <c r="C34" s="87">
        <v>0.0</v>
      </c>
      <c r="D34" s="103">
        <v>5.0</v>
      </c>
      <c r="E34" s="96"/>
    </row>
    <row r="35" ht="15.75" customHeight="1">
      <c r="B35" s="89" t="str">
        <f>'GRUPO G'!C9</f>
        <v>Suiza</v>
      </c>
      <c r="C35" s="90">
        <v>0.0</v>
      </c>
      <c r="D35" s="104">
        <v>3.0</v>
      </c>
      <c r="E35" s="9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10</vt:i4>
      </vt:variant>
    </vt:vector>
  </HeadingPairs>
  <TitlesOfParts>
    <vt:vector baseType="lpstr" size="10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  <cp:lastModifiedBy>José Antonio</cp:lastModifiedBy>
  <dcterms:modified xsi:type="dcterms:W3CDTF">2022-11-08T16:03:56Z</dcterms:modified>
</cp:coreProperties>
</file>