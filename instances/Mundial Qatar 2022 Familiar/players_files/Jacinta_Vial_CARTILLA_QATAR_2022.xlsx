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E1EAF17F-210B-487F-9066-1A780E4507F1}" xr6:coauthVersionLast="47" xr6:coauthVersionMax="47" xr10:uidLastSave="{00000000-0000-0000-0000-000000000000}"/>
  <bookViews>
    <workbookView xWindow="-120" yWindow="-120" windowWidth="20730" windowHeight="1116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9" i="2" l="1"/>
  <c r="AQ10" i="14"/>
  <c r="AP10" i="12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Z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9" i="11" l="1"/>
  <c r="AP8" i="14"/>
  <c r="AZ8" i="14" s="1"/>
  <c r="AZ9" i="2"/>
  <c r="AZ10" i="12"/>
  <c r="AZ7" i="12"/>
  <c r="AP10" i="15"/>
  <c r="AZ10" i="15" s="1"/>
  <c r="AP7" i="13"/>
  <c r="AZ7" i="13" s="1"/>
  <c r="AZ7" i="11"/>
  <c r="AW8" i="11" s="1"/>
  <c r="AX8" i="11" s="1"/>
  <c r="AY8" i="11" s="1"/>
  <c r="BA8" i="11" s="1"/>
  <c r="BB8" i="11" s="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W8" i="12"/>
  <c r="AX8" i="12" s="1"/>
  <c r="AY8" i="12" s="1"/>
  <c r="BA8" i="12" s="1"/>
  <c r="BB8" i="12" s="1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2" l="1"/>
  <c r="AX7" i="2" s="1"/>
  <c r="AY7" i="2" s="1"/>
  <c r="BA7" i="2" s="1"/>
  <c r="BB7" i="2" s="1"/>
  <c r="AW9" i="13"/>
  <c r="AX9" i="13" s="1"/>
  <c r="AY9" i="13" s="1"/>
  <c r="BA9" i="13" s="1"/>
  <c r="BB9" i="13" s="1"/>
  <c r="AW9" i="12"/>
  <c r="AX9" i="12" s="1"/>
  <c r="AY9" i="12" s="1"/>
  <c r="BA9" i="12" s="1"/>
  <c r="BB9" i="12" s="1"/>
  <c r="AN9" i="12" s="1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7" i="11"/>
  <c r="AW10" i="11"/>
  <c r="AX10" i="11" s="1"/>
  <c r="AY10" i="11" s="1"/>
  <c r="BA10" i="11" s="1"/>
  <c r="BB10" i="11" s="1"/>
  <c r="AW9" i="11"/>
  <c r="AX9" i="11" s="1"/>
  <c r="AY9" i="11" s="1"/>
  <c r="BA9" i="11" s="1"/>
  <c r="BB9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7" i="11"/>
  <c r="AY7" i="11" s="1"/>
  <c r="BA7" i="11" s="1"/>
  <c r="BB7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E8" i="1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F10" i="11"/>
  <c r="G10" i="11"/>
  <c r="D8" i="11"/>
  <c r="G11" i="11"/>
  <c r="G8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L29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G32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F10" i="1"/>
  <c r="G8" i="1"/>
  <c r="D8" i="1"/>
  <c r="E11" i="1"/>
  <c r="G10" i="1"/>
  <c r="Q20" i="16" l="1"/>
  <c r="Q30" i="16"/>
  <c r="Q29" i="16" l="1"/>
  <c r="W26" i="16" s="1"/>
  <c r="W24" i="16"/>
  <c r="W25" i="16" s="1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<sst xmlns="http://schemas.openxmlformats.org/spreadsheetml/2006/main" count="454" uniqueCount="79">
  <si>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</si>
  <si>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</si>
  <si>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</si>
  <si>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</si>
  <si>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</si>
  <si>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</si>
  <si>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</si>
  <si>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</si>
  <si>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</si>
  <si>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</si>
  <si>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</si>
  <si>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</si>
  <si>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</si>
  <si>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</si>
  <si>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</si>
  <si>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</si>
  <si>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</si>
  <si>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</si>
  <si>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</si>
  <si>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</si>
  <si>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</si>
  <si>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</si>
  <si>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</si>
  <si>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</si>
  <si>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</si>
  <si>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</si>
  <si>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</si>
  <si>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</si>
  <si>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</si>
  <si>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</si>
  <si>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</si>
  <si>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</si>
  <si>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</si>
  <si>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</si>
  <si>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</si>
  <si>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</si>
  <si>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</si>
  <si>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</si>
  <si>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</si>
  <si>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</si>
  <si>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</si>
  <si>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</si>
  <si>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</si>
  <si>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</si>
  <si>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</si>
  <si>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</si>
  <si>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</si>
  <si>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</si>
  <si>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</si>
  <si>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</si>
  <si>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</si>
  <si>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</si>
  <si>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</si>
  <si>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</si>
  <si>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</si>
  <si>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</si>
  <si>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</si>
  <si>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</si>
  <si>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</si>
  <si>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</si>
  <si>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</si>
  <si>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</si>
  <si>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</si>
  <si>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</si>
  <si>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</si>
  <si>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</si>
  <si>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</si>
  <si>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</si>
  <si>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</si>
  <si>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</si>
  <si>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</si>
  <si>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</si>
  <si>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</si>
  <si>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</si>
  <si>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</si>
  <si>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</si>
  <si>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</si>
  <si>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Jacinta Vial</t>
  </si>
  <si>
    <t>Jacintavialf@gmail.com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</si>
</sst>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cintavialf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78" t="s">
        <v>74</v>
      </c>
      <c r="C2" s="79"/>
      <c r="D2" s="80"/>
    </row>
    <row r="3" spans="2:4" x14ac:dyDescent="0.25">
      <c r="B3" s="76" t="s">
        <v>75</v>
      </c>
      <c r="C3" s="81" t="s">
        <v>77</v>
      </c>
      <c r="D3" s="82"/>
    </row>
    <row r="4" spans="2:4" ht="15.75" thickBot="1" x14ac:dyDescent="0.3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F310C82D-C603-403D-8BC1-6DD4068425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H16" sqref="H16"/>
    </sheetView>
  </sheetViews>
  <sheetFormatPr baseColWidth="10" defaultRowHeight="15" x14ac:dyDescent="0.25"/>
  <cols>
    <col min="15" max="34" width="11.42578125" style="34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3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-5</v>
      </c>
      <c r="AR7" s="34">
        <f>SUMIF($K$7:$K$12,AO7,$L$7:$L$12) + SUMIF($N$7:$N$12,AO7,$M$7:$M$12)</f>
        <v>1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49900</v>
      </c>
      <c r="BA7" s="34">
        <f>AZ7-AY7*10</f>
        <v>49890</v>
      </c>
      <c r="BB7" s="34">
        <f>BA7+N23</f>
        <v>49891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8</v>
      </c>
      <c r="F8" s="9">
        <f t="shared" si="3"/>
        <v>2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-90060800</v>
      </c>
      <c r="BA8" s="34">
        <f t="shared" ref="BA8:BA10" si="10">AZ8-AY8*10</f>
        <v>-90060810</v>
      </c>
      <c r="BB8" s="34">
        <f>BA8+N24</f>
        <v>-90060808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6</v>
      </c>
      <c r="E9" s="13">
        <f t="shared" si="3"/>
        <v>5</v>
      </c>
      <c r="F9" s="13">
        <f t="shared" si="3"/>
        <v>3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3</v>
      </c>
      <c r="E10" s="50">
        <f t="shared" si="3"/>
        <v>2</v>
      </c>
      <c r="F10" s="50">
        <f t="shared" si="3"/>
        <v>5</v>
      </c>
      <c r="G10" s="51">
        <f t="shared" si="3"/>
        <v>-3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6</v>
      </c>
      <c r="AQ10" s="34">
        <f t="shared" si="11"/>
        <v>2</v>
      </c>
      <c r="AR10" s="34">
        <f>SUMIF($K$7:$K$12,AO10,$L$7:$L$12) + SUMIF($N$7:$N$12,AO10,$M$7:$M$12)</f>
        <v>5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-60020500</v>
      </c>
      <c r="BA10" s="34">
        <f t="shared" si="10"/>
        <v>-60020510</v>
      </c>
      <c r="BB10" s="34">
        <f>BA10+N26</f>
        <v>-60020506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6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0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K14" sqref="K14"/>
    </sheetView>
  </sheetViews>
  <sheetFormatPr baseColWidth="10" defaultRowHeight="15" x14ac:dyDescent="0.25"/>
  <cols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29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1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6</v>
      </c>
      <c r="AS7" s="34">
        <f>SUMIF($K$7:$K$12,AO7,$M$7:$M$12) + SUMIF($N$7:$N$12,AO7,$L$7:$L$12)</f>
        <v>3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-70030600</v>
      </c>
      <c r="BA7" s="34">
        <f>AZ7-AY7*10</f>
        <v>-70030610</v>
      </c>
      <c r="BB7" s="34">
        <f>BA7+N23</f>
        <v>-70030609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4</v>
      </c>
      <c r="AO8" s="34" t="s">
        <v>31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-9970300</v>
      </c>
      <c r="BA8" s="34">
        <f t="shared" ref="BA8:BA10" si="10">AZ8-AY8*10</f>
        <v>-9970310</v>
      </c>
      <c r="BB8" s="34">
        <f>BA8+N24</f>
        <v>-9970308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5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1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3</v>
      </c>
      <c r="AO9" s="34" t="s">
        <v>32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25">
      <c r="B10" s="48">
        <v>3</v>
      </c>
      <c r="C10" s="49" t="str">
        <f t="shared" si="0"/>
        <v>Iran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1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5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-50010500</v>
      </c>
      <c r="BA10" s="34">
        <f t="shared" si="10"/>
        <v>-50010510</v>
      </c>
      <c r="BB10" s="34">
        <f>BA10+N26</f>
        <v>-50010506</v>
      </c>
    </row>
    <row r="11" spans="2:54" ht="15.75" thickBot="1" x14ac:dyDescent="0.3">
      <c r="B11" s="52">
        <v>4</v>
      </c>
      <c r="C11" s="53" t="str">
        <f t="shared" si="0"/>
        <v>USA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0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3</v>
      </c>
      <c r="AK12" s="34">
        <f t="shared" si="3"/>
        <v>0</v>
      </c>
      <c r="AL12" s="34" t="str">
        <f t="shared" si="4"/>
        <v>Iran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8" sqref="M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34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12</v>
      </c>
      <c r="AS7" s="34">
        <f>SUMIF($K$7:$K$12,AO7,$M$7:$M$12) + SUMIF($N$7:$N$12,AO7,$L$7:$L$12)</f>
        <v>4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-90081200</v>
      </c>
      <c r="BA7" s="34">
        <f>AZ7-AY7*10</f>
        <v>-90081210</v>
      </c>
      <c r="BB7" s="34">
        <f>BA7+N23</f>
        <v>-90081209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12</v>
      </c>
      <c r="F8" s="9">
        <f t="shared" si="0"/>
        <v>4</v>
      </c>
      <c r="G8" s="10">
        <f t="shared" si="0"/>
        <v>8</v>
      </c>
      <c r="I8" s="18">
        <v>6</v>
      </c>
      <c r="J8" s="19">
        <v>44887</v>
      </c>
      <c r="K8" s="20" t="s">
        <v>35</v>
      </c>
      <c r="L8" s="21">
        <v>5</v>
      </c>
      <c r="M8" s="22">
        <v>1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7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-29970400</v>
      </c>
      <c r="BA8" s="34">
        <f t="shared" ref="BA8:BA10" si="10">AZ8-AY8*10</f>
        <v>-29970410</v>
      </c>
      <c r="BB8" s="34">
        <f>BA8+N24</f>
        <v>-29970408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4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1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-40000500</v>
      </c>
      <c r="BA9" s="34">
        <f t="shared" si="10"/>
        <v>-40000510</v>
      </c>
      <c r="BB9" s="34">
        <f>BA9+N25</f>
        <v>-40000507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4</v>
      </c>
      <c r="F10" s="50">
        <f t="shared" si="0"/>
        <v>7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4</v>
      </c>
      <c r="M10" s="22">
        <v>1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3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-9950300</v>
      </c>
      <c r="BA10" s="34">
        <f t="shared" si="10"/>
        <v>-9950310</v>
      </c>
      <c r="BB10" s="34">
        <f>BA10+N26</f>
        <v>-9950306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3</v>
      </c>
      <c r="F11" s="54">
        <f t="shared" si="0"/>
        <v>8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2</v>
      </c>
      <c r="M11" s="22">
        <v>3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3</v>
      </c>
      <c r="M8" s="22">
        <v>1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-40010400</v>
      </c>
      <c r="BA8" s="34">
        <f t="shared" ref="BA8:BA10" si="10">AZ8-AY8*10</f>
        <v>-40010410</v>
      </c>
      <c r="BB8" s="34">
        <f>BA8+N24</f>
        <v>-40010408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4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2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-19980300</v>
      </c>
      <c r="BA10" s="34">
        <f t="shared" si="10"/>
        <v>-19980310</v>
      </c>
      <c r="BB10" s="34">
        <f>BA10+N26</f>
        <v>-19980306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1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K16" sqref="K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-60030700</v>
      </c>
      <c r="BA7" s="34">
        <f>AZ7-AY7*10</f>
        <v>-60030710</v>
      </c>
      <c r="BB7" s="34">
        <f>BA7+N23</f>
        <v>-60030709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3</v>
      </c>
      <c r="M8" s="22">
        <v>0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-90040700</v>
      </c>
      <c r="BA8" s="34">
        <f t="shared" ref="BA8:BA10" si="10">AZ8-AY8*10</f>
        <v>-90040710</v>
      </c>
      <c r="BB8" s="34">
        <f>BA8+N24</f>
        <v>-90040708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7</v>
      </c>
      <c r="F9" s="13">
        <f t="shared" si="0"/>
        <v>4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0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-30000500</v>
      </c>
      <c r="BA9" s="34">
        <f t="shared" si="10"/>
        <v>-30000510</v>
      </c>
      <c r="BB9" s="34">
        <f>BA9+N25</f>
        <v>-30000507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2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1</v>
      </c>
      <c r="AS10" s="34">
        <f>SUMIF($K$7:$K$12,AO10,$M$7:$M$12) + SUMIF($N$7:$N$12,AO10,$L$7:$L$12)</f>
        <v>8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69900</v>
      </c>
      <c r="BA10" s="34">
        <f t="shared" si="10"/>
        <v>69890</v>
      </c>
      <c r="BB10" s="34">
        <f>BA10+N26</f>
        <v>69894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41</v>
      </c>
      <c r="J11" s="24">
        <v>44896</v>
      </c>
      <c r="K11" s="25" t="s">
        <v>46</v>
      </c>
      <c r="L11" s="21">
        <v>2</v>
      </c>
      <c r="M11" s="22">
        <v>3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3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12" sqref="L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71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-60020600</v>
      </c>
      <c r="BA8" s="34">
        <f t="shared" ref="BA8:BA10" si="10">AZ8-AY8*10</f>
        <v>-60020610</v>
      </c>
      <c r="BB8" s="34">
        <f>BA8+N24</f>
        <v>-60020608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1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3</v>
      </c>
      <c r="M10" s="22">
        <v>1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-9970306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3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72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1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10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-90081000</v>
      </c>
      <c r="BA7" s="34">
        <f>AZ7-AY7*10</f>
        <v>-90081010</v>
      </c>
      <c r="BB7" s="34">
        <f>BA7+N23</f>
        <v>-90081009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10</v>
      </c>
      <c r="F8" s="9">
        <f t="shared" si="0"/>
        <v>2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4</v>
      </c>
      <c r="M8" s="22">
        <v>0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3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-29960200</v>
      </c>
      <c r="BA9" s="34">
        <f t="shared" si="10"/>
        <v>-29960210</v>
      </c>
      <c r="BB9" s="34">
        <f>BA9+N25</f>
        <v>-29960207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3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2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-9960206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1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12" sqref="M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-60020500</v>
      </c>
      <c r="BA7" s="34">
        <f>AZ7-AY7*10</f>
        <v>-60020510</v>
      </c>
      <c r="BB7" s="34">
        <f>BA7+N23</f>
        <v>-60020509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-90040600</v>
      </c>
      <c r="BA8" s="34">
        <f t="shared" ref="BA8:BA10" si="10">AZ8-AY8*10</f>
        <v>-90040610</v>
      </c>
      <c r="BB8" s="34">
        <f>BA8+N24</f>
        <v>-90040608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1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-29990400</v>
      </c>
      <c r="BA9" s="34">
        <f t="shared" si="10"/>
        <v>-29990410</v>
      </c>
      <c r="BB9" s="34">
        <f>BA9+N25</f>
        <v>-29990407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D1" zoomScaleNormal="100" workbookViewId="0">
      <selection activeCell="F21" sqref="F2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06" t="s">
        <v>69</v>
      </c>
      <c r="C2" s="107"/>
      <c r="D2" s="108"/>
    </row>
    <row r="3" spans="2:19" ht="15.75" thickBot="1" x14ac:dyDescent="0.3"/>
    <row r="4" spans="2:19" ht="15.75" thickBot="1" x14ac:dyDescent="0.3">
      <c r="G4" s="106" t="s">
        <v>59</v>
      </c>
      <c r="H4" s="107"/>
      <c r="I4" s="108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06" t="s">
        <v>60</v>
      </c>
      <c r="M8" s="107"/>
      <c r="N8" s="108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3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2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1</v>
      </c>
      <c r="D14" s="61">
        <v>1</v>
      </c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>
        <v>3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Croacia</v>
      </c>
      <c r="H16" s="60">
        <v>1</v>
      </c>
      <c r="I16" s="61"/>
      <c r="J16" s="69"/>
      <c r="O16" s="66"/>
      <c r="Q16" s="106" t="s">
        <v>63</v>
      </c>
      <c r="R16" s="107"/>
      <c r="S16" s="108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4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Francia</v>
      </c>
    </row>
    <row r="26" spans="2:23" ht="15.75" thickBot="1" x14ac:dyDescent="0.3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.75" thickBot="1" x14ac:dyDescent="0.3">
      <c r="B27" s="62" t="str">
        <f>'GRUPO C'!C9</f>
        <v>Polonia</v>
      </c>
      <c r="C27" s="63">
        <v>2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1</v>
      </c>
      <c r="N29" s="64"/>
      <c r="Q29" s="59" t="str">
        <f>IF(Q20=L12,L13,IF(Q20=L13,L12,""))</f>
        <v>Brasil</v>
      </c>
      <c r="R29" s="60">
        <v>4</v>
      </c>
      <c r="S29" s="61"/>
    </row>
    <row r="30" spans="2:23" ht="15.75" thickBot="1" x14ac:dyDescent="0.3">
      <c r="B30" s="59" t="str">
        <f>'GRUPO F'!C8</f>
        <v>Belgica</v>
      </c>
      <c r="C30" s="60">
        <v>3</v>
      </c>
      <c r="D30" s="61"/>
      <c r="J30" s="66"/>
      <c r="Q30" s="62" t="str">
        <f>IF(Q21=L28,L29,IF(Q21=L29,L28,""))</f>
        <v>Uruguay</v>
      </c>
      <c r="R30" s="63">
        <v>1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2</v>
      </c>
      <c r="I32" s="61">
        <v>1</v>
      </c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2</v>
      </c>
      <c r="I33" s="64">
        <v>3</v>
      </c>
    </row>
    <row r="34" spans="2:9" x14ac:dyDescent="0.25">
      <c r="B34" s="59" t="str">
        <f>'GRUPO H'!C8</f>
        <v>Uruguay</v>
      </c>
      <c r="C34" s="60">
        <v>3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ASUS</cp:lastModifiedBy>
  <dcterms:created xsi:type="dcterms:W3CDTF">2022-11-02T00:22:23Z</dcterms:created>
  <dcterms:modified xsi:type="dcterms:W3CDTF">2022-11-20T15:16:36Z</dcterms:modified>
</cp:coreProperties>
</file>