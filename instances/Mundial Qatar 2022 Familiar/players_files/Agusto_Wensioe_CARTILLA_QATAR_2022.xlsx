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D:\tournaments\instances\Mundial Qatar 2022 Familiar\players_files\"/>
    </mc:Choice>
  </mc:AlternateContent>
  <xr:revisionPtr revIDLastSave="0" documentId="13_ncr:1_{64BCD037-BD9F-4BBF-B7A0-D9846D343D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FORMACION" sheetId="1" r:id="rId1"/>
    <sheet name="GRUPO A" sheetId="2" r:id="rId2"/>
    <sheet name="GRUPO B" sheetId="3" r:id="rId3"/>
    <sheet name="GRUPO C" sheetId="4" r:id="rId4"/>
    <sheet name="GRUPO D" sheetId="5" r:id="rId5"/>
    <sheet name="GRUPO E" sheetId="6" r:id="rId6"/>
    <sheet name="GRUPO F" sheetId="7" r:id="rId7"/>
    <sheet name="GRUPO G" sheetId="8" r:id="rId8"/>
    <sheet name="GRUPO H" sheetId="9" r:id="rId9"/>
    <sheet name="Play-Off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4" roundtripDataSignature="AMtx7mjD5wegZ5Ewj7kPo3YHnlE/RjhCkg=="/>
    </ext>
  </extLst>
</workbook>
</file>

<file path=xl/calcChain.xml><?xml version="1.0" encoding="utf-8"?>
<calcChain xmlns="http://schemas.openxmlformats.org/spreadsheetml/2006/main">
  <c r="N27" i="9" l="1"/>
  <c r="N26" i="9"/>
  <c r="I26" i="9"/>
  <c r="N25" i="9"/>
  <c r="I25" i="9"/>
  <c r="N24" i="9"/>
  <c r="I24" i="9"/>
  <c r="N23" i="9"/>
  <c r="I23" i="9"/>
  <c r="AJ12" i="9"/>
  <c r="AI12" i="9"/>
  <c r="AJ11" i="9"/>
  <c r="AI11" i="9"/>
  <c r="AV10" i="9"/>
  <c r="AS10" i="9"/>
  <c r="AR10" i="9"/>
  <c r="AQ10" i="9" s="1"/>
  <c r="AL10" i="9"/>
  <c r="AJ10" i="9"/>
  <c r="AK10" i="9" s="1"/>
  <c r="AI10" i="9"/>
  <c r="I10" i="9"/>
  <c r="I12" i="9" s="1"/>
  <c r="AV9" i="9"/>
  <c r="AS9" i="9"/>
  <c r="AR9" i="9"/>
  <c r="AQ9" i="9" s="1"/>
  <c r="AJ9" i="9"/>
  <c r="AI9" i="9"/>
  <c r="I9" i="9"/>
  <c r="I11" i="9" s="1"/>
  <c r="AV8" i="9"/>
  <c r="AS8" i="9"/>
  <c r="AR8" i="9"/>
  <c r="AQ8" i="9" s="1"/>
  <c r="AJ8" i="9"/>
  <c r="AK8" i="9" s="1"/>
  <c r="AL8" i="9" s="1"/>
  <c r="AI8" i="9"/>
  <c r="AV7" i="9"/>
  <c r="AS7" i="9"/>
  <c r="AQ7" i="9" s="1"/>
  <c r="AR7" i="9"/>
  <c r="AJ7" i="9"/>
  <c r="AI7" i="9"/>
  <c r="N27" i="8"/>
  <c r="N26" i="8"/>
  <c r="I26" i="8"/>
  <c r="N25" i="8"/>
  <c r="I25" i="8"/>
  <c r="N24" i="8"/>
  <c r="I24" i="8"/>
  <c r="N23" i="8"/>
  <c r="I23" i="8"/>
  <c r="AJ12" i="8"/>
  <c r="AI12" i="8"/>
  <c r="AK11" i="8"/>
  <c r="AL11" i="8" s="1"/>
  <c r="AJ11" i="8"/>
  <c r="AI11" i="8"/>
  <c r="AV10" i="8"/>
  <c r="AS10" i="8"/>
  <c r="AR10" i="8"/>
  <c r="AQ10" i="8" s="1"/>
  <c r="AJ10" i="8"/>
  <c r="AI10" i="8"/>
  <c r="I10" i="8"/>
  <c r="I12" i="8" s="1"/>
  <c r="AV9" i="8"/>
  <c r="AS9" i="8"/>
  <c r="AR9" i="8"/>
  <c r="AQ9" i="8"/>
  <c r="AK9" i="8"/>
  <c r="AL9" i="8" s="1"/>
  <c r="AJ9" i="8"/>
  <c r="AI9" i="8"/>
  <c r="I9" i="8"/>
  <c r="I11" i="8" s="1"/>
  <c r="AV8" i="8"/>
  <c r="AS8" i="8"/>
  <c r="AR8" i="8"/>
  <c r="AQ8" i="8" s="1"/>
  <c r="AJ8" i="8"/>
  <c r="AK8" i="8" s="1"/>
  <c r="AI8" i="8"/>
  <c r="AV7" i="8"/>
  <c r="AS7" i="8"/>
  <c r="AQ7" i="8" s="1"/>
  <c r="AR7" i="8"/>
  <c r="AJ7" i="8"/>
  <c r="AI7" i="8"/>
  <c r="N27" i="7"/>
  <c r="N26" i="7"/>
  <c r="I26" i="7"/>
  <c r="N25" i="7"/>
  <c r="I25" i="7"/>
  <c r="N24" i="7"/>
  <c r="I24" i="7"/>
  <c r="N23" i="7"/>
  <c r="I23" i="7"/>
  <c r="AK12" i="7"/>
  <c r="AJ12" i="7"/>
  <c r="AI12" i="7"/>
  <c r="AL11" i="7"/>
  <c r="AK11" i="7"/>
  <c r="AJ11" i="7"/>
  <c r="AI11" i="7"/>
  <c r="AV10" i="7"/>
  <c r="AS10" i="7"/>
  <c r="AR10" i="7"/>
  <c r="AQ10" i="7" s="1"/>
  <c r="AJ10" i="7"/>
  <c r="AI10" i="7"/>
  <c r="I10" i="7"/>
  <c r="I12" i="7" s="1"/>
  <c r="AV9" i="7"/>
  <c r="AS9" i="7"/>
  <c r="AR9" i="7"/>
  <c r="AQ9" i="7" s="1"/>
  <c r="AL9" i="7"/>
  <c r="AK9" i="7"/>
  <c r="AJ9" i="7"/>
  <c r="AI9" i="7"/>
  <c r="I9" i="7"/>
  <c r="I11" i="7" s="1"/>
  <c r="AV8" i="7"/>
  <c r="AS8" i="7"/>
  <c r="AR8" i="7"/>
  <c r="AQ8" i="7" s="1"/>
  <c r="AJ8" i="7"/>
  <c r="AI8" i="7"/>
  <c r="AV7" i="7"/>
  <c r="AS7" i="7"/>
  <c r="AR7" i="7"/>
  <c r="AQ7" i="7"/>
  <c r="AK7" i="7"/>
  <c r="AJ7" i="7"/>
  <c r="AP9" i="7" s="1"/>
  <c r="AZ9" i="7" s="1"/>
  <c r="AI7" i="7"/>
  <c r="N27" i="6"/>
  <c r="N26" i="6"/>
  <c r="I26" i="6"/>
  <c r="N25" i="6"/>
  <c r="I25" i="6"/>
  <c r="N24" i="6"/>
  <c r="I24" i="6"/>
  <c r="N23" i="6"/>
  <c r="I23" i="6"/>
  <c r="AJ12" i="6"/>
  <c r="AK12" i="6" s="1"/>
  <c r="AL12" i="6" s="1"/>
  <c r="AI12" i="6"/>
  <c r="I12" i="6"/>
  <c r="AK11" i="6"/>
  <c r="AL11" i="6" s="1"/>
  <c r="AJ11" i="6"/>
  <c r="AI11" i="6"/>
  <c r="AV10" i="6"/>
  <c r="AS10" i="6"/>
  <c r="AR10" i="6"/>
  <c r="AQ10" i="6"/>
  <c r="AK10" i="6"/>
  <c r="AJ10" i="6"/>
  <c r="AL10" i="6" s="1"/>
  <c r="AI10" i="6"/>
  <c r="I10" i="6"/>
  <c r="AV9" i="6"/>
  <c r="AS9" i="6"/>
  <c r="AQ9" i="6" s="1"/>
  <c r="AR9" i="6"/>
  <c r="AK9" i="6"/>
  <c r="AL9" i="6" s="1"/>
  <c r="AJ9" i="6"/>
  <c r="AI9" i="6"/>
  <c r="I9" i="6"/>
  <c r="I11" i="6" s="1"/>
  <c r="AV8" i="6"/>
  <c r="AS8" i="6"/>
  <c r="AR8" i="6"/>
  <c r="AQ8" i="6"/>
  <c r="AK8" i="6"/>
  <c r="AP10" i="6" s="1"/>
  <c r="AJ8" i="6"/>
  <c r="AL8" i="6" s="1"/>
  <c r="AI8" i="6"/>
  <c r="AV7" i="6"/>
  <c r="AS7" i="6"/>
  <c r="AR7" i="6"/>
  <c r="AQ7" i="6" s="1"/>
  <c r="AP7" i="6"/>
  <c r="AJ7" i="6"/>
  <c r="AI7" i="6"/>
  <c r="N27" i="5"/>
  <c r="N26" i="5"/>
  <c r="I26" i="5"/>
  <c r="N25" i="5"/>
  <c r="I25" i="5"/>
  <c r="N24" i="5"/>
  <c r="I24" i="5"/>
  <c r="N23" i="5"/>
  <c r="I23" i="5"/>
  <c r="AK12" i="5"/>
  <c r="AJ12" i="5"/>
  <c r="AL12" i="5" s="1"/>
  <c r="AI12" i="5"/>
  <c r="AL11" i="5"/>
  <c r="AJ11" i="5"/>
  <c r="AK11" i="5" s="1"/>
  <c r="AI11" i="5"/>
  <c r="I11" i="5"/>
  <c r="AV10" i="5"/>
  <c r="AS10" i="5"/>
  <c r="AR10" i="5"/>
  <c r="AJ10" i="5"/>
  <c r="AK10" i="5" s="1"/>
  <c r="AI10" i="5"/>
  <c r="I10" i="5"/>
  <c r="I12" i="5" s="1"/>
  <c r="AV9" i="5"/>
  <c r="AS9" i="5"/>
  <c r="AR9" i="5"/>
  <c r="AQ9" i="5"/>
  <c r="AL9" i="5"/>
  <c r="AK9" i="5"/>
  <c r="AJ9" i="5"/>
  <c r="AI9" i="5"/>
  <c r="I9" i="5"/>
  <c r="AV8" i="5"/>
  <c r="AS8" i="5"/>
  <c r="AQ8" i="5" s="1"/>
  <c r="AR8" i="5"/>
  <c r="AJ8" i="5"/>
  <c r="AI8" i="5"/>
  <c r="AV7" i="5"/>
  <c r="AS7" i="5"/>
  <c r="AR7" i="5"/>
  <c r="AQ7" i="5"/>
  <c r="AK7" i="5"/>
  <c r="AJ7" i="5"/>
  <c r="AP8" i="5" s="1"/>
  <c r="AZ8" i="5" s="1"/>
  <c r="AI7" i="5"/>
  <c r="N27" i="4"/>
  <c r="N26" i="4"/>
  <c r="I26" i="4"/>
  <c r="N25" i="4"/>
  <c r="I25" i="4"/>
  <c r="N24" i="4"/>
  <c r="I24" i="4"/>
  <c r="N23" i="4"/>
  <c r="I23" i="4"/>
  <c r="AL12" i="4"/>
  <c r="AK12" i="4"/>
  <c r="AJ12" i="4"/>
  <c r="AI12" i="4"/>
  <c r="I12" i="4"/>
  <c r="AL11" i="4"/>
  <c r="AJ11" i="4"/>
  <c r="AK11" i="4" s="1"/>
  <c r="AI11" i="4"/>
  <c r="AV10" i="4"/>
  <c r="AS10" i="4"/>
  <c r="AR10" i="4"/>
  <c r="AQ10" i="4"/>
  <c r="AJ10" i="4"/>
  <c r="AI10" i="4"/>
  <c r="I10" i="4"/>
  <c r="AV9" i="4"/>
  <c r="AS9" i="4"/>
  <c r="AR9" i="4"/>
  <c r="AQ9" i="4" s="1"/>
  <c r="AL9" i="4"/>
  <c r="AJ9" i="4"/>
  <c r="AK9" i="4" s="1"/>
  <c r="AI9" i="4"/>
  <c r="I9" i="4"/>
  <c r="I11" i="4" s="1"/>
  <c r="AV8" i="4"/>
  <c r="AS8" i="4"/>
  <c r="AR8" i="4"/>
  <c r="AQ8" i="4"/>
  <c r="AJ8" i="4"/>
  <c r="AI8" i="4"/>
  <c r="AV7" i="4"/>
  <c r="AS7" i="4"/>
  <c r="AR7" i="4"/>
  <c r="AQ7" i="4"/>
  <c r="AL7" i="4"/>
  <c r="AK7" i="4"/>
  <c r="AJ7" i="4"/>
  <c r="AI7" i="4"/>
  <c r="N27" i="3"/>
  <c r="N26" i="3"/>
  <c r="I26" i="3"/>
  <c r="N25" i="3"/>
  <c r="I25" i="3"/>
  <c r="N24" i="3"/>
  <c r="I24" i="3"/>
  <c r="N23" i="3"/>
  <c r="I23" i="3"/>
  <c r="AL12" i="3"/>
  <c r="AJ12" i="3"/>
  <c r="AK12" i="3" s="1"/>
  <c r="AI12" i="3"/>
  <c r="I12" i="3"/>
  <c r="AJ11" i="3"/>
  <c r="AI11" i="3"/>
  <c r="AV10" i="3"/>
  <c r="AS10" i="3"/>
  <c r="AR10" i="3"/>
  <c r="AQ10" i="3"/>
  <c r="AL10" i="3"/>
  <c r="AK10" i="3"/>
  <c r="AJ10" i="3"/>
  <c r="AI10" i="3"/>
  <c r="I10" i="3"/>
  <c r="AV9" i="3"/>
  <c r="AS9" i="3"/>
  <c r="AQ9" i="3" s="1"/>
  <c r="AR9" i="3"/>
  <c r="AJ9" i="3"/>
  <c r="AI9" i="3"/>
  <c r="I9" i="3"/>
  <c r="I11" i="3" s="1"/>
  <c r="AV8" i="3"/>
  <c r="AS8" i="3"/>
  <c r="AR8" i="3"/>
  <c r="AQ8" i="3"/>
  <c r="AL8" i="3"/>
  <c r="AK8" i="3"/>
  <c r="AJ8" i="3"/>
  <c r="AP8" i="3" s="1"/>
  <c r="AI8" i="3"/>
  <c r="AV7" i="3"/>
  <c r="AS7" i="3"/>
  <c r="AR7" i="3"/>
  <c r="AJ7" i="3"/>
  <c r="AK7" i="3" s="1"/>
  <c r="AL7" i="3" s="1"/>
  <c r="AI7" i="3"/>
  <c r="N27" i="2"/>
  <c r="N26" i="2"/>
  <c r="I26" i="2"/>
  <c r="N25" i="2"/>
  <c r="I25" i="2"/>
  <c r="N24" i="2"/>
  <c r="I24" i="2"/>
  <c r="N23" i="2"/>
  <c r="I23" i="2"/>
  <c r="AJ12" i="2"/>
  <c r="AI12" i="2"/>
  <c r="AK11" i="2"/>
  <c r="AJ11" i="2"/>
  <c r="AI11" i="2"/>
  <c r="AV10" i="2"/>
  <c r="AS10" i="2"/>
  <c r="AR10" i="2"/>
  <c r="AQ10" i="2" s="1"/>
  <c r="AJ10" i="2"/>
  <c r="AK10" i="2" s="1"/>
  <c r="AL10" i="2" s="1"/>
  <c r="AI10" i="2"/>
  <c r="I10" i="2"/>
  <c r="I12" i="2" s="1"/>
  <c r="AV9" i="2"/>
  <c r="AS9" i="2"/>
  <c r="AR9" i="2"/>
  <c r="AQ9" i="2"/>
  <c r="AK9" i="2"/>
  <c r="AJ9" i="2"/>
  <c r="AI9" i="2"/>
  <c r="I9" i="2"/>
  <c r="I11" i="2" s="1"/>
  <c r="AV8" i="2"/>
  <c r="AS8" i="2"/>
  <c r="AR8" i="2"/>
  <c r="AQ8" i="2" s="1"/>
  <c r="AJ8" i="2"/>
  <c r="AK8" i="2" s="1"/>
  <c r="AL8" i="2" s="1"/>
  <c r="AI8" i="2"/>
  <c r="AV7" i="2"/>
  <c r="AS7" i="2"/>
  <c r="AQ7" i="2" s="1"/>
  <c r="AR7" i="2"/>
  <c r="AJ7" i="2"/>
  <c r="AI7" i="2"/>
  <c r="AP7" i="4" l="1"/>
  <c r="AZ7" i="4" s="1"/>
  <c r="AK8" i="5"/>
  <c r="AP10" i="5" s="1"/>
  <c r="AZ10" i="5" s="1"/>
  <c r="AK12" i="8"/>
  <c r="AP7" i="8" s="1"/>
  <c r="AZ7" i="8" s="1"/>
  <c r="AK7" i="2"/>
  <c r="AL7" i="2" s="1"/>
  <c r="AP9" i="2"/>
  <c r="AZ9" i="2" s="1"/>
  <c r="AZ8" i="3"/>
  <c r="AK8" i="4"/>
  <c r="AP10" i="4" s="1"/>
  <c r="AZ10" i="4" s="1"/>
  <c r="AK10" i="4"/>
  <c r="AP8" i="4" s="1"/>
  <c r="AZ8" i="4" s="1"/>
  <c r="AP7" i="5"/>
  <c r="AZ7" i="5" s="1"/>
  <c r="AP9" i="5"/>
  <c r="AZ9" i="5" s="1"/>
  <c r="AL10" i="5"/>
  <c r="AL11" i="2"/>
  <c r="AP10" i="2"/>
  <c r="AZ10" i="2" s="1"/>
  <c r="AP9" i="3"/>
  <c r="AZ9" i="3" s="1"/>
  <c r="AQ10" i="5"/>
  <c r="AZ7" i="6"/>
  <c r="AZ10" i="6"/>
  <c r="AK11" i="9"/>
  <c r="AL11" i="9" s="1"/>
  <c r="AP10" i="3"/>
  <c r="AZ10" i="3" s="1"/>
  <c r="AL9" i="3"/>
  <c r="AK9" i="3"/>
  <c r="AL12" i="2"/>
  <c r="AK12" i="2"/>
  <c r="AP7" i="2" s="1"/>
  <c r="AZ7" i="2" s="1"/>
  <c r="AP8" i="2"/>
  <c r="AZ8" i="2" s="1"/>
  <c r="AL9" i="2"/>
  <c r="AQ7" i="3"/>
  <c r="AK11" i="3"/>
  <c r="AP7" i="3" s="1"/>
  <c r="AZ7" i="3" s="1"/>
  <c r="AL7" i="5"/>
  <c r="AL9" i="9"/>
  <c r="AK9" i="9"/>
  <c r="AP10" i="9" s="1"/>
  <c r="AZ10" i="9" s="1"/>
  <c r="AP9" i="4"/>
  <c r="AZ9" i="4" s="1"/>
  <c r="AP8" i="6"/>
  <c r="AZ8" i="6" s="1"/>
  <c r="AK7" i="6"/>
  <c r="AL7" i="6" s="1"/>
  <c r="AP7" i="7"/>
  <c r="AZ7" i="7" s="1"/>
  <c r="AK8" i="7"/>
  <c r="AP10" i="7" s="1"/>
  <c r="AZ10" i="7" s="1"/>
  <c r="AL10" i="7"/>
  <c r="AK10" i="7"/>
  <c r="AP9" i="6"/>
  <c r="AZ9" i="6" s="1"/>
  <c r="AP8" i="7"/>
  <c r="AZ8" i="7" s="1"/>
  <c r="AL12" i="7"/>
  <c r="AP8" i="8"/>
  <c r="AZ8" i="8" s="1"/>
  <c r="AK7" i="8"/>
  <c r="AP10" i="8" s="1"/>
  <c r="AZ10" i="8" s="1"/>
  <c r="AP9" i="8"/>
  <c r="AZ9" i="8" s="1"/>
  <c r="AL8" i="8"/>
  <c r="AL7" i="9"/>
  <c r="AL7" i="7"/>
  <c r="AK10" i="8"/>
  <c r="AL10" i="8" s="1"/>
  <c r="AK7" i="9"/>
  <c r="AP9" i="9" s="1"/>
  <c r="AZ9" i="9" s="1"/>
  <c r="AP8" i="9"/>
  <c r="AZ8" i="9" s="1"/>
  <c r="AK12" i="9"/>
  <c r="AP7" i="9" s="1"/>
  <c r="AZ7" i="9" s="1"/>
  <c r="AW7" i="3" l="1"/>
  <c r="AX7" i="3" s="1"/>
  <c r="AY7" i="3" s="1"/>
  <c r="BA7" i="3" s="1"/>
  <c r="BB7" i="3" s="1"/>
  <c r="AW10" i="8"/>
  <c r="AX10" i="8" s="1"/>
  <c r="AY10" i="8" s="1"/>
  <c r="BA10" i="8" s="1"/>
  <c r="BB10" i="8" s="1"/>
  <c r="AN10" i="8" s="1"/>
  <c r="AW10" i="9"/>
  <c r="AX10" i="9" s="1"/>
  <c r="AY10" i="9" s="1"/>
  <c r="BA10" i="9" s="1"/>
  <c r="BB10" i="9" s="1"/>
  <c r="AW9" i="6"/>
  <c r="AX9" i="6" s="1"/>
  <c r="AY9" i="6" s="1"/>
  <c r="BA9" i="6" s="1"/>
  <c r="BB9" i="6" s="1"/>
  <c r="AW8" i="6"/>
  <c r="AX8" i="6" s="1"/>
  <c r="AY8" i="6" s="1"/>
  <c r="BA8" i="6" s="1"/>
  <c r="BB8" i="6" s="1"/>
  <c r="AL12" i="9"/>
  <c r="AW8" i="4"/>
  <c r="AX8" i="4" s="1"/>
  <c r="AY8" i="4" s="1"/>
  <c r="BA8" i="4" s="1"/>
  <c r="BB8" i="4" s="1"/>
  <c r="AW7" i="4"/>
  <c r="AX7" i="4" s="1"/>
  <c r="AY7" i="4" s="1"/>
  <c r="BA7" i="4" s="1"/>
  <c r="BB7" i="4" s="1"/>
  <c r="AN7" i="4" s="1"/>
  <c r="BA9" i="9"/>
  <c r="BB9" i="9" s="1"/>
  <c r="AW9" i="9"/>
  <c r="AX9" i="9" s="1"/>
  <c r="AY9" i="9" s="1"/>
  <c r="AL7" i="8"/>
  <c r="AL8" i="7"/>
  <c r="BA9" i="4"/>
  <c r="BB9" i="4" s="1"/>
  <c r="AW9" i="4"/>
  <c r="AX9" i="4" s="1"/>
  <c r="AY9" i="4" s="1"/>
  <c r="AL11" i="3"/>
  <c r="AW7" i="2"/>
  <c r="AX7" i="2" s="1"/>
  <c r="AY7" i="2" s="1"/>
  <c r="BA7" i="2" s="1"/>
  <c r="BB7" i="2" s="1"/>
  <c r="AN7" i="2" s="1"/>
  <c r="AW10" i="4"/>
  <c r="AX10" i="4" s="1"/>
  <c r="AY10" i="4" s="1"/>
  <c r="BA10" i="4"/>
  <c r="BB10" i="4" s="1"/>
  <c r="AL8" i="5"/>
  <c r="BA8" i="9"/>
  <c r="BB8" i="9" s="1"/>
  <c r="AW8" i="9"/>
  <c r="AX8" i="9" s="1"/>
  <c r="AY8" i="9" s="1"/>
  <c r="AW10" i="7"/>
  <c r="AX10" i="7" s="1"/>
  <c r="AY10" i="7" s="1"/>
  <c r="BA10" i="7" s="1"/>
  <c r="BB10" i="7" s="1"/>
  <c r="AN10" i="7" s="1"/>
  <c r="BA8" i="2"/>
  <c r="BB8" i="2" s="1"/>
  <c r="AW8" i="2"/>
  <c r="AX8" i="2" s="1"/>
  <c r="AY8" i="2" s="1"/>
  <c r="AW7" i="6"/>
  <c r="AX7" i="6" s="1"/>
  <c r="AY7" i="6" s="1"/>
  <c r="BA7" i="6" s="1"/>
  <c r="BB7" i="6" s="1"/>
  <c r="BA10" i="5"/>
  <c r="BB10" i="5" s="1"/>
  <c r="AW10" i="5"/>
  <c r="AX10" i="5" s="1"/>
  <c r="AY10" i="5" s="1"/>
  <c r="AW9" i="8"/>
  <c r="AX9" i="8" s="1"/>
  <c r="AY9" i="8" s="1"/>
  <c r="BA9" i="8"/>
  <c r="BB9" i="8" s="1"/>
  <c r="BA7" i="7"/>
  <c r="BB7" i="7" s="1"/>
  <c r="AW7" i="7"/>
  <c r="AX7" i="7" s="1"/>
  <c r="AY7" i="7" s="1"/>
  <c r="AW9" i="3"/>
  <c r="AX9" i="3" s="1"/>
  <c r="AY9" i="3" s="1"/>
  <c r="BA9" i="3" s="1"/>
  <c r="BB9" i="3" s="1"/>
  <c r="AN9" i="3" s="1"/>
  <c r="BA9" i="5"/>
  <c r="BB9" i="5" s="1"/>
  <c r="AW9" i="5"/>
  <c r="AX9" i="5" s="1"/>
  <c r="AY9" i="5" s="1"/>
  <c r="AW8" i="3"/>
  <c r="AX8" i="3" s="1"/>
  <c r="AY8" i="3" s="1"/>
  <c r="BA8" i="3" s="1"/>
  <c r="BB8" i="3" s="1"/>
  <c r="BA7" i="8"/>
  <c r="BB7" i="8" s="1"/>
  <c r="AW7" i="8"/>
  <c r="AX7" i="8" s="1"/>
  <c r="AY7" i="8" s="1"/>
  <c r="AL10" i="4"/>
  <c r="AW8" i="5"/>
  <c r="AX8" i="5" s="1"/>
  <c r="AY8" i="5" s="1"/>
  <c r="BA8" i="5" s="1"/>
  <c r="BB8" i="5" s="1"/>
  <c r="BA8" i="8"/>
  <c r="BB8" i="8" s="1"/>
  <c r="AW8" i="8"/>
  <c r="AX8" i="8" s="1"/>
  <c r="AY8" i="8" s="1"/>
  <c r="AW7" i="9"/>
  <c r="AX7" i="9" s="1"/>
  <c r="AY7" i="9" s="1"/>
  <c r="BA7" i="9" s="1"/>
  <c r="BB7" i="9" s="1"/>
  <c r="AN7" i="9" s="1"/>
  <c r="BA8" i="7"/>
  <c r="BB8" i="7" s="1"/>
  <c r="AW8" i="7"/>
  <c r="AX8" i="7" s="1"/>
  <c r="AY8" i="7" s="1"/>
  <c r="AW9" i="7"/>
  <c r="AX9" i="7" s="1"/>
  <c r="AY9" i="7" s="1"/>
  <c r="BA9" i="7" s="1"/>
  <c r="BB9" i="7" s="1"/>
  <c r="AW10" i="3"/>
  <c r="AX10" i="3" s="1"/>
  <c r="AY10" i="3" s="1"/>
  <c r="BA10" i="3"/>
  <c r="BB10" i="3" s="1"/>
  <c r="AW10" i="6"/>
  <c r="AX10" i="6" s="1"/>
  <c r="AY10" i="6" s="1"/>
  <c r="BA10" i="6" s="1"/>
  <c r="BB10" i="6" s="1"/>
  <c r="AN10" i="6" s="1"/>
  <c r="AW10" i="2"/>
  <c r="AX10" i="2" s="1"/>
  <c r="AY10" i="2" s="1"/>
  <c r="BA10" i="2" s="1"/>
  <c r="BB10" i="2" s="1"/>
  <c r="AW7" i="5"/>
  <c r="AX7" i="5" s="1"/>
  <c r="AY7" i="5" s="1"/>
  <c r="BA7" i="5" s="1"/>
  <c r="BB7" i="5" s="1"/>
  <c r="AN7" i="5" s="1"/>
  <c r="AW9" i="2"/>
  <c r="AX9" i="2" s="1"/>
  <c r="AY9" i="2" s="1"/>
  <c r="BA9" i="2"/>
  <c r="BB9" i="2" s="1"/>
  <c r="AL12" i="8"/>
  <c r="AL8" i="4"/>
  <c r="AN9" i="6" l="1"/>
  <c r="AN8" i="3"/>
  <c r="AN8" i="4"/>
  <c r="AN10" i="9"/>
  <c r="G10" i="2"/>
  <c r="C10" i="2"/>
  <c r="F10" i="2"/>
  <c r="D9" i="2"/>
  <c r="G8" i="2"/>
  <c r="E10" i="2"/>
  <c r="D10" i="2"/>
  <c r="G8" i="5"/>
  <c r="C8" i="5"/>
  <c r="B26" i="10" s="1"/>
  <c r="G25" i="10" s="1"/>
  <c r="L28" i="10" s="1"/>
  <c r="Q21" i="10" s="1"/>
  <c r="F8" i="5"/>
  <c r="E8" i="5"/>
  <c r="D8" i="5"/>
  <c r="E9" i="9"/>
  <c r="D9" i="9"/>
  <c r="E10" i="9"/>
  <c r="G9" i="9"/>
  <c r="C9" i="9"/>
  <c r="B19" i="10" s="1"/>
  <c r="F9" i="9"/>
  <c r="D10" i="9"/>
  <c r="E10" i="4"/>
  <c r="D8" i="4"/>
  <c r="D10" i="4"/>
  <c r="G8" i="4"/>
  <c r="C8" i="4"/>
  <c r="B10" i="10" s="1"/>
  <c r="G9" i="10" s="1"/>
  <c r="L12" i="10" s="1"/>
  <c r="Q20" i="10" s="1"/>
  <c r="C10" i="4"/>
  <c r="F10" i="4"/>
  <c r="F8" i="4"/>
  <c r="G10" i="4"/>
  <c r="E8" i="4"/>
  <c r="AN10" i="2"/>
  <c r="AN7" i="6"/>
  <c r="AN8" i="6"/>
  <c r="AN7" i="3"/>
  <c r="AN8" i="7"/>
  <c r="AN7" i="7"/>
  <c r="AN8" i="9"/>
  <c r="E11" i="9" s="1"/>
  <c r="AN9" i="8"/>
  <c r="AN7" i="8"/>
  <c r="AN10" i="5"/>
  <c r="AN9" i="9"/>
  <c r="AN8" i="5"/>
  <c r="E11" i="5" s="1"/>
  <c r="AN9" i="7"/>
  <c r="AN10" i="4"/>
  <c r="AN9" i="2"/>
  <c r="AN10" i="3"/>
  <c r="AN8" i="8"/>
  <c r="AN9" i="5"/>
  <c r="AN8" i="2"/>
  <c r="E11" i="2" s="1"/>
  <c r="AN9" i="4"/>
  <c r="G11" i="4" s="1"/>
  <c r="E11" i="4" l="1"/>
  <c r="E10" i="5"/>
  <c r="W24" i="10"/>
  <c r="W25" i="10" s="1"/>
  <c r="F11" i="4"/>
  <c r="G8" i="9"/>
  <c r="D8" i="9"/>
  <c r="C11" i="9"/>
  <c r="F10" i="9"/>
  <c r="C10" i="9"/>
  <c r="C9" i="5"/>
  <c r="B11" i="10" s="1"/>
  <c r="E9" i="5"/>
  <c r="F9" i="5"/>
  <c r="G11" i="5"/>
  <c r="G9" i="2"/>
  <c r="C11" i="2"/>
  <c r="F9" i="2"/>
  <c r="D11" i="3"/>
  <c r="F10" i="3"/>
  <c r="D9" i="3"/>
  <c r="E8" i="3"/>
  <c r="G11" i="3"/>
  <c r="C11" i="3"/>
  <c r="E10" i="3"/>
  <c r="G9" i="3"/>
  <c r="C9" i="3"/>
  <c r="B7" i="10" s="1"/>
  <c r="D8" i="3"/>
  <c r="G8" i="3"/>
  <c r="C8" i="3"/>
  <c r="B22" i="10" s="1"/>
  <c r="G24" i="10" s="1"/>
  <c r="E9" i="3"/>
  <c r="G10" i="3"/>
  <c r="F8" i="3"/>
  <c r="F11" i="3"/>
  <c r="E11" i="3"/>
  <c r="D10" i="3"/>
  <c r="F9" i="3"/>
  <c r="C10" i="3"/>
  <c r="D11" i="4"/>
  <c r="G9" i="4"/>
  <c r="C11" i="5"/>
  <c r="E9" i="2"/>
  <c r="G11" i="7"/>
  <c r="C11" i="7"/>
  <c r="E10" i="7"/>
  <c r="G9" i="7"/>
  <c r="C9" i="7"/>
  <c r="B15" i="10" s="1"/>
  <c r="D8" i="7"/>
  <c r="F11" i="7"/>
  <c r="D10" i="7"/>
  <c r="F9" i="7"/>
  <c r="G8" i="7"/>
  <c r="C8" i="7"/>
  <c r="B30" i="10" s="1"/>
  <c r="E11" i="7"/>
  <c r="G10" i="7"/>
  <c r="C10" i="7"/>
  <c r="E9" i="7"/>
  <c r="F8" i="7"/>
  <c r="F10" i="7"/>
  <c r="D9" i="7"/>
  <c r="E8" i="7"/>
  <c r="D11" i="7"/>
  <c r="D11" i="6"/>
  <c r="F10" i="6"/>
  <c r="D9" i="6"/>
  <c r="E8" i="6"/>
  <c r="G11" i="6"/>
  <c r="C11" i="6"/>
  <c r="E10" i="6"/>
  <c r="G9" i="6"/>
  <c r="C9" i="6"/>
  <c r="B31" i="10" s="1"/>
  <c r="G32" i="10" s="1"/>
  <c r="L29" i="10" s="1"/>
  <c r="D8" i="6"/>
  <c r="F11" i="6"/>
  <c r="D10" i="6"/>
  <c r="F9" i="6"/>
  <c r="G8" i="6"/>
  <c r="C8" i="6"/>
  <c r="B14" i="10" s="1"/>
  <c r="G16" i="10" s="1"/>
  <c r="G10" i="6"/>
  <c r="E11" i="6"/>
  <c r="C10" i="6"/>
  <c r="F8" i="6"/>
  <c r="E9" i="6"/>
  <c r="E9" i="4"/>
  <c r="C11" i="4"/>
  <c r="F11" i="9"/>
  <c r="G11" i="9"/>
  <c r="D11" i="9"/>
  <c r="G10" i="9"/>
  <c r="G9" i="5"/>
  <c r="C10" i="5"/>
  <c r="D10" i="5"/>
  <c r="G10" i="5"/>
  <c r="D8" i="2"/>
  <c r="G11" i="2"/>
  <c r="F11" i="2"/>
  <c r="D11" i="2"/>
  <c r="F10" i="5"/>
  <c r="F11" i="8"/>
  <c r="D10" i="8"/>
  <c r="F9" i="8"/>
  <c r="G8" i="8"/>
  <c r="C8" i="8"/>
  <c r="B18" i="10" s="1"/>
  <c r="G17" i="10" s="1"/>
  <c r="L13" i="10" s="1"/>
  <c r="Q29" i="10" s="1"/>
  <c r="W26" i="10" s="1"/>
  <c r="E11" i="8"/>
  <c r="G10" i="8"/>
  <c r="C10" i="8"/>
  <c r="E9" i="8"/>
  <c r="F8" i="8"/>
  <c r="D11" i="8"/>
  <c r="F10" i="8"/>
  <c r="D9" i="8"/>
  <c r="E8" i="8"/>
  <c r="G11" i="8"/>
  <c r="E10" i="8"/>
  <c r="C9" i="8"/>
  <c r="B35" i="10" s="1"/>
  <c r="C11" i="8"/>
  <c r="G9" i="8"/>
  <c r="D8" i="8"/>
  <c r="D9" i="4"/>
  <c r="F9" i="4"/>
  <c r="C9" i="4"/>
  <c r="B27" i="10" s="1"/>
  <c r="C8" i="9"/>
  <c r="B34" i="10" s="1"/>
  <c r="G33" i="10" s="1"/>
  <c r="E8" i="9"/>
  <c r="F8" i="9"/>
  <c r="D9" i="5"/>
  <c r="F11" i="5"/>
  <c r="Q30" i="10"/>
  <c r="D11" i="5"/>
  <c r="C9" i="2"/>
  <c r="B23" i="10" s="1"/>
  <c r="C8" i="2"/>
  <c r="B6" i="10" s="1"/>
  <c r="G8" i="10" s="1"/>
  <c r="E8" i="2"/>
  <c r="F8" i="2"/>
</calcChain>
</file>

<file path=xl/sharedStrings.xml><?xml version="1.0" encoding="utf-8"?>
<sst xmlns="http://schemas.openxmlformats.org/spreadsheetml/2006/main" count="454" uniqueCount="84">
  <si>
    <t>Información del Jugador</t>
  </si>
  <si>
    <t>Nombre</t>
  </si>
  <si>
    <t>Mail</t>
  </si>
  <si>
    <t>Augustowensioe@gmail.com</t>
  </si>
  <si>
    <t>GRUPO A</t>
  </si>
  <si>
    <t>Tabla de Posiciones</t>
  </si>
  <si>
    <t>Fecha</t>
  </si>
  <si>
    <t>Partidos</t>
  </si>
  <si>
    <t>Ganador</t>
  </si>
  <si>
    <t>Orden</t>
  </si>
  <si>
    <t>Equipo</t>
  </si>
  <si>
    <t>Puntos</t>
  </si>
  <si>
    <t>DG</t>
  </si>
  <si>
    <t>GF</t>
  </si>
  <si>
    <t>GC</t>
  </si>
  <si>
    <t>Empatado Con</t>
  </si>
  <si>
    <t xml:space="preserve">Ganador? </t>
  </si>
  <si>
    <t>Formula Rank</t>
  </si>
  <si>
    <t>Formula Rank Con Duelo Directo</t>
  </si>
  <si>
    <t>Formula Rank Con Prioridad</t>
  </si>
  <si>
    <t>Posición</t>
  </si>
  <si>
    <t>Senegal</t>
  </si>
  <si>
    <t>Holanda</t>
  </si>
  <si>
    <t>Qatar</t>
  </si>
  <si>
    <t>Ecuador</t>
  </si>
  <si>
    <t xml:space="preserve">El recuadro de la derecha sirve para desempatar, en caso de que haya empate entre </t>
  </si>
  <si>
    <t xml:space="preserve"> escoja por prioridad los siguentes equipos</t>
  </si>
  <si>
    <t>uno o más equipos en todos los criterios considerados.</t>
  </si>
  <si>
    <t>Para utilizarlo, asigne una prioridad entre 1 y 5 (siendo más bajo mejor) a cada equipo.</t>
  </si>
  <si>
    <t>senegal</t>
  </si>
  <si>
    <t>Puede pensarlo como el lugar que quedarían en la tabla de posiciones.</t>
  </si>
  <si>
    <t>ecuador</t>
  </si>
  <si>
    <t>A modo de ejemplo, si su predicción es que todos los partidos terminan 0-0, el orden</t>
  </si>
  <si>
    <t>qatar</t>
  </si>
  <si>
    <t>asignado en este recuadro es el que finalmente quedará en la tabla de posiciones.</t>
  </si>
  <si>
    <t>GRUPO B</t>
  </si>
  <si>
    <t>Inglaterra</t>
  </si>
  <si>
    <t>Iran</t>
  </si>
  <si>
    <t>USA</t>
  </si>
  <si>
    <t>Gales</t>
  </si>
  <si>
    <t>Escoja por prioridad los siguientes equipos:</t>
  </si>
  <si>
    <t>GRUPO C</t>
  </si>
  <si>
    <t>Mexico</t>
  </si>
  <si>
    <t>Polonia</t>
  </si>
  <si>
    <t>Argentina</t>
  </si>
  <si>
    <t>Arabia Saudita</t>
  </si>
  <si>
    <t>GRUPO D</t>
  </si>
  <si>
    <t>Dinamarca</t>
  </si>
  <si>
    <t>Tunez</t>
  </si>
  <si>
    <t>Francia</t>
  </si>
  <si>
    <t>Australia</t>
  </si>
  <si>
    <t>GRUPO E</t>
  </si>
  <si>
    <t>Alemania</t>
  </si>
  <si>
    <t>Japon</t>
  </si>
  <si>
    <t>España</t>
  </si>
  <si>
    <t>Costa Rica</t>
  </si>
  <si>
    <t>escoja por prioridad los equipos</t>
  </si>
  <si>
    <t>GRUPO F</t>
  </si>
  <si>
    <t>Marruecos</t>
  </si>
  <si>
    <t>Croacia</t>
  </si>
  <si>
    <t>Belgica</t>
  </si>
  <si>
    <t>Canada</t>
  </si>
  <si>
    <t>GRUPO G</t>
  </si>
  <si>
    <t>Suiza</t>
  </si>
  <si>
    <t>Camerun</t>
  </si>
  <si>
    <t>Brasil</t>
  </si>
  <si>
    <t>Serbia</t>
  </si>
  <si>
    <t>GRUPO H</t>
  </si>
  <si>
    <t>Uruguay</t>
  </si>
  <si>
    <t>Corea</t>
  </si>
  <si>
    <t>Portugal</t>
  </si>
  <si>
    <t>Gana</t>
  </si>
  <si>
    <t>Octavos de Final</t>
  </si>
  <si>
    <t>Cuartos de Final</t>
  </si>
  <si>
    <t>Resultado</t>
  </si>
  <si>
    <t>Penales</t>
  </si>
  <si>
    <t>Semi Final</t>
  </si>
  <si>
    <t>Final</t>
  </si>
  <si>
    <t>RESULTADOS TORNEO</t>
  </si>
  <si>
    <t>CAMPEÓN</t>
  </si>
  <si>
    <t>Tercer y Cuarto Lugar</t>
  </si>
  <si>
    <t>SUB CAMPEÓN</t>
  </si>
  <si>
    <t>TERCER LUGAR</t>
  </si>
  <si>
    <t>Augusto Wensioe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</si>
</sst>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563C1"/>
      <name val="Calibri"/>
      <family val="2"/>
    </font>
    <font>
      <sz val="11"/>
      <color theme="0"/>
      <name val="Calibri"/>
      <family val="2"/>
    </font>
    <font>
      <sz val="20"/>
      <color theme="1"/>
      <name val="Calibri"/>
      <family val="2"/>
    </font>
    <font>
      <sz val="11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BDD6EE"/>
        <bgColor rgb="FFBDD6EE"/>
      </patternFill>
    </fill>
    <fill>
      <patternFill patternType="solid">
        <fgColor rgb="FFE7E6E6"/>
        <bgColor rgb="FFE7E6E6"/>
      </patternFill>
    </fill>
    <fill>
      <patternFill patternType="solid">
        <fgColor rgb="FFEAEAEA"/>
        <bgColor rgb="FFEAEAEA"/>
      </patternFill>
    </fill>
    <fill>
      <patternFill patternType="solid">
        <fgColor rgb="FF99FF33"/>
        <bgColor rgb="FF99FF33"/>
      </patternFill>
    </fill>
    <fill>
      <patternFill patternType="solid">
        <fgColor rgb="FFFFFF00"/>
        <bgColor rgb="FFFFFF00"/>
      </patternFill>
    </fill>
  </fills>
  <borders count="6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 applyFont="1" applyAlignment="1"/>
    <xf numFmtId="0" fontId="1" fillId="3" borderId="4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16" fontId="1" fillId="4" borderId="24" xfId="0" applyNumberFormat="1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16" fontId="1" fillId="3" borderId="29" xfId="0" applyNumberFormat="1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6" borderId="33" xfId="0" applyFont="1" applyFill="1" applyBorder="1" applyAlignment="1">
      <alignment horizontal="center"/>
    </xf>
    <xf numFmtId="0" fontId="1" fillId="6" borderId="31" xfId="0" applyFont="1" applyFill="1" applyBorder="1" applyAlignment="1">
      <alignment horizontal="center"/>
    </xf>
    <xf numFmtId="0" fontId="1" fillId="6" borderId="34" xfId="0" applyFont="1" applyFill="1" applyBorder="1" applyAlignment="1">
      <alignment horizontal="center"/>
    </xf>
    <xf numFmtId="0" fontId="1" fillId="6" borderId="32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16" fontId="1" fillId="4" borderId="29" xfId="0" applyNumberFormat="1" applyFont="1" applyFill="1" applyBorder="1" applyAlignment="1">
      <alignment horizontal="center"/>
    </xf>
    <xf numFmtId="0" fontId="1" fillId="3" borderId="30" xfId="0" applyFont="1" applyFill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4" borderId="40" xfId="0" applyFont="1" applyFill="1" applyBorder="1" applyAlignment="1">
      <alignment horizontal="center"/>
    </xf>
    <xf numFmtId="16" fontId="1" fillId="3" borderId="40" xfId="0" applyNumberFormat="1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7" borderId="42" xfId="0" applyFont="1" applyFill="1" applyBorder="1"/>
    <xf numFmtId="0" fontId="1" fillId="7" borderId="43" xfId="0" applyFont="1" applyFill="1" applyBorder="1"/>
    <xf numFmtId="0" fontId="1" fillId="7" borderId="44" xfId="0" applyFont="1" applyFill="1" applyBorder="1"/>
    <xf numFmtId="0" fontId="1" fillId="7" borderId="45" xfId="0" applyFont="1" applyFill="1" applyBorder="1"/>
    <xf numFmtId="0" fontId="1" fillId="7" borderId="46" xfId="0" applyFont="1" applyFill="1" applyBorder="1"/>
    <xf numFmtId="0" fontId="1" fillId="7" borderId="47" xfId="0" applyFont="1" applyFill="1" applyBorder="1"/>
    <xf numFmtId="0" fontId="1" fillId="0" borderId="6" xfId="0" applyFont="1" applyBorder="1" applyAlignment="1"/>
    <xf numFmtId="0" fontId="1" fillId="0" borderId="0" xfId="0" applyFont="1"/>
    <xf numFmtId="0" fontId="1" fillId="0" borderId="51" xfId="0" applyFont="1" applyBorder="1"/>
    <xf numFmtId="0" fontId="1" fillId="0" borderId="9" xfId="0" applyFont="1" applyBorder="1"/>
    <xf numFmtId="0" fontId="1" fillId="7" borderId="53" xfId="0" applyFont="1" applyFill="1" applyBorder="1"/>
    <xf numFmtId="0" fontId="1" fillId="7" borderId="54" xfId="0" applyFont="1" applyFill="1" applyBorder="1"/>
    <xf numFmtId="0" fontId="1" fillId="7" borderId="55" xfId="0" applyFont="1" applyFill="1" applyBorder="1"/>
    <xf numFmtId="0" fontId="1" fillId="0" borderId="6" xfId="0" applyFont="1" applyBorder="1"/>
    <xf numFmtId="0" fontId="1" fillId="8" borderId="19" xfId="0" applyFont="1" applyFill="1" applyBorder="1" applyAlignment="1">
      <alignment horizontal="center"/>
    </xf>
    <xf numFmtId="0" fontId="1" fillId="3" borderId="19" xfId="0" applyFont="1" applyFill="1" applyBorder="1"/>
    <xf numFmtId="0" fontId="1" fillId="3" borderId="56" xfId="0" applyFont="1" applyFill="1" applyBorder="1"/>
    <xf numFmtId="0" fontId="1" fillId="3" borderId="24" xfId="0" applyFont="1" applyFill="1" applyBorder="1"/>
    <xf numFmtId="0" fontId="1" fillId="0" borderId="24" xfId="0" applyFont="1" applyBorder="1" applyAlignment="1"/>
    <xf numFmtId="0" fontId="1" fillId="9" borderId="57" xfId="0" applyFont="1" applyFill="1" applyBorder="1"/>
    <xf numFmtId="0" fontId="1" fillId="3" borderId="40" xfId="0" applyFont="1" applyFill="1" applyBorder="1"/>
    <xf numFmtId="0" fontId="1" fillId="0" borderId="40" xfId="0" applyFont="1" applyBorder="1" applyAlignment="1"/>
    <xf numFmtId="0" fontId="1" fillId="9" borderId="58" xfId="0" applyFont="1" applyFill="1" applyBorder="1"/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0" fontId="1" fillId="0" borderId="62" xfId="0" applyFont="1" applyBorder="1"/>
    <xf numFmtId="0" fontId="1" fillId="0" borderId="63" xfId="0" applyFont="1" applyBorder="1"/>
    <xf numFmtId="0" fontId="1" fillId="0" borderId="64" xfId="0" applyFont="1" applyBorder="1"/>
    <xf numFmtId="0" fontId="1" fillId="9" borderId="57" xfId="0" applyFont="1" applyFill="1" applyBorder="1" applyAlignment="1"/>
    <xf numFmtId="0" fontId="1" fillId="9" borderId="58" xfId="0" applyFont="1" applyFill="1" applyBorder="1" applyAlignment="1"/>
    <xf numFmtId="0" fontId="1" fillId="0" borderId="65" xfId="0" applyFont="1" applyBorder="1"/>
    <xf numFmtId="0" fontId="1" fillId="5" borderId="66" xfId="0" applyFont="1" applyFill="1" applyBorder="1"/>
    <xf numFmtId="0" fontId="1" fillId="3" borderId="29" xfId="0" applyFont="1" applyFill="1" applyBorder="1"/>
    <xf numFmtId="0" fontId="1" fillId="10" borderId="67" xfId="0" applyFont="1" applyFill="1" applyBorder="1"/>
    <xf numFmtId="0" fontId="1" fillId="11" borderId="58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5" xfId="0" applyFont="1" applyBorder="1" applyAlignment="1">
      <alignment horizontal="center" vertical="center"/>
    </xf>
    <xf numFmtId="0" fontId="2" fillId="0" borderId="6" xfId="0" applyFont="1" applyBorder="1"/>
    <xf numFmtId="0" fontId="3" fillId="0" borderId="8" xfId="0" applyFont="1" applyBorder="1" applyAlignment="1">
      <alignment horizontal="center" vertical="center"/>
    </xf>
    <xf numFmtId="0" fontId="2" fillId="0" borderId="9" xfId="0" applyFont="1" applyBorder="1"/>
    <xf numFmtId="0" fontId="5" fillId="3" borderId="10" xfId="0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1" fillId="2" borderId="16" xfId="0" applyFont="1" applyFill="1" applyBorder="1" applyAlignment="1">
      <alignment horizontal="center"/>
    </xf>
    <xf numFmtId="0" fontId="2" fillId="0" borderId="17" xfId="0" applyFont="1" applyBorder="1"/>
    <xf numFmtId="0" fontId="2" fillId="0" borderId="18" xfId="0" applyFont="1" applyBorder="1"/>
    <xf numFmtId="0" fontId="1" fillId="2" borderId="20" xfId="0" applyFont="1" applyFill="1" applyBorder="1" applyAlignment="1">
      <alignment horizontal="center"/>
    </xf>
    <xf numFmtId="0" fontId="1" fillId="3" borderId="48" xfId="0" applyFont="1" applyFill="1" applyBorder="1" applyAlignment="1">
      <alignment horizontal="center"/>
    </xf>
    <xf numFmtId="0" fontId="2" fillId="0" borderId="49" xfId="0" applyFont="1" applyBorder="1"/>
    <xf numFmtId="0" fontId="1" fillId="3" borderId="35" xfId="0" applyFont="1" applyFill="1" applyBorder="1" applyAlignment="1">
      <alignment horizontal="center"/>
    </xf>
    <xf numFmtId="0" fontId="2" fillId="0" borderId="50" xfId="0" applyFont="1" applyBorder="1"/>
    <xf numFmtId="0" fontId="2" fillId="0" borderId="51" xfId="0" applyFont="1" applyBorder="1"/>
    <xf numFmtId="0" fontId="1" fillId="3" borderId="36" xfId="0" applyFont="1" applyFill="1" applyBorder="1" applyAlignment="1">
      <alignment horizontal="center"/>
    </xf>
    <xf numFmtId="0" fontId="2" fillId="0" borderId="52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104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00"/>
  <sheetViews>
    <sheetView tabSelected="1" workbookViewId="0">
      <selection activeCell="C4" sqref="C4:D4"/>
    </sheetView>
  </sheetViews>
  <sheetFormatPr baseColWidth="10" defaultColWidth="14.42578125" defaultRowHeight="15" customHeight="1" x14ac:dyDescent="0.25"/>
  <cols>
    <col min="1" max="26" width="10.7109375" customWidth="1"/>
  </cols>
  <sheetData>
    <row r="2" spans="2:4" x14ac:dyDescent="0.25">
      <c r="B2" s="81" t="s">
        <v>0</v>
      </c>
      <c r="C2" s="82"/>
      <c r="D2" s="83"/>
    </row>
    <row r="3" spans="2:4" x14ac:dyDescent="0.25">
      <c r="B3" s="1" t="s">
        <v>1</v>
      </c>
      <c r="C3" s="84" t="s">
        <v>83</v>
      </c>
      <c r="D3" s="85"/>
    </row>
    <row r="4" spans="2:4" x14ac:dyDescent="0.25">
      <c r="B4" s="2" t="s">
        <v>2</v>
      </c>
      <c r="C4" s="86" t="s">
        <v>3</v>
      </c>
      <c r="D4" s="8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B2:D2"/>
    <mergeCell ref="C3:D3"/>
    <mergeCell ref="C4:D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B1000"/>
  <sheetViews>
    <sheetView workbookViewId="0"/>
  </sheetViews>
  <sheetFormatPr baseColWidth="10" defaultColWidth="14.42578125" defaultRowHeight="15" customHeight="1" x14ac:dyDescent="0.25"/>
  <cols>
    <col min="1" max="14" width="10.7109375" customWidth="1"/>
    <col min="15" max="34" width="11.42578125" customWidth="1"/>
    <col min="35" max="35" width="20" customWidth="1"/>
    <col min="36" max="46" width="11.42578125" customWidth="1"/>
    <col min="47" max="47" width="10.42578125" customWidth="1"/>
    <col min="48" max="48" width="13.7109375" customWidth="1"/>
    <col min="49" max="49" width="10.42578125" customWidth="1"/>
    <col min="50" max="50" width="9.85546875" customWidth="1"/>
    <col min="51" max="51" width="13" customWidth="1"/>
    <col min="52" max="52" width="29.85546875" customWidth="1"/>
    <col min="53" max="53" width="25.7109375" customWidth="1"/>
    <col min="54" max="54" width="11.42578125" customWidth="1"/>
  </cols>
  <sheetData>
    <row r="1" spans="2:54" x14ac:dyDescent="0.25"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spans="2:54" x14ac:dyDescent="0.25"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2:54" x14ac:dyDescent="0.25">
      <c r="B3" s="88" t="s">
        <v>4</v>
      </c>
      <c r="C3" s="89"/>
      <c r="D3" s="89"/>
      <c r="E3" s="89"/>
      <c r="F3" s="89"/>
      <c r="G3" s="90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spans="2:54" x14ac:dyDescent="0.25">
      <c r="B4" s="91"/>
      <c r="C4" s="92"/>
      <c r="D4" s="92"/>
      <c r="E4" s="92"/>
      <c r="F4" s="92"/>
      <c r="G4" s="9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  <row r="5" spans="2:54" x14ac:dyDescent="0.25">
      <c r="B5" s="4"/>
      <c r="C5" s="5">
        <v>2</v>
      </c>
      <c r="D5" s="5">
        <v>3</v>
      </c>
      <c r="E5" s="5">
        <v>5</v>
      </c>
      <c r="F5" s="5">
        <v>6</v>
      </c>
      <c r="G5" s="5">
        <v>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spans="2:54" x14ac:dyDescent="0.25">
      <c r="B6" s="94" t="s">
        <v>5</v>
      </c>
      <c r="C6" s="95"/>
      <c r="D6" s="95"/>
      <c r="E6" s="95"/>
      <c r="F6" s="95"/>
      <c r="G6" s="96"/>
      <c r="J6" s="6" t="s">
        <v>6</v>
      </c>
      <c r="K6" s="97" t="s">
        <v>7</v>
      </c>
      <c r="L6" s="95"/>
      <c r="M6" s="95"/>
      <c r="N6" s="96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3">
        <v>1</v>
      </c>
      <c r="AK6" s="3">
        <v>2</v>
      </c>
      <c r="AL6" s="3" t="s">
        <v>8</v>
      </c>
      <c r="AM6" s="3"/>
      <c r="AN6" s="3" t="s">
        <v>9</v>
      </c>
      <c r="AO6" s="3" t="s">
        <v>10</v>
      </c>
      <c r="AP6" s="3" t="s">
        <v>11</v>
      </c>
      <c r="AQ6" s="3" t="s">
        <v>12</v>
      </c>
      <c r="AR6" s="3" t="s">
        <v>13</v>
      </c>
      <c r="AS6" s="3" t="s">
        <v>14</v>
      </c>
      <c r="AT6" s="3"/>
      <c r="AU6" s="3"/>
      <c r="AV6" s="3" t="s">
        <v>10</v>
      </c>
      <c r="AW6" s="3" t="s">
        <v>15</v>
      </c>
      <c r="AX6" s="3" t="s">
        <v>8</v>
      </c>
      <c r="AY6" s="3" t="s">
        <v>16</v>
      </c>
      <c r="AZ6" s="3" t="s">
        <v>17</v>
      </c>
      <c r="BA6" s="3" t="s">
        <v>18</v>
      </c>
      <c r="BB6" s="3" t="s">
        <v>19</v>
      </c>
    </row>
    <row r="7" spans="2:54" x14ac:dyDescent="0.25">
      <c r="B7" s="7" t="s">
        <v>20</v>
      </c>
      <c r="C7" s="8" t="s">
        <v>10</v>
      </c>
      <c r="D7" s="9" t="s">
        <v>11</v>
      </c>
      <c r="E7" s="9" t="s">
        <v>13</v>
      </c>
      <c r="F7" s="9" t="s">
        <v>14</v>
      </c>
      <c r="G7" s="10" t="s">
        <v>12</v>
      </c>
      <c r="I7" s="11">
        <v>1</v>
      </c>
      <c r="J7" s="12">
        <v>44886</v>
      </c>
      <c r="K7" s="13" t="s">
        <v>21</v>
      </c>
      <c r="L7" s="14">
        <v>0</v>
      </c>
      <c r="M7" s="15">
        <v>2</v>
      </c>
      <c r="N7" s="11" t="s">
        <v>22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 t="str">
        <f t="shared" ref="AI7:AI12" si="0">CONCATENATE(K7,"_",N7)</f>
        <v>Senegal_Holanda</v>
      </c>
      <c r="AJ7" s="3">
        <f t="shared" ref="AJ7:AJ12" si="1">IF(L7&gt;M7,3,IF(L7&lt;M7,0,1))</f>
        <v>0</v>
      </c>
      <c r="AK7" s="3">
        <f t="shared" ref="AK7:AK12" si="2">IF(AJ7=3,0,IF(AJ7=1,1,3))</f>
        <v>3</v>
      </c>
      <c r="AL7" s="3" t="str">
        <f t="shared" ref="AL7:AL12" si="3">IF(AJ7&gt;AK7,K7,IF(AK7&gt;AJ7,N7,"SIN GANADOR"))</f>
        <v>Holanda</v>
      </c>
      <c r="AM7" s="3"/>
      <c r="AN7" s="3">
        <f t="shared" ref="AN7:AN10" si="4">_xlfn.RANK.EQ(BB7,BB$7:BB$11,1)</f>
        <v>3</v>
      </c>
      <c r="AO7" s="3" t="s">
        <v>23</v>
      </c>
      <c r="AP7" s="3">
        <f t="shared" ref="AP7:AP10" si="5">SUMIF($K$7:$K$12,AO7,$AJ$7:$AJ$12) + SUMIF($N$7:$N$12,AO7,$AK$7:$AK$12)</f>
        <v>2</v>
      </c>
      <c r="AQ7" s="3">
        <f t="shared" ref="AQ7:AQ10" si="6">AR7-AS7</f>
        <v>-3</v>
      </c>
      <c r="AR7" s="3">
        <f t="shared" ref="AR7:AR10" si="7">SUMIF($K$7:$K$12,AO7,$L$7:$L$12) + SUMIF($N$7:$N$12,AO7,$M$7:$M$12)</f>
        <v>4</v>
      </c>
      <c r="AS7" s="3">
        <f t="shared" ref="AS7:AS10" si="8">SUMIF($K$7:$K$12,AO7,$M$7:$M$12) + SUMIF($N$7:$N$12,AO7,$L$7:$L$12)</f>
        <v>7</v>
      </c>
      <c r="AT7" s="3"/>
      <c r="AU7" s="3"/>
      <c r="AV7" s="3" t="str">
        <f t="shared" ref="AV7:AV10" si="9">AO7</f>
        <v>Qatar</v>
      </c>
      <c r="AW7" s="3" t="str">
        <f>IF(AZ7=AZ8,AV8,IF(AZ7=AZ9,AV9,IF(AZ7=AZ10,AV10,"")))</f>
        <v/>
      </c>
      <c r="AX7" s="3" t="str">
        <f t="shared" ref="AX7:AX10" si="10">IF(AW7="","",IFERROR(VLOOKUP(CONCATENATE(AV7,"_",AW7),$AI$7:$AL$16,4,FALSE),VLOOKUP(CONCATENATE(AW7,"_",AV7),$AI$7:$AL$16,4,FALSE)))</f>
        <v/>
      </c>
      <c r="AY7" s="3">
        <f t="shared" ref="AY7:AY10" si="11">IF(AX7="",1,IF(AX7=AV7,1,0))</f>
        <v>1</v>
      </c>
      <c r="AZ7" s="3">
        <f t="shared" ref="AZ7:AZ10" si="12">-AP7*10000000 - AQ7*10000 - AR7*100</f>
        <v>-19970400</v>
      </c>
      <c r="BA7" s="3">
        <f t="shared" ref="BA7:BA10" si="13">AZ7-AY7*10</f>
        <v>-19970410</v>
      </c>
      <c r="BB7" s="3">
        <f t="shared" ref="BB7:BB10" si="14">BA7+N23</f>
        <v>-19970409</v>
      </c>
    </row>
    <row r="8" spans="2:54" x14ac:dyDescent="0.25">
      <c r="B8" s="16">
        <v>1</v>
      </c>
      <c r="C8" s="17" t="str">
        <f t="shared" ref="C8:G8" si="15">IFERROR(VLOOKUP($B8,$AN$7:$AS$11,C$5,FALSE),"")</f>
        <v>Holanda</v>
      </c>
      <c r="D8" s="18">
        <f t="shared" si="15"/>
        <v>9</v>
      </c>
      <c r="E8" s="18">
        <f t="shared" si="15"/>
        <v>9</v>
      </c>
      <c r="F8" s="18">
        <f t="shared" si="15"/>
        <v>2</v>
      </c>
      <c r="G8" s="19">
        <f t="shared" si="15"/>
        <v>7</v>
      </c>
      <c r="I8" s="20">
        <v>2</v>
      </c>
      <c r="J8" s="21">
        <v>44886</v>
      </c>
      <c r="K8" s="22" t="s">
        <v>23</v>
      </c>
      <c r="L8" s="23">
        <v>2</v>
      </c>
      <c r="M8" s="24">
        <v>2</v>
      </c>
      <c r="N8" s="20" t="s">
        <v>24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 t="str">
        <f t="shared" si="0"/>
        <v>Qatar_Ecuador</v>
      </c>
      <c r="AJ8" s="3">
        <f t="shared" si="1"/>
        <v>1</v>
      </c>
      <c r="AK8" s="3">
        <f t="shared" si="2"/>
        <v>1</v>
      </c>
      <c r="AL8" s="3" t="str">
        <f t="shared" si="3"/>
        <v>SIN GANADOR</v>
      </c>
      <c r="AM8" s="3"/>
      <c r="AN8" s="3">
        <f t="shared" si="4"/>
        <v>1</v>
      </c>
      <c r="AO8" s="3" t="s">
        <v>22</v>
      </c>
      <c r="AP8" s="3">
        <f t="shared" si="5"/>
        <v>9</v>
      </c>
      <c r="AQ8" s="3">
        <f t="shared" si="6"/>
        <v>7</v>
      </c>
      <c r="AR8" s="3">
        <f t="shared" si="7"/>
        <v>9</v>
      </c>
      <c r="AS8" s="3">
        <f t="shared" si="8"/>
        <v>2</v>
      </c>
      <c r="AT8" s="3"/>
      <c r="AU8" s="3"/>
      <c r="AV8" s="3" t="str">
        <f t="shared" si="9"/>
        <v>Holanda</v>
      </c>
      <c r="AW8" s="3" t="str">
        <f>IF(AZ8=AZ9,AV9,IF(AZ8=AZ10,AV10,IF(AZ8=AZ7,AV7,"")))</f>
        <v/>
      </c>
      <c r="AX8" s="3" t="str">
        <f t="shared" si="10"/>
        <v/>
      </c>
      <c r="AY8" s="3">
        <f t="shared" si="11"/>
        <v>1</v>
      </c>
      <c r="AZ8" s="3">
        <f t="shared" si="12"/>
        <v>-90070900</v>
      </c>
      <c r="BA8" s="3">
        <f t="shared" si="13"/>
        <v>-90070910</v>
      </c>
      <c r="BB8" s="3">
        <f t="shared" si="14"/>
        <v>-90070908</v>
      </c>
    </row>
    <row r="9" spans="2:54" x14ac:dyDescent="0.25">
      <c r="B9" s="25">
        <v>2</v>
      </c>
      <c r="C9" s="26" t="str">
        <f t="shared" ref="C9:G9" si="16">IFERROR(VLOOKUP($B9,$AN$7:$AS$11,C$5,FALSE),"")</f>
        <v>Senegal</v>
      </c>
      <c r="D9" s="27">
        <f t="shared" si="16"/>
        <v>4</v>
      </c>
      <c r="E9" s="27">
        <f t="shared" si="16"/>
        <v>2</v>
      </c>
      <c r="F9" s="27">
        <f t="shared" si="16"/>
        <v>3</v>
      </c>
      <c r="G9" s="28">
        <f t="shared" si="16"/>
        <v>-1</v>
      </c>
      <c r="I9" s="29">
        <f t="shared" ref="I9:I12" si="17">I7+16</f>
        <v>17</v>
      </c>
      <c r="J9" s="30">
        <v>44890</v>
      </c>
      <c r="K9" s="31" t="s">
        <v>23</v>
      </c>
      <c r="L9" s="23">
        <v>1</v>
      </c>
      <c r="M9" s="24">
        <v>1</v>
      </c>
      <c r="N9" s="29" t="s">
        <v>21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 t="str">
        <f t="shared" si="0"/>
        <v>Qatar_Senegal</v>
      </c>
      <c r="AJ9" s="3">
        <f t="shared" si="1"/>
        <v>1</v>
      </c>
      <c r="AK9" s="3">
        <f t="shared" si="2"/>
        <v>1</v>
      </c>
      <c r="AL9" s="3" t="str">
        <f t="shared" si="3"/>
        <v>SIN GANADOR</v>
      </c>
      <c r="AM9" s="3"/>
      <c r="AN9" s="3">
        <f t="shared" si="4"/>
        <v>2</v>
      </c>
      <c r="AO9" s="3" t="s">
        <v>21</v>
      </c>
      <c r="AP9" s="3">
        <f t="shared" si="5"/>
        <v>4</v>
      </c>
      <c r="AQ9" s="3">
        <f t="shared" si="6"/>
        <v>-1</v>
      </c>
      <c r="AR9" s="3">
        <f t="shared" si="7"/>
        <v>2</v>
      </c>
      <c r="AS9" s="3">
        <f t="shared" si="8"/>
        <v>3</v>
      </c>
      <c r="AT9" s="3"/>
      <c r="AU9" s="3"/>
      <c r="AV9" s="3" t="str">
        <f t="shared" si="9"/>
        <v>Senegal</v>
      </c>
      <c r="AW9" s="3" t="str">
        <f>IF(AZ9=AZ10,AV10,IF(AZ9=AZ7,AV7,IF(AZ9=AZ8,AV8,"")))</f>
        <v/>
      </c>
      <c r="AX9" s="3" t="str">
        <f t="shared" si="10"/>
        <v/>
      </c>
      <c r="AY9" s="3">
        <f t="shared" si="11"/>
        <v>1</v>
      </c>
      <c r="AZ9" s="3">
        <f t="shared" si="12"/>
        <v>-39990200</v>
      </c>
      <c r="BA9" s="3">
        <f t="shared" si="13"/>
        <v>-39990210</v>
      </c>
      <c r="BB9" s="3">
        <f t="shared" si="14"/>
        <v>-39990207</v>
      </c>
    </row>
    <row r="10" spans="2:54" x14ac:dyDescent="0.25">
      <c r="B10" s="32">
        <v>3</v>
      </c>
      <c r="C10" s="33" t="str">
        <f t="shared" ref="C10:G10" si="18">IFERROR(VLOOKUP($B10,$AN$7:$AS$11,C$5,FALSE),"")</f>
        <v>Qatar</v>
      </c>
      <c r="D10" s="34">
        <f t="shared" si="18"/>
        <v>2</v>
      </c>
      <c r="E10" s="34">
        <f t="shared" si="18"/>
        <v>4</v>
      </c>
      <c r="F10" s="34">
        <f t="shared" si="18"/>
        <v>7</v>
      </c>
      <c r="G10" s="35">
        <f t="shared" si="18"/>
        <v>-3</v>
      </c>
      <c r="I10" s="20">
        <f t="shared" si="17"/>
        <v>18</v>
      </c>
      <c r="J10" s="21">
        <v>44890</v>
      </c>
      <c r="K10" s="22" t="s">
        <v>22</v>
      </c>
      <c r="L10" s="23">
        <v>3</v>
      </c>
      <c r="M10" s="24">
        <v>1</v>
      </c>
      <c r="N10" s="20" t="s">
        <v>24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 t="str">
        <f t="shared" si="0"/>
        <v>Holanda_Ecuador</v>
      </c>
      <c r="AJ10" s="3">
        <f t="shared" si="1"/>
        <v>3</v>
      </c>
      <c r="AK10" s="3">
        <f t="shared" si="2"/>
        <v>0</v>
      </c>
      <c r="AL10" s="3" t="str">
        <f t="shared" si="3"/>
        <v>Holanda</v>
      </c>
      <c r="AM10" s="3"/>
      <c r="AN10" s="3">
        <f t="shared" si="4"/>
        <v>4</v>
      </c>
      <c r="AO10" s="3" t="s">
        <v>24</v>
      </c>
      <c r="AP10" s="3">
        <f t="shared" si="5"/>
        <v>1</v>
      </c>
      <c r="AQ10" s="3">
        <f t="shared" si="6"/>
        <v>-3</v>
      </c>
      <c r="AR10" s="3">
        <f t="shared" si="7"/>
        <v>3</v>
      </c>
      <c r="AS10" s="3">
        <f t="shared" si="8"/>
        <v>6</v>
      </c>
      <c r="AT10" s="3"/>
      <c r="AU10" s="3"/>
      <c r="AV10" s="3" t="str">
        <f t="shared" si="9"/>
        <v>Ecuador</v>
      </c>
      <c r="AW10" s="3" t="str">
        <f>IF(AZ10=AZ7,AV7,IF(AZ10=AZ8,AV8,IF(AZ10=AZ9,AV9,"")))</f>
        <v/>
      </c>
      <c r="AX10" s="3" t="str">
        <f t="shared" si="10"/>
        <v/>
      </c>
      <c r="AY10" s="3">
        <f t="shared" si="11"/>
        <v>1</v>
      </c>
      <c r="AZ10" s="3">
        <f t="shared" si="12"/>
        <v>-9970300</v>
      </c>
      <c r="BA10" s="3">
        <f t="shared" si="13"/>
        <v>-9970310</v>
      </c>
      <c r="BB10" s="3">
        <f t="shared" si="14"/>
        <v>-9970306</v>
      </c>
    </row>
    <row r="11" spans="2:54" x14ac:dyDescent="0.25">
      <c r="B11" s="36">
        <v>4</v>
      </c>
      <c r="C11" s="37" t="str">
        <f t="shared" ref="C11:G11" si="19">IFERROR(VLOOKUP($B11,$AN$7:$AS$11,C$5,FALSE),"")</f>
        <v>Ecuador</v>
      </c>
      <c r="D11" s="38">
        <f t="shared" si="19"/>
        <v>1</v>
      </c>
      <c r="E11" s="38">
        <f t="shared" si="19"/>
        <v>3</v>
      </c>
      <c r="F11" s="38">
        <f t="shared" si="19"/>
        <v>6</v>
      </c>
      <c r="G11" s="39">
        <f t="shared" si="19"/>
        <v>-3</v>
      </c>
      <c r="I11" s="29">
        <f t="shared" si="17"/>
        <v>33</v>
      </c>
      <c r="J11" s="30">
        <v>44894</v>
      </c>
      <c r="K11" s="31" t="s">
        <v>24</v>
      </c>
      <c r="L11" s="23">
        <v>0</v>
      </c>
      <c r="M11" s="24">
        <v>1</v>
      </c>
      <c r="N11" s="29" t="s">
        <v>21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 t="str">
        <f t="shared" si="0"/>
        <v>Ecuador_Senegal</v>
      </c>
      <c r="AJ11" s="3">
        <f t="shared" si="1"/>
        <v>0</v>
      </c>
      <c r="AK11" s="3">
        <f t="shared" si="2"/>
        <v>3</v>
      </c>
      <c r="AL11" s="3" t="str">
        <f t="shared" si="3"/>
        <v>Senegal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</row>
    <row r="12" spans="2:54" x14ac:dyDescent="0.25">
      <c r="I12" s="40">
        <f t="shared" si="17"/>
        <v>34</v>
      </c>
      <c r="J12" s="41">
        <v>44894</v>
      </c>
      <c r="K12" s="42" t="s">
        <v>22</v>
      </c>
      <c r="L12" s="43">
        <v>4</v>
      </c>
      <c r="M12" s="44">
        <v>1</v>
      </c>
      <c r="N12" s="40" t="s">
        <v>23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 t="str">
        <f t="shared" si="0"/>
        <v>Holanda_Qatar</v>
      </c>
      <c r="AJ12" s="3">
        <f t="shared" si="1"/>
        <v>3</v>
      </c>
      <c r="AK12" s="3">
        <f t="shared" si="2"/>
        <v>0</v>
      </c>
      <c r="AL12" s="3" t="str">
        <f t="shared" si="3"/>
        <v>Holanda</v>
      </c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 spans="2:54" x14ac:dyDescent="0.25"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5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</row>
    <row r="14" spans="2:54" x14ac:dyDescent="0.25"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5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</row>
    <row r="15" spans="2:54" x14ac:dyDescent="0.25"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5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</row>
    <row r="16" spans="2:54" x14ac:dyDescent="0.25"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5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</row>
    <row r="17" spans="2:54" x14ac:dyDescent="0.25"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</row>
    <row r="18" spans="2:54" x14ac:dyDescent="0.25"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</row>
    <row r="19" spans="2:54" x14ac:dyDescent="0.25"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</row>
    <row r="20" spans="2:54" x14ac:dyDescent="0.25"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</row>
    <row r="21" spans="2:54" ht="15.75" customHeight="1" x14ac:dyDescent="0.25"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</row>
    <row r="22" spans="2:54" ht="15.75" customHeight="1" x14ac:dyDescent="0.25">
      <c r="B22" s="45" t="s">
        <v>25</v>
      </c>
      <c r="C22" s="46"/>
      <c r="D22" s="46"/>
      <c r="E22" s="46"/>
      <c r="F22" s="46"/>
      <c r="G22" s="46"/>
      <c r="H22" s="47"/>
      <c r="I22" s="3">
        <v>1</v>
      </c>
      <c r="J22" s="81" t="s">
        <v>26</v>
      </c>
      <c r="K22" s="82"/>
      <c r="L22" s="82"/>
      <c r="M22" s="8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</row>
    <row r="23" spans="2:54" ht="15.75" customHeight="1" x14ac:dyDescent="0.25">
      <c r="B23" s="48" t="s">
        <v>27</v>
      </c>
      <c r="C23" s="49"/>
      <c r="D23" s="49"/>
      <c r="E23" s="49"/>
      <c r="F23" s="49"/>
      <c r="G23" s="49"/>
      <c r="H23" s="50"/>
      <c r="I23" s="3">
        <f t="shared" ref="I23:I26" si="20">IF(J23="",0,1)</f>
        <v>1</v>
      </c>
      <c r="J23" s="98" t="s">
        <v>22</v>
      </c>
      <c r="K23" s="99"/>
      <c r="L23" s="85"/>
      <c r="M23" s="51">
        <v>1</v>
      </c>
      <c r="N23" s="52">
        <f t="shared" ref="N23:N27" si="21">IF(J23="",0,M23)</f>
        <v>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</row>
    <row r="24" spans="2:54" ht="15.75" customHeight="1" x14ac:dyDescent="0.25">
      <c r="B24" s="48" t="s">
        <v>28</v>
      </c>
      <c r="C24" s="49"/>
      <c r="D24" s="49"/>
      <c r="E24" s="49"/>
      <c r="F24" s="49"/>
      <c r="G24" s="49"/>
      <c r="H24" s="50"/>
      <c r="I24" s="3">
        <f t="shared" si="20"/>
        <v>1</v>
      </c>
      <c r="J24" s="100" t="s">
        <v>29</v>
      </c>
      <c r="K24" s="101"/>
      <c r="L24" s="102"/>
      <c r="M24" s="53">
        <v>2</v>
      </c>
      <c r="N24" s="52">
        <f t="shared" si="21"/>
        <v>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</row>
    <row r="25" spans="2:54" ht="15.75" customHeight="1" x14ac:dyDescent="0.25">
      <c r="B25" s="48" t="s">
        <v>30</v>
      </c>
      <c r="C25" s="49"/>
      <c r="D25" s="49"/>
      <c r="E25" s="49"/>
      <c r="F25" s="49"/>
      <c r="G25" s="49"/>
      <c r="H25" s="50"/>
      <c r="I25" s="3">
        <f t="shared" si="20"/>
        <v>1</v>
      </c>
      <c r="J25" s="100" t="s">
        <v>31</v>
      </c>
      <c r="K25" s="101"/>
      <c r="L25" s="102"/>
      <c r="M25" s="53">
        <v>3</v>
      </c>
      <c r="N25" s="52">
        <f t="shared" si="21"/>
        <v>3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</row>
    <row r="26" spans="2:54" ht="15.75" customHeight="1" x14ac:dyDescent="0.25">
      <c r="B26" s="48" t="s">
        <v>32</v>
      </c>
      <c r="C26" s="49"/>
      <c r="D26" s="49"/>
      <c r="E26" s="49"/>
      <c r="F26" s="49"/>
      <c r="G26" s="49"/>
      <c r="H26" s="50"/>
      <c r="I26" s="3">
        <f t="shared" si="20"/>
        <v>1</v>
      </c>
      <c r="J26" s="103" t="s">
        <v>33</v>
      </c>
      <c r="K26" s="104"/>
      <c r="L26" s="87"/>
      <c r="M26" s="54">
        <v>4</v>
      </c>
      <c r="N26" s="52">
        <f t="shared" si="21"/>
        <v>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</row>
    <row r="27" spans="2:54" ht="15.75" customHeight="1" x14ac:dyDescent="0.25">
      <c r="B27" s="48" t="s">
        <v>34</v>
      </c>
      <c r="C27" s="49"/>
      <c r="D27" s="49"/>
      <c r="E27" s="49"/>
      <c r="F27" s="49"/>
      <c r="G27" s="49"/>
      <c r="H27" s="50"/>
      <c r="I27" s="3"/>
      <c r="N27" s="52">
        <f t="shared" si="21"/>
        <v>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</row>
    <row r="28" spans="2:54" ht="15.75" customHeight="1" x14ac:dyDescent="0.25">
      <c r="B28" s="55"/>
      <c r="C28" s="56"/>
      <c r="D28" s="56"/>
      <c r="E28" s="56"/>
      <c r="F28" s="56"/>
      <c r="G28" s="56"/>
      <c r="H28" s="57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</row>
    <row r="29" spans="2:54" ht="15.75" customHeight="1" x14ac:dyDescent="0.25"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</row>
    <row r="30" spans="2:54" ht="15.75" customHeight="1" x14ac:dyDescent="0.25"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</row>
    <row r="31" spans="2:54" ht="15.75" customHeight="1" x14ac:dyDescent="0.25"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</row>
    <row r="32" spans="2:54" ht="15.75" customHeight="1" x14ac:dyDescent="0.25"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</row>
    <row r="33" spans="15:54" ht="15.75" customHeight="1" x14ac:dyDescent="0.25"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</row>
    <row r="34" spans="15:54" ht="15.75" customHeight="1" x14ac:dyDescent="0.25"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</row>
    <row r="35" spans="15:54" ht="15.75" customHeight="1" x14ac:dyDescent="0.25"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</row>
    <row r="36" spans="15:54" ht="15.75" customHeight="1" x14ac:dyDescent="0.25"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</row>
    <row r="37" spans="15:54" ht="15.75" customHeight="1" x14ac:dyDescent="0.25"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</row>
    <row r="38" spans="15:54" ht="15.75" customHeight="1" x14ac:dyDescent="0.25"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</row>
    <row r="39" spans="15:54" ht="15.75" customHeight="1" x14ac:dyDescent="0.25"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</row>
    <row r="40" spans="15:54" ht="15.75" customHeight="1" x14ac:dyDescent="0.25"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</row>
    <row r="41" spans="15:54" ht="15.75" customHeight="1" x14ac:dyDescent="0.25"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</row>
    <row r="42" spans="15:54" ht="15.75" customHeight="1" x14ac:dyDescent="0.25"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</row>
    <row r="43" spans="15:54" ht="15.75" customHeight="1" x14ac:dyDescent="0.25"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</row>
    <row r="44" spans="15:54" ht="15.75" customHeight="1" x14ac:dyDescent="0.25"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</row>
    <row r="45" spans="15:54" ht="15.75" customHeight="1" x14ac:dyDescent="0.25"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</row>
    <row r="46" spans="15:54" ht="15.75" customHeight="1" x14ac:dyDescent="0.25"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</row>
    <row r="47" spans="15:54" ht="15.75" customHeight="1" x14ac:dyDescent="0.25"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15:54" ht="15.75" customHeight="1" x14ac:dyDescent="0.25"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r="49" spans="15:54" ht="15.75" customHeight="1" x14ac:dyDescent="0.25"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r="50" spans="15:54" ht="15.75" customHeight="1" x14ac:dyDescent="0.25"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</row>
    <row r="51" spans="15:54" ht="15.75" customHeight="1" x14ac:dyDescent="0.25"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</row>
    <row r="52" spans="15:54" ht="15.75" customHeight="1" x14ac:dyDescent="0.25"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</row>
    <row r="53" spans="15:54" ht="15.75" customHeight="1" x14ac:dyDescent="0.25"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</row>
    <row r="54" spans="15:54" ht="15.75" customHeight="1" x14ac:dyDescent="0.25"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</row>
    <row r="55" spans="15:54" ht="15.75" customHeight="1" x14ac:dyDescent="0.25"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</row>
    <row r="56" spans="15:54" ht="15.75" customHeight="1" x14ac:dyDescent="0.25"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</row>
    <row r="57" spans="15:54" ht="15.75" customHeight="1" x14ac:dyDescent="0.25"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</row>
    <row r="58" spans="15:54" ht="15.75" customHeight="1" x14ac:dyDescent="0.25"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</row>
    <row r="59" spans="15:54" ht="15.75" customHeight="1" x14ac:dyDescent="0.25"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</row>
    <row r="60" spans="15:54" ht="15.75" customHeight="1" x14ac:dyDescent="0.25"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</row>
    <row r="61" spans="15:54" ht="15.75" customHeight="1" x14ac:dyDescent="0.25"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</row>
    <row r="62" spans="15:54" ht="15.75" customHeight="1" x14ac:dyDescent="0.25"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</row>
    <row r="63" spans="15:54" ht="15.75" customHeight="1" x14ac:dyDescent="0.25"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</row>
    <row r="64" spans="15:54" ht="15.75" customHeight="1" x14ac:dyDescent="0.25"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</row>
    <row r="65" spans="15:54" ht="15.75" customHeight="1" x14ac:dyDescent="0.25"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</row>
    <row r="66" spans="15:54" ht="15.75" customHeight="1" x14ac:dyDescent="0.25"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</row>
    <row r="67" spans="15:54" ht="15.75" customHeight="1" x14ac:dyDescent="0.25"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</row>
    <row r="68" spans="15:54" ht="15.75" customHeight="1" x14ac:dyDescent="0.25"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</row>
    <row r="69" spans="15:54" ht="15.75" customHeight="1" x14ac:dyDescent="0.25"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</row>
    <row r="70" spans="15:54" ht="15.75" customHeight="1" x14ac:dyDescent="0.25"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</row>
    <row r="71" spans="15:54" ht="15.75" customHeight="1" x14ac:dyDescent="0.25"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</row>
    <row r="72" spans="15:54" ht="15.75" customHeight="1" x14ac:dyDescent="0.25"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</row>
    <row r="73" spans="15:54" ht="15.75" customHeight="1" x14ac:dyDescent="0.25"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</row>
    <row r="74" spans="15:54" ht="15.75" customHeight="1" x14ac:dyDescent="0.25"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</row>
    <row r="75" spans="15:54" ht="15.75" customHeight="1" x14ac:dyDescent="0.25"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</row>
    <row r="76" spans="15:54" ht="15.75" customHeight="1" x14ac:dyDescent="0.25"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</row>
    <row r="77" spans="15:54" ht="15.75" customHeight="1" x14ac:dyDescent="0.25"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</row>
    <row r="78" spans="15:54" ht="15.75" customHeight="1" x14ac:dyDescent="0.25"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</row>
    <row r="79" spans="15:54" ht="15.75" customHeight="1" x14ac:dyDescent="0.25"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</row>
    <row r="80" spans="15:54" ht="15.75" customHeight="1" x14ac:dyDescent="0.25"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</row>
    <row r="81" spans="15:54" ht="15.75" customHeight="1" x14ac:dyDescent="0.25"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</row>
    <row r="82" spans="15:54" ht="15.75" customHeight="1" x14ac:dyDescent="0.25"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</row>
    <row r="83" spans="15:54" ht="15.75" customHeight="1" x14ac:dyDescent="0.25"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</row>
    <row r="84" spans="15:54" ht="15.75" customHeight="1" x14ac:dyDescent="0.25"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</row>
    <row r="85" spans="15:54" ht="15.75" customHeight="1" x14ac:dyDescent="0.25"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</row>
    <row r="86" spans="15:54" ht="15.75" customHeight="1" x14ac:dyDescent="0.25"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</row>
    <row r="87" spans="15:54" ht="15.75" customHeight="1" x14ac:dyDescent="0.25"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</row>
    <row r="88" spans="15:54" ht="15.75" customHeight="1" x14ac:dyDescent="0.25"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</row>
    <row r="89" spans="15:54" ht="15.75" customHeight="1" x14ac:dyDescent="0.25"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</row>
    <row r="90" spans="15:54" ht="15.75" customHeight="1" x14ac:dyDescent="0.25"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</row>
    <row r="91" spans="15:54" ht="15.75" customHeight="1" x14ac:dyDescent="0.25"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</row>
    <row r="92" spans="15:54" ht="15.75" customHeight="1" x14ac:dyDescent="0.25"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</row>
    <row r="93" spans="15:54" ht="15.75" customHeight="1" x14ac:dyDescent="0.25"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</row>
    <row r="94" spans="15:54" ht="15.75" customHeight="1" x14ac:dyDescent="0.25"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</row>
    <row r="95" spans="15:54" ht="15.75" customHeight="1" x14ac:dyDescent="0.25"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</row>
    <row r="96" spans="15:54" ht="15.75" customHeight="1" x14ac:dyDescent="0.25"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</row>
    <row r="97" spans="15:54" ht="15.75" customHeight="1" x14ac:dyDescent="0.25"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</row>
    <row r="98" spans="15:54" ht="15.75" customHeight="1" x14ac:dyDescent="0.25"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</row>
    <row r="99" spans="15:54" ht="15.75" customHeight="1" x14ac:dyDescent="0.25"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</row>
    <row r="100" spans="15:54" ht="15.75" customHeight="1" x14ac:dyDescent="0.25"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</row>
    <row r="101" spans="15:54" ht="15.75" customHeight="1" x14ac:dyDescent="0.25"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</row>
    <row r="102" spans="15:54" ht="15.75" customHeight="1" x14ac:dyDescent="0.25"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</row>
    <row r="103" spans="15:54" ht="15.75" customHeight="1" x14ac:dyDescent="0.25"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</row>
    <row r="104" spans="15:54" ht="15.75" customHeight="1" x14ac:dyDescent="0.25"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</row>
    <row r="105" spans="15:54" ht="15.75" customHeight="1" x14ac:dyDescent="0.25"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</row>
    <row r="106" spans="15:54" ht="15.75" customHeight="1" x14ac:dyDescent="0.25"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</row>
    <row r="107" spans="15:54" ht="15.75" customHeight="1" x14ac:dyDescent="0.25"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</row>
    <row r="108" spans="15:54" ht="15.75" customHeight="1" x14ac:dyDescent="0.25"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</row>
    <row r="109" spans="15:54" ht="15.75" customHeight="1" x14ac:dyDescent="0.25"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</row>
    <row r="110" spans="15:54" ht="15.75" customHeight="1" x14ac:dyDescent="0.25"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</row>
    <row r="111" spans="15:54" ht="15.75" customHeight="1" x14ac:dyDescent="0.25"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</row>
    <row r="112" spans="15:54" ht="15.75" customHeight="1" x14ac:dyDescent="0.25"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</row>
    <row r="113" spans="15:54" ht="15.75" customHeight="1" x14ac:dyDescent="0.25"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</row>
    <row r="114" spans="15:54" ht="15.75" customHeight="1" x14ac:dyDescent="0.25"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</row>
    <row r="115" spans="15:54" ht="15.75" customHeight="1" x14ac:dyDescent="0.25"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</row>
    <row r="116" spans="15:54" ht="15.75" customHeight="1" x14ac:dyDescent="0.25"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</row>
    <row r="117" spans="15:54" ht="15.75" customHeight="1" x14ac:dyDescent="0.25"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</row>
    <row r="118" spans="15:54" ht="15.75" customHeight="1" x14ac:dyDescent="0.25"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</row>
    <row r="119" spans="15:54" ht="15.75" customHeight="1" x14ac:dyDescent="0.25"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</row>
    <row r="120" spans="15:54" ht="15.75" customHeight="1" x14ac:dyDescent="0.25"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</row>
    <row r="121" spans="15:54" ht="15.75" customHeight="1" x14ac:dyDescent="0.25"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</row>
    <row r="122" spans="15:54" ht="15.75" customHeight="1" x14ac:dyDescent="0.25"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</row>
    <row r="123" spans="15:54" ht="15.75" customHeight="1" x14ac:dyDescent="0.25"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</row>
    <row r="124" spans="15:54" ht="15.75" customHeight="1" x14ac:dyDescent="0.25"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</row>
    <row r="125" spans="15:54" ht="15.75" customHeight="1" x14ac:dyDescent="0.25"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</row>
    <row r="126" spans="15:54" ht="15.75" customHeight="1" x14ac:dyDescent="0.25"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</row>
    <row r="127" spans="15:54" ht="15.75" customHeight="1" x14ac:dyDescent="0.25"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</row>
    <row r="128" spans="15:54" ht="15.75" customHeight="1" x14ac:dyDescent="0.25"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</row>
    <row r="129" spans="15:54" ht="15.75" customHeight="1" x14ac:dyDescent="0.25"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</row>
    <row r="130" spans="15:54" ht="15.75" customHeight="1" x14ac:dyDescent="0.25"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</row>
    <row r="131" spans="15:54" ht="15.75" customHeight="1" x14ac:dyDescent="0.25"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</row>
    <row r="132" spans="15:54" ht="15.75" customHeight="1" x14ac:dyDescent="0.25"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</row>
    <row r="133" spans="15:54" ht="15.75" customHeight="1" x14ac:dyDescent="0.25"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</row>
    <row r="134" spans="15:54" ht="15.75" customHeight="1" x14ac:dyDescent="0.25"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</row>
    <row r="135" spans="15:54" ht="15.75" customHeight="1" x14ac:dyDescent="0.25"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</row>
    <row r="136" spans="15:54" ht="15.75" customHeight="1" x14ac:dyDescent="0.25"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</row>
    <row r="137" spans="15:54" ht="15.75" customHeight="1" x14ac:dyDescent="0.25"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</row>
    <row r="138" spans="15:54" ht="15.75" customHeight="1" x14ac:dyDescent="0.25"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</row>
    <row r="139" spans="15:54" ht="15.75" customHeight="1" x14ac:dyDescent="0.25"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</row>
    <row r="140" spans="15:54" ht="15.75" customHeight="1" x14ac:dyDescent="0.25"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</row>
    <row r="141" spans="15:54" ht="15.75" customHeight="1" x14ac:dyDescent="0.25"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</row>
    <row r="142" spans="15:54" ht="15.75" customHeight="1" x14ac:dyDescent="0.25"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</row>
    <row r="143" spans="15:54" ht="15.75" customHeight="1" x14ac:dyDescent="0.25"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</row>
    <row r="144" spans="15:54" ht="15.75" customHeight="1" x14ac:dyDescent="0.25"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</row>
    <row r="145" spans="15:54" ht="15.75" customHeight="1" x14ac:dyDescent="0.25"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</row>
    <row r="146" spans="15:54" ht="15.75" customHeight="1" x14ac:dyDescent="0.25"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</row>
    <row r="147" spans="15:54" ht="15.75" customHeight="1" x14ac:dyDescent="0.25"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</row>
    <row r="148" spans="15:54" ht="15.75" customHeight="1" x14ac:dyDescent="0.25"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</row>
    <row r="149" spans="15:54" ht="15.75" customHeight="1" x14ac:dyDescent="0.25"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</row>
    <row r="150" spans="15:54" ht="15.75" customHeight="1" x14ac:dyDescent="0.25"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</row>
    <row r="151" spans="15:54" ht="15.75" customHeight="1" x14ac:dyDescent="0.25"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</row>
    <row r="152" spans="15:54" ht="15.75" customHeight="1" x14ac:dyDescent="0.25"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</row>
    <row r="153" spans="15:54" ht="15.75" customHeight="1" x14ac:dyDescent="0.25"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</row>
    <row r="154" spans="15:54" ht="15.75" customHeight="1" x14ac:dyDescent="0.25"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</row>
    <row r="155" spans="15:54" ht="15.75" customHeight="1" x14ac:dyDescent="0.25"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</row>
    <row r="156" spans="15:54" ht="15.75" customHeight="1" x14ac:dyDescent="0.25"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</row>
    <row r="157" spans="15:54" ht="15.75" customHeight="1" x14ac:dyDescent="0.25"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</row>
    <row r="158" spans="15:54" ht="15.75" customHeight="1" x14ac:dyDescent="0.25"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</row>
    <row r="159" spans="15:54" ht="15.75" customHeight="1" x14ac:dyDescent="0.25"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</row>
    <row r="160" spans="15:54" ht="15.75" customHeight="1" x14ac:dyDescent="0.25"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</row>
    <row r="161" spans="15:54" ht="15.75" customHeight="1" x14ac:dyDescent="0.25"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</row>
    <row r="162" spans="15:54" ht="15.75" customHeight="1" x14ac:dyDescent="0.25"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</row>
    <row r="163" spans="15:54" ht="15.75" customHeight="1" x14ac:dyDescent="0.25"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</row>
    <row r="164" spans="15:54" ht="15.75" customHeight="1" x14ac:dyDescent="0.25"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</row>
    <row r="165" spans="15:54" ht="15.75" customHeight="1" x14ac:dyDescent="0.25"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</row>
    <row r="166" spans="15:54" ht="15.75" customHeight="1" x14ac:dyDescent="0.25"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</row>
    <row r="167" spans="15:54" ht="15.75" customHeight="1" x14ac:dyDescent="0.25"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</row>
    <row r="168" spans="15:54" ht="15.75" customHeight="1" x14ac:dyDescent="0.25"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</row>
    <row r="169" spans="15:54" ht="15.75" customHeight="1" x14ac:dyDescent="0.25"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</row>
    <row r="170" spans="15:54" ht="15.75" customHeight="1" x14ac:dyDescent="0.25"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</row>
    <row r="171" spans="15:54" ht="15.75" customHeight="1" x14ac:dyDescent="0.25"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</row>
    <row r="172" spans="15:54" ht="15.75" customHeight="1" x14ac:dyDescent="0.25"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</row>
    <row r="173" spans="15:54" ht="15.75" customHeight="1" x14ac:dyDescent="0.25"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</row>
    <row r="174" spans="15:54" ht="15.75" customHeight="1" x14ac:dyDescent="0.25"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</row>
    <row r="175" spans="15:54" ht="15.75" customHeight="1" x14ac:dyDescent="0.25"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</row>
    <row r="176" spans="15:54" ht="15.75" customHeight="1" x14ac:dyDescent="0.25"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</row>
    <row r="177" spans="15:54" ht="15.75" customHeight="1" x14ac:dyDescent="0.25"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</row>
    <row r="178" spans="15:54" ht="15.75" customHeight="1" x14ac:dyDescent="0.25"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</row>
    <row r="179" spans="15:54" ht="15.75" customHeight="1" x14ac:dyDescent="0.25"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</row>
    <row r="180" spans="15:54" ht="15.75" customHeight="1" x14ac:dyDescent="0.25"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</row>
    <row r="181" spans="15:54" ht="15.75" customHeight="1" x14ac:dyDescent="0.25"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</row>
    <row r="182" spans="15:54" ht="15.75" customHeight="1" x14ac:dyDescent="0.25"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</row>
    <row r="183" spans="15:54" ht="15.75" customHeight="1" x14ac:dyDescent="0.25"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</row>
    <row r="184" spans="15:54" ht="15.75" customHeight="1" x14ac:dyDescent="0.25"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</row>
    <row r="185" spans="15:54" ht="15.75" customHeight="1" x14ac:dyDescent="0.25"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</row>
    <row r="186" spans="15:54" ht="15.75" customHeight="1" x14ac:dyDescent="0.25"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</row>
    <row r="187" spans="15:54" ht="15.75" customHeight="1" x14ac:dyDescent="0.25"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</row>
    <row r="188" spans="15:54" ht="15.75" customHeight="1" x14ac:dyDescent="0.25"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</row>
    <row r="189" spans="15:54" ht="15.75" customHeight="1" x14ac:dyDescent="0.25"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</row>
    <row r="190" spans="15:54" ht="15.75" customHeight="1" x14ac:dyDescent="0.25"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</row>
    <row r="191" spans="15:54" ht="15.75" customHeight="1" x14ac:dyDescent="0.25"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</row>
    <row r="192" spans="15:54" ht="15.75" customHeight="1" x14ac:dyDescent="0.25"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</row>
    <row r="193" spans="15:54" ht="15.75" customHeight="1" x14ac:dyDescent="0.25"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</row>
    <row r="194" spans="15:54" ht="15.75" customHeight="1" x14ac:dyDescent="0.25"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</row>
    <row r="195" spans="15:54" ht="15.75" customHeight="1" x14ac:dyDescent="0.25"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</row>
    <row r="196" spans="15:54" ht="15.75" customHeight="1" x14ac:dyDescent="0.25"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</row>
    <row r="197" spans="15:54" ht="15.75" customHeight="1" x14ac:dyDescent="0.25"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</row>
    <row r="198" spans="15:54" ht="15.75" customHeight="1" x14ac:dyDescent="0.25"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</row>
    <row r="199" spans="15:54" ht="15.75" customHeight="1" x14ac:dyDescent="0.25"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</row>
    <row r="200" spans="15:54" ht="15.75" customHeight="1" x14ac:dyDescent="0.25"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</row>
    <row r="201" spans="15:54" ht="15.75" customHeight="1" x14ac:dyDescent="0.25"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</row>
    <row r="202" spans="15:54" ht="15.75" customHeight="1" x14ac:dyDescent="0.25"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</row>
    <row r="203" spans="15:54" ht="15.75" customHeight="1" x14ac:dyDescent="0.25"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</row>
    <row r="204" spans="15:54" ht="15.75" customHeight="1" x14ac:dyDescent="0.25"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</row>
    <row r="205" spans="15:54" ht="15.75" customHeight="1" x14ac:dyDescent="0.25"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</row>
    <row r="206" spans="15:54" ht="15.75" customHeight="1" x14ac:dyDescent="0.25"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</row>
    <row r="207" spans="15:54" ht="15.75" customHeight="1" x14ac:dyDescent="0.25"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</row>
    <row r="208" spans="15:54" ht="15.75" customHeight="1" x14ac:dyDescent="0.25"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</row>
    <row r="209" spans="15:54" ht="15.75" customHeight="1" x14ac:dyDescent="0.25"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</row>
    <row r="210" spans="15:54" ht="15.75" customHeight="1" x14ac:dyDescent="0.25"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</row>
    <row r="211" spans="15:54" ht="15.75" customHeight="1" x14ac:dyDescent="0.25"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</row>
    <row r="212" spans="15:54" ht="15.75" customHeight="1" x14ac:dyDescent="0.25"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</row>
    <row r="213" spans="15:54" ht="15.75" customHeight="1" x14ac:dyDescent="0.25"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</row>
    <row r="214" spans="15:54" ht="15.75" customHeight="1" x14ac:dyDescent="0.25"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</row>
    <row r="215" spans="15:54" ht="15.75" customHeight="1" x14ac:dyDescent="0.25"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</row>
    <row r="216" spans="15:54" ht="15.75" customHeight="1" x14ac:dyDescent="0.25"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</row>
    <row r="217" spans="15:54" ht="15.75" customHeight="1" x14ac:dyDescent="0.25"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</row>
    <row r="218" spans="15:54" ht="15.75" customHeight="1" x14ac:dyDescent="0.25"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</row>
    <row r="219" spans="15:54" ht="15.75" customHeight="1" x14ac:dyDescent="0.25"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</row>
    <row r="220" spans="15:54" ht="15.75" customHeight="1" x14ac:dyDescent="0.25"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</row>
    <row r="221" spans="15:54" ht="15.75" customHeight="1" x14ac:dyDescent="0.25"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</row>
    <row r="222" spans="15:54" ht="15.75" customHeight="1" x14ac:dyDescent="0.25"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</row>
    <row r="223" spans="15:54" ht="15.75" customHeight="1" x14ac:dyDescent="0.25"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</row>
    <row r="224" spans="15:54" ht="15.75" customHeight="1" x14ac:dyDescent="0.25"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</row>
    <row r="225" spans="15:54" ht="15.75" customHeight="1" x14ac:dyDescent="0.25"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</row>
    <row r="226" spans="15:54" ht="15.75" customHeight="1" x14ac:dyDescent="0.25"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</row>
    <row r="227" spans="15:54" ht="15.75" customHeight="1" x14ac:dyDescent="0.25"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</row>
    <row r="228" spans="15:54" ht="15.75" customHeight="1" x14ac:dyDescent="0.25"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</row>
    <row r="229" spans="15:54" ht="15.75" customHeight="1" x14ac:dyDescent="0.25"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</row>
    <row r="230" spans="15:54" ht="15.75" customHeight="1" x14ac:dyDescent="0.25"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</row>
    <row r="231" spans="15:54" ht="15.75" customHeight="1" x14ac:dyDescent="0.25"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</row>
    <row r="232" spans="15:54" ht="15.75" customHeight="1" x14ac:dyDescent="0.25"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</row>
    <row r="233" spans="15:54" ht="15.75" customHeight="1" x14ac:dyDescent="0.25"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</row>
    <row r="234" spans="15:54" ht="15.75" customHeight="1" x14ac:dyDescent="0.25"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</row>
    <row r="235" spans="15:54" ht="15.75" customHeight="1" x14ac:dyDescent="0.25"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</row>
    <row r="236" spans="15:54" ht="15.75" customHeight="1" x14ac:dyDescent="0.25"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</row>
    <row r="237" spans="15:54" ht="15.75" customHeight="1" x14ac:dyDescent="0.25"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</row>
    <row r="238" spans="15:54" ht="15.75" customHeight="1" x14ac:dyDescent="0.25"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</row>
    <row r="239" spans="15:54" ht="15.75" customHeight="1" x14ac:dyDescent="0.25"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</row>
    <row r="240" spans="15:54" ht="15.75" customHeight="1" x14ac:dyDescent="0.25"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</row>
    <row r="241" spans="15:54" ht="15.75" customHeight="1" x14ac:dyDescent="0.25"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</row>
    <row r="242" spans="15:54" ht="15.75" customHeight="1" x14ac:dyDescent="0.25"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</row>
    <row r="243" spans="15:54" ht="15.75" customHeight="1" x14ac:dyDescent="0.25"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</row>
    <row r="244" spans="15:54" ht="15.75" customHeight="1" x14ac:dyDescent="0.25"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</row>
    <row r="245" spans="15:54" ht="15.75" customHeight="1" x14ac:dyDescent="0.25"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</row>
    <row r="246" spans="15:54" ht="15.75" customHeight="1" x14ac:dyDescent="0.25"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</row>
    <row r="247" spans="15:54" ht="15.75" customHeight="1" x14ac:dyDescent="0.25"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</row>
    <row r="248" spans="15:54" ht="15.75" customHeight="1" x14ac:dyDescent="0.25"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</row>
    <row r="249" spans="15:54" ht="15.75" customHeight="1" x14ac:dyDescent="0.25"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</row>
    <row r="250" spans="15:54" ht="15.75" customHeight="1" x14ac:dyDescent="0.25"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</row>
    <row r="251" spans="15:54" ht="15.75" customHeight="1" x14ac:dyDescent="0.25"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</row>
    <row r="252" spans="15:54" ht="15.75" customHeight="1" x14ac:dyDescent="0.25"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</row>
    <row r="253" spans="15:54" ht="15.75" customHeight="1" x14ac:dyDescent="0.25"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</row>
    <row r="254" spans="15:54" ht="15.75" customHeight="1" x14ac:dyDescent="0.25"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</row>
    <row r="255" spans="15:54" ht="15.75" customHeight="1" x14ac:dyDescent="0.25"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</row>
    <row r="256" spans="15:54" ht="15.75" customHeight="1" x14ac:dyDescent="0.25"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</row>
    <row r="257" spans="15:54" ht="15.75" customHeight="1" x14ac:dyDescent="0.25"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</row>
    <row r="258" spans="15:54" ht="15.75" customHeight="1" x14ac:dyDescent="0.25"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</row>
    <row r="259" spans="15:54" ht="15.75" customHeight="1" x14ac:dyDescent="0.25"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</row>
    <row r="260" spans="15:54" ht="15.75" customHeight="1" x14ac:dyDescent="0.25"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</row>
    <row r="261" spans="15:54" ht="15.75" customHeight="1" x14ac:dyDescent="0.25"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</row>
    <row r="262" spans="15:54" ht="15.75" customHeight="1" x14ac:dyDescent="0.25"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</row>
    <row r="263" spans="15:54" ht="15.75" customHeight="1" x14ac:dyDescent="0.25"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</row>
    <row r="264" spans="15:54" ht="15.75" customHeight="1" x14ac:dyDescent="0.25"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</row>
    <row r="265" spans="15:54" ht="15.75" customHeight="1" x14ac:dyDescent="0.25"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</row>
    <row r="266" spans="15:54" ht="15.75" customHeight="1" x14ac:dyDescent="0.25"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</row>
    <row r="267" spans="15:54" ht="15.75" customHeight="1" x14ac:dyDescent="0.25"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</row>
    <row r="268" spans="15:54" ht="15.75" customHeight="1" x14ac:dyDescent="0.25"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</row>
    <row r="269" spans="15:54" ht="15.75" customHeight="1" x14ac:dyDescent="0.25"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</row>
    <row r="270" spans="15:54" ht="15.75" customHeight="1" x14ac:dyDescent="0.25"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</row>
    <row r="271" spans="15:54" ht="15.75" customHeight="1" x14ac:dyDescent="0.25"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</row>
    <row r="272" spans="15:54" ht="15.75" customHeight="1" x14ac:dyDescent="0.25"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</row>
    <row r="273" spans="15:54" ht="15.75" customHeight="1" x14ac:dyDescent="0.25"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</row>
    <row r="274" spans="15:54" ht="15.75" customHeight="1" x14ac:dyDescent="0.25"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</row>
    <row r="275" spans="15:54" ht="15.75" customHeight="1" x14ac:dyDescent="0.25"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</row>
    <row r="276" spans="15:54" ht="15.75" customHeight="1" x14ac:dyDescent="0.25"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</row>
    <row r="277" spans="15:54" ht="15.75" customHeight="1" x14ac:dyDescent="0.25"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</row>
    <row r="278" spans="15:54" ht="15.75" customHeight="1" x14ac:dyDescent="0.25"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</row>
    <row r="279" spans="15:54" ht="15.75" customHeight="1" x14ac:dyDescent="0.25"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</row>
    <row r="280" spans="15:54" ht="15.75" customHeight="1" x14ac:dyDescent="0.25"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</row>
    <row r="281" spans="15:54" ht="15.75" customHeight="1" x14ac:dyDescent="0.25"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</row>
    <row r="282" spans="15:54" ht="15.75" customHeight="1" x14ac:dyDescent="0.25"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</row>
    <row r="283" spans="15:54" ht="15.75" customHeight="1" x14ac:dyDescent="0.25"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</row>
    <row r="284" spans="15:54" ht="15.75" customHeight="1" x14ac:dyDescent="0.25"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</row>
    <row r="285" spans="15:54" ht="15.75" customHeight="1" x14ac:dyDescent="0.25"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</row>
    <row r="286" spans="15:54" ht="15.75" customHeight="1" x14ac:dyDescent="0.25"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</row>
    <row r="287" spans="15:54" ht="15.75" customHeight="1" x14ac:dyDescent="0.25"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</row>
    <row r="288" spans="15:54" ht="15.75" customHeight="1" x14ac:dyDescent="0.25"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</row>
    <row r="289" spans="15:54" ht="15.75" customHeight="1" x14ac:dyDescent="0.25"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</row>
    <row r="290" spans="15:54" ht="15.75" customHeight="1" x14ac:dyDescent="0.25"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</row>
    <row r="291" spans="15:54" ht="15.75" customHeight="1" x14ac:dyDescent="0.25"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</row>
    <row r="292" spans="15:54" ht="15.75" customHeight="1" x14ac:dyDescent="0.25"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</row>
    <row r="293" spans="15:54" ht="15.75" customHeight="1" x14ac:dyDescent="0.25"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</row>
    <row r="294" spans="15:54" ht="15.75" customHeight="1" x14ac:dyDescent="0.25"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</row>
    <row r="295" spans="15:54" ht="15.75" customHeight="1" x14ac:dyDescent="0.25"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</row>
    <row r="296" spans="15:54" ht="15.75" customHeight="1" x14ac:dyDescent="0.25"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</row>
    <row r="297" spans="15:54" ht="15.75" customHeight="1" x14ac:dyDescent="0.25"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</row>
    <row r="298" spans="15:54" ht="15.75" customHeight="1" x14ac:dyDescent="0.25"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</row>
    <row r="299" spans="15:54" ht="15.75" customHeight="1" x14ac:dyDescent="0.25"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</row>
    <row r="300" spans="15:54" ht="15.75" customHeight="1" x14ac:dyDescent="0.25"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</row>
    <row r="301" spans="15:54" ht="15.75" customHeight="1" x14ac:dyDescent="0.25"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</row>
    <row r="302" spans="15:54" ht="15.75" customHeight="1" x14ac:dyDescent="0.25"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</row>
    <row r="303" spans="15:54" ht="15.75" customHeight="1" x14ac:dyDescent="0.25"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</row>
    <row r="304" spans="15:54" ht="15.75" customHeight="1" x14ac:dyDescent="0.25"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</row>
    <row r="305" spans="15:54" ht="15.75" customHeight="1" x14ac:dyDescent="0.25"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</row>
    <row r="306" spans="15:54" ht="15.75" customHeight="1" x14ac:dyDescent="0.25"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</row>
    <row r="307" spans="15:54" ht="15.75" customHeight="1" x14ac:dyDescent="0.25"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</row>
    <row r="308" spans="15:54" ht="15.75" customHeight="1" x14ac:dyDescent="0.25"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</row>
    <row r="309" spans="15:54" ht="15.75" customHeight="1" x14ac:dyDescent="0.25"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</row>
    <row r="310" spans="15:54" ht="15.75" customHeight="1" x14ac:dyDescent="0.25"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</row>
    <row r="311" spans="15:54" ht="15.75" customHeight="1" x14ac:dyDescent="0.25"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</row>
    <row r="312" spans="15:54" ht="15.75" customHeight="1" x14ac:dyDescent="0.25"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</row>
    <row r="313" spans="15:54" ht="15.75" customHeight="1" x14ac:dyDescent="0.25"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</row>
    <row r="314" spans="15:54" ht="15.75" customHeight="1" x14ac:dyDescent="0.25"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</row>
    <row r="315" spans="15:54" ht="15.75" customHeight="1" x14ac:dyDescent="0.25"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</row>
    <row r="316" spans="15:54" ht="15.75" customHeight="1" x14ac:dyDescent="0.25"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</row>
    <row r="317" spans="15:54" ht="15.75" customHeight="1" x14ac:dyDescent="0.25"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</row>
    <row r="318" spans="15:54" ht="15.75" customHeight="1" x14ac:dyDescent="0.25"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</row>
    <row r="319" spans="15:54" ht="15.75" customHeight="1" x14ac:dyDescent="0.25"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</row>
    <row r="320" spans="15:54" ht="15.75" customHeight="1" x14ac:dyDescent="0.25"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</row>
    <row r="321" spans="15:54" ht="15.75" customHeight="1" x14ac:dyDescent="0.25"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</row>
    <row r="322" spans="15:54" ht="15.75" customHeight="1" x14ac:dyDescent="0.25"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</row>
    <row r="323" spans="15:54" ht="15.75" customHeight="1" x14ac:dyDescent="0.25"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</row>
    <row r="324" spans="15:54" ht="15.75" customHeight="1" x14ac:dyDescent="0.25"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</row>
    <row r="325" spans="15:54" ht="15.75" customHeight="1" x14ac:dyDescent="0.25"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</row>
    <row r="326" spans="15:54" ht="15.75" customHeight="1" x14ac:dyDescent="0.25"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</row>
    <row r="327" spans="15:54" ht="15.75" customHeight="1" x14ac:dyDescent="0.25"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</row>
    <row r="328" spans="15:54" ht="15.75" customHeight="1" x14ac:dyDescent="0.25"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</row>
    <row r="329" spans="15:54" ht="15.75" customHeight="1" x14ac:dyDescent="0.25"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</row>
    <row r="330" spans="15:54" ht="15.75" customHeight="1" x14ac:dyDescent="0.25"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</row>
    <row r="331" spans="15:54" ht="15.75" customHeight="1" x14ac:dyDescent="0.25"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</row>
    <row r="332" spans="15:54" ht="15.75" customHeight="1" x14ac:dyDescent="0.25"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</row>
    <row r="333" spans="15:54" ht="15.75" customHeight="1" x14ac:dyDescent="0.25"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</row>
    <row r="334" spans="15:54" ht="15.75" customHeight="1" x14ac:dyDescent="0.25"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</row>
    <row r="335" spans="15:54" ht="15.75" customHeight="1" x14ac:dyDescent="0.25"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</row>
    <row r="336" spans="15:54" ht="15.75" customHeight="1" x14ac:dyDescent="0.25"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</row>
    <row r="337" spans="15:54" ht="15.75" customHeight="1" x14ac:dyDescent="0.25"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</row>
    <row r="338" spans="15:54" ht="15.75" customHeight="1" x14ac:dyDescent="0.25"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</row>
    <row r="339" spans="15:54" ht="15.75" customHeight="1" x14ac:dyDescent="0.25"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</row>
    <row r="340" spans="15:54" ht="15.75" customHeight="1" x14ac:dyDescent="0.25"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</row>
    <row r="341" spans="15:54" ht="15.75" customHeight="1" x14ac:dyDescent="0.25"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</row>
    <row r="342" spans="15:54" ht="15.75" customHeight="1" x14ac:dyDescent="0.25"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</row>
    <row r="343" spans="15:54" ht="15.75" customHeight="1" x14ac:dyDescent="0.25"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</row>
    <row r="344" spans="15:54" ht="15.75" customHeight="1" x14ac:dyDescent="0.25"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</row>
    <row r="345" spans="15:54" ht="15.75" customHeight="1" x14ac:dyDescent="0.25"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</row>
    <row r="346" spans="15:54" ht="15.75" customHeight="1" x14ac:dyDescent="0.25"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</row>
    <row r="347" spans="15:54" ht="15.75" customHeight="1" x14ac:dyDescent="0.25"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</row>
    <row r="348" spans="15:54" ht="15.75" customHeight="1" x14ac:dyDescent="0.25"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</row>
    <row r="349" spans="15:54" ht="15.75" customHeight="1" x14ac:dyDescent="0.25"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</row>
    <row r="350" spans="15:54" ht="15.75" customHeight="1" x14ac:dyDescent="0.25"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</row>
    <row r="351" spans="15:54" ht="15.75" customHeight="1" x14ac:dyDescent="0.25"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</row>
    <row r="352" spans="15:54" ht="15.75" customHeight="1" x14ac:dyDescent="0.25"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</row>
    <row r="353" spans="15:54" ht="15.75" customHeight="1" x14ac:dyDescent="0.25"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</row>
    <row r="354" spans="15:54" ht="15.75" customHeight="1" x14ac:dyDescent="0.25"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</row>
    <row r="355" spans="15:54" ht="15.75" customHeight="1" x14ac:dyDescent="0.25"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</row>
    <row r="356" spans="15:54" ht="15.75" customHeight="1" x14ac:dyDescent="0.25"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</row>
    <row r="357" spans="15:54" ht="15.75" customHeight="1" x14ac:dyDescent="0.25"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</row>
    <row r="358" spans="15:54" ht="15.75" customHeight="1" x14ac:dyDescent="0.25"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</row>
    <row r="359" spans="15:54" ht="15.75" customHeight="1" x14ac:dyDescent="0.25"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</row>
    <row r="360" spans="15:54" ht="15.75" customHeight="1" x14ac:dyDescent="0.25"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</row>
    <row r="361" spans="15:54" ht="15.75" customHeight="1" x14ac:dyDescent="0.25"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</row>
    <row r="362" spans="15:54" ht="15.75" customHeight="1" x14ac:dyDescent="0.25"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</row>
    <row r="363" spans="15:54" ht="15.75" customHeight="1" x14ac:dyDescent="0.25"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</row>
    <row r="364" spans="15:54" ht="15.75" customHeight="1" x14ac:dyDescent="0.25"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</row>
    <row r="365" spans="15:54" ht="15.75" customHeight="1" x14ac:dyDescent="0.25"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</row>
    <row r="366" spans="15:54" ht="15.75" customHeight="1" x14ac:dyDescent="0.25"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</row>
    <row r="367" spans="15:54" ht="15.75" customHeight="1" x14ac:dyDescent="0.25"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</row>
    <row r="368" spans="15:54" ht="15.75" customHeight="1" x14ac:dyDescent="0.25"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</row>
    <row r="369" spans="15:54" ht="15.75" customHeight="1" x14ac:dyDescent="0.25"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</row>
    <row r="370" spans="15:54" ht="15.75" customHeight="1" x14ac:dyDescent="0.25"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</row>
    <row r="371" spans="15:54" ht="15.75" customHeight="1" x14ac:dyDescent="0.25"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</row>
    <row r="372" spans="15:54" ht="15.75" customHeight="1" x14ac:dyDescent="0.25"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</row>
    <row r="373" spans="15:54" ht="15.75" customHeight="1" x14ac:dyDescent="0.25"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</row>
    <row r="374" spans="15:54" ht="15.75" customHeight="1" x14ac:dyDescent="0.25"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</row>
    <row r="375" spans="15:54" ht="15.75" customHeight="1" x14ac:dyDescent="0.25"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</row>
    <row r="376" spans="15:54" ht="15.75" customHeight="1" x14ac:dyDescent="0.25"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</row>
    <row r="377" spans="15:54" ht="15.75" customHeight="1" x14ac:dyDescent="0.25"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</row>
    <row r="378" spans="15:54" ht="15.75" customHeight="1" x14ac:dyDescent="0.25"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</row>
    <row r="379" spans="15:54" ht="15.75" customHeight="1" x14ac:dyDescent="0.25"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</row>
    <row r="380" spans="15:54" ht="15.75" customHeight="1" x14ac:dyDescent="0.25"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</row>
    <row r="381" spans="15:54" ht="15.75" customHeight="1" x14ac:dyDescent="0.25"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</row>
    <row r="382" spans="15:54" ht="15.75" customHeight="1" x14ac:dyDescent="0.25"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</row>
    <row r="383" spans="15:54" ht="15.75" customHeight="1" x14ac:dyDescent="0.25"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</row>
    <row r="384" spans="15:54" ht="15.75" customHeight="1" x14ac:dyDescent="0.25"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</row>
    <row r="385" spans="15:54" ht="15.75" customHeight="1" x14ac:dyDescent="0.25"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</row>
    <row r="386" spans="15:54" ht="15.75" customHeight="1" x14ac:dyDescent="0.25"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</row>
    <row r="387" spans="15:54" ht="15.75" customHeight="1" x14ac:dyDescent="0.25"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</row>
    <row r="388" spans="15:54" ht="15.75" customHeight="1" x14ac:dyDescent="0.25"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</row>
    <row r="389" spans="15:54" ht="15.75" customHeight="1" x14ac:dyDescent="0.25"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</row>
    <row r="390" spans="15:54" ht="15.75" customHeight="1" x14ac:dyDescent="0.25"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</row>
    <row r="391" spans="15:54" ht="15.75" customHeight="1" x14ac:dyDescent="0.25"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</row>
    <row r="392" spans="15:54" ht="15.75" customHeight="1" x14ac:dyDescent="0.25"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</row>
    <row r="393" spans="15:54" ht="15.75" customHeight="1" x14ac:dyDescent="0.25"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</row>
    <row r="394" spans="15:54" ht="15.75" customHeight="1" x14ac:dyDescent="0.25"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</row>
    <row r="395" spans="15:54" ht="15.75" customHeight="1" x14ac:dyDescent="0.25"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</row>
    <row r="396" spans="15:54" ht="15.75" customHeight="1" x14ac:dyDescent="0.25"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</row>
    <row r="397" spans="15:54" ht="15.75" customHeight="1" x14ac:dyDescent="0.25"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</row>
    <row r="398" spans="15:54" ht="15.75" customHeight="1" x14ac:dyDescent="0.25"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</row>
    <row r="399" spans="15:54" ht="15.75" customHeight="1" x14ac:dyDescent="0.25"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</row>
    <row r="400" spans="15:54" ht="15.75" customHeight="1" x14ac:dyDescent="0.25"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</row>
    <row r="401" spans="15:54" ht="15.75" customHeight="1" x14ac:dyDescent="0.25"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</row>
    <row r="402" spans="15:54" ht="15.75" customHeight="1" x14ac:dyDescent="0.25"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</row>
    <row r="403" spans="15:54" ht="15.75" customHeight="1" x14ac:dyDescent="0.25"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</row>
    <row r="404" spans="15:54" ht="15.75" customHeight="1" x14ac:dyDescent="0.25"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</row>
    <row r="405" spans="15:54" ht="15.75" customHeight="1" x14ac:dyDescent="0.25"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</row>
    <row r="406" spans="15:54" ht="15.75" customHeight="1" x14ac:dyDescent="0.25"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</row>
    <row r="407" spans="15:54" ht="15.75" customHeight="1" x14ac:dyDescent="0.25"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</row>
    <row r="408" spans="15:54" ht="15.75" customHeight="1" x14ac:dyDescent="0.25"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</row>
    <row r="409" spans="15:54" ht="15.75" customHeight="1" x14ac:dyDescent="0.25"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</row>
    <row r="410" spans="15:54" ht="15.75" customHeight="1" x14ac:dyDescent="0.25"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</row>
    <row r="411" spans="15:54" ht="15.75" customHeight="1" x14ac:dyDescent="0.25"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</row>
    <row r="412" spans="15:54" ht="15.75" customHeight="1" x14ac:dyDescent="0.25"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</row>
    <row r="413" spans="15:54" ht="15.75" customHeight="1" x14ac:dyDescent="0.25"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</row>
    <row r="414" spans="15:54" ht="15.75" customHeight="1" x14ac:dyDescent="0.25"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</row>
    <row r="415" spans="15:54" ht="15.75" customHeight="1" x14ac:dyDescent="0.25"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</row>
    <row r="416" spans="15:54" ht="15.75" customHeight="1" x14ac:dyDescent="0.25"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</row>
    <row r="417" spans="15:54" ht="15.75" customHeight="1" x14ac:dyDescent="0.25"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</row>
    <row r="418" spans="15:54" ht="15.75" customHeight="1" x14ac:dyDescent="0.25"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</row>
    <row r="419" spans="15:54" ht="15.75" customHeight="1" x14ac:dyDescent="0.25"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</row>
    <row r="420" spans="15:54" ht="15.75" customHeight="1" x14ac:dyDescent="0.25"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</row>
    <row r="421" spans="15:54" ht="15.75" customHeight="1" x14ac:dyDescent="0.25"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</row>
    <row r="422" spans="15:54" ht="15.75" customHeight="1" x14ac:dyDescent="0.25"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</row>
    <row r="423" spans="15:54" ht="15.75" customHeight="1" x14ac:dyDescent="0.25"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</row>
    <row r="424" spans="15:54" ht="15.75" customHeight="1" x14ac:dyDescent="0.25"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</row>
    <row r="425" spans="15:54" ht="15.75" customHeight="1" x14ac:dyDescent="0.25"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</row>
    <row r="426" spans="15:54" ht="15.75" customHeight="1" x14ac:dyDescent="0.25"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</row>
    <row r="427" spans="15:54" ht="15.75" customHeight="1" x14ac:dyDescent="0.25"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</row>
    <row r="428" spans="15:54" ht="15.75" customHeight="1" x14ac:dyDescent="0.25"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</row>
    <row r="429" spans="15:54" ht="15.75" customHeight="1" x14ac:dyDescent="0.25"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</row>
    <row r="430" spans="15:54" ht="15.75" customHeight="1" x14ac:dyDescent="0.25"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</row>
    <row r="431" spans="15:54" ht="15.75" customHeight="1" x14ac:dyDescent="0.25"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</row>
    <row r="432" spans="15:54" ht="15.75" customHeight="1" x14ac:dyDescent="0.25"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</row>
    <row r="433" spans="15:54" ht="15.75" customHeight="1" x14ac:dyDescent="0.25"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</row>
    <row r="434" spans="15:54" ht="15.75" customHeight="1" x14ac:dyDescent="0.25"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</row>
    <row r="435" spans="15:54" ht="15.75" customHeight="1" x14ac:dyDescent="0.25"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</row>
    <row r="436" spans="15:54" ht="15.75" customHeight="1" x14ac:dyDescent="0.25"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</row>
    <row r="437" spans="15:54" ht="15.75" customHeight="1" x14ac:dyDescent="0.25"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</row>
    <row r="438" spans="15:54" ht="15.75" customHeight="1" x14ac:dyDescent="0.25"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</row>
    <row r="439" spans="15:54" ht="15.75" customHeight="1" x14ac:dyDescent="0.25"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</row>
    <row r="440" spans="15:54" ht="15.75" customHeight="1" x14ac:dyDescent="0.25"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</row>
    <row r="441" spans="15:54" ht="15.75" customHeight="1" x14ac:dyDescent="0.25"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</row>
    <row r="442" spans="15:54" ht="15.75" customHeight="1" x14ac:dyDescent="0.25"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</row>
    <row r="443" spans="15:54" ht="15.75" customHeight="1" x14ac:dyDescent="0.25"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</row>
    <row r="444" spans="15:54" ht="15.75" customHeight="1" x14ac:dyDescent="0.25"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</row>
    <row r="445" spans="15:54" ht="15.75" customHeight="1" x14ac:dyDescent="0.25"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</row>
    <row r="446" spans="15:54" ht="15.75" customHeight="1" x14ac:dyDescent="0.25"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</row>
    <row r="447" spans="15:54" ht="15.75" customHeight="1" x14ac:dyDescent="0.25"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</row>
    <row r="448" spans="15:54" ht="15.75" customHeight="1" x14ac:dyDescent="0.25"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</row>
    <row r="449" spans="15:54" ht="15.75" customHeight="1" x14ac:dyDescent="0.25"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</row>
    <row r="450" spans="15:54" ht="15.75" customHeight="1" x14ac:dyDescent="0.25"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</row>
    <row r="451" spans="15:54" ht="15.75" customHeight="1" x14ac:dyDescent="0.25"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</row>
    <row r="452" spans="15:54" ht="15.75" customHeight="1" x14ac:dyDescent="0.25"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</row>
    <row r="453" spans="15:54" ht="15.75" customHeight="1" x14ac:dyDescent="0.25"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</row>
    <row r="454" spans="15:54" ht="15.75" customHeight="1" x14ac:dyDescent="0.25"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</row>
    <row r="455" spans="15:54" ht="15.75" customHeight="1" x14ac:dyDescent="0.25"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</row>
    <row r="456" spans="15:54" ht="15.75" customHeight="1" x14ac:dyDescent="0.25"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</row>
    <row r="457" spans="15:54" ht="15.75" customHeight="1" x14ac:dyDescent="0.25"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</row>
    <row r="458" spans="15:54" ht="15.75" customHeight="1" x14ac:dyDescent="0.25"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</row>
    <row r="459" spans="15:54" ht="15.75" customHeight="1" x14ac:dyDescent="0.25"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</row>
    <row r="460" spans="15:54" ht="15.75" customHeight="1" x14ac:dyDescent="0.25"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</row>
    <row r="461" spans="15:54" ht="15.75" customHeight="1" x14ac:dyDescent="0.25"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</row>
    <row r="462" spans="15:54" ht="15.75" customHeight="1" x14ac:dyDescent="0.25"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</row>
    <row r="463" spans="15:54" ht="15.75" customHeight="1" x14ac:dyDescent="0.25"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</row>
    <row r="464" spans="15:54" ht="15.75" customHeight="1" x14ac:dyDescent="0.25"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</row>
    <row r="465" spans="15:54" ht="15.75" customHeight="1" x14ac:dyDescent="0.25"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</row>
    <row r="466" spans="15:54" ht="15.75" customHeight="1" x14ac:dyDescent="0.25"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</row>
    <row r="467" spans="15:54" ht="15.75" customHeight="1" x14ac:dyDescent="0.25"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</row>
    <row r="468" spans="15:54" ht="15.75" customHeight="1" x14ac:dyDescent="0.25"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</row>
    <row r="469" spans="15:54" ht="15.75" customHeight="1" x14ac:dyDescent="0.25"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</row>
    <row r="470" spans="15:54" ht="15.75" customHeight="1" x14ac:dyDescent="0.25"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</row>
    <row r="471" spans="15:54" ht="15.75" customHeight="1" x14ac:dyDescent="0.25"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</row>
    <row r="472" spans="15:54" ht="15.75" customHeight="1" x14ac:dyDescent="0.25"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</row>
    <row r="473" spans="15:54" ht="15.75" customHeight="1" x14ac:dyDescent="0.25"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</row>
    <row r="474" spans="15:54" ht="15.75" customHeight="1" x14ac:dyDescent="0.25"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</row>
    <row r="475" spans="15:54" ht="15.75" customHeight="1" x14ac:dyDescent="0.25"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</row>
    <row r="476" spans="15:54" ht="15.75" customHeight="1" x14ac:dyDescent="0.25"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</row>
    <row r="477" spans="15:54" ht="15.75" customHeight="1" x14ac:dyDescent="0.25"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</row>
    <row r="478" spans="15:54" ht="15.75" customHeight="1" x14ac:dyDescent="0.25"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</row>
    <row r="479" spans="15:54" ht="15.75" customHeight="1" x14ac:dyDescent="0.25"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</row>
    <row r="480" spans="15:54" ht="15.75" customHeight="1" x14ac:dyDescent="0.25"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</row>
    <row r="481" spans="15:54" ht="15.75" customHeight="1" x14ac:dyDescent="0.25"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</row>
    <row r="482" spans="15:54" ht="15.75" customHeight="1" x14ac:dyDescent="0.25"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</row>
    <row r="483" spans="15:54" ht="15.75" customHeight="1" x14ac:dyDescent="0.25"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</row>
    <row r="484" spans="15:54" ht="15.75" customHeight="1" x14ac:dyDescent="0.25"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</row>
    <row r="485" spans="15:54" ht="15.75" customHeight="1" x14ac:dyDescent="0.25"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</row>
    <row r="486" spans="15:54" ht="15.75" customHeight="1" x14ac:dyDescent="0.25"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</row>
    <row r="487" spans="15:54" ht="15.75" customHeight="1" x14ac:dyDescent="0.25"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</row>
    <row r="488" spans="15:54" ht="15.75" customHeight="1" x14ac:dyDescent="0.25"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</row>
    <row r="489" spans="15:54" ht="15.75" customHeight="1" x14ac:dyDescent="0.25"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</row>
    <row r="490" spans="15:54" ht="15.75" customHeight="1" x14ac:dyDescent="0.25"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</row>
    <row r="491" spans="15:54" ht="15.75" customHeight="1" x14ac:dyDescent="0.25"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</row>
    <row r="492" spans="15:54" ht="15.75" customHeight="1" x14ac:dyDescent="0.25"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</row>
    <row r="493" spans="15:54" ht="15.75" customHeight="1" x14ac:dyDescent="0.25"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</row>
    <row r="494" spans="15:54" ht="15.75" customHeight="1" x14ac:dyDescent="0.25"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</row>
    <row r="495" spans="15:54" ht="15.75" customHeight="1" x14ac:dyDescent="0.25"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</row>
    <row r="496" spans="15:54" ht="15.75" customHeight="1" x14ac:dyDescent="0.25"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</row>
    <row r="497" spans="15:54" ht="15.75" customHeight="1" x14ac:dyDescent="0.25"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</row>
    <row r="498" spans="15:54" ht="15.75" customHeight="1" x14ac:dyDescent="0.25"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</row>
    <row r="499" spans="15:54" ht="15.75" customHeight="1" x14ac:dyDescent="0.25"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</row>
    <row r="500" spans="15:54" ht="15.75" customHeight="1" x14ac:dyDescent="0.25"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</row>
    <row r="501" spans="15:54" ht="15.75" customHeight="1" x14ac:dyDescent="0.25"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</row>
    <row r="502" spans="15:54" ht="15.75" customHeight="1" x14ac:dyDescent="0.25"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</row>
    <row r="503" spans="15:54" ht="15.75" customHeight="1" x14ac:dyDescent="0.25"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</row>
    <row r="504" spans="15:54" ht="15.75" customHeight="1" x14ac:dyDescent="0.25"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</row>
    <row r="505" spans="15:54" ht="15.75" customHeight="1" x14ac:dyDescent="0.25"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</row>
    <row r="506" spans="15:54" ht="15.75" customHeight="1" x14ac:dyDescent="0.25"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</row>
    <row r="507" spans="15:54" ht="15.75" customHeight="1" x14ac:dyDescent="0.25"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</row>
    <row r="508" spans="15:54" ht="15.75" customHeight="1" x14ac:dyDescent="0.25"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</row>
    <row r="509" spans="15:54" ht="15.75" customHeight="1" x14ac:dyDescent="0.25"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</row>
    <row r="510" spans="15:54" ht="15.75" customHeight="1" x14ac:dyDescent="0.25"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</row>
    <row r="511" spans="15:54" ht="15.75" customHeight="1" x14ac:dyDescent="0.25"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</row>
    <row r="512" spans="15:54" ht="15.75" customHeight="1" x14ac:dyDescent="0.25"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</row>
    <row r="513" spans="15:54" ht="15.75" customHeight="1" x14ac:dyDescent="0.25"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</row>
    <row r="514" spans="15:54" ht="15.75" customHeight="1" x14ac:dyDescent="0.25"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</row>
    <row r="515" spans="15:54" ht="15.75" customHeight="1" x14ac:dyDescent="0.25"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</row>
    <row r="516" spans="15:54" ht="15.75" customHeight="1" x14ac:dyDescent="0.25"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</row>
    <row r="517" spans="15:54" ht="15.75" customHeight="1" x14ac:dyDescent="0.25"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</row>
    <row r="518" spans="15:54" ht="15.75" customHeight="1" x14ac:dyDescent="0.25"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</row>
    <row r="519" spans="15:54" ht="15.75" customHeight="1" x14ac:dyDescent="0.25"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</row>
    <row r="520" spans="15:54" ht="15.75" customHeight="1" x14ac:dyDescent="0.25"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</row>
    <row r="521" spans="15:54" ht="15.75" customHeight="1" x14ac:dyDescent="0.25"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</row>
    <row r="522" spans="15:54" ht="15.75" customHeight="1" x14ac:dyDescent="0.25"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</row>
    <row r="523" spans="15:54" ht="15.75" customHeight="1" x14ac:dyDescent="0.25"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</row>
    <row r="524" spans="15:54" ht="15.75" customHeight="1" x14ac:dyDescent="0.25"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</row>
    <row r="525" spans="15:54" ht="15.75" customHeight="1" x14ac:dyDescent="0.25"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</row>
    <row r="526" spans="15:54" ht="15.75" customHeight="1" x14ac:dyDescent="0.25"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</row>
    <row r="527" spans="15:54" ht="15.75" customHeight="1" x14ac:dyDescent="0.25"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</row>
    <row r="528" spans="15:54" ht="15.75" customHeight="1" x14ac:dyDescent="0.25"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</row>
    <row r="529" spans="15:54" ht="15.75" customHeight="1" x14ac:dyDescent="0.25"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</row>
    <row r="530" spans="15:54" ht="15.75" customHeight="1" x14ac:dyDescent="0.25"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</row>
    <row r="531" spans="15:54" ht="15.75" customHeight="1" x14ac:dyDescent="0.25"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</row>
    <row r="532" spans="15:54" ht="15.75" customHeight="1" x14ac:dyDescent="0.25"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</row>
    <row r="533" spans="15:54" ht="15.75" customHeight="1" x14ac:dyDescent="0.25"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</row>
    <row r="534" spans="15:54" ht="15.75" customHeight="1" x14ac:dyDescent="0.25"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</row>
    <row r="535" spans="15:54" ht="15.75" customHeight="1" x14ac:dyDescent="0.25"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</row>
    <row r="536" spans="15:54" ht="15.75" customHeight="1" x14ac:dyDescent="0.25"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</row>
    <row r="537" spans="15:54" ht="15.75" customHeight="1" x14ac:dyDescent="0.25"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</row>
    <row r="538" spans="15:54" ht="15.75" customHeight="1" x14ac:dyDescent="0.25"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</row>
    <row r="539" spans="15:54" ht="15.75" customHeight="1" x14ac:dyDescent="0.25"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</row>
    <row r="540" spans="15:54" ht="15.75" customHeight="1" x14ac:dyDescent="0.25"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</row>
    <row r="541" spans="15:54" ht="15.75" customHeight="1" x14ac:dyDescent="0.25"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</row>
    <row r="542" spans="15:54" ht="15.75" customHeight="1" x14ac:dyDescent="0.25"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</row>
    <row r="543" spans="15:54" ht="15.75" customHeight="1" x14ac:dyDescent="0.25"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</row>
    <row r="544" spans="15:54" ht="15.75" customHeight="1" x14ac:dyDescent="0.25"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</row>
    <row r="545" spans="15:54" ht="15.75" customHeight="1" x14ac:dyDescent="0.25"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</row>
    <row r="546" spans="15:54" ht="15.75" customHeight="1" x14ac:dyDescent="0.25"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</row>
    <row r="547" spans="15:54" ht="15.75" customHeight="1" x14ac:dyDescent="0.25"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</row>
    <row r="548" spans="15:54" ht="15.75" customHeight="1" x14ac:dyDescent="0.25"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</row>
    <row r="549" spans="15:54" ht="15.75" customHeight="1" x14ac:dyDescent="0.25"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</row>
    <row r="550" spans="15:54" ht="15.75" customHeight="1" x14ac:dyDescent="0.25"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</row>
    <row r="551" spans="15:54" ht="15.75" customHeight="1" x14ac:dyDescent="0.25"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</row>
    <row r="552" spans="15:54" ht="15.75" customHeight="1" x14ac:dyDescent="0.25"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</row>
    <row r="553" spans="15:54" ht="15.75" customHeight="1" x14ac:dyDescent="0.25"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</row>
    <row r="554" spans="15:54" ht="15.75" customHeight="1" x14ac:dyDescent="0.25"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</row>
    <row r="555" spans="15:54" ht="15.75" customHeight="1" x14ac:dyDescent="0.25"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</row>
    <row r="556" spans="15:54" ht="15.75" customHeight="1" x14ac:dyDescent="0.25"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</row>
    <row r="557" spans="15:54" ht="15.75" customHeight="1" x14ac:dyDescent="0.25"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</row>
    <row r="558" spans="15:54" ht="15.75" customHeight="1" x14ac:dyDescent="0.25"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</row>
    <row r="559" spans="15:54" ht="15.75" customHeight="1" x14ac:dyDescent="0.25"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</row>
    <row r="560" spans="15:54" ht="15.75" customHeight="1" x14ac:dyDescent="0.25"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</row>
    <row r="561" spans="15:54" ht="15.75" customHeight="1" x14ac:dyDescent="0.25"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</row>
    <row r="562" spans="15:54" ht="15.75" customHeight="1" x14ac:dyDescent="0.25"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</row>
    <row r="563" spans="15:54" ht="15.75" customHeight="1" x14ac:dyDescent="0.25"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</row>
    <row r="564" spans="15:54" ht="15.75" customHeight="1" x14ac:dyDescent="0.25"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</row>
    <row r="565" spans="15:54" ht="15.75" customHeight="1" x14ac:dyDescent="0.25"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</row>
    <row r="566" spans="15:54" ht="15.75" customHeight="1" x14ac:dyDescent="0.25"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</row>
    <row r="567" spans="15:54" ht="15.75" customHeight="1" x14ac:dyDescent="0.25"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</row>
    <row r="568" spans="15:54" ht="15.75" customHeight="1" x14ac:dyDescent="0.25"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</row>
    <row r="569" spans="15:54" ht="15.75" customHeight="1" x14ac:dyDescent="0.25"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</row>
    <row r="570" spans="15:54" ht="15.75" customHeight="1" x14ac:dyDescent="0.25"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</row>
    <row r="571" spans="15:54" ht="15.75" customHeight="1" x14ac:dyDescent="0.25"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</row>
    <row r="572" spans="15:54" ht="15.75" customHeight="1" x14ac:dyDescent="0.25"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</row>
    <row r="573" spans="15:54" ht="15.75" customHeight="1" x14ac:dyDescent="0.25"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</row>
    <row r="574" spans="15:54" ht="15.75" customHeight="1" x14ac:dyDescent="0.25"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</row>
    <row r="575" spans="15:54" ht="15.75" customHeight="1" x14ac:dyDescent="0.25"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</row>
    <row r="576" spans="15:54" ht="15.75" customHeight="1" x14ac:dyDescent="0.25"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</row>
    <row r="577" spans="15:54" ht="15.75" customHeight="1" x14ac:dyDescent="0.25"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</row>
    <row r="578" spans="15:54" ht="15.75" customHeight="1" x14ac:dyDescent="0.25"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</row>
    <row r="579" spans="15:54" ht="15.75" customHeight="1" x14ac:dyDescent="0.25"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</row>
    <row r="580" spans="15:54" ht="15.75" customHeight="1" x14ac:dyDescent="0.25"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</row>
    <row r="581" spans="15:54" ht="15.75" customHeight="1" x14ac:dyDescent="0.25"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</row>
    <row r="582" spans="15:54" ht="15.75" customHeight="1" x14ac:dyDescent="0.25"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</row>
    <row r="583" spans="15:54" ht="15.75" customHeight="1" x14ac:dyDescent="0.25"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</row>
    <row r="584" spans="15:54" ht="15.75" customHeight="1" x14ac:dyDescent="0.25"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</row>
    <row r="585" spans="15:54" ht="15.75" customHeight="1" x14ac:dyDescent="0.25"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</row>
    <row r="586" spans="15:54" ht="15.75" customHeight="1" x14ac:dyDescent="0.25"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</row>
    <row r="587" spans="15:54" ht="15.75" customHeight="1" x14ac:dyDescent="0.25"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</row>
    <row r="588" spans="15:54" ht="15.75" customHeight="1" x14ac:dyDescent="0.25"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</row>
    <row r="589" spans="15:54" ht="15.75" customHeight="1" x14ac:dyDescent="0.25"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</row>
    <row r="590" spans="15:54" ht="15.75" customHeight="1" x14ac:dyDescent="0.25"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</row>
    <row r="591" spans="15:54" ht="15.75" customHeight="1" x14ac:dyDescent="0.25"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</row>
    <row r="592" spans="15:54" ht="15.75" customHeight="1" x14ac:dyDescent="0.25"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</row>
    <row r="593" spans="15:54" ht="15.75" customHeight="1" x14ac:dyDescent="0.25"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</row>
    <row r="594" spans="15:54" ht="15.75" customHeight="1" x14ac:dyDescent="0.25"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</row>
    <row r="595" spans="15:54" ht="15.75" customHeight="1" x14ac:dyDescent="0.25"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</row>
    <row r="596" spans="15:54" ht="15.75" customHeight="1" x14ac:dyDescent="0.25"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</row>
    <row r="597" spans="15:54" ht="15.75" customHeight="1" x14ac:dyDescent="0.25"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</row>
    <row r="598" spans="15:54" ht="15.75" customHeight="1" x14ac:dyDescent="0.25"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</row>
    <row r="599" spans="15:54" ht="15.75" customHeight="1" x14ac:dyDescent="0.25"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</row>
    <row r="600" spans="15:54" ht="15.75" customHeight="1" x14ac:dyDescent="0.25"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</row>
    <row r="601" spans="15:54" ht="15.75" customHeight="1" x14ac:dyDescent="0.25"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</row>
    <row r="602" spans="15:54" ht="15.75" customHeight="1" x14ac:dyDescent="0.25"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</row>
    <row r="603" spans="15:54" ht="15.75" customHeight="1" x14ac:dyDescent="0.25"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</row>
    <row r="604" spans="15:54" ht="15.75" customHeight="1" x14ac:dyDescent="0.25"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</row>
    <row r="605" spans="15:54" ht="15.75" customHeight="1" x14ac:dyDescent="0.25"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</row>
    <row r="606" spans="15:54" ht="15.75" customHeight="1" x14ac:dyDescent="0.25"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</row>
    <row r="607" spans="15:54" ht="15.75" customHeight="1" x14ac:dyDescent="0.25"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</row>
    <row r="608" spans="15:54" ht="15.75" customHeight="1" x14ac:dyDescent="0.25"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</row>
    <row r="609" spans="15:54" ht="15.75" customHeight="1" x14ac:dyDescent="0.25"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</row>
    <row r="610" spans="15:54" ht="15.75" customHeight="1" x14ac:dyDescent="0.25"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</row>
    <row r="611" spans="15:54" ht="15.75" customHeight="1" x14ac:dyDescent="0.25"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</row>
    <row r="612" spans="15:54" ht="15.75" customHeight="1" x14ac:dyDescent="0.25"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</row>
    <row r="613" spans="15:54" ht="15.75" customHeight="1" x14ac:dyDescent="0.25"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</row>
    <row r="614" spans="15:54" ht="15.75" customHeight="1" x14ac:dyDescent="0.25"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</row>
    <row r="615" spans="15:54" ht="15.75" customHeight="1" x14ac:dyDescent="0.25"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</row>
    <row r="616" spans="15:54" ht="15.75" customHeight="1" x14ac:dyDescent="0.25"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</row>
    <row r="617" spans="15:54" ht="15.75" customHeight="1" x14ac:dyDescent="0.25"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</row>
    <row r="618" spans="15:54" ht="15.75" customHeight="1" x14ac:dyDescent="0.25"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</row>
    <row r="619" spans="15:54" ht="15.75" customHeight="1" x14ac:dyDescent="0.25"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</row>
    <row r="620" spans="15:54" ht="15.75" customHeight="1" x14ac:dyDescent="0.25"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</row>
    <row r="621" spans="15:54" ht="15.75" customHeight="1" x14ac:dyDescent="0.25"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</row>
    <row r="622" spans="15:54" ht="15.75" customHeight="1" x14ac:dyDescent="0.25"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</row>
    <row r="623" spans="15:54" ht="15.75" customHeight="1" x14ac:dyDescent="0.25"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</row>
    <row r="624" spans="15:54" ht="15.75" customHeight="1" x14ac:dyDescent="0.25"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</row>
    <row r="625" spans="15:54" ht="15.75" customHeight="1" x14ac:dyDescent="0.25"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</row>
    <row r="626" spans="15:54" ht="15.75" customHeight="1" x14ac:dyDescent="0.25"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</row>
    <row r="627" spans="15:54" ht="15.75" customHeight="1" x14ac:dyDescent="0.25"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</row>
    <row r="628" spans="15:54" ht="15.75" customHeight="1" x14ac:dyDescent="0.25"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</row>
    <row r="629" spans="15:54" ht="15.75" customHeight="1" x14ac:dyDescent="0.25"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</row>
    <row r="630" spans="15:54" ht="15.75" customHeight="1" x14ac:dyDescent="0.25"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</row>
    <row r="631" spans="15:54" ht="15.75" customHeight="1" x14ac:dyDescent="0.25"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</row>
    <row r="632" spans="15:54" ht="15.75" customHeight="1" x14ac:dyDescent="0.25"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</row>
    <row r="633" spans="15:54" ht="15.75" customHeight="1" x14ac:dyDescent="0.25"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</row>
    <row r="634" spans="15:54" ht="15.75" customHeight="1" x14ac:dyDescent="0.25"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</row>
    <row r="635" spans="15:54" ht="15.75" customHeight="1" x14ac:dyDescent="0.25"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</row>
    <row r="636" spans="15:54" ht="15.75" customHeight="1" x14ac:dyDescent="0.25"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</row>
    <row r="637" spans="15:54" ht="15.75" customHeight="1" x14ac:dyDescent="0.25"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</row>
    <row r="638" spans="15:54" ht="15.75" customHeight="1" x14ac:dyDescent="0.25"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</row>
    <row r="639" spans="15:54" ht="15.75" customHeight="1" x14ac:dyDescent="0.25"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</row>
    <row r="640" spans="15:54" ht="15.75" customHeight="1" x14ac:dyDescent="0.25"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</row>
    <row r="641" spans="15:54" ht="15.75" customHeight="1" x14ac:dyDescent="0.25"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</row>
    <row r="642" spans="15:54" ht="15.75" customHeight="1" x14ac:dyDescent="0.25"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</row>
    <row r="643" spans="15:54" ht="15.75" customHeight="1" x14ac:dyDescent="0.25"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</row>
    <row r="644" spans="15:54" ht="15.75" customHeight="1" x14ac:dyDescent="0.25"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</row>
    <row r="645" spans="15:54" ht="15.75" customHeight="1" x14ac:dyDescent="0.25"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</row>
    <row r="646" spans="15:54" ht="15.75" customHeight="1" x14ac:dyDescent="0.25"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</row>
    <row r="647" spans="15:54" ht="15.75" customHeight="1" x14ac:dyDescent="0.25"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</row>
    <row r="648" spans="15:54" ht="15.75" customHeight="1" x14ac:dyDescent="0.25"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</row>
    <row r="649" spans="15:54" ht="15.75" customHeight="1" x14ac:dyDescent="0.25"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</row>
    <row r="650" spans="15:54" ht="15.75" customHeight="1" x14ac:dyDescent="0.25"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</row>
    <row r="651" spans="15:54" ht="15.75" customHeight="1" x14ac:dyDescent="0.25"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</row>
    <row r="652" spans="15:54" ht="15.75" customHeight="1" x14ac:dyDescent="0.25"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</row>
    <row r="653" spans="15:54" ht="15.75" customHeight="1" x14ac:dyDescent="0.25"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</row>
    <row r="654" spans="15:54" ht="15.75" customHeight="1" x14ac:dyDescent="0.25"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</row>
    <row r="655" spans="15:54" ht="15.75" customHeight="1" x14ac:dyDescent="0.25"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</row>
    <row r="656" spans="15:54" ht="15.75" customHeight="1" x14ac:dyDescent="0.25"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</row>
    <row r="657" spans="15:54" ht="15.75" customHeight="1" x14ac:dyDescent="0.25"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</row>
    <row r="658" spans="15:54" ht="15.75" customHeight="1" x14ac:dyDescent="0.25"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</row>
    <row r="659" spans="15:54" ht="15.75" customHeight="1" x14ac:dyDescent="0.25"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</row>
    <row r="660" spans="15:54" ht="15.75" customHeight="1" x14ac:dyDescent="0.25"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</row>
    <row r="661" spans="15:54" ht="15.75" customHeight="1" x14ac:dyDescent="0.25"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</row>
    <row r="662" spans="15:54" ht="15.75" customHeight="1" x14ac:dyDescent="0.25"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</row>
    <row r="663" spans="15:54" ht="15.75" customHeight="1" x14ac:dyDescent="0.25"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</row>
    <row r="664" spans="15:54" ht="15.75" customHeight="1" x14ac:dyDescent="0.25"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</row>
    <row r="665" spans="15:54" ht="15.75" customHeight="1" x14ac:dyDescent="0.25"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</row>
    <row r="666" spans="15:54" ht="15.75" customHeight="1" x14ac:dyDescent="0.25"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</row>
    <row r="667" spans="15:54" ht="15.75" customHeight="1" x14ac:dyDescent="0.25"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</row>
    <row r="668" spans="15:54" ht="15.75" customHeight="1" x14ac:dyDescent="0.25"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</row>
    <row r="669" spans="15:54" ht="15.75" customHeight="1" x14ac:dyDescent="0.25"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</row>
    <row r="670" spans="15:54" ht="15.75" customHeight="1" x14ac:dyDescent="0.25"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</row>
    <row r="671" spans="15:54" ht="15.75" customHeight="1" x14ac:dyDescent="0.25"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</row>
    <row r="672" spans="15:54" ht="15.75" customHeight="1" x14ac:dyDescent="0.25"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</row>
    <row r="673" spans="15:54" ht="15.75" customHeight="1" x14ac:dyDescent="0.25"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</row>
    <row r="674" spans="15:54" ht="15.75" customHeight="1" x14ac:dyDescent="0.25"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</row>
    <row r="675" spans="15:54" ht="15.75" customHeight="1" x14ac:dyDescent="0.25"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</row>
    <row r="676" spans="15:54" ht="15.75" customHeight="1" x14ac:dyDescent="0.25"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</row>
    <row r="677" spans="15:54" ht="15.75" customHeight="1" x14ac:dyDescent="0.25"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</row>
    <row r="678" spans="15:54" ht="15.75" customHeight="1" x14ac:dyDescent="0.25"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</row>
    <row r="679" spans="15:54" ht="15.75" customHeight="1" x14ac:dyDescent="0.25"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</row>
    <row r="680" spans="15:54" ht="15.75" customHeight="1" x14ac:dyDescent="0.25"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</row>
    <row r="681" spans="15:54" ht="15.75" customHeight="1" x14ac:dyDescent="0.25"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</row>
    <row r="682" spans="15:54" ht="15.75" customHeight="1" x14ac:dyDescent="0.25"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</row>
    <row r="683" spans="15:54" ht="15.75" customHeight="1" x14ac:dyDescent="0.25"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</row>
    <row r="684" spans="15:54" ht="15.75" customHeight="1" x14ac:dyDescent="0.25"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</row>
    <row r="685" spans="15:54" ht="15.75" customHeight="1" x14ac:dyDescent="0.25"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</row>
    <row r="686" spans="15:54" ht="15.75" customHeight="1" x14ac:dyDescent="0.25"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</row>
    <row r="687" spans="15:54" ht="15.75" customHeight="1" x14ac:dyDescent="0.25"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</row>
    <row r="688" spans="15:54" ht="15.75" customHeight="1" x14ac:dyDescent="0.25"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</row>
    <row r="689" spans="15:54" ht="15.75" customHeight="1" x14ac:dyDescent="0.25"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</row>
    <row r="690" spans="15:54" ht="15.75" customHeight="1" x14ac:dyDescent="0.25"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</row>
    <row r="691" spans="15:54" ht="15.75" customHeight="1" x14ac:dyDescent="0.25"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</row>
    <row r="692" spans="15:54" ht="15.75" customHeight="1" x14ac:dyDescent="0.25"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</row>
    <row r="693" spans="15:54" ht="15.75" customHeight="1" x14ac:dyDescent="0.25"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</row>
    <row r="694" spans="15:54" ht="15.75" customHeight="1" x14ac:dyDescent="0.25"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</row>
    <row r="695" spans="15:54" ht="15.75" customHeight="1" x14ac:dyDescent="0.25"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</row>
    <row r="696" spans="15:54" ht="15.75" customHeight="1" x14ac:dyDescent="0.25"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</row>
    <row r="697" spans="15:54" ht="15.75" customHeight="1" x14ac:dyDescent="0.25"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</row>
    <row r="698" spans="15:54" ht="15.75" customHeight="1" x14ac:dyDescent="0.25"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</row>
    <row r="699" spans="15:54" ht="15.75" customHeight="1" x14ac:dyDescent="0.25"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</row>
    <row r="700" spans="15:54" ht="15.75" customHeight="1" x14ac:dyDescent="0.25"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</row>
    <row r="701" spans="15:54" ht="15.75" customHeight="1" x14ac:dyDescent="0.25"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</row>
    <row r="702" spans="15:54" ht="15.75" customHeight="1" x14ac:dyDescent="0.25"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</row>
    <row r="703" spans="15:54" ht="15.75" customHeight="1" x14ac:dyDescent="0.25"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</row>
    <row r="704" spans="15:54" ht="15.75" customHeight="1" x14ac:dyDescent="0.25"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</row>
    <row r="705" spans="15:54" ht="15.75" customHeight="1" x14ac:dyDescent="0.25"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</row>
    <row r="706" spans="15:54" ht="15.75" customHeight="1" x14ac:dyDescent="0.25"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</row>
    <row r="707" spans="15:54" ht="15.75" customHeight="1" x14ac:dyDescent="0.25"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</row>
    <row r="708" spans="15:54" ht="15.75" customHeight="1" x14ac:dyDescent="0.25"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</row>
    <row r="709" spans="15:54" ht="15.75" customHeight="1" x14ac:dyDescent="0.25"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</row>
    <row r="710" spans="15:54" ht="15.75" customHeight="1" x14ac:dyDescent="0.25"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</row>
    <row r="711" spans="15:54" ht="15.75" customHeight="1" x14ac:dyDescent="0.25"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</row>
    <row r="712" spans="15:54" ht="15.75" customHeight="1" x14ac:dyDescent="0.25"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</row>
    <row r="713" spans="15:54" ht="15.75" customHeight="1" x14ac:dyDescent="0.25"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</row>
    <row r="714" spans="15:54" ht="15.75" customHeight="1" x14ac:dyDescent="0.25"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</row>
    <row r="715" spans="15:54" ht="15.75" customHeight="1" x14ac:dyDescent="0.25"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</row>
    <row r="716" spans="15:54" ht="15.75" customHeight="1" x14ac:dyDescent="0.25"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</row>
    <row r="717" spans="15:54" ht="15.75" customHeight="1" x14ac:dyDescent="0.25"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</row>
    <row r="718" spans="15:54" ht="15.75" customHeight="1" x14ac:dyDescent="0.25"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</row>
    <row r="719" spans="15:54" ht="15.75" customHeight="1" x14ac:dyDescent="0.25"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</row>
    <row r="720" spans="15:54" ht="15.75" customHeight="1" x14ac:dyDescent="0.25"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</row>
    <row r="721" spans="15:54" ht="15.75" customHeight="1" x14ac:dyDescent="0.25"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</row>
    <row r="722" spans="15:54" ht="15.75" customHeight="1" x14ac:dyDescent="0.25"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</row>
    <row r="723" spans="15:54" ht="15.75" customHeight="1" x14ac:dyDescent="0.25"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</row>
    <row r="724" spans="15:54" ht="15.75" customHeight="1" x14ac:dyDescent="0.25"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</row>
    <row r="725" spans="15:54" ht="15.75" customHeight="1" x14ac:dyDescent="0.25"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</row>
    <row r="726" spans="15:54" ht="15.75" customHeight="1" x14ac:dyDescent="0.25"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</row>
    <row r="727" spans="15:54" ht="15.75" customHeight="1" x14ac:dyDescent="0.25"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</row>
    <row r="728" spans="15:54" ht="15.75" customHeight="1" x14ac:dyDescent="0.25"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</row>
    <row r="729" spans="15:54" ht="15.75" customHeight="1" x14ac:dyDescent="0.25"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</row>
    <row r="730" spans="15:54" ht="15.75" customHeight="1" x14ac:dyDescent="0.25"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</row>
    <row r="731" spans="15:54" ht="15.75" customHeight="1" x14ac:dyDescent="0.25"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</row>
    <row r="732" spans="15:54" ht="15.75" customHeight="1" x14ac:dyDescent="0.25"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</row>
    <row r="733" spans="15:54" ht="15.75" customHeight="1" x14ac:dyDescent="0.25"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</row>
    <row r="734" spans="15:54" ht="15.75" customHeight="1" x14ac:dyDescent="0.25"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</row>
    <row r="735" spans="15:54" ht="15.75" customHeight="1" x14ac:dyDescent="0.25"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</row>
    <row r="736" spans="15:54" ht="15.75" customHeight="1" x14ac:dyDescent="0.25"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</row>
    <row r="737" spans="15:54" ht="15.75" customHeight="1" x14ac:dyDescent="0.25"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</row>
    <row r="738" spans="15:54" ht="15.75" customHeight="1" x14ac:dyDescent="0.25"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</row>
    <row r="739" spans="15:54" ht="15.75" customHeight="1" x14ac:dyDescent="0.25"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</row>
    <row r="740" spans="15:54" ht="15.75" customHeight="1" x14ac:dyDescent="0.25"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</row>
    <row r="741" spans="15:54" ht="15.75" customHeight="1" x14ac:dyDescent="0.25"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</row>
    <row r="742" spans="15:54" ht="15.75" customHeight="1" x14ac:dyDescent="0.25"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</row>
    <row r="743" spans="15:54" ht="15.75" customHeight="1" x14ac:dyDescent="0.25"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</row>
    <row r="744" spans="15:54" ht="15.75" customHeight="1" x14ac:dyDescent="0.25"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</row>
    <row r="745" spans="15:54" ht="15.75" customHeight="1" x14ac:dyDescent="0.25"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</row>
    <row r="746" spans="15:54" ht="15.75" customHeight="1" x14ac:dyDescent="0.25"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</row>
    <row r="747" spans="15:54" ht="15.75" customHeight="1" x14ac:dyDescent="0.25"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</row>
    <row r="748" spans="15:54" ht="15.75" customHeight="1" x14ac:dyDescent="0.25"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</row>
    <row r="749" spans="15:54" ht="15.75" customHeight="1" x14ac:dyDescent="0.25"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</row>
    <row r="750" spans="15:54" ht="15.75" customHeight="1" x14ac:dyDescent="0.25"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</row>
    <row r="751" spans="15:54" ht="15.75" customHeight="1" x14ac:dyDescent="0.25"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</row>
    <row r="752" spans="15:54" ht="15.75" customHeight="1" x14ac:dyDescent="0.25"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</row>
    <row r="753" spans="15:54" ht="15.75" customHeight="1" x14ac:dyDescent="0.25"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</row>
    <row r="754" spans="15:54" ht="15.75" customHeight="1" x14ac:dyDescent="0.25"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</row>
    <row r="755" spans="15:54" ht="15.75" customHeight="1" x14ac:dyDescent="0.25"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</row>
    <row r="756" spans="15:54" ht="15.75" customHeight="1" x14ac:dyDescent="0.25"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</row>
    <row r="757" spans="15:54" ht="15.75" customHeight="1" x14ac:dyDescent="0.25"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</row>
    <row r="758" spans="15:54" ht="15.75" customHeight="1" x14ac:dyDescent="0.25"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</row>
    <row r="759" spans="15:54" ht="15.75" customHeight="1" x14ac:dyDescent="0.25"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</row>
    <row r="760" spans="15:54" ht="15.75" customHeight="1" x14ac:dyDescent="0.25"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</row>
    <row r="761" spans="15:54" ht="15.75" customHeight="1" x14ac:dyDescent="0.25"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</row>
    <row r="762" spans="15:54" ht="15.75" customHeight="1" x14ac:dyDescent="0.25"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</row>
    <row r="763" spans="15:54" ht="15.75" customHeight="1" x14ac:dyDescent="0.25"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</row>
    <row r="764" spans="15:54" ht="15.75" customHeight="1" x14ac:dyDescent="0.25"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</row>
    <row r="765" spans="15:54" ht="15.75" customHeight="1" x14ac:dyDescent="0.25"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</row>
    <row r="766" spans="15:54" ht="15.75" customHeight="1" x14ac:dyDescent="0.25"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</row>
    <row r="767" spans="15:54" ht="15.75" customHeight="1" x14ac:dyDescent="0.25"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</row>
    <row r="768" spans="15:54" ht="15.75" customHeight="1" x14ac:dyDescent="0.25"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</row>
    <row r="769" spans="15:54" ht="15.75" customHeight="1" x14ac:dyDescent="0.25"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</row>
    <row r="770" spans="15:54" ht="15.75" customHeight="1" x14ac:dyDescent="0.25"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</row>
    <row r="771" spans="15:54" ht="15.75" customHeight="1" x14ac:dyDescent="0.25"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</row>
    <row r="772" spans="15:54" ht="15.75" customHeight="1" x14ac:dyDescent="0.25"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</row>
    <row r="773" spans="15:54" ht="15.75" customHeight="1" x14ac:dyDescent="0.25"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</row>
    <row r="774" spans="15:54" ht="15.75" customHeight="1" x14ac:dyDescent="0.25"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</row>
    <row r="775" spans="15:54" ht="15.75" customHeight="1" x14ac:dyDescent="0.25"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</row>
    <row r="776" spans="15:54" ht="15.75" customHeight="1" x14ac:dyDescent="0.25"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</row>
    <row r="777" spans="15:54" ht="15.75" customHeight="1" x14ac:dyDescent="0.25"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</row>
    <row r="778" spans="15:54" ht="15.75" customHeight="1" x14ac:dyDescent="0.25"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</row>
    <row r="779" spans="15:54" ht="15.75" customHeight="1" x14ac:dyDescent="0.25"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</row>
    <row r="780" spans="15:54" ht="15.75" customHeight="1" x14ac:dyDescent="0.25"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</row>
    <row r="781" spans="15:54" ht="15.75" customHeight="1" x14ac:dyDescent="0.25"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</row>
    <row r="782" spans="15:54" ht="15.75" customHeight="1" x14ac:dyDescent="0.25"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</row>
    <row r="783" spans="15:54" ht="15.75" customHeight="1" x14ac:dyDescent="0.25"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</row>
    <row r="784" spans="15:54" ht="15.75" customHeight="1" x14ac:dyDescent="0.25"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</row>
    <row r="785" spans="15:54" ht="15.75" customHeight="1" x14ac:dyDescent="0.25"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</row>
    <row r="786" spans="15:54" ht="15.75" customHeight="1" x14ac:dyDescent="0.25"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</row>
    <row r="787" spans="15:54" ht="15.75" customHeight="1" x14ac:dyDescent="0.25"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</row>
    <row r="788" spans="15:54" ht="15.75" customHeight="1" x14ac:dyDescent="0.25"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</row>
    <row r="789" spans="15:54" ht="15.75" customHeight="1" x14ac:dyDescent="0.25"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</row>
    <row r="790" spans="15:54" ht="15.75" customHeight="1" x14ac:dyDescent="0.25"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</row>
    <row r="791" spans="15:54" ht="15.75" customHeight="1" x14ac:dyDescent="0.25"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</row>
    <row r="792" spans="15:54" ht="15.75" customHeight="1" x14ac:dyDescent="0.25"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</row>
    <row r="793" spans="15:54" ht="15.75" customHeight="1" x14ac:dyDescent="0.25"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</row>
    <row r="794" spans="15:54" ht="15.75" customHeight="1" x14ac:dyDescent="0.25"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</row>
    <row r="795" spans="15:54" ht="15.75" customHeight="1" x14ac:dyDescent="0.25"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</row>
    <row r="796" spans="15:54" ht="15.75" customHeight="1" x14ac:dyDescent="0.25"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</row>
    <row r="797" spans="15:54" ht="15.75" customHeight="1" x14ac:dyDescent="0.25"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</row>
    <row r="798" spans="15:54" ht="15.75" customHeight="1" x14ac:dyDescent="0.25"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</row>
    <row r="799" spans="15:54" ht="15.75" customHeight="1" x14ac:dyDescent="0.25"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</row>
    <row r="800" spans="15:54" ht="15.75" customHeight="1" x14ac:dyDescent="0.25"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</row>
    <row r="801" spans="15:54" ht="15.75" customHeight="1" x14ac:dyDescent="0.25"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</row>
    <row r="802" spans="15:54" ht="15.75" customHeight="1" x14ac:dyDescent="0.25"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</row>
    <row r="803" spans="15:54" ht="15.75" customHeight="1" x14ac:dyDescent="0.25"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</row>
    <row r="804" spans="15:54" ht="15.75" customHeight="1" x14ac:dyDescent="0.25"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</row>
    <row r="805" spans="15:54" ht="15.75" customHeight="1" x14ac:dyDescent="0.25"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</row>
    <row r="806" spans="15:54" ht="15.75" customHeight="1" x14ac:dyDescent="0.25"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</row>
    <row r="807" spans="15:54" ht="15.75" customHeight="1" x14ac:dyDescent="0.25"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</row>
    <row r="808" spans="15:54" ht="15.75" customHeight="1" x14ac:dyDescent="0.25"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</row>
    <row r="809" spans="15:54" ht="15.75" customHeight="1" x14ac:dyDescent="0.25"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</row>
    <row r="810" spans="15:54" ht="15.75" customHeight="1" x14ac:dyDescent="0.25"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</row>
    <row r="811" spans="15:54" ht="15.75" customHeight="1" x14ac:dyDescent="0.25"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</row>
    <row r="812" spans="15:54" ht="15.75" customHeight="1" x14ac:dyDescent="0.25"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</row>
    <row r="813" spans="15:54" ht="15.75" customHeight="1" x14ac:dyDescent="0.25"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</row>
    <row r="814" spans="15:54" ht="15.75" customHeight="1" x14ac:dyDescent="0.25"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</row>
    <row r="815" spans="15:54" ht="15.75" customHeight="1" x14ac:dyDescent="0.25"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</row>
    <row r="816" spans="15:54" ht="15.75" customHeight="1" x14ac:dyDescent="0.25"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</row>
    <row r="817" spans="15:54" ht="15.75" customHeight="1" x14ac:dyDescent="0.25"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</row>
    <row r="818" spans="15:54" ht="15.75" customHeight="1" x14ac:dyDescent="0.25"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</row>
    <row r="819" spans="15:54" ht="15.75" customHeight="1" x14ac:dyDescent="0.25"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</row>
    <row r="820" spans="15:54" ht="15.75" customHeight="1" x14ac:dyDescent="0.25"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</row>
    <row r="821" spans="15:54" ht="15.75" customHeight="1" x14ac:dyDescent="0.25"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</row>
    <row r="822" spans="15:54" ht="15.75" customHeight="1" x14ac:dyDescent="0.25"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</row>
    <row r="823" spans="15:54" ht="15.75" customHeight="1" x14ac:dyDescent="0.25"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</row>
    <row r="824" spans="15:54" ht="15.75" customHeight="1" x14ac:dyDescent="0.25"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</row>
    <row r="825" spans="15:54" ht="15.75" customHeight="1" x14ac:dyDescent="0.25"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</row>
    <row r="826" spans="15:54" ht="15.75" customHeight="1" x14ac:dyDescent="0.25"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</row>
    <row r="827" spans="15:54" ht="15.75" customHeight="1" x14ac:dyDescent="0.25"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</row>
    <row r="828" spans="15:54" ht="15.75" customHeight="1" x14ac:dyDescent="0.25"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</row>
    <row r="829" spans="15:54" ht="15.75" customHeight="1" x14ac:dyDescent="0.25"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</row>
    <row r="830" spans="15:54" ht="15.75" customHeight="1" x14ac:dyDescent="0.25"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</row>
    <row r="831" spans="15:54" ht="15.75" customHeight="1" x14ac:dyDescent="0.25"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</row>
    <row r="832" spans="15:54" ht="15.75" customHeight="1" x14ac:dyDescent="0.25"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</row>
    <row r="833" spans="15:54" ht="15.75" customHeight="1" x14ac:dyDescent="0.25"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</row>
    <row r="834" spans="15:54" ht="15.75" customHeight="1" x14ac:dyDescent="0.25"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</row>
    <row r="835" spans="15:54" ht="15.75" customHeight="1" x14ac:dyDescent="0.25"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</row>
    <row r="836" spans="15:54" ht="15.75" customHeight="1" x14ac:dyDescent="0.25"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</row>
    <row r="837" spans="15:54" ht="15.75" customHeight="1" x14ac:dyDescent="0.25"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</row>
    <row r="838" spans="15:54" ht="15.75" customHeight="1" x14ac:dyDescent="0.25"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</row>
    <row r="839" spans="15:54" ht="15.75" customHeight="1" x14ac:dyDescent="0.25"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</row>
    <row r="840" spans="15:54" ht="15.75" customHeight="1" x14ac:dyDescent="0.25"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</row>
    <row r="841" spans="15:54" ht="15.75" customHeight="1" x14ac:dyDescent="0.25"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</row>
    <row r="842" spans="15:54" ht="15.75" customHeight="1" x14ac:dyDescent="0.25"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</row>
    <row r="843" spans="15:54" ht="15.75" customHeight="1" x14ac:dyDescent="0.25"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</row>
    <row r="844" spans="15:54" ht="15.75" customHeight="1" x14ac:dyDescent="0.25"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</row>
    <row r="845" spans="15:54" ht="15.75" customHeight="1" x14ac:dyDescent="0.25"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</row>
    <row r="846" spans="15:54" ht="15.75" customHeight="1" x14ac:dyDescent="0.25"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</row>
    <row r="847" spans="15:54" ht="15.75" customHeight="1" x14ac:dyDescent="0.25"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</row>
    <row r="848" spans="15:54" ht="15.75" customHeight="1" x14ac:dyDescent="0.25"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</row>
    <row r="849" spans="15:54" ht="15.75" customHeight="1" x14ac:dyDescent="0.25"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</row>
    <row r="850" spans="15:54" ht="15.75" customHeight="1" x14ac:dyDescent="0.25"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</row>
    <row r="851" spans="15:54" ht="15.75" customHeight="1" x14ac:dyDescent="0.25"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</row>
    <row r="852" spans="15:54" ht="15.75" customHeight="1" x14ac:dyDescent="0.25"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</row>
    <row r="853" spans="15:54" ht="15.75" customHeight="1" x14ac:dyDescent="0.25"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</row>
    <row r="854" spans="15:54" ht="15.75" customHeight="1" x14ac:dyDescent="0.25"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</row>
    <row r="855" spans="15:54" ht="15.75" customHeight="1" x14ac:dyDescent="0.25"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</row>
    <row r="856" spans="15:54" ht="15.75" customHeight="1" x14ac:dyDescent="0.25"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</row>
    <row r="857" spans="15:54" ht="15.75" customHeight="1" x14ac:dyDescent="0.25"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</row>
    <row r="858" spans="15:54" ht="15.75" customHeight="1" x14ac:dyDescent="0.25"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</row>
    <row r="859" spans="15:54" ht="15.75" customHeight="1" x14ac:dyDescent="0.25"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</row>
    <row r="860" spans="15:54" ht="15.75" customHeight="1" x14ac:dyDescent="0.25"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</row>
    <row r="861" spans="15:54" ht="15.75" customHeight="1" x14ac:dyDescent="0.25"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</row>
    <row r="862" spans="15:54" ht="15.75" customHeight="1" x14ac:dyDescent="0.25"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</row>
    <row r="863" spans="15:54" ht="15.75" customHeight="1" x14ac:dyDescent="0.25"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</row>
    <row r="864" spans="15:54" ht="15.75" customHeight="1" x14ac:dyDescent="0.25"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</row>
    <row r="865" spans="15:54" ht="15.75" customHeight="1" x14ac:dyDescent="0.25"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</row>
    <row r="866" spans="15:54" ht="15.75" customHeight="1" x14ac:dyDescent="0.25"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</row>
    <row r="867" spans="15:54" ht="15.75" customHeight="1" x14ac:dyDescent="0.25"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</row>
    <row r="868" spans="15:54" ht="15.75" customHeight="1" x14ac:dyDescent="0.25"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</row>
    <row r="869" spans="15:54" ht="15.75" customHeight="1" x14ac:dyDescent="0.25"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</row>
    <row r="870" spans="15:54" ht="15.75" customHeight="1" x14ac:dyDescent="0.25"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</row>
    <row r="871" spans="15:54" ht="15.75" customHeight="1" x14ac:dyDescent="0.25"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</row>
    <row r="872" spans="15:54" ht="15.75" customHeight="1" x14ac:dyDescent="0.25"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</row>
    <row r="873" spans="15:54" ht="15.75" customHeight="1" x14ac:dyDescent="0.25"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</row>
    <row r="874" spans="15:54" ht="15.75" customHeight="1" x14ac:dyDescent="0.25"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</row>
    <row r="875" spans="15:54" ht="15.75" customHeight="1" x14ac:dyDescent="0.25"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</row>
    <row r="876" spans="15:54" ht="15.75" customHeight="1" x14ac:dyDescent="0.25"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</row>
    <row r="877" spans="15:54" ht="15.75" customHeight="1" x14ac:dyDescent="0.25"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</row>
    <row r="878" spans="15:54" ht="15.75" customHeight="1" x14ac:dyDescent="0.25"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</row>
    <row r="879" spans="15:54" ht="15.75" customHeight="1" x14ac:dyDescent="0.25"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</row>
    <row r="880" spans="15:54" ht="15.75" customHeight="1" x14ac:dyDescent="0.25"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</row>
    <row r="881" spans="15:54" ht="15.75" customHeight="1" x14ac:dyDescent="0.25"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</row>
    <row r="882" spans="15:54" ht="15.75" customHeight="1" x14ac:dyDescent="0.25"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</row>
    <row r="883" spans="15:54" ht="15.75" customHeight="1" x14ac:dyDescent="0.25"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</row>
    <row r="884" spans="15:54" ht="15.75" customHeight="1" x14ac:dyDescent="0.25"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</row>
    <row r="885" spans="15:54" ht="15.75" customHeight="1" x14ac:dyDescent="0.25"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</row>
    <row r="886" spans="15:54" ht="15.75" customHeight="1" x14ac:dyDescent="0.25"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</row>
    <row r="887" spans="15:54" ht="15.75" customHeight="1" x14ac:dyDescent="0.25"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</row>
    <row r="888" spans="15:54" ht="15.75" customHeight="1" x14ac:dyDescent="0.25"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</row>
    <row r="889" spans="15:54" ht="15.75" customHeight="1" x14ac:dyDescent="0.25"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</row>
    <row r="890" spans="15:54" ht="15.75" customHeight="1" x14ac:dyDescent="0.25"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</row>
    <row r="891" spans="15:54" ht="15.75" customHeight="1" x14ac:dyDescent="0.25"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</row>
    <row r="892" spans="15:54" ht="15.75" customHeight="1" x14ac:dyDescent="0.25"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</row>
    <row r="893" spans="15:54" ht="15.75" customHeight="1" x14ac:dyDescent="0.25"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</row>
    <row r="894" spans="15:54" ht="15.75" customHeight="1" x14ac:dyDescent="0.25"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</row>
    <row r="895" spans="15:54" ht="15.75" customHeight="1" x14ac:dyDescent="0.25"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</row>
    <row r="896" spans="15:54" ht="15.75" customHeight="1" x14ac:dyDescent="0.25"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</row>
    <row r="897" spans="15:54" ht="15.75" customHeight="1" x14ac:dyDescent="0.25"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</row>
    <row r="898" spans="15:54" ht="15.75" customHeight="1" x14ac:dyDescent="0.25"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</row>
    <row r="899" spans="15:54" ht="15.75" customHeight="1" x14ac:dyDescent="0.25"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</row>
    <row r="900" spans="15:54" ht="15.75" customHeight="1" x14ac:dyDescent="0.25"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</row>
    <row r="901" spans="15:54" ht="15.75" customHeight="1" x14ac:dyDescent="0.25"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</row>
    <row r="902" spans="15:54" ht="15.75" customHeight="1" x14ac:dyDescent="0.25"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</row>
    <row r="903" spans="15:54" ht="15.75" customHeight="1" x14ac:dyDescent="0.25"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</row>
    <row r="904" spans="15:54" ht="15.75" customHeight="1" x14ac:dyDescent="0.25"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</row>
    <row r="905" spans="15:54" ht="15.75" customHeight="1" x14ac:dyDescent="0.25"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</row>
    <row r="906" spans="15:54" ht="15.75" customHeight="1" x14ac:dyDescent="0.25"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</row>
    <row r="907" spans="15:54" ht="15.75" customHeight="1" x14ac:dyDescent="0.25"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</row>
    <row r="908" spans="15:54" ht="15.75" customHeight="1" x14ac:dyDescent="0.25"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</row>
    <row r="909" spans="15:54" ht="15.75" customHeight="1" x14ac:dyDescent="0.25"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</row>
    <row r="910" spans="15:54" ht="15.75" customHeight="1" x14ac:dyDescent="0.25"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</row>
    <row r="911" spans="15:54" ht="15.75" customHeight="1" x14ac:dyDescent="0.25"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</row>
    <row r="912" spans="15:54" ht="15.75" customHeight="1" x14ac:dyDescent="0.25"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</row>
    <row r="913" spans="15:54" ht="15.75" customHeight="1" x14ac:dyDescent="0.25"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</row>
    <row r="914" spans="15:54" ht="15.75" customHeight="1" x14ac:dyDescent="0.25"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</row>
    <row r="915" spans="15:54" ht="15.75" customHeight="1" x14ac:dyDescent="0.25"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</row>
    <row r="916" spans="15:54" ht="15.75" customHeight="1" x14ac:dyDescent="0.25"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</row>
    <row r="917" spans="15:54" ht="15.75" customHeight="1" x14ac:dyDescent="0.25"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</row>
    <row r="918" spans="15:54" ht="15.75" customHeight="1" x14ac:dyDescent="0.25"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</row>
    <row r="919" spans="15:54" ht="15.75" customHeight="1" x14ac:dyDescent="0.25"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</row>
    <row r="920" spans="15:54" ht="15.75" customHeight="1" x14ac:dyDescent="0.25"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</row>
    <row r="921" spans="15:54" ht="15.75" customHeight="1" x14ac:dyDescent="0.25"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</row>
    <row r="922" spans="15:54" ht="15.75" customHeight="1" x14ac:dyDescent="0.25"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</row>
    <row r="923" spans="15:54" ht="15.75" customHeight="1" x14ac:dyDescent="0.25"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</row>
    <row r="924" spans="15:54" ht="15.75" customHeight="1" x14ac:dyDescent="0.25"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</row>
    <row r="925" spans="15:54" ht="15.75" customHeight="1" x14ac:dyDescent="0.25"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</row>
    <row r="926" spans="15:54" ht="15.75" customHeight="1" x14ac:dyDescent="0.25"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</row>
    <row r="927" spans="15:54" ht="15.75" customHeight="1" x14ac:dyDescent="0.25"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</row>
    <row r="928" spans="15:54" ht="15.75" customHeight="1" x14ac:dyDescent="0.25"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</row>
    <row r="929" spans="15:54" ht="15.75" customHeight="1" x14ac:dyDescent="0.25"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</row>
    <row r="930" spans="15:54" ht="15.75" customHeight="1" x14ac:dyDescent="0.25"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</row>
    <row r="931" spans="15:54" ht="15.75" customHeight="1" x14ac:dyDescent="0.25"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</row>
    <row r="932" spans="15:54" ht="15.75" customHeight="1" x14ac:dyDescent="0.25"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</row>
    <row r="933" spans="15:54" ht="15.75" customHeight="1" x14ac:dyDescent="0.25"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</row>
    <row r="934" spans="15:54" ht="15.75" customHeight="1" x14ac:dyDescent="0.25"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</row>
    <row r="935" spans="15:54" ht="15.75" customHeight="1" x14ac:dyDescent="0.25"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</row>
    <row r="936" spans="15:54" ht="15.75" customHeight="1" x14ac:dyDescent="0.25"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</row>
    <row r="937" spans="15:54" ht="15.75" customHeight="1" x14ac:dyDescent="0.25"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</row>
    <row r="938" spans="15:54" ht="15.75" customHeight="1" x14ac:dyDescent="0.25"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</row>
    <row r="939" spans="15:54" ht="15.75" customHeight="1" x14ac:dyDescent="0.25"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</row>
    <row r="940" spans="15:54" ht="15.75" customHeight="1" x14ac:dyDescent="0.25"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</row>
    <row r="941" spans="15:54" ht="15.75" customHeight="1" x14ac:dyDescent="0.25"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</row>
    <row r="942" spans="15:54" ht="15.75" customHeight="1" x14ac:dyDescent="0.25"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</row>
    <row r="943" spans="15:54" ht="15.75" customHeight="1" x14ac:dyDescent="0.25"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</row>
    <row r="944" spans="15:54" ht="15.75" customHeight="1" x14ac:dyDescent="0.25"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</row>
    <row r="945" spans="15:54" ht="15.75" customHeight="1" x14ac:dyDescent="0.25"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</row>
    <row r="946" spans="15:54" ht="15.75" customHeight="1" x14ac:dyDescent="0.25"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</row>
    <row r="947" spans="15:54" ht="15.75" customHeight="1" x14ac:dyDescent="0.25"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</row>
    <row r="948" spans="15:54" ht="15.75" customHeight="1" x14ac:dyDescent="0.25"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</row>
    <row r="949" spans="15:54" ht="15.75" customHeight="1" x14ac:dyDescent="0.25"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</row>
    <row r="950" spans="15:54" ht="15.75" customHeight="1" x14ac:dyDescent="0.25"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</row>
    <row r="951" spans="15:54" ht="15.75" customHeight="1" x14ac:dyDescent="0.25"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</row>
    <row r="952" spans="15:54" ht="15.75" customHeight="1" x14ac:dyDescent="0.25"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</row>
    <row r="953" spans="15:54" ht="15.75" customHeight="1" x14ac:dyDescent="0.25"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</row>
    <row r="954" spans="15:54" ht="15.75" customHeight="1" x14ac:dyDescent="0.25"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</row>
    <row r="955" spans="15:54" ht="15.75" customHeight="1" x14ac:dyDescent="0.25"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</row>
    <row r="956" spans="15:54" ht="15.75" customHeight="1" x14ac:dyDescent="0.25"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</row>
    <row r="957" spans="15:54" ht="15.75" customHeight="1" x14ac:dyDescent="0.25"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</row>
    <row r="958" spans="15:54" ht="15.75" customHeight="1" x14ac:dyDescent="0.25"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</row>
    <row r="959" spans="15:54" ht="15.75" customHeight="1" x14ac:dyDescent="0.25"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</row>
    <row r="960" spans="15:54" ht="15.75" customHeight="1" x14ac:dyDescent="0.25"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</row>
    <row r="961" spans="15:54" ht="15.75" customHeight="1" x14ac:dyDescent="0.25"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</row>
    <row r="962" spans="15:54" ht="15.75" customHeight="1" x14ac:dyDescent="0.25"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</row>
    <row r="963" spans="15:54" ht="15.75" customHeight="1" x14ac:dyDescent="0.25"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</row>
    <row r="964" spans="15:54" ht="15.75" customHeight="1" x14ac:dyDescent="0.25"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</row>
    <row r="965" spans="15:54" ht="15.75" customHeight="1" x14ac:dyDescent="0.25"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</row>
    <row r="966" spans="15:54" ht="15.75" customHeight="1" x14ac:dyDescent="0.25"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</row>
    <row r="967" spans="15:54" ht="15.75" customHeight="1" x14ac:dyDescent="0.25"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</row>
    <row r="968" spans="15:54" ht="15.75" customHeight="1" x14ac:dyDescent="0.25"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</row>
    <row r="969" spans="15:54" ht="15.75" customHeight="1" x14ac:dyDescent="0.25"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</row>
    <row r="970" spans="15:54" ht="15.75" customHeight="1" x14ac:dyDescent="0.25"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</row>
    <row r="971" spans="15:54" ht="15.75" customHeight="1" x14ac:dyDescent="0.25"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</row>
    <row r="972" spans="15:54" ht="15.75" customHeight="1" x14ac:dyDescent="0.25"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</row>
    <row r="973" spans="15:54" ht="15.75" customHeight="1" x14ac:dyDescent="0.25"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</row>
    <row r="974" spans="15:54" ht="15.75" customHeight="1" x14ac:dyDescent="0.25"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</row>
    <row r="975" spans="15:54" ht="15.75" customHeight="1" x14ac:dyDescent="0.25"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</row>
    <row r="976" spans="15:54" ht="15.75" customHeight="1" x14ac:dyDescent="0.25"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</row>
    <row r="977" spans="15:54" ht="15.75" customHeight="1" x14ac:dyDescent="0.25"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</row>
    <row r="978" spans="15:54" ht="15.75" customHeight="1" x14ac:dyDescent="0.25"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</row>
    <row r="979" spans="15:54" ht="15.75" customHeight="1" x14ac:dyDescent="0.25"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</row>
    <row r="980" spans="15:54" ht="15.75" customHeight="1" x14ac:dyDescent="0.25"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</row>
    <row r="981" spans="15:54" ht="15.75" customHeight="1" x14ac:dyDescent="0.25"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</row>
    <row r="982" spans="15:54" ht="15.75" customHeight="1" x14ac:dyDescent="0.25"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</row>
    <row r="983" spans="15:54" ht="15.75" customHeight="1" x14ac:dyDescent="0.25"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</row>
    <row r="984" spans="15:54" ht="15.75" customHeight="1" x14ac:dyDescent="0.25"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</row>
    <row r="985" spans="15:54" ht="15.75" customHeight="1" x14ac:dyDescent="0.25"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</row>
    <row r="986" spans="15:54" ht="15.75" customHeight="1" x14ac:dyDescent="0.25"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</row>
    <row r="987" spans="15:54" ht="15.75" customHeight="1" x14ac:dyDescent="0.25"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</row>
    <row r="988" spans="15:54" ht="15.75" customHeight="1" x14ac:dyDescent="0.25"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</row>
    <row r="989" spans="15:54" ht="15.75" customHeight="1" x14ac:dyDescent="0.25"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</row>
    <row r="990" spans="15:54" ht="15.75" customHeight="1" x14ac:dyDescent="0.25"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</row>
    <row r="991" spans="15:54" ht="15.75" customHeight="1" x14ac:dyDescent="0.25"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</row>
    <row r="992" spans="15:54" ht="15.75" customHeight="1" x14ac:dyDescent="0.25"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</row>
    <row r="993" spans="15:54" ht="15.75" customHeight="1" x14ac:dyDescent="0.25"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</row>
    <row r="994" spans="15:54" ht="15.75" customHeight="1" x14ac:dyDescent="0.25"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</row>
    <row r="995" spans="15:54" ht="15.75" customHeight="1" x14ac:dyDescent="0.25"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</row>
    <row r="996" spans="15:54" ht="15.75" customHeight="1" x14ac:dyDescent="0.25"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</row>
    <row r="997" spans="15:54" ht="15.75" customHeight="1" x14ac:dyDescent="0.25"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</row>
    <row r="998" spans="15:54" ht="15.75" customHeight="1" x14ac:dyDescent="0.25"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</row>
    <row r="999" spans="15:54" ht="15.75" customHeight="1" x14ac:dyDescent="0.25"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</row>
    <row r="1000" spans="15:54" ht="15.75" customHeight="1" x14ac:dyDescent="0.25"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</row>
  </sheetData>
  <mergeCells count="8">
    <mergeCell ref="J24:L24"/>
    <mergeCell ref="J25:L25"/>
    <mergeCell ref="J26:L26"/>
    <mergeCell ref="B3:G4"/>
    <mergeCell ref="B6:G6"/>
    <mergeCell ref="K6:N6"/>
    <mergeCell ref="J22:M22"/>
    <mergeCell ref="J23:L23"/>
  </mergeCells>
  <conditionalFormatting sqref="M23:M26">
    <cfRule type="expression" dxfId="103" priority="1">
      <formula>J23=""</formula>
    </cfRule>
  </conditionalFormatting>
  <conditionalFormatting sqref="M24:M26">
    <cfRule type="expression" dxfId="102" priority="2">
      <formula>J24=""</formula>
    </cfRule>
  </conditionalFormatting>
  <conditionalFormatting sqref="M25">
    <cfRule type="expression" dxfId="101" priority="3">
      <formula>J25=""</formula>
    </cfRule>
  </conditionalFormatting>
  <conditionalFormatting sqref="B22:H28 J22:M26">
    <cfRule type="expression" dxfId="100" priority="4">
      <formula>OR($I$22=0,AND($J$20="",$J$21="",$J$22="",$J$23=""))</formula>
    </cfRule>
  </conditionalFormatting>
  <conditionalFormatting sqref="N23:AH27">
    <cfRule type="expression" dxfId="99" priority="5">
      <formula>K23=""</formula>
    </cfRule>
  </conditionalFormatting>
  <conditionalFormatting sqref="N24:AH26">
    <cfRule type="expression" dxfId="98" priority="6">
      <formula>K24=""</formula>
    </cfRule>
  </conditionalFormatting>
  <conditionalFormatting sqref="N25:AH25">
    <cfRule type="expression" dxfId="97" priority="7">
      <formula>K25=""</formula>
    </cfRule>
  </conditionalFormatting>
  <conditionalFormatting sqref="N27:AH27">
    <cfRule type="expression" dxfId="96" priority="8">
      <formula>K27=""</formula>
    </cfRule>
  </conditionalFormatting>
  <conditionalFormatting sqref="N23:AH27">
    <cfRule type="expression" dxfId="95" priority="9">
      <formula>OR($I$22=0,AND($J$20="",$J$21="",$J$22="",$J$23=""))</formula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B1000"/>
  <sheetViews>
    <sheetView workbookViewId="0"/>
  </sheetViews>
  <sheetFormatPr baseColWidth="10" defaultColWidth="14.42578125" defaultRowHeight="15" customHeight="1" x14ac:dyDescent="0.25"/>
  <cols>
    <col min="1" max="14" width="10.7109375" customWidth="1"/>
    <col min="15" max="34" width="11.42578125" customWidth="1"/>
    <col min="35" max="35" width="20" customWidth="1"/>
    <col min="36" max="46" width="11.42578125" customWidth="1"/>
    <col min="47" max="47" width="10.42578125" customWidth="1"/>
    <col min="48" max="48" width="13.7109375" customWidth="1"/>
    <col min="49" max="49" width="10.42578125" customWidth="1"/>
    <col min="50" max="50" width="9.85546875" customWidth="1"/>
    <col min="51" max="51" width="13" customWidth="1"/>
    <col min="52" max="52" width="29.85546875" customWidth="1"/>
    <col min="53" max="53" width="25.7109375" customWidth="1"/>
    <col min="54" max="54" width="11.42578125" customWidth="1"/>
  </cols>
  <sheetData>
    <row r="1" spans="2:54" x14ac:dyDescent="0.25"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spans="2:54" x14ac:dyDescent="0.25"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2:54" x14ac:dyDescent="0.25">
      <c r="B3" s="88" t="s">
        <v>35</v>
      </c>
      <c r="C3" s="89"/>
      <c r="D3" s="89"/>
      <c r="E3" s="89"/>
      <c r="F3" s="89"/>
      <c r="G3" s="90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spans="2:54" x14ac:dyDescent="0.25">
      <c r="B4" s="91"/>
      <c r="C4" s="92"/>
      <c r="D4" s="92"/>
      <c r="E4" s="92"/>
      <c r="F4" s="92"/>
      <c r="G4" s="93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  <row r="5" spans="2:54" x14ac:dyDescent="0.25">
      <c r="B5" s="4"/>
      <c r="C5" s="5">
        <v>2</v>
      </c>
      <c r="D5" s="5">
        <v>3</v>
      </c>
      <c r="E5" s="5">
        <v>5</v>
      </c>
      <c r="F5" s="5">
        <v>6</v>
      </c>
      <c r="G5" s="5">
        <v>4</v>
      </c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spans="2:54" x14ac:dyDescent="0.25">
      <c r="B6" s="94" t="s">
        <v>5</v>
      </c>
      <c r="C6" s="95"/>
      <c r="D6" s="95"/>
      <c r="E6" s="95"/>
      <c r="F6" s="95"/>
      <c r="G6" s="96"/>
      <c r="J6" s="6" t="s">
        <v>6</v>
      </c>
      <c r="K6" s="97" t="s">
        <v>7</v>
      </c>
      <c r="L6" s="95"/>
      <c r="M6" s="95"/>
      <c r="N6" s="96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5"/>
      <c r="AJ6" s="3">
        <v>1</v>
      </c>
      <c r="AK6" s="3">
        <v>2</v>
      </c>
      <c r="AL6" s="3" t="s">
        <v>8</v>
      </c>
      <c r="AM6" s="3"/>
      <c r="AN6" s="3" t="s">
        <v>9</v>
      </c>
      <c r="AO6" s="3" t="s">
        <v>10</v>
      </c>
      <c r="AP6" s="3" t="s">
        <v>11</v>
      </c>
      <c r="AQ6" s="3" t="s">
        <v>12</v>
      </c>
      <c r="AR6" s="3" t="s">
        <v>13</v>
      </c>
      <c r="AS6" s="3" t="s">
        <v>14</v>
      </c>
      <c r="AT6" s="3"/>
      <c r="AU6" s="3"/>
      <c r="AV6" s="3" t="s">
        <v>10</v>
      </c>
      <c r="AW6" s="3" t="s">
        <v>15</v>
      </c>
      <c r="AX6" s="3" t="s">
        <v>8</v>
      </c>
      <c r="AY6" s="3" t="s">
        <v>16</v>
      </c>
      <c r="AZ6" s="3" t="s">
        <v>17</v>
      </c>
      <c r="BA6" s="3" t="s">
        <v>18</v>
      </c>
      <c r="BB6" s="3" t="s">
        <v>19</v>
      </c>
    </row>
    <row r="7" spans="2:54" x14ac:dyDescent="0.25">
      <c r="B7" s="7" t="s">
        <v>20</v>
      </c>
      <c r="C7" s="8" t="s">
        <v>10</v>
      </c>
      <c r="D7" s="9" t="s">
        <v>11</v>
      </c>
      <c r="E7" s="9" t="s">
        <v>13</v>
      </c>
      <c r="F7" s="9" t="s">
        <v>14</v>
      </c>
      <c r="G7" s="10" t="s">
        <v>12</v>
      </c>
      <c r="I7" s="11">
        <v>3</v>
      </c>
      <c r="J7" s="12">
        <v>44886</v>
      </c>
      <c r="K7" s="13" t="s">
        <v>36</v>
      </c>
      <c r="L7" s="14">
        <v>3</v>
      </c>
      <c r="M7" s="15">
        <v>0</v>
      </c>
      <c r="N7" s="11" t="s">
        <v>37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5" t="str">
        <f t="shared" ref="AI7:AI12" si="0">CONCATENATE(K7,"_",N7)</f>
        <v>Inglaterra_Iran</v>
      </c>
      <c r="AJ7" s="3">
        <f t="shared" ref="AJ7:AJ12" si="1">IF(L7&gt;M7,3,IF(L7&lt;M7,0,1))</f>
        <v>3</v>
      </c>
      <c r="AK7" s="3">
        <f t="shared" ref="AK7:AK12" si="2">IF(AJ7=3,0,IF(AJ7=1,1,3))</f>
        <v>0</v>
      </c>
      <c r="AL7" s="3" t="str">
        <f t="shared" ref="AL7:AL12" si="3">IF(AJ7&gt;AK7,K7,IF(AK7&gt;AJ7,N7,"SIN GANADOR"))</f>
        <v>Inglaterra</v>
      </c>
      <c r="AM7" s="3"/>
      <c r="AN7" s="3">
        <f t="shared" ref="AN7:AN10" si="4">_xlfn.RANK.EQ(BB7,BB$7:BB$11,1)</f>
        <v>1</v>
      </c>
      <c r="AO7" s="3" t="s">
        <v>36</v>
      </c>
      <c r="AP7" s="3">
        <f t="shared" ref="AP7:AP10" si="5">SUMIF($K$7:$K$12,AO7,$AJ$7:$AJ$12) + SUMIF($N$7:$N$12,AO7,$AK$7:$AK$12)</f>
        <v>9</v>
      </c>
      <c r="AQ7" s="3">
        <f t="shared" ref="AQ7:AQ10" si="6">AR7-AS7</f>
        <v>8</v>
      </c>
      <c r="AR7" s="3">
        <f t="shared" ref="AR7:AR10" si="7">SUMIF($K$7:$K$12,AO7,$L$7:$L$12) + SUMIF($N$7:$N$12,AO7,$M$7:$M$12)</f>
        <v>9</v>
      </c>
      <c r="AS7" s="3">
        <f t="shared" ref="AS7:AS10" si="8">SUMIF($K$7:$K$12,AO7,$M$7:$M$12) + SUMIF($N$7:$N$12,AO7,$L$7:$L$12)</f>
        <v>1</v>
      </c>
      <c r="AT7" s="3"/>
      <c r="AU7" s="3"/>
      <c r="AV7" s="3" t="str">
        <f t="shared" ref="AV7:AV10" si="9">AO7</f>
        <v>Inglaterra</v>
      </c>
      <c r="AW7" s="3" t="str">
        <f>IF(AZ7=AZ8,AV8,IF(AZ7=AZ9,AV9,IF(AZ7=AZ10,AV10,"")))</f>
        <v/>
      </c>
      <c r="AX7" s="3" t="str">
        <f t="shared" ref="AX7:AX10" si="10">IF(AW7="","",IFERROR(VLOOKUP(CONCATENATE(AV7,"_",AW7),$AI$7:$AL$16,4,FALSE),VLOOKUP(CONCATENATE(AW7,"_",AV7),$AI$7:$AL$16,4,FALSE)))</f>
        <v/>
      </c>
      <c r="AY7" s="3">
        <f t="shared" ref="AY7:AY10" si="11">IF(AX7="",1,IF(AX7=AV7,1,0))</f>
        <v>1</v>
      </c>
      <c r="AZ7" s="3">
        <f t="shared" ref="AZ7:AZ10" si="12">-AP7*10000000 - AQ7*10000 - AR7*100</f>
        <v>-90080900</v>
      </c>
      <c r="BA7" s="3">
        <f t="shared" ref="BA7:BA10" si="13">AZ7-AY7*10</f>
        <v>-90080910</v>
      </c>
      <c r="BB7" s="3">
        <f t="shared" ref="BB7:BB10" si="14">BA7+N23</f>
        <v>-90080909</v>
      </c>
    </row>
    <row r="8" spans="2:54" x14ac:dyDescent="0.25">
      <c r="B8" s="16">
        <v>1</v>
      </c>
      <c r="C8" s="17" t="str">
        <f t="shared" ref="C8:G8" si="15">IFERROR(VLOOKUP($B8,$AN$7:$AS$11,C$5,FALSE),"")</f>
        <v>Inglaterra</v>
      </c>
      <c r="D8" s="18">
        <f t="shared" si="15"/>
        <v>9</v>
      </c>
      <c r="E8" s="18">
        <f t="shared" si="15"/>
        <v>9</v>
      </c>
      <c r="F8" s="18">
        <f t="shared" si="15"/>
        <v>1</v>
      </c>
      <c r="G8" s="19">
        <f t="shared" si="15"/>
        <v>8</v>
      </c>
      <c r="I8" s="20">
        <v>4</v>
      </c>
      <c r="J8" s="21">
        <v>44886</v>
      </c>
      <c r="K8" s="22" t="s">
        <v>38</v>
      </c>
      <c r="L8" s="23">
        <v>0</v>
      </c>
      <c r="M8" s="24">
        <v>1</v>
      </c>
      <c r="N8" s="20" t="s">
        <v>39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5" t="str">
        <f t="shared" si="0"/>
        <v>USA_Gales</v>
      </c>
      <c r="AJ8" s="3">
        <f t="shared" si="1"/>
        <v>0</v>
      </c>
      <c r="AK8" s="3">
        <f t="shared" si="2"/>
        <v>3</v>
      </c>
      <c r="AL8" s="3" t="str">
        <f t="shared" si="3"/>
        <v>Gales</v>
      </c>
      <c r="AM8" s="3"/>
      <c r="AN8" s="3">
        <f t="shared" si="4"/>
        <v>3</v>
      </c>
      <c r="AO8" s="3" t="s">
        <v>38</v>
      </c>
      <c r="AP8" s="3">
        <f t="shared" si="5"/>
        <v>3</v>
      </c>
      <c r="AQ8" s="3">
        <f t="shared" si="6"/>
        <v>-3</v>
      </c>
      <c r="AR8" s="3">
        <f t="shared" si="7"/>
        <v>2</v>
      </c>
      <c r="AS8" s="3">
        <f t="shared" si="8"/>
        <v>5</v>
      </c>
      <c r="AT8" s="3"/>
      <c r="AU8" s="3"/>
      <c r="AV8" s="3" t="str">
        <f t="shared" si="9"/>
        <v>USA</v>
      </c>
      <c r="AW8" s="3" t="str">
        <f>IF(AZ8=AZ9,AV9,IF(AZ8=AZ10,AV10,IF(AZ8=AZ7,AV7,"")))</f>
        <v/>
      </c>
      <c r="AX8" s="3" t="str">
        <f t="shared" si="10"/>
        <v/>
      </c>
      <c r="AY8" s="3">
        <f t="shared" si="11"/>
        <v>1</v>
      </c>
      <c r="AZ8" s="3">
        <f t="shared" si="12"/>
        <v>-29970200</v>
      </c>
      <c r="BA8" s="3">
        <f t="shared" si="13"/>
        <v>-29970210</v>
      </c>
      <c r="BB8" s="3">
        <f t="shared" si="14"/>
        <v>-29970208</v>
      </c>
    </row>
    <row r="9" spans="2:54" x14ac:dyDescent="0.25">
      <c r="B9" s="25">
        <v>2</v>
      </c>
      <c r="C9" s="26" t="str">
        <f t="shared" ref="C9:G9" si="16">IFERROR(VLOOKUP($B9,$AN$7:$AS$11,C$5,FALSE),"")</f>
        <v>Gales</v>
      </c>
      <c r="D9" s="27">
        <f t="shared" si="16"/>
        <v>6</v>
      </c>
      <c r="E9" s="27">
        <f t="shared" si="16"/>
        <v>4</v>
      </c>
      <c r="F9" s="27">
        <f t="shared" si="16"/>
        <v>3</v>
      </c>
      <c r="G9" s="28">
        <f t="shared" si="16"/>
        <v>1</v>
      </c>
      <c r="I9" s="29">
        <f t="shared" ref="I9:I12" si="17">I7+16</f>
        <v>19</v>
      </c>
      <c r="J9" s="30">
        <v>44890</v>
      </c>
      <c r="K9" s="31" t="s">
        <v>39</v>
      </c>
      <c r="L9" s="23">
        <v>2</v>
      </c>
      <c r="M9" s="24">
        <v>0</v>
      </c>
      <c r="N9" s="29" t="s">
        <v>37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5" t="str">
        <f t="shared" si="0"/>
        <v>Gales_Iran</v>
      </c>
      <c r="AJ9" s="3">
        <f t="shared" si="1"/>
        <v>3</v>
      </c>
      <c r="AK9" s="3">
        <f t="shared" si="2"/>
        <v>0</v>
      </c>
      <c r="AL9" s="3" t="str">
        <f t="shared" si="3"/>
        <v>Gales</v>
      </c>
      <c r="AM9" s="3"/>
      <c r="AN9" s="3">
        <f t="shared" si="4"/>
        <v>4</v>
      </c>
      <c r="AO9" s="3" t="s">
        <v>37</v>
      </c>
      <c r="AP9" s="3">
        <f t="shared" si="5"/>
        <v>0</v>
      </c>
      <c r="AQ9" s="3">
        <f t="shared" si="6"/>
        <v>-6</v>
      </c>
      <c r="AR9" s="3">
        <f t="shared" si="7"/>
        <v>1</v>
      </c>
      <c r="AS9" s="3">
        <f t="shared" si="8"/>
        <v>7</v>
      </c>
      <c r="AT9" s="3"/>
      <c r="AU9" s="3"/>
      <c r="AV9" s="3" t="str">
        <f t="shared" si="9"/>
        <v>Iran</v>
      </c>
      <c r="AW9" s="3" t="str">
        <f>IF(AZ9=AZ10,AV10,IF(AZ9=AZ7,AV7,IF(AZ9=AZ8,AV8,"")))</f>
        <v/>
      </c>
      <c r="AX9" s="3" t="str">
        <f t="shared" si="10"/>
        <v/>
      </c>
      <c r="AY9" s="3">
        <f t="shared" si="11"/>
        <v>1</v>
      </c>
      <c r="AZ9" s="3">
        <f t="shared" si="12"/>
        <v>59900</v>
      </c>
      <c r="BA9" s="3">
        <f t="shared" si="13"/>
        <v>59890</v>
      </c>
      <c r="BB9" s="3">
        <f t="shared" si="14"/>
        <v>59893</v>
      </c>
    </row>
    <row r="10" spans="2:54" x14ac:dyDescent="0.25">
      <c r="B10" s="32">
        <v>3</v>
      </c>
      <c r="C10" s="33" t="str">
        <f t="shared" ref="C10:G10" si="18">IFERROR(VLOOKUP($B10,$AN$7:$AS$11,C$5,FALSE),"")</f>
        <v>USA</v>
      </c>
      <c r="D10" s="34">
        <f t="shared" si="18"/>
        <v>3</v>
      </c>
      <c r="E10" s="34">
        <f t="shared" si="18"/>
        <v>2</v>
      </c>
      <c r="F10" s="34">
        <f t="shared" si="18"/>
        <v>5</v>
      </c>
      <c r="G10" s="35">
        <f t="shared" si="18"/>
        <v>-3</v>
      </c>
      <c r="I10" s="20">
        <f t="shared" si="17"/>
        <v>20</v>
      </c>
      <c r="J10" s="21">
        <v>44890</v>
      </c>
      <c r="K10" s="22" t="s">
        <v>36</v>
      </c>
      <c r="L10" s="23">
        <v>3</v>
      </c>
      <c r="M10" s="24">
        <v>0</v>
      </c>
      <c r="N10" s="20" t="s">
        <v>38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5" t="str">
        <f t="shared" si="0"/>
        <v>Inglaterra_USA</v>
      </c>
      <c r="AJ10" s="3">
        <f t="shared" si="1"/>
        <v>3</v>
      </c>
      <c r="AK10" s="3">
        <f t="shared" si="2"/>
        <v>0</v>
      </c>
      <c r="AL10" s="3" t="str">
        <f t="shared" si="3"/>
        <v>Inglaterra</v>
      </c>
      <c r="AM10" s="3"/>
      <c r="AN10" s="3">
        <f t="shared" si="4"/>
        <v>2</v>
      </c>
      <c r="AO10" s="3" t="s">
        <v>39</v>
      </c>
      <c r="AP10" s="3">
        <f t="shared" si="5"/>
        <v>6</v>
      </c>
      <c r="AQ10" s="3">
        <f t="shared" si="6"/>
        <v>1</v>
      </c>
      <c r="AR10" s="3">
        <f t="shared" si="7"/>
        <v>4</v>
      </c>
      <c r="AS10" s="3">
        <f t="shared" si="8"/>
        <v>3</v>
      </c>
      <c r="AT10" s="3"/>
      <c r="AU10" s="3"/>
      <c r="AV10" s="3" t="str">
        <f t="shared" si="9"/>
        <v>Gales</v>
      </c>
      <c r="AW10" s="3" t="str">
        <f>IF(AZ10=AZ7,AV7,IF(AZ10=AZ8,AV8,IF(AZ10=AZ9,AV9,"")))</f>
        <v/>
      </c>
      <c r="AX10" s="3" t="str">
        <f t="shared" si="10"/>
        <v/>
      </c>
      <c r="AY10" s="3">
        <f t="shared" si="11"/>
        <v>1</v>
      </c>
      <c r="AZ10" s="3">
        <f t="shared" si="12"/>
        <v>-60010400</v>
      </c>
      <c r="BA10" s="3">
        <f t="shared" si="13"/>
        <v>-60010410</v>
      </c>
      <c r="BB10" s="3">
        <f t="shared" si="14"/>
        <v>-60010406</v>
      </c>
    </row>
    <row r="11" spans="2:54" x14ac:dyDescent="0.25">
      <c r="B11" s="36">
        <v>4</v>
      </c>
      <c r="C11" s="37" t="str">
        <f t="shared" ref="C11:G11" si="19">IFERROR(VLOOKUP($B11,$AN$7:$AS$11,C$5,FALSE),"")</f>
        <v>Iran</v>
      </c>
      <c r="D11" s="38">
        <f t="shared" si="19"/>
        <v>0</v>
      </c>
      <c r="E11" s="38">
        <f t="shared" si="19"/>
        <v>1</v>
      </c>
      <c r="F11" s="38">
        <f t="shared" si="19"/>
        <v>7</v>
      </c>
      <c r="G11" s="39">
        <f t="shared" si="19"/>
        <v>-6</v>
      </c>
      <c r="I11" s="29">
        <f t="shared" si="17"/>
        <v>35</v>
      </c>
      <c r="J11" s="30">
        <v>44894</v>
      </c>
      <c r="K11" s="31" t="s">
        <v>39</v>
      </c>
      <c r="L11" s="23">
        <v>1</v>
      </c>
      <c r="M11" s="24">
        <v>3</v>
      </c>
      <c r="N11" s="29" t="s">
        <v>36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5" t="str">
        <f t="shared" si="0"/>
        <v>Gales_Inglaterra</v>
      </c>
      <c r="AJ11" s="3">
        <f t="shared" si="1"/>
        <v>0</v>
      </c>
      <c r="AK11" s="3">
        <f t="shared" si="2"/>
        <v>3</v>
      </c>
      <c r="AL11" s="3" t="str">
        <f t="shared" si="3"/>
        <v>Inglaterra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</row>
    <row r="12" spans="2:54" x14ac:dyDescent="0.25">
      <c r="I12" s="40">
        <f t="shared" si="17"/>
        <v>36</v>
      </c>
      <c r="J12" s="41">
        <v>44894</v>
      </c>
      <c r="K12" s="42" t="s">
        <v>37</v>
      </c>
      <c r="L12" s="43">
        <v>1</v>
      </c>
      <c r="M12" s="44">
        <v>2</v>
      </c>
      <c r="N12" s="40" t="s">
        <v>38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5" t="str">
        <f t="shared" si="0"/>
        <v>Iran_USA</v>
      </c>
      <c r="AJ12" s="3">
        <f t="shared" si="1"/>
        <v>0</v>
      </c>
      <c r="AK12" s="3">
        <f t="shared" si="2"/>
        <v>3</v>
      </c>
      <c r="AL12" s="3" t="str">
        <f t="shared" si="3"/>
        <v>USA</v>
      </c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 spans="2:54" x14ac:dyDescent="0.25"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</row>
    <row r="14" spans="2:54" x14ac:dyDescent="0.25"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</row>
    <row r="15" spans="2:54" x14ac:dyDescent="0.25"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</row>
    <row r="16" spans="2:54" x14ac:dyDescent="0.25"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</row>
    <row r="17" spans="2:54" x14ac:dyDescent="0.25"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</row>
    <row r="18" spans="2:54" x14ac:dyDescent="0.25"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</row>
    <row r="19" spans="2:54" x14ac:dyDescent="0.25"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</row>
    <row r="20" spans="2:54" x14ac:dyDescent="0.25"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</row>
    <row r="21" spans="2:54" ht="15.75" customHeight="1" x14ac:dyDescent="0.25"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</row>
    <row r="22" spans="2:54" ht="15.75" customHeight="1" x14ac:dyDescent="0.25">
      <c r="B22" s="45" t="s">
        <v>25</v>
      </c>
      <c r="C22" s="46"/>
      <c r="D22" s="46"/>
      <c r="E22" s="46"/>
      <c r="F22" s="46"/>
      <c r="G22" s="46"/>
      <c r="H22" s="47"/>
      <c r="I22" s="3">
        <v>1</v>
      </c>
      <c r="J22" s="81" t="s">
        <v>40</v>
      </c>
      <c r="K22" s="82"/>
      <c r="L22" s="82"/>
      <c r="M22" s="83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</row>
    <row r="23" spans="2:54" ht="15.75" customHeight="1" x14ac:dyDescent="0.25">
      <c r="B23" s="48" t="s">
        <v>27</v>
      </c>
      <c r="C23" s="49"/>
      <c r="D23" s="49"/>
      <c r="E23" s="49"/>
      <c r="F23" s="49"/>
      <c r="G23" s="49"/>
      <c r="H23" s="50"/>
      <c r="I23" s="3">
        <f t="shared" ref="I23:I26" si="20">IF(J23="",0,1)</f>
        <v>1</v>
      </c>
      <c r="J23" s="98" t="s">
        <v>36</v>
      </c>
      <c r="K23" s="99"/>
      <c r="L23" s="85"/>
      <c r="M23" s="58">
        <v>1</v>
      </c>
      <c r="N23" s="52">
        <f t="shared" ref="N23:N27" si="21">IF(J23="",0,M23)</f>
        <v>1</v>
      </c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</row>
    <row r="24" spans="2:54" ht="15.75" customHeight="1" x14ac:dyDescent="0.25">
      <c r="B24" s="48" t="s">
        <v>28</v>
      </c>
      <c r="C24" s="49"/>
      <c r="D24" s="49"/>
      <c r="E24" s="49"/>
      <c r="F24" s="49"/>
      <c r="G24" s="49"/>
      <c r="H24" s="50"/>
      <c r="I24" s="3">
        <f t="shared" si="20"/>
        <v>1</v>
      </c>
      <c r="J24" s="100" t="s">
        <v>39</v>
      </c>
      <c r="K24" s="101"/>
      <c r="L24" s="102"/>
      <c r="M24" s="53">
        <v>2</v>
      </c>
      <c r="N24" s="52">
        <f t="shared" si="21"/>
        <v>2</v>
      </c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</row>
    <row r="25" spans="2:54" ht="15.75" customHeight="1" x14ac:dyDescent="0.25">
      <c r="B25" s="48" t="s">
        <v>30</v>
      </c>
      <c r="C25" s="49"/>
      <c r="D25" s="49"/>
      <c r="E25" s="49"/>
      <c r="F25" s="49"/>
      <c r="G25" s="49"/>
      <c r="H25" s="50"/>
      <c r="I25" s="3">
        <f t="shared" si="20"/>
        <v>1</v>
      </c>
      <c r="J25" s="100" t="s">
        <v>38</v>
      </c>
      <c r="K25" s="101"/>
      <c r="L25" s="102"/>
      <c r="M25" s="53">
        <v>3</v>
      </c>
      <c r="N25" s="52">
        <f t="shared" si="21"/>
        <v>3</v>
      </c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</row>
    <row r="26" spans="2:54" ht="15.75" customHeight="1" x14ac:dyDescent="0.25">
      <c r="B26" s="48" t="s">
        <v>32</v>
      </c>
      <c r="C26" s="49"/>
      <c r="D26" s="49"/>
      <c r="E26" s="49"/>
      <c r="F26" s="49"/>
      <c r="G26" s="49"/>
      <c r="H26" s="50"/>
      <c r="I26" s="3">
        <f t="shared" si="20"/>
        <v>1</v>
      </c>
      <c r="J26" s="103" t="s">
        <v>37</v>
      </c>
      <c r="K26" s="104"/>
      <c r="L26" s="87"/>
      <c r="M26" s="54">
        <v>4</v>
      </c>
      <c r="N26" s="52">
        <f t="shared" si="21"/>
        <v>4</v>
      </c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</row>
    <row r="27" spans="2:54" ht="15.75" customHeight="1" x14ac:dyDescent="0.25">
      <c r="B27" s="48" t="s">
        <v>34</v>
      </c>
      <c r="C27" s="49"/>
      <c r="D27" s="49"/>
      <c r="E27" s="49"/>
      <c r="F27" s="49"/>
      <c r="G27" s="49"/>
      <c r="H27" s="50"/>
      <c r="I27" s="3"/>
      <c r="N27" s="52">
        <f t="shared" si="21"/>
        <v>0</v>
      </c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</row>
    <row r="28" spans="2:54" ht="15.75" customHeight="1" x14ac:dyDescent="0.25">
      <c r="B28" s="55"/>
      <c r="C28" s="56"/>
      <c r="D28" s="56"/>
      <c r="E28" s="56"/>
      <c r="F28" s="56"/>
      <c r="G28" s="56"/>
      <c r="H28" s="57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</row>
    <row r="29" spans="2:54" ht="15.75" customHeight="1" x14ac:dyDescent="0.25"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</row>
    <row r="30" spans="2:54" ht="15.75" customHeight="1" x14ac:dyDescent="0.25"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</row>
    <row r="31" spans="2:54" ht="15.75" customHeight="1" x14ac:dyDescent="0.25"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</row>
    <row r="32" spans="2:54" ht="15.75" customHeight="1" x14ac:dyDescent="0.25"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</row>
    <row r="33" spans="15:54" ht="15.75" customHeight="1" x14ac:dyDescent="0.25"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</row>
    <row r="34" spans="15:54" ht="15.75" customHeight="1" x14ac:dyDescent="0.25"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</row>
    <row r="35" spans="15:54" ht="15.75" customHeight="1" x14ac:dyDescent="0.25"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</row>
    <row r="36" spans="15:54" ht="15.75" customHeight="1" x14ac:dyDescent="0.25"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</row>
    <row r="37" spans="15:54" ht="15.75" customHeight="1" x14ac:dyDescent="0.25"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</row>
    <row r="38" spans="15:54" ht="15.75" customHeight="1" x14ac:dyDescent="0.25"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</row>
    <row r="39" spans="15:54" ht="15.75" customHeight="1" x14ac:dyDescent="0.25"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</row>
    <row r="40" spans="15:54" ht="15.75" customHeight="1" x14ac:dyDescent="0.25"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</row>
    <row r="41" spans="15:54" ht="15.75" customHeight="1" x14ac:dyDescent="0.25"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</row>
    <row r="42" spans="15:54" ht="15.75" customHeight="1" x14ac:dyDescent="0.25"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</row>
    <row r="43" spans="15:54" ht="15.75" customHeight="1" x14ac:dyDescent="0.25"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</row>
    <row r="44" spans="15:54" ht="15.75" customHeight="1" x14ac:dyDescent="0.25"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</row>
    <row r="45" spans="15:54" ht="15.75" customHeight="1" x14ac:dyDescent="0.25"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</row>
    <row r="46" spans="15:54" ht="15.75" customHeight="1" x14ac:dyDescent="0.25"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</row>
    <row r="47" spans="15:54" ht="15.75" customHeight="1" x14ac:dyDescent="0.25"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15:54" ht="15.75" customHeight="1" x14ac:dyDescent="0.25"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r="49" spans="15:54" ht="15.75" customHeight="1" x14ac:dyDescent="0.25"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r="50" spans="15:54" ht="15.75" customHeight="1" x14ac:dyDescent="0.25"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</row>
    <row r="51" spans="15:54" ht="15.75" customHeight="1" x14ac:dyDescent="0.25"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</row>
    <row r="52" spans="15:54" ht="15.75" customHeight="1" x14ac:dyDescent="0.25"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</row>
    <row r="53" spans="15:54" ht="15.75" customHeight="1" x14ac:dyDescent="0.25"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</row>
    <row r="54" spans="15:54" ht="15.75" customHeight="1" x14ac:dyDescent="0.25"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</row>
    <row r="55" spans="15:54" ht="15.75" customHeight="1" x14ac:dyDescent="0.25"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</row>
    <row r="56" spans="15:54" ht="15.75" customHeight="1" x14ac:dyDescent="0.25"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</row>
    <row r="57" spans="15:54" ht="15.75" customHeight="1" x14ac:dyDescent="0.25"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</row>
    <row r="58" spans="15:54" ht="15.75" customHeight="1" x14ac:dyDescent="0.25"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</row>
    <row r="59" spans="15:54" ht="15.75" customHeight="1" x14ac:dyDescent="0.25"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</row>
    <row r="60" spans="15:54" ht="15.75" customHeight="1" x14ac:dyDescent="0.25"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</row>
    <row r="61" spans="15:54" ht="15.75" customHeight="1" x14ac:dyDescent="0.25"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</row>
    <row r="62" spans="15:54" ht="15.75" customHeight="1" x14ac:dyDescent="0.25"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</row>
    <row r="63" spans="15:54" ht="15.75" customHeight="1" x14ac:dyDescent="0.25"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</row>
    <row r="64" spans="15:54" ht="15.75" customHeight="1" x14ac:dyDescent="0.25"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</row>
    <row r="65" spans="15:54" ht="15.75" customHeight="1" x14ac:dyDescent="0.25"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</row>
    <row r="66" spans="15:54" ht="15.75" customHeight="1" x14ac:dyDescent="0.25"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</row>
    <row r="67" spans="15:54" ht="15.75" customHeight="1" x14ac:dyDescent="0.25"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</row>
    <row r="68" spans="15:54" ht="15.75" customHeight="1" x14ac:dyDescent="0.25"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</row>
    <row r="69" spans="15:54" ht="15.75" customHeight="1" x14ac:dyDescent="0.25"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</row>
    <row r="70" spans="15:54" ht="15.75" customHeight="1" x14ac:dyDescent="0.25"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</row>
    <row r="71" spans="15:54" ht="15.75" customHeight="1" x14ac:dyDescent="0.25"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</row>
    <row r="72" spans="15:54" ht="15.75" customHeight="1" x14ac:dyDescent="0.25"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</row>
    <row r="73" spans="15:54" ht="15.75" customHeight="1" x14ac:dyDescent="0.25"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</row>
    <row r="74" spans="15:54" ht="15.75" customHeight="1" x14ac:dyDescent="0.25"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</row>
    <row r="75" spans="15:54" ht="15.75" customHeight="1" x14ac:dyDescent="0.25"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</row>
    <row r="76" spans="15:54" ht="15.75" customHeight="1" x14ac:dyDescent="0.25"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</row>
    <row r="77" spans="15:54" ht="15.75" customHeight="1" x14ac:dyDescent="0.25"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</row>
    <row r="78" spans="15:54" ht="15.75" customHeight="1" x14ac:dyDescent="0.25"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</row>
    <row r="79" spans="15:54" ht="15.75" customHeight="1" x14ac:dyDescent="0.25"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</row>
    <row r="80" spans="15:54" ht="15.75" customHeight="1" x14ac:dyDescent="0.25"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</row>
    <row r="81" spans="15:54" ht="15.75" customHeight="1" x14ac:dyDescent="0.25"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</row>
    <row r="82" spans="15:54" ht="15.75" customHeight="1" x14ac:dyDescent="0.25"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</row>
    <row r="83" spans="15:54" ht="15.75" customHeight="1" x14ac:dyDescent="0.25"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</row>
    <row r="84" spans="15:54" ht="15.75" customHeight="1" x14ac:dyDescent="0.25"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</row>
    <row r="85" spans="15:54" ht="15.75" customHeight="1" x14ac:dyDescent="0.25"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</row>
    <row r="86" spans="15:54" ht="15.75" customHeight="1" x14ac:dyDescent="0.25"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</row>
    <row r="87" spans="15:54" ht="15.75" customHeight="1" x14ac:dyDescent="0.25"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</row>
    <row r="88" spans="15:54" ht="15.75" customHeight="1" x14ac:dyDescent="0.25"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</row>
    <row r="89" spans="15:54" ht="15.75" customHeight="1" x14ac:dyDescent="0.25"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</row>
    <row r="90" spans="15:54" ht="15.75" customHeight="1" x14ac:dyDescent="0.25"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</row>
    <row r="91" spans="15:54" ht="15.75" customHeight="1" x14ac:dyDescent="0.25"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</row>
    <row r="92" spans="15:54" ht="15.75" customHeight="1" x14ac:dyDescent="0.25"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</row>
    <row r="93" spans="15:54" ht="15.75" customHeight="1" x14ac:dyDescent="0.25"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</row>
    <row r="94" spans="15:54" ht="15.75" customHeight="1" x14ac:dyDescent="0.25"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</row>
    <row r="95" spans="15:54" ht="15.75" customHeight="1" x14ac:dyDescent="0.25"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</row>
    <row r="96" spans="15:54" ht="15.75" customHeight="1" x14ac:dyDescent="0.25"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</row>
    <row r="97" spans="15:54" ht="15.75" customHeight="1" x14ac:dyDescent="0.25"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</row>
    <row r="98" spans="15:54" ht="15.75" customHeight="1" x14ac:dyDescent="0.25"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</row>
    <row r="99" spans="15:54" ht="15.75" customHeight="1" x14ac:dyDescent="0.25"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</row>
    <row r="100" spans="15:54" ht="15.75" customHeight="1" x14ac:dyDescent="0.25"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</row>
    <row r="101" spans="15:54" ht="15.75" customHeight="1" x14ac:dyDescent="0.25"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</row>
    <row r="102" spans="15:54" ht="15.75" customHeight="1" x14ac:dyDescent="0.25"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</row>
    <row r="103" spans="15:54" ht="15.75" customHeight="1" x14ac:dyDescent="0.25"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</row>
    <row r="104" spans="15:54" ht="15.75" customHeight="1" x14ac:dyDescent="0.25"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</row>
    <row r="105" spans="15:54" ht="15.75" customHeight="1" x14ac:dyDescent="0.25"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</row>
    <row r="106" spans="15:54" ht="15.75" customHeight="1" x14ac:dyDescent="0.25"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</row>
    <row r="107" spans="15:54" ht="15.75" customHeight="1" x14ac:dyDescent="0.25"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</row>
    <row r="108" spans="15:54" ht="15.75" customHeight="1" x14ac:dyDescent="0.25"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</row>
    <row r="109" spans="15:54" ht="15.75" customHeight="1" x14ac:dyDescent="0.25"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</row>
    <row r="110" spans="15:54" ht="15.75" customHeight="1" x14ac:dyDescent="0.25"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</row>
    <row r="111" spans="15:54" ht="15.75" customHeight="1" x14ac:dyDescent="0.25"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</row>
    <row r="112" spans="15:54" ht="15.75" customHeight="1" x14ac:dyDescent="0.25"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</row>
    <row r="113" spans="15:54" ht="15.75" customHeight="1" x14ac:dyDescent="0.25"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</row>
    <row r="114" spans="15:54" ht="15.75" customHeight="1" x14ac:dyDescent="0.25"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</row>
    <row r="115" spans="15:54" ht="15.75" customHeight="1" x14ac:dyDescent="0.25"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</row>
    <row r="116" spans="15:54" ht="15.75" customHeight="1" x14ac:dyDescent="0.25"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</row>
    <row r="117" spans="15:54" ht="15.75" customHeight="1" x14ac:dyDescent="0.25"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</row>
    <row r="118" spans="15:54" ht="15.75" customHeight="1" x14ac:dyDescent="0.25"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</row>
    <row r="119" spans="15:54" ht="15.75" customHeight="1" x14ac:dyDescent="0.25"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</row>
    <row r="120" spans="15:54" ht="15.75" customHeight="1" x14ac:dyDescent="0.25"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</row>
    <row r="121" spans="15:54" ht="15.75" customHeight="1" x14ac:dyDescent="0.25"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</row>
    <row r="122" spans="15:54" ht="15.75" customHeight="1" x14ac:dyDescent="0.25"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</row>
    <row r="123" spans="15:54" ht="15.75" customHeight="1" x14ac:dyDescent="0.25"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</row>
    <row r="124" spans="15:54" ht="15.75" customHeight="1" x14ac:dyDescent="0.25"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</row>
    <row r="125" spans="15:54" ht="15.75" customHeight="1" x14ac:dyDescent="0.25"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</row>
    <row r="126" spans="15:54" ht="15.75" customHeight="1" x14ac:dyDescent="0.25"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</row>
    <row r="127" spans="15:54" ht="15.75" customHeight="1" x14ac:dyDescent="0.25"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</row>
    <row r="128" spans="15:54" ht="15.75" customHeight="1" x14ac:dyDescent="0.25"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</row>
    <row r="129" spans="15:54" ht="15.75" customHeight="1" x14ac:dyDescent="0.25"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</row>
    <row r="130" spans="15:54" ht="15.75" customHeight="1" x14ac:dyDescent="0.25"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</row>
    <row r="131" spans="15:54" ht="15.75" customHeight="1" x14ac:dyDescent="0.25"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</row>
    <row r="132" spans="15:54" ht="15.75" customHeight="1" x14ac:dyDescent="0.25"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</row>
    <row r="133" spans="15:54" ht="15.75" customHeight="1" x14ac:dyDescent="0.25"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</row>
    <row r="134" spans="15:54" ht="15.75" customHeight="1" x14ac:dyDescent="0.25"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</row>
    <row r="135" spans="15:54" ht="15.75" customHeight="1" x14ac:dyDescent="0.25"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</row>
    <row r="136" spans="15:54" ht="15.75" customHeight="1" x14ac:dyDescent="0.25"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</row>
    <row r="137" spans="15:54" ht="15.75" customHeight="1" x14ac:dyDescent="0.25"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</row>
    <row r="138" spans="15:54" ht="15.75" customHeight="1" x14ac:dyDescent="0.25"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</row>
    <row r="139" spans="15:54" ht="15.75" customHeight="1" x14ac:dyDescent="0.25"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</row>
    <row r="140" spans="15:54" ht="15.75" customHeight="1" x14ac:dyDescent="0.25"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</row>
    <row r="141" spans="15:54" ht="15.75" customHeight="1" x14ac:dyDescent="0.25"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</row>
    <row r="142" spans="15:54" ht="15.75" customHeight="1" x14ac:dyDescent="0.25"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</row>
    <row r="143" spans="15:54" ht="15.75" customHeight="1" x14ac:dyDescent="0.25"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</row>
    <row r="144" spans="15:54" ht="15.75" customHeight="1" x14ac:dyDescent="0.25"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</row>
    <row r="145" spans="15:54" ht="15.75" customHeight="1" x14ac:dyDescent="0.25"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</row>
    <row r="146" spans="15:54" ht="15.75" customHeight="1" x14ac:dyDescent="0.25"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</row>
    <row r="147" spans="15:54" ht="15.75" customHeight="1" x14ac:dyDescent="0.25"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</row>
    <row r="148" spans="15:54" ht="15.75" customHeight="1" x14ac:dyDescent="0.25"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</row>
    <row r="149" spans="15:54" ht="15.75" customHeight="1" x14ac:dyDescent="0.25"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</row>
    <row r="150" spans="15:54" ht="15.75" customHeight="1" x14ac:dyDescent="0.25"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</row>
    <row r="151" spans="15:54" ht="15.75" customHeight="1" x14ac:dyDescent="0.25"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</row>
    <row r="152" spans="15:54" ht="15.75" customHeight="1" x14ac:dyDescent="0.25"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</row>
    <row r="153" spans="15:54" ht="15.75" customHeight="1" x14ac:dyDescent="0.25"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</row>
    <row r="154" spans="15:54" ht="15.75" customHeight="1" x14ac:dyDescent="0.25"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</row>
    <row r="155" spans="15:54" ht="15.75" customHeight="1" x14ac:dyDescent="0.25"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</row>
    <row r="156" spans="15:54" ht="15.75" customHeight="1" x14ac:dyDescent="0.25"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</row>
    <row r="157" spans="15:54" ht="15.75" customHeight="1" x14ac:dyDescent="0.25"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</row>
    <row r="158" spans="15:54" ht="15.75" customHeight="1" x14ac:dyDescent="0.25"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</row>
    <row r="159" spans="15:54" ht="15.75" customHeight="1" x14ac:dyDescent="0.25"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</row>
    <row r="160" spans="15:54" ht="15.75" customHeight="1" x14ac:dyDescent="0.25"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</row>
    <row r="161" spans="15:54" ht="15.75" customHeight="1" x14ac:dyDescent="0.25"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</row>
    <row r="162" spans="15:54" ht="15.75" customHeight="1" x14ac:dyDescent="0.25"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</row>
    <row r="163" spans="15:54" ht="15.75" customHeight="1" x14ac:dyDescent="0.25"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</row>
    <row r="164" spans="15:54" ht="15.75" customHeight="1" x14ac:dyDescent="0.25"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</row>
    <row r="165" spans="15:54" ht="15.75" customHeight="1" x14ac:dyDescent="0.25"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</row>
    <row r="166" spans="15:54" ht="15.75" customHeight="1" x14ac:dyDescent="0.25"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</row>
    <row r="167" spans="15:54" ht="15.75" customHeight="1" x14ac:dyDescent="0.25"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</row>
    <row r="168" spans="15:54" ht="15.75" customHeight="1" x14ac:dyDescent="0.25"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</row>
    <row r="169" spans="15:54" ht="15.75" customHeight="1" x14ac:dyDescent="0.25"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</row>
    <row r="170" spans="15:54" ht="15.75" customHeight="1" x14ac:dyDescent="0.25"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</row>
    <row r="171" spans="15:54" ht="15.75" customHeight="1" x14ac:dyDescent="0.25"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</row>
    <row r="172" spans="15:54" ht="15.75" customHeight="1" x14ac:dyDescent="0.25"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</row>
    <row r="173" spans="15:54" ht="15.75" customHeight="1" x14ac:dyDescent="0.25"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</row>
    <row r="174" spans="15:54" ht="15.75" customHeight="1" x14ac:dyDescent="0.25"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</row>
    <row r="175" spans="15:54" ht="15.75" customHeight="1" x14ac:dyDescent="0.25"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</row>
    <row r="176" spans="15:54" ht="15.75" customHeight="1" x14ac:dyDescent="0.25"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</row>
    <row r="177" spans="15:54" ht="15.75" customHeight="1" x14ac:dyDescent="0.25"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</row>
    <row r="178" spans="15:54" ht="15.75" customHeight="1" x14ac:dyDescent="0.25"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</row>
    <row r="179" spans="15:54" ht="15.75" customHeight="1" x14ac:dyDescent="0.25"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</row>
    <row r="180" spans="15:54" ht="15.75" customHeight="1" x14ac:dyDescent="0.25"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</row>
    <row r="181" spans="15:54" ht="15.75" customHeight="1" x14ac:dyDescent="0.25"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</row>
    <row r="182" spans="15:54" ht="15.75" customHeight="1" x14ac:dyDescent="0.25"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</row>
    <row r="183" spans="15:54" ht="15.75" customHeight="1" x14ac:dyDescent="0.25"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</row>
    <row r="184" spans="15:54" ht="15.75" customHeight="1" x14ac:dyDescent="0.25"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</row>
    <row r="185" spans="15:54" ht="15.75" customHeight="1" x14ac:dyDescent="0.25"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</row>
    <row r="186" spans="15:54" ht="15.75" customHeight="1" x14ac:dyDescent="0.25"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</row>
    <row r="187" spans="15:54" ht="15.75" customHeight="1" x14ac:dyDescent="0.25"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</row>
    <row r="188" spans="15:54" ht="15.75" customHeight="1" x14ac:dyDescent="0.25"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</row>
    <row r="189" spans="15:54" ht="15.75" customHeight="1" x14ac:dyDescent="0.25"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</row>
    <row r="190" spans="15:54" ht="15.75" customHeight="1" x14ac:dyDescent="0.25"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</row>
    <row r="191" spans="15:54" ht="15.75" customHeight="1" x14ac:dyDescent="0.25"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</row>
    <row r="192" spans="15:54" ht="15.75" customHeight="1" x14ac:dyDescent="0.25"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</row>
    <row r="193" spans="15:54" ht="15.75" customHeight="1" x14ac:dyDescent="0.25"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</row>
    <row r="194" spans="15:54" ht="15.75" customHeight="1" x14ac:dyDescent="0.25"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</row>
    <row r="195" spans="15:54" ht="15.75" customHeight="1" x14ac:dyDescent="0.25"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</row>
    <row r="196" spans="15:54" ht="15.75" customHeight="1" x14ac:dyDescent="0.25"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</row>
    <row r="197" spans="15:54" ht="15.75" customHeight="1" x14ac:dyDescent="0.25"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</row>
    <row r="198" spans="15:54" ht="15.75" customHeight="1" x14ac:dyDescent="0.25"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</row>
    <row r="199" spans="15:54" ht="15.75" customHeight="1" x14ac:dyDescent="0.25"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</row>
    <row r="200" spans="15:54" ht="15.75" customHeight="1" x14ac:dyDescent="0.25"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</row>
    <row r="201" spans="15:54" ht="15.75" customHeight="1" x14ac:dyDescent="0.25"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</row>
    <row r="202" spans="15:54" ht="15.75" customHeight="1" x14ac:dyDescent="0.25"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</row>
    <row r="203" spans="15:54" ht="15.75" customHeight="1" x14ac:dyDescent="0.25"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</row>
    <row r="204" spans="15:54" ht="15.75" customHeight="1" x14ac:dyDescent="0.25"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</row>
    <row r="205" spans="15:54" ht="15.75" customHeight="1" x14ac:dyDescent="0.25"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</row>
    <row r="206" spans="15:54" ht="15.75" customHeight="1" x14ac:dyDescent="0.25"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</row>
    <row r="207" spans="15:54" ht="15.75" customHeight="1" x14ac:dyDescent="0.25"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</row>
    <row r="208" spans="15:54" ht="15.75" customHeight="1" x14ac:dyDescent="0.25"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</row>
    <row r="209" spans="15:54" ht="15.75" customHeight="1" x14ac:dyDescent="0.25"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</row>
    <row r="210" spans="15:54" ht="15.75" customHeight="1" x14ac:dyDescent="0.25"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</row>
    <row r="211" spans="15:54" ht="15.75" customHeight="1" x14ac:dyDescent="0.25"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</row>
    <row r="212" spans="15:54" ht="15.75" customHeight="1" x14ac:dyDescent="0.25"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</row>
    <row r="213" spans="15:54" ht="15.75" customHeight="1" x14ac:dyDescent="0.25"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</row>
    <row r="214" spans="15:54" ht="15.75" customHeight="1" x14ac:dyDescent="0.25"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</row>
    <row r="215" spans="15:54" ht="15.75" customHeight="1" x14ac:dyDescent="0.25"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</row>
    <row r="216" spans="15:54" ht="15.75" customHeight="1" x14ac:dyDescent="0.25"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</row>
    <row r="217" spans="15:54" ht="15.75" customHeight="1" x14ac:dyDescent="0.25"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</row>
    <row r="218" spans="15:54" ht="15.75" customHeight="1" x14ac:dyDescent="0.25"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</row>
    <row r="219" spans="15:54" ht="15.75" customHeight="1" x14ac:dyDescent="0.25"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</row>
    <row r="220" spans="15:54" ht="15.75" customHeight="1" x14ac:dyDescent="0.25"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</row>
    <row r="221" spans="15:54" ht="15.75" customHeight="1" x14ac:dyDescent="0.25"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</row>
    <row r="222" spans="15:54" ht="15.75" customHeight="1" x14ac:dyDescent="0.25"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</row>
    <row r="223" spans="15:54" ht="15.75" customHeight="1" x14ac:dyDescent="0.25"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</row>
    <row r="224" spans="15:54" ht="15.75" customHeight="1" x14ac:dyDescent="0.25"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</row>
    <row r="225" spans="15:54" ht="15.75" customHeight="1" x14ac:dyDescent="0.25"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</row>
    <row r="226" spans="15:54" ht="15.75" customHeight="1" x14ac:dyDescent="0.25"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</row>
    <row r="227" spans="15:54" ht="15.75" customHeight="1" x14ac:dyDescent="0.25"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</row>
    <row r="228" spans="15:54" ht="15.75" customHeight="1" x14ac:dyDescent="0.25"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</row>
    <row r="229" spans="15:54" ht="15.75" customHeight="1" x14ac:dyDescent="0.25"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</row>
    <row r="230" spans="15:54" ht="15.75" customHeight="1" x14ac:dyDescent="0.25"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</row>
    <row r="231" spans="15:54" ht="15.75" customHeight="1" x14ac:dyDescent="0.25"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</row>
    <row r="232" spans="15:54" ht="15.75" customHeight="1" x14ac:dyDescent="0.25"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</row>
    <row r="233" spans="15:54" ht="15.75" customHeight="1" x14ac:dyDescent="0.25"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</row>
    <row r="234" spans="15:54" ht="15.75" customHeight="1" x14ac:dyDescent="0.25"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</row>
    <row r="235" spans="15:54" ht="15.75" customHeight="1" x14ac:dyDescent="0.25"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</row>
    <row r="236" spans="15:54" ht="15.75" customHeight="1" x14ac:dyDescent="0.25"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</row>
    <row r="237" spans="15:54" ht="15.75" customHeight="1" x14ac:dyDescent="0.25"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</row>
    <row r="238" spans="15:54" ht="15.75" customHeight="1" x14ac:dyDescent="0.25"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</row>
    <row r="239" spans="15:54" ht="15.75" customHeight="1" x14ac:dyDescent="0.25"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</row>
    <row r="240" spans="15:54" ht="15.75" customHeight="1" x14ac:dyDescent="0.25"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</row>
    <row r="241" spans="15:54" ht="15.75" customHeight="1" x14ac:dyDescent="0.25"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</row>
    <row r="242" spans="15:54" ht="15.75" customHeight="1" x14ac:dyDescent="0.25"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</row>
    <row r="243" spans="15:54" ht="15.75" customHeight="1" x14ac:dyDescent="0.25"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</row>
    <row r="244" spans="15:54" ht="15.75" customHeight="1" x14ac:dyDescent="0.25"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</row>
    <row r="245" spans="15:54" ht="15.75" customHeight="1" x14ac:dyDescent="0.25"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</row>
    <row r="246" spans="15:54" ht="15.75" customHeight="1" x14ac:dyDescent="0.25"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</row>
    <row r="247" spans="15:54" ht="15.75" customHeight="1" x14ac:dyDescent="0.25"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</row>
    <row r="248" spans="15:54" ht="15.75" customHeight="1" x14ac:dyDescent="0.25"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</row>
    <row r="249" spans="15:54" ht="15.75" customHeight="1" x14ac:dyDescent="0.25"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</row>
    <row r="250" spans="15:54" ht="15.75" customHeight="1" x14ac:dyDescent="0.25"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</row>
    <row r="251" spans="15:54" ht="15.75" customHeight="1" x14ac:dyDescent="0.25"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</row>
    <row r="252" spans="15:54" ht="15.75" customHeight="1" x14ac:dyDescent="0.25"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</row>
    <row r="253" spans="15:54" ht="15.75" customHeight="1" x14ac:dyDescent="0.25"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</row>
    <row r="254" spans="15:54" ht="15.75" customHeight="1" x14ac:dyDescent="0.25"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</row>
    <row r="255" spans="15:54" ht="15.75" customHeight="1" x14ac:dyDescent="0.25"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</row>
    <row r="256" spans="15:54" ht="15.75" customHeight="1" x14ac:dyDescent="0.25"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</row>
    <row r="257" spans="15:54" ht="15.75" customHeight="1" x14ac:dyDescent="0.25"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</row>
    <row r="258" spans="15:54" ht="15.75" customHeight="1" x14ac:dyDescent="0.25"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</row>
    <row r="259" spans="15:54" ht="15.75" customHeight="1" x14ac:dyDescent="0.25"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</row>
    <row r="260" spans="15:54" ht="15.75" customHeight="1" x14ac:dyDescent="0.25"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</row>
    <row r="261" spans="15:54" ht="15.75" customHeight="1" x14ac:dyDescent="0.25"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</row>
    <row r="262" spans="15:54" ht="15.75" customHeight="1" x14ac:dyDescent="0.25"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</row>
    <row r="263" spans="15:54" ht="15.75" customHeight="1" x14ac:dyDescent="0.25"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</row>
    <row r="264" spans="15:54" ht="15.75" customHeight="1" x14ac:dyDescent="0.25"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</row>
    <row r="265" spans="15:54" ht="15.75" customHeight="1" x14ac:dyDescent="0.25"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</row>
    <row r="266" spans="15:54" ht="15.75" customHeight="1" x14ac:dyDescent="0.25"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</row>
    <row r="267" spans="15:54" ht="15.75" customHeight="1" x14ac:dyDescent="0.25"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</row>
    <row r="268" spans="15:54" ht="15.75" customHeight="1" x14ac:dyDescent="0.25"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</row>
    <row r="269" spans="15:54" ht="15.75" customHeight="1" x14ac:dyDescent="0.25"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</row>
    <row r="270" spans="15:54" ht="15.75" customHeight="1" x14ac:dyDescent="0.25"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</row>
    <row r="271" spans="15:54" ht="15.75" customHeight="1" x14ac:dyDescent="0.25"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</row>
    <row r="272" spans="15:54" ht="15.75" customHeight="1" x14ac:dyDescent="0.25"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</row>
    <row r="273" spans="15:54" ht="15.75" customHeight="1" x14ac:dyDescent="0.25"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</row>
    <row r="274" spans="15:54" ht="15.75" customHeight="1" x14ac:dyDescent="0.25"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</row>
    <row r="275" spans="15:54" ht="15.75" customHeight="1" x14ac:dyDescent="0.25"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</row>
    <row r="276" spans="15:54" ht="15.75" customHeight="1" x14ac:dyDescent="0.25"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</row>
    <row r="277" spans="15:54" ht="15.75" customHeight="1" x14ac:dyDescent="0.25"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</row>
    <row r="278" spans="15:54" ht="15.75" customHeight="1" x14ac:dyDescent="0.25"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</row>
    <row r="279" spans="15:54" ht="15.75" customHeight="1" x14ac:dyDescent="0.25"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</row>
    <row r="280" spans="15:54" ht="15.75" customHeight="1" x14ac:dyDescent="0.25"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</row>
    <row r="281" spans="15:54" ht="15.75" customHeight="1" x14ac:dyDescent="0.25"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</row>
    <row r="282" spans="15:54" ht="15.75" customHeight="1" x14ac:dyDescent="0.25"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</row>
    <row r="283" spans="15:54" ht="15.75" customHeight="1" x14ac:dyDescent="0.25"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</row>
    <row r="284" spans="15:54" ht="15.75" customHeight="1" x14ac:dyDescent="0.25"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</row>
    <row r="285" spans="15:54" ht="15.75" customHeight="1" x14ac:dyDescent="0.25"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</row>
    <row r="286" spans="15:54" ht="15.75" customHeight="1" x14ac:dyDescent="0.25"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</row>
    <row r="287" spans="15:54" ht="15.75" customHeight="1" x14ac:dyDescent="0.25"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</row>
    <row r="288" spans="15:54" ht="15.75" customHeight="1" x14ac:dyDescent="0.25"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</row>
    <row r="289" spans="15:54" ht="15.75" customHeight="1" x14ac:dyDescent="0.25"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</row>
    <row r="290" spans="15:54" ht="15.75" customHeight="1" x14ac:dyDescent="0.25"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</row>
    <row r="291" spans="15:54" ht="15.75" customHeight="1" x14ac:dyDescent="0.25"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</row>
    <row r="292" spans="15:54" ht="15.75" customHeight="1" x14ac:dyDescent="0.25"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</row>
    <row r="293" spans="15:54" ht="15.75" customHeight="1" x14ac:dyDescent="0.25"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</row>
    <row r="294" spans="15:54" ht="15.75" customHeight="1" x14ac:dyDescent="0.25"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</row>
    <row r="295" spans="15:54" ht="15.75" customHeight="1" x14ac:dyDescent="0.25"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</row>
    <row r="296" spans="15:54" ht="15.75" customHeight="1" x14ac:dyDescent="0.25"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</row>
    <row r="297" spans="15:54" ht="15.75" customHeight="1" x14ac:dyDescent="0.25"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</row>
    <row r="298" spans="15:54" ht="15.75" customHeight="1" x14ac:dyDescent="0.25"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</row>
    <row r="299" spans="15:54" ht="15.75" customHeight="1" x14ac:dyDescent="0.25"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</row>
    <row r="300" spans="15:54" ht="15.75" customHeight="1" x14ac:dyDescent="0.25"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</row>
    <row r="301" spans="15:54" ht="15.75" customHeight="1" x14ac:dyDescent="0.25"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</row>
    <row r="302" spans="15:54" ht="15.75" customHeight="1" x14ac:dyDescent="0.25"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</row>
    <row r="303" spans="15:54" ht="15.75" customHeight="1" x14ac:dyDescent="0.25"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</row>
    <row r="304" spans="15:54" ht="15.75" customHeight="1" x14ac:dyDescent="0.25"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</row>
    <row r="305" spans="15:54" ht="15.75" customHeight="1" x14ac:dyDescent="0.25"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</row>
    <row r="306" spans="15:54" ht="15.75" customHeight="1" x14ac:dyDescent="0.25"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</row>
    <row r="307" spans="15:54" ht="15.75" customHeight="1" x14ac:dyDescent="0.25"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</row>
    <row r="308" spans="15:54" ht="15.75" customHeight="1" x14ac:dyDescent="0.25"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</row>
    <row r="309" spans="15:54" ht="15.75" customHeight="1" x14ac:dyDescent="0.25"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</row>
    <row r="310" spans="15:54" ht="15.75" customHeight="1" x14ac:dyDescent="0.25"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</row>
    <row r="311" spans="15:54" ht="15.75" customHeight="1" x14ac:dyDescent="0.25"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</row>
    <row r="312" spans="15:54" ht="15.75" customHeight="1" x14ac:dyDescent="0.25"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</row>
    <row r="313" spans="15:54" ht="15.75" customHeight="1" x14ac:dyDescent="0.25"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</row>
    <row r="314" spans="15:54" ht="15.75" customHeight="1" x14ac:dyDescent="0.25"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</row>
    <row r="315" spans="15:54" ht="15.75" customHeight="1" x14ac:dyDescent="0.25"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</row>
    <row r="316" spans="15:54" ht="15.75" customHeight="1" x14ac:dyDescent="0.25"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</row>
    <row r="317" spans="15:54" ht="15.75" customHeight="1" x14ac:dyDescent="0.25"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</row>
    <row r="318" spans="15:54" ht="15.75" customHeight="1" x14ac:dyDescent="0.25"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</row>
    <row r="319" spans="15:54" ht="15.75" customHeight="1" x14ac:dyDescent="0.25"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</row>
    <row r="320" spans="15:54" ht="15.75" customHeight="1" x14ac:dyDescent="0.25"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</row>
    <row r="321" spans="15:54" ht="15.75" customHeight="1" x14ac:dyDescent="0.25"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</row>
    <row r="322" spans="15:54" ht="15.75" customHeight="1" x14ac:dyDescent="0.25"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</row>
    <row r="323" spans="15:54" ht="15.75" customHeight="1" x14ac:dyDescent="0.25"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</row>
    <row r="324" spans="15:54" ht="15.75" customHeight="1" x14ac:dyDescent="0.25"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</row>
    <row r="325" spans="15:54" ht="15.75" customHeight="1" x14ac:dyDescent="0.25"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</row>
    <row r="326" spans="15:54" ht="15.75" customHeight="1" x14ac:dyDescent="0.25"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</row>
    <row r="327" spans="15:54" ht="15.75" customHeight="1" x14ac:dyDescent="0.25"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</row>
    <row r="328" spans="15:54" ht="15.75" customHeight="1" x14ac:dyDescent="0.25"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</row>
    <row r="329" spans="15:54" ht="15.75" customHeight="1" x14ac:dyDescent="0.25"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</row>
    <row r="330" spans="15:54" ht="15.75" customHeight="1" x14ac:dyDescent="0.25"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</row>
    <row r="331" spans="15:54" ht="15.75" customHeight="1" x14ac:dyDescent="0.25"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</row>
    <row r="332" spans="15:54" ht="15.75" customHeight="1" x14ac:dyDescent="0.25"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</row>
    <row r="333" spans="15:54" ht="15.75" customHeight="1" x14ac:dyDescent="0.25"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</row>
    <row r="334" spans="15:54" ht="15.75" customHeight="1" x14ac:dyDescent="0.25"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</row>
    <row r="335" spans="15:54" ht="15.75" customHeight="1" x14ac:dyDescent="0.25"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</row>
    <row r="336" spans="15:54" ht="15.75" customHeight="1" x14ac:dyDescent="0.25"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</row>
    <row r="337" spans="15:54" ht="15.75" customHeight="1" x14ac:dyDescent="0.25"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</row>
    <row r="338" spans="15:54" ht="15.75" customHeight="1" x14ac:dyDescent="0.25"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</row>
    <row r="339" spans="15:54" ht="15.75" customHeight="1" x14ac:dyDescent="0.25"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</row>
    <row r="340" spans="15:54" ht="15.75" customHeight="1" x14ac:dyDescent="0.25"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</row>
    <row r="341" spans="15:54" ht="15.75" customHeight="1" x14ac:dyDescent="0.25"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</row>
    <row r="342" spans="15:54" ht="15.75" customHeight="1" x14ac:dyDescent="0.25"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</row>
    <row r="343" spans="15:54" ht="15.75" customHeight="1" x14ac:dyDescent="0.25"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</row>
    <row r="344" spans="15:54" ht="15.75" customHeight="1" x14ac:dyDescent="0.25"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</row>
    <row r="345" spans="15:54" ht="15.75" customHeight="1" x14ac:dyDescent="0.25"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</row>
    <row r="346" spans="15:54" ht="15.75" customHeight="1" x14ac:dyDescent="0.25"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</row>
    <row r="347" spans="15:54" ht="15.75" customHeight="1" x14ac:dyDescent="0.25"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</row>
    <row r="348" spans="15:54" ht="15.75" customHeight="1" x14ac:dyDescent="0.25"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</row>
    <row r="349" spans="15:54" ht="15.75" customHeight="1" x14ac:dyDescent="0.25"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</row>
    <row r="350" spans="15:54" ht="15.75" customHeight="1" x14ac:dyDescent="0.25"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</row>
    <row r="351" spans="15:54" ht="15.75" customHeight="1" x14ac:dyDescent="0.25"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</row>
    <row r="352" spans="15:54" ht="15.75" customHeight="1" x14ac:dyDescent="0.25"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</row>
    <row r="353" spans="15:54" ht="15.75" customHeight="1" x14ac:dyDescent="0.25"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</row>
    <row r="354" spans="15:54" ht="15.75" customHeight="1" x14ac:dyDescent="0.25"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</row>
    <row r="355" spans="15:54" ht="15.75" customHeight="1" x14ac:dyDescent="0.25"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</row>
    <row r="356" spans="15:54" ht="15.75" customHeight="1" x14ac:dyDescent="0.25"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</row>
    <row r="357" spans="15:54" ht="15.75" customHeight="1" x14ac:dyDescent="0.25"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</row>
    <row r="358" spans="15:54" ht="15.75" customHeight="1" x14ac:dyDescent="0.25"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</row>
    <row r="359" spans="15:54" ht="15.75" customHeight="1" x14ac:dyDescent="0.25"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</row>
    <row r="360" spans="15:54" ht="15.75" customHeight="1" x14ac:dyDescent="0.25"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</row>
    <row r="361" spans="15:54" ht="15.75" customHeight="1" x14ac:dyDescent="0.25"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</row>
    <row r="362" spans="15:54" ht="15.75" customHeight="1" x14ac:dyDescent="0.25"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</row>
    <row r="363" spans="15:54" ht="15.75" customHeight="1" x14ac:dyDescent="0.25"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</row>
    <row r="364" spans="15:54" ht="15.75" customHeight="1" x14ac:dyDescent="0.25"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</row>
    <row r="365" spans="15:54" ht="15.75" customHeight="1" x14ac:dyDescent="0.25"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</row>
    <row r="366" spans="15:54" ht="15.75" customHeight="1" x14ac:dyDescent="0.25"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</row>
    <row r="367" spans="15:54" ht="15.75" customHeight="1" x14ac:dyDescent="0.25"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</row>
    <row r="368" spans="15:54" ht="15.75" customHeight="1" x14ac:dyDescent="0.25"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</row>
    <row r="369" spans="15:54" ht="15.75" customHeight="1" x14ac:dyDescent="0.25"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</row>
    <row r="370" spans="15:54" ht="15.75" customHeight="1" x14ac:dyDescent="0.25"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</row>
    <row r="371" spans="15:54" ht="15.75" customHeight="1" x14ac:dyDescent="0.25"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</row>
    <row r="372" spans="15:54" ht="15.75" customHeight="1" x14ac:dyDescent="0.25"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</row>
    <row r="373" spans="15:54" ht="15.75" customHeight="1" x14ac:dyDescent="0.25"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</row>
    <row r="374" spans="15:54" ht="15.75" customHeight="1" x14ac:dyDescent="0.25"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</row>
    <row r="375" spans="15:54" ht="15.75" customHeight="1" x14ac:dyDescent="0.25"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</row>
    <row r="376" spans="15:54" ht="15.75" customHeight="1" x14ac:dyDescent="0.25"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</row>
    <row r="377" spans="15:54" ht="15.75" customHeight="1" x14ac:dyDescent="0.25"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</row>
    <row r="378" spans="15:54" ht="15.75" customHeight="1" x14ac:dyDescent="0.25"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</row>
    <row r="379" spans="15:54" ht="15.75" customHeight="1" x14ac:dyDescent="0.25"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</row>
    <row r="380" spans="15:54" ht="15.75" customHeight="1" x14ac:dyDescent="0.25"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</row>
    <row r="381" spans="15:54" ht="15.75" customHeight="1" x14ac:dyDescent="0.25"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</row>
    <row r="382" spans="15:54" ht="15.75" customHeight="1" x14ac:dyDescent="0.25"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</row>
    <row r="383" spans="15:54" ht="15.75" customHeight="1" x14ac:dyDescent="0.25"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</row>
    <row r="384" spans="15:54" ht="15.75" customHeight="1" x14ac:dyDescent="0.25"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</row>
    <row r="385" spans="15:54" ht="15.75" customHeight="1" x14ac:dyDescent="0.25"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</row>
    <row r="386" spans="15:54" ht="15.75" customHeight="1" x14ac:dyDescent="0.25"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</row>
    <row r="387" spans="15:54" ht="15.75" customHeight="1" x14ac:dyDescent="0.25"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</row>
    <row r="388" spans="15:54" ht="15.75" customHeight="1" x14ac:dyDescent="0.25"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</row>
    <row r="389" spans="15:54" ht="15.75" customHeight="1" x14ac:dyDescent="0.25"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</row>
    <row r="390" spans="15:54" ht="15.75" customHeight="1" x14ac:dyDescent="0.25"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</row>
    <row r="391" spans="15:54" ht="15.75" customHeight="1" x14ac:dyDescent="0.25"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</row>
    <row r="392" spans="15:54" ht="15.75" customHeight="1" x14ac:dyDescent="0.25"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</row>
    <row r="393" spans="15:54" ht="15.75" customHeight="1" x14ac:dyDescent="0.25"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</row>
    <row r="394" spans="15:54" ht="15.75" customHeight="1" x14ac:dyDescent="0.25"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</row>
    <row r="395" spans="15:54" ht="15.75" customHeight="1" x14ac:dyDescent="0.25"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</row>
    <row r="396" spans="15:54" ht="15.75" customHeight="1" x14ac:dyDescent="0.25"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</row>
    <row r="397" spans="15:54" ht="15.75" customHeight="1" x14ac:dyDescent="0.25"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</row>
    <row r="398" spans="15:54" ht="15.75" customHeight="1" x14ac:dyDescent="0.25"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</row>
    <row r="399" spans="15:54" ht="15.75" customHeight="1" x14ac:dyDescent="0.25"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</row>
    <row r="400" spans="15:54" ht="15.75" customHeight="1" x14ac:dyDescent="0.25"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</row>
    <row r="401" spans="15:54" ht="15.75" customHeight="1" x14ac:dyDescent="0.25"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</row>
    <row r="402" spans="15:54" ht="15.75" customHeight="1" x14ac:dyDescent="0.25"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</row>
    <row r="403" spans="15:54" ht="15.75" customHeight="1" x14ac:dyDescent="0.25"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</row>
    <row r="404" spans="15:54" ht="15.75" customHeight="1" x14ac:dyDescent="0.25"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</row>
    <row r="405" spans="15:54" ht="15.75" customHeight="1" x14ac:dyDescent="0.25"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</row>
    <row r="406" spans="15:54" ht="15.75" customHeight="1" x14ac:dyDescent="0.25"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</row>
    <row r="407" spans="15:54" ht="15.75" customHeight="1" x14ac:dyDescent="0.25"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</row>
    <row r="408" spans="15:54" ht="15.75" customHeight="1" x14ac:dyDescent="0.25"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</row>
    <row r="409" spans="15:54" ht="15.75" customHeight="1" x14ac:dyDescent="0.25"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</row>
    <row r="410" spans="15:54" ht="15.75" customHeight="1" x14ac:dyDescent="0.25"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</row>
    <row r="411" spans="15:54" ht="15.75" customHeight="1" x14ac:dyDescent="0.25"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</row>
    <row r="412" spans="15:54" ht="15.75" customHeight="1" x14ac:dyDescent="0.25"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</row>
    <row r="413" spans="15:54" ht="15.75" customHeight="1" x14ac:dyDescent="0.25"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</row>
    <row r="414" spans="15:54" ht="15.75" customHeight="1" x14ac:dyDescent="0.25"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</row>
    <row r="415" spans="15:54" ht="15.75" customHeight="1" x14ac:dyDescent="0.25"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</row>
    <row r="416" spans="15:54" ht="15.75" customHeight="1" x14ac:dyDescent="0.25"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</row>
    <row r="417" spans="15:54" ht="15.75" customHeight="1" x14ac:dyDescent="0.25"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</row>
    <row r="418" spans="15:54" ht="15.75" customHeight="1" x14ac:dyDescent="0.25"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</row>
    <row r="419" spans="15:54" ht="15.75" customHeight="1" x14ac:dyDescent="0.25"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</row>
    <row r="420" spans="15:54" ht="15.75" customHeight="1" x14ac:dyDescent="0.25"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</row>
    <row r="421" spans="15:54" ht="15.75" customHeight="1" x14ac:dyDescent="0.25"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</row>
    <row r="422" spans="15:54" ht="15.75" customHeight="1" x14ac:dyDescent="0.25"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</row>
    <row r="423" spans="15:54" ht="15.75" customHeight="1" x14ac:dyDescent="0.25"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</row>
    <row r="424" spans="15:54" ht="15.75" customHeight="1" x14ac:dyDescent="0.25"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</row>
    <row r="425" spans="15:54" ht="15.75" customHeight="1" x14ac:dyDescent="0.25"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</row>
    <row r="426" spans="15:54" ht="15.75" customHeight="1" x14ac:dyDescent="0.25"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</row>
    <row r="427" spans="15:54" ht="15.75" customHeight="1" x14ac:dyDescent="0.25"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</row>
    <row r="428" spans="15:54" ht="15.75" customHeight="1" x14ac:dyDescent="0.25"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</row>
    <row r="429" spans="15:54" ht="15.75" customHeight="1" x14ac:dyDescent="0.25"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</row>
    <row r="430" spans="15:54" ht="15.75" customHeight="1" x14ac:dyDescent="0.25"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</row>
    <row r="431" spans="15:54" ht="15.75" customHeight="1" x14ac:dyDescent="0.25"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</row>
    <row r="432" spans="15:54" ht="15.75" customHeight="1" x14ac:dyDescent="0.25"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</row>
    <row r="433" spans="15:54" ht="15.75" customHeight="1" x14ac:dyDescent="0.25"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</row>
    <row r="434" spans="15:54" ht="15.75" customHeight="1" x14ac:dyDescent="0.25"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</row>
    <row r="435" spans="15:54" ht="15.75" customHeight="1" x14ac:dyDescent="0.25"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</row>
    <row r="436" spans="15:54" ht="15.75" customHeight="1" x14ac:dyDescent="0.25"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</row>
    <row r="437" spans="15:54" ht="15.75" customHeight="1" x14ac:dyDescent="0.25"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</row>
    <row r="438" spans="15:54" ht="15.75" customHeight="1" x14ac:dyDescent="0.25"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</row>
    <row r="439" spans="15:54" ht="15.75" customHeight="1" x14ac:dyDescent="0.25"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</row>
    <row r="440" spans="15:54" ht="15.75" customHeight="1" x14ac:dyDescent="0.25"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</row>
    <row r="441" spans="15:54" ht="15.75" customHeight="1" x14ac:dyDescent="0.25"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</row>
    <row r="442" spans="15:54" ht="15.75" customHeight="1" x14ac:dyDescent="0.25"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</row>
    <row r="443" spans="15:54" ht="15.75" customHeight="1" x14ac:dyDescent="0.25"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</row>
    <row r="444" spans="15:54" ht="15.75" customHeight="1" x14ac:dyDescent="0.25"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</row>
    <row r="445" spans="15:54" ht="15.75" customHeight="1" x14ac:dyDescent="0.25"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</row>
    <row r="446" spans="15:54" ht="15.75" customHeight="1" x14ac:dyDescent="0.25"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</row>
    <row r="447" spans="15:54" ht="15.75" customHeight="1" x14ac:dyDescent="0.25"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</row>
    <row r="448" spans="15:54" ht="15.75" customHeight="1" x14ac:dyDescent="0.25"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</row>
    <row r="449" spans="15:54" ht="15.75" customHeight="1" x14ac:dyDescent="0.25"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</row>
    <row r="450" spans="15:54" ht="15.75" customHeight="1" x14ac:dyDescent="0.25"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</row>
    <row r="451" spans="15:54" ht="15.75" customHeight="1" x14ac:dyDescent="0.25"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</row>
    <row r="452" spans="15:54" ht="15.75" customHeight="1" x14ac:dyDescent="0.25"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</row>
    <row r="453" spans="15:54" ht="15.75" customHeight="1" x14ac:dyDescent="0.25"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</row>
    <row r="454" spans="15:54" ht="15.75" customHeight="1" x14ac:dyDescent="0.25"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</row>
    <row r="455" spans="15:54" ht="15.75" customHeight="1" x14ac:dyDescent="0.25"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</row>
    <row r="456" spans="15:54" ht="15.75" customHeight="1" x14ac:dyDescent="0.25"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</row>
    <row r="457" spans="15:54" ht="15.75" customHeight="1" x14ac:dyDescent="0.25"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</row>
    <row r="458" spans="15:54" ht="15.75" customHeight="1" x14ac:dyDescent="0.25"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</row>
    <row r="459" spans="15:54" ht="15.75" customHeight="1" x14ac:dyDescent="0.25"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</row>
    <row r="460" spans="15:54" ht="15.75" customHeight="1" x14ac:dyDescent="0.25"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</row>
    <row r="461" spans="15:54" ht="15.75" customHeight="1" x14ac:dyDescent="0.25"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</row>
    <row r="462" spans="15:54" ht="15.75" customHeight="1" x14ac:dyDescent="0.25"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</row>
    <row r="463" spans="15:54" ht="15.75" customHeight="1" x14ac:dyDescent="0.25"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</row>
    <row r="464" spans="15:54" ht="15.75" customHeight="1" x14ac:dyDescent="0.25"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</row>
    <row r="465" spans="15:54" ht="15.75" customHeight="1" x14ac:dyDescent="0.25"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</row>
    <row r="466" spans="15:54" ht="15.75" customHeight="1" x14ac:dyDescent="0.25"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</row>
    <row r="467" spans="15:54" ht="15.75" customHeight="1" x14ac:dyDescent="0.25"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</row>
    <row r="468" spans="15:54" ht="15.75" customHeight="1" x14ac:dyDescent="0.25"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</row>
    <row r="469" spans="15:54" ht="15.75" customHeight="1" x14ac:dyDescent="0.25"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</row>
    <row r="470" spans="15:54" ht="15.75" customHeight="1" x14ac:dyDescent="0.25"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</row>
    <row r="471" spans="15:54" ht="15.75" customHeight="1" x14ac:dyDescent="0.25"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</row>
    <row r="472" spans="15:54" ht="15.75" customHeight="1" x14ac:dyDescent="0.25"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</row>
    <row r="473" spans="15:54" ht="15.75" customHeight="1" x14ac:dyDescent="0.25"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</row>
    <row r="474" spans="15:54" ht="15.75" customHeight="1" x14ac:dyDescent="0.25"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</row>
    <row r="475" spans="15:54" ht="15.75" customHeight="1" x14ac:dyDescent="0.25"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</row>
    <row r="476" spans="15:54" ht="15.75" customHeight="1" x14ac:dyDescent="0.25"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</row>
    <row r="477" spans="15:54" ht="15.75" customHeight="1" x14ac:dyDescent="0.25"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</row>
    <row r="478" spans="15:54" ht="15.75" customHeight="1" x14ac:dyDescent="0.25"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</row>
    <row r="479" spans="15:54" ht="15.75" customHeight="1" x14ac:dyDescent="0.25"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</row>
    <row r="480" spans="15:54" ht="15.75" customHeight="1" x14ac:dyDescent="0.25"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</row>
    <row r="481" spans="15:54" ht="15.75" customHeight="1" x14ac:dyDescent="0.25"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</row>
    <row r="482" spans="15:54" ht="15.75" customHeight="1" x14ac:dyDescent="0.25"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</row>
    <row r="483" spans="15:54" ht="15.75" customHeight="1" x14ac:dyDescent="0.25"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</row>
    <row r="484" spans="15:54" ht="15.75" customHeight="1" x14ac:dyDescent="0.25"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</row>
    <row r="485" spans="15:54" ht="15.75" customHeight="1" x14ac:dyDescent="0.25"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</row>
    <row r="486" spans="15:54" ht="15.75" customHeight="1" x14ac:dyDescent="0.25"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</row>
    <row r="487" spans="15:54" ht="15.75" customHeight="1" x14ac:dyDescent="0.25"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</row>
    <row r="488" spans="15:54" ht="15.75" customHeight="1" x14ac:dyDescent="0.25"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</row>
    <row r="489" spans="15:54" ht="15.75" customHeight="1" x14ac:dyDescent="0.25"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</row>
    <row r="490" spans="15:54" ht="15.75" customHeight="1" x14ac:dyDescent="0.25"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</row>
    <row r="491" spans="15:54" ht="15.75" customHeight="1" x14ac:dyDescent="0.25"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</row>
    <row r="492" spans="15:54" ht="15.75" customHeight="1" x14ac:dyDescent="0.25"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</row>
    <row r="493" spans="15:54" ht="15.75" customHeight="1" x14ac:dyDescent="0.25"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</row>
    <row r="494" spans="15:54" ht="15.75" customHeight="1" x14ac:dyDescent="0.25"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</row>
    <row r="495" spans="15:54" ht="15.75" customHeight="1" x14ac:dyDescent="0.25"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</row>
    <row r="496" spans="15:54" ht="15.75" customHeight="1" x14ac:dyDescent="0.25"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</row>
    <row r="497" spans="15:54" ht="15.75" customHeight="1" x14ac:dyDescent="0.25"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</row>
    <row r="498" spans="15:54" ht="15.75" customHeight="1" x14ac:dyDescent="0.25"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</row>
    <row r="499" spans="15:54" ht="15.75" customHeight="1" x14ac:dyDescent="0.25"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</row>
    <row r="500" spans="15:54" ht="15.75" customHeight="1" x14ac:dyDescent="0.25"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</row>
    <row r="501" spans="15:54" ht="15.75" customHeight="1" x14ac:dyDescent="0.25"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</row>
    <row r="502" spans="15:54" ht="15.75" customHeight="1" x14ac:dyDescent="0.25"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</row>
    <row r="503" spans="15:54" ht="15.75" customHeight="1" x14ac:dyDescent="0.25"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</row>
    <row r="504" spans="15:54" ht="15.75" customHeight="1" x14ac:dyDescent="0.25"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</row>
    <row r="505" spans="15:54" ht="15.75" customHeight="1" x14ac:dyDescent="0.25"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</row>
    <row r="506" spans="15:54" ht="15.75" customHeight="1" x14ac:dyDescent="0.25"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</row>
    <row r="507" spans="15:54" ht="15.75" customHeight="1" x14ac:dyDescent="0.25"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</row>
    <row r="508" spans="15:54" ht="15.75" customHeight="1" x14ac:dyDescent="0.25"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</row>
    <row r="509" spans="15:54" ht="15.75" customHeight="1" x14ac:dyDescent="0.25"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</row>
    <row r="510" spans="15:54" ht="15.75" customHeight="1" x14ac:dyDescent="0.25"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</row>
    <row r="511" spans="15:54" ht="15.75" customHeight="1" x14ac:dyDescent="0.25"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</row>
    <row r="512" spans="15:54" ht="15.75" customHeight="1" x14ac:dyDescent="0.25"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</row>
    <row r="513" spans="15:54" ht="15.75" customHeight="1" x14ac:dyDescent="0.25"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</row>
    <row r="514" spans="15:54" ht="15.75" customHeight="1" x14ac:dyDescent="0.25"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</row>
    <row r="515" spans="15:54" ht="15.75" customHeight="1" x14ac:dyDescent="0.25"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</row>
    <row r="516" spans="15:54" ht="15.75" customHeight="1" x14ac:dyDescent="0.25"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</row>
    <row r="517" spans="15:54" ht="15.75" customHeight="1" x14ac:dyDescent="0.25"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</row>
    <row r="518" spans="15:54" ht="15.75" customHeight="1" x14ac:dyDescent="0.25"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</row>
    <row r="519" spans="15:54" ht="15.75" customHeight="1" x14ac:dyDescent="0.25"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</row>
    <row r="520" spans="15:54" ht="15.75" customHeight="1" x14ac:dyDescent="0.25"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</row>
    <row r="521" spans="15:54" ht="15.75" customHeight="1" x14ac:dyDescent="0.25"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</row>
    <row r="522" spans="15:54" ht="15.75" customHeight="1" x14ac:dyDescent="0.25"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</row>
    <row r="523" spans="15:54" ht="15.75" customHeight="1" x14ac:dyDescent="0.25"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</row>
    <row r="524" spans="15:54" ht="15.75" customHeight="1" x14ac:dyDescent="0.25"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</row>
    <row r="525" spans="15:54" ht="15.75" customHeight="1" x14ac:dyDescent="0.25"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</row>
    <row r="526" spans="15:54" ht="15.75" customHeight="1" x14ac:dyDescent="0.25"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</row>
    <row r="527" spans="15:54" ht="15.75" customHeight="1" x14ac:dyDescent="0.25"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</row>
    <row r="528" spans="15:54" ht="15.75" customHeight="1" x14ac:dyDescent="0.25"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</row>
    <row r="529" spans="15:54" ht="15.75" customHeight="1" x14ac:dyDescent="0.25"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</row>
    <row r="530" spans="15:54" ht="15.75" customHeight="1" x14ac:dyDescent="0.25"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</row>
    <row r="531" spans="15:54" ht="15.75" customHeight="1" x14ac:dyDescent="0.25"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</row>
    <row r="532" spans="15:54" ht="15.75" customHeight="1" x14ac:dyDescent="0.25"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</row>
    <row r="533" spans="15:54" ht="15.75" customHeight="1" x14ac:dyDescent="0.25"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</row>
    <row r="534" spans="15:54" ht="15.75" customHeight="1" x14ac:dyDescent="0.25"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</row>
    <row r="535" spans="15:54" ht="15.75" customHeight="1" x14ac:dyDescent="0.25"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</row>
    <row r="536" spans="15:54" ht="15.75" customHeight="1" x14ac:dyDescent="0.25"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</row>
    <row r="537" spans="15:54" ht="15.75" customHeight="1" x14ac:dyDescent="0.25"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</row>
    <row r="538" spans="15:54" ht="15.75" customHeight="1" x14ac:dyDescent="0.25"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</row>
    <row r="539" spans="15:54" ht="15.75" customHeight="1" x14ac:dyDescent="0.25"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</row>
    <row r="540" spans="15:54" ht="15.75" customHeight="1" x14ac:dyDescent="0.25"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</row>
    <row r="541" spans="15:54" ht="15.75" customHeight="1" x14ac:dyDescent="0.25"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</row>
    <row r="542" spans="15:54" ht="15.75" customHeight="1" x14ac:dyDescent="0.25"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</row>
    <row r="543" spans="15:54" ht="15.75" customHeight="1" x14ac:dyDescent="0.25"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</row>
    <row r="544" spans="15:54" ht="15.75" customHeight="1" x14ac:dyDescent="0.25"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</row>
    <row r="545" spans="15:54" ht="15.75" customHeight="1" x14ac:dyDescent="0.25"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</row>
    <row r="546" spans="15:54" ht="15.75" customHeight="1" x14ac:dyDescent="0.25"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</row>
    <row r="547" spans="15:54" ht="15.75" customHeight="1" x14ac:dyDescent="0.25"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</row>
    <row r="548" spans="15:54" ht="15.75" customHeight="1" x14ac:dyDescent="0.25"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</row>
    <row r="549" spans="15:54" ht="15.75" customHeight="1" x14ac:dyDescent="0.25"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</row>
    <row r="550" spans="15:54" ht="15.75" customHeight="1" x14ac:dyDescent="0.25"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</row>
    <row r="551" spans="15:54" ht="15.75" customHeight="1" x14ac:dyDescent="0.25"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</row>
    <row r="552" spans="15:54" ht="15.75" customHeight="1" x14ac:dyDescent="0.25"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</row>
    <row r="553" spans="15:54" ht="15.75" customHeight="1" x14ac:dyDescent="0.25"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</row>
    <row r="554" spans="15:54" ht="15.75" customHeight="1" x14ac:dyDescent="0.25"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</row>
    <row r="555" spans="15:54" ht="15.75" customHeight="1" x14ac:dyDescent="0.25"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</row>
    <row r="556" spans="15:54" ht="15.75" customHeight="1" x14ac:dyDescent="0.25"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</row>
    <row r="557" spans="15:54" ht="15.75" customHeight="1" x14ac:dyDescent="0.25"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</row>
    <row r="558" spans="15:54" ht="15.75" customHeight="1" x14ac:dyDescent="0.25"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</row>
    <row r="559" spans="15:54" ht="15.75" customHeight="1" x14ac:dyDescent="0.25"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</row>
    <row r="560" spans="15:54" ht="15.75" customHeight="1" x14ac:dyDescent="0.25"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</row>
    <row r="561" spans="15:54" ht="15.75" customHeight="1" x14ac:dyDescent="0.25"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</row>
    <row r="562" spans="15:54" ht="15.75" customHeight="1" x14ac:dyDescent="0.25"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</row>
    <row r="563" spans="15:54" ht="15.75" customHeight="1" x14ac:dyDescent="0.25"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</row>
    <row r="564" spans="15:54" ht="15.75" customHeight="1" x14ac:dyDescent="0.25"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</row>
    <row r="565" spans="15:54" ht="15.75" customHeight="1" x14ac:dyDescent="0.25"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</row>
    <row r="566" spans="15:54" ht="15.75" customHeight="1" x14ac:dyDescent="0.25"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</row>
    <row r="567" spans="15:54" ht="15.75" customHeight="1" x14ac:dyDescent="0.25"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</row>
    <row r="568" spans="15:54" ht="15.75" customHeight="1" x14ac:dyDescent="0.25"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</row>
    <row r="569" spans="15:54" ht="15.75" customHeight="1" x14ac:dyDescent="0.25"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</row>
    <row r="570" spans="15:54" ht="15.75" customHeight="1" x14ac:dyDescent="0.25"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</row>
    <row r="571" spans="15:54" ht="15.75" customHeight="1" x14ac:dyDescent="0.25"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</row>
    <row r="572" spans="15:54" ht="15.75" customHeight="1" x14ac:dyDescent="0.25"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</row>
    <row r="573" spans="15:54" ht="15.75" customHeight="1" x14ac:dyDescent="0.25"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</row>
    <row r="574" spans="15:54" ht="15.75" customHeight="1" x14ac:dyDescent="0.25"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</row>
    <row r="575" spans="15:54" ht="15.75" customHeight="1" x14ac:dyDescent="0.25"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</row>
    <row r="576" spans="15:54" ht="15.75" customHeight="1" x14ac:dyDescent="0.25"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</row>
    <row r="577" spans="15:54" ht="15.75" customHeight="1" x14ac:dyDescent="0.25"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</row>
    <row r="578" spans="15:54" ht="15.75" customHeight="1" x14ac:dyDescent="0.25"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</row>
    <row r="579" spans="15:54" ht="15.75" customHeight="1" x14ac:dyDescent="0.25"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</row>
    <row r="580" spans="15:54" ht="15.75" customHeight="1" x14ac:dyDescent="0.25"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</row>
    <row r="581" spans="15:54" ht="15.75" customHeight="1" x14ac:dyDescent="0.25"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</row>
    <row r="582" spans="15:54" ht="15.75" customHeight="1" x14ac:dyDescent="0.25"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</row>
    <row r="583" spans="15:54" ht="15.75" customHeight="1" x14ac:dyDescent="0.25"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</row>
    <row r="584" spans="15:54" ht="15.75" customHeight="1" x14ac:dyDescent="0.25"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</row>
    <row r="585" spans="15:54" ht="15.75" customHeight="1" x14ac:dyDescent="0.25"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</row>
    <row r="586" spans="15:54" ht="15.75" customHeight="1" x14ac:dyDescent="0.25"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</row>
    <row r="587" spans="15:54" ht="15.75" customHeight="1" x14ac:dyDescent="0.25"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</row>
    <row r="588" spans="15:54" ht="15.75" customHeight="1" x14ac:dyDescent="0.25"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</row>
    <row r="589" spans="15:54" ht="15.75" customHeight="1" x14ac:dyDescent="0.25"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</row>
    <row r="590" spans="15:54" ht="15.75" customHeight="1" x14ac:dyDescent="0.25"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</row>
    <row r="591" spans="15:54" ht="15.75" customHeight="1" x14ac:dyDescent="0.25"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</row>
    <row r="592" spans="15:54" ht="15.75" customHeight="1" x14ac:dyDescent="0.25"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</row>
    <row r="593" spans="15:54" ht="15.75" customHeight="1" x14ac:dyDescent="0.25"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</row>
    <row r="594" spans="15:54" ht="15.75" customHeight="1" x14ac:dyDescent="0.25"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</row>
    <row r="595" spans="15:54" ht="15.75" customHeight="1" x14ac:dyDescent="0.25"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</row>
    <row r="596" spans="15:54" ht="15.75" customHeight="1" x14ac:dyDescent="0.25"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</row>
    <row r="597" spans="15:54" ht="15.75" customHeight="1" x14ac:dyDescent="0.25"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</row>
    <row r="598" spans="15:54" ht="15.75" customHeight="1" x14ac:dyDescent="0.25"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</row>
    <row r="599" spans="15:54" ht="15.75" customHeight="1" x14ac:dyDescent="0.25"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</row>
    <row r="600" spans="15:54" ht="15.75" customHeight="1" x14ac:dyDescent="0.25"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</row>
    <row r="601" spans="15:54" ht="15.75" customHeight="1" x14ac:dyDescent="0.25"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</row>
    <row r="602" spans="15:54" ht="15.75" customHeight="1" x14ac:dyDescent="0.25"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</row>
    <row r="603" spans="15:54" ht="15.75" customHeight="1" x14ac:dyDescent="0.25"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</row>
    <row r="604" spans="15:54" ht="15.75" customHeight="1" x14ac:dyDescent="0.25"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</row>
    <row r="605" spans="15:54" ht="15.75" customHeight="1" x14ac:dyDescent="0.25"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</row>
    <row r="606" spans="15:54" ht="15.75" customHeight="1" x14ac:dyDescent="0.25"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</row>
    <row r="607" spans="15:54" ht="15.75" customHeight="1" x14ac:dyDescent="0.25"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</row>
    <row r="608" spans="15:54" ht="15.75" customHeight="1" x14ac:dyDescent="0.25"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</row>
    <row r="609" spans="15:54" ht="15.75" customHeight="1" x14ac:dyDescent="0.25"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</row>
    <row r="610" spans="15:54" ht="15.75" customHeight="1" x14ac:dyDescent="0.25"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</row>
    <row r="611" spans="15:54" ht="15.75" customHeight="1" x14ac:dyDescent="0.25"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</row>
    <row r="612" spans="15:54" ht="15.75" customHeight="1" x14ac:dyDescent="0.25"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</row>
    <row r="613" spans="15:54" ht="15.75" customHeight="1" x14ac:dyDescent="0.25"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</row>
    <row r="614" spans="15:54" ht="15.75" customHeight="1" x14ac:dyDescent="0.25"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</row>
    <row r="615" spans="15:54" ht="15.75" customHeight="1" x14ac:dyDescent="0.25"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</row>
    <row r="616" spans="15:54" ht="15.75" customHeight="1" x14ac:dyDescent="0.25"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</row>
    <row r="617" spans="15:54" ht="15.75" customHeight="1" x14ac:dyDescent="0.25"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</row>
    <row r="618" spans="15:54" ht="15.75" customHeight="1" x14ac:dyDescent="0.25"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</row>
    <row r="619" spans="15:54" ht="15.75" customHeight="1" x14ac:dyDescent="0.25"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</row>
    <row r="620" spans="15:54" ht="15.75" customHeight="1" x14ac:dyDescent="0.25"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</row>
    <row r="621" spans="15:54" ht="15.75" customHeight="1" x14ac:dyDescent="0.25"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</row>
    <row r="622" spans="15:54" ht="15.75" customHeight="1" x14ac:dyDescent="0.25"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</row>
    <row r="623" spans="15:54" ht="15.75" customHeight="1" x14ac:dyDescent="0.25"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</row>
    <row r="624" spans="15:54" ht="15.75" customHeight="1" x14ac:dyDescent="0.25"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</row>
    <row r="625" spans="15:54" ht="15.75" customHeight="1" x14ac:dyDescent="0.25"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</row>
    <row r="626" spans="15:54" ht="15.75" customHeight="1" x14ac:dyDescent="0.25"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</row>
    <row r="627" spans="15:54" ht="15.75" customHeight="1" x14ac:dyDescent="0.25"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</row>
    <row r="628" spans="15:54" ht="15.75" customHeight="1" x14ac:dyDescent="0.25"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</row>
    <row r="629" spans="15:54" ht="15.75" customHeight="1" x14ac:dyDescent="0.25"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</row>
    <row r="630" spans="15:54" ht="15.75" customHeight="1" x14ac:dyDescent="0.25"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</row>
    <row r="631" spans="15:54" ht="15.75" customHeight="1" x14ac:dyDescent="0.25"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</row>
    <row r="632" spans="15:54" ht="15.75" customHeight="1" x14ac:dyDescent="0.25"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</row>
    <row r="633" spans="15:54" ht="15.75" customHeight="1" x14ac:dyDescent="0.25"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</row>
    <row r="634" spans="15:54" ht="15.75" customHeight="1" x14ac:dyDescent="0.25"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</row>
    <row r="635" spans="15:54" ht="15.75" customHeight="1" x14ac:dyDescent="0.25"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</row>
    <row r="636" spans="15:54" ht="15.75" customHeight="1" x14ac:dyDescent="0.25"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</row>
    <row r="637" spans="15:54" ht="15.75" customHeight="1" x14ac:dyDescent="0.25"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</row>
    <row r="638" spans="15:54" ht="15.75" customHeight="1" x14ac:dyDescent="0.25"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</row>
    <row r="639" spans="15:54" ht="15.75" customHeight="1" x14ac:dyDescent="0.25"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</row>
    <row r="640" spans="15:54" ht="15.75" customHeight="1" x14ac:dyDescent="0.25"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</row>
    <row r="641" spans="15:54" ht="15.75" customHeight="1" x14ac:dyDescent="0.25"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</row>
    <row r="642" spans="15:54" ht="15.75" customHeight="1" x14ac:dyDescent="0.25"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</row>
    <row r="643" spans="15:54" ht="15.75" customHeight="1" x14ac:dyDescent="0.25"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</row>
    <row r="644" spans="15:54" ht="15.75" customHeight="1" x14ac:dyDescent="0.25"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</row>
    <row r="645" spans="15:54" ht="15.75" customHeight="1" x14ac:dyDescent="0.25"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</row>
    <row r="646" spans="15:54" ht="15.75" customHeight="1" x14ac:dyDescent="0.25"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</row>
    <row r="647" spans="15:54" ht="15.75" customHeight="1" x14ac:dyDescent="0.25"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</row>
    <row r="648" spans="15:54" ht="15.75" customHeight="1" x14ac:dyDescent="0.25"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</row>
    <row r="649" spans="15:54" ht="15.75" customHeight="1" x14ac:dyDescent="0.25"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</row>
    <row r="650" spans="15:54" ht="15.75" customHeight="1" x14ac:dyDescent="0.25"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</row>
    <row r="651" spans="15:54" ht="15.75" customHeight="1" x14ac:dyDescent="0.25"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</row>
    <row r="652" spans="15:54" ht="15.75" customHeight="1" x14ac:dyDescent="0.25"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</row>
    <row r="653" spans="15:54" ht="15.75" customHeight="1" x14ac:dyDescent="0.25"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</row>
    <row r="654" spans="15:54" ht="15.75" customHeight="1" x14ac:dyDescent="0.25"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</row>
    <row r="655" spans="15:54" ht="15.75" customHeight="1" x14ac:dyDescent="0.25"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</row>
    <row r="656" spans="15:54" ht="15.75" customHeight="1" x14ac:dyDescent="0.25"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</row>
    <row r="657" spans="15:54" ht="15.75" customHeight="1" x14ac:dyDescent="0.25"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</row>
    <row r="658" spans="15:54" ht="15.75" customHeight="1" x14ac:dyDescent="0.25"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</row>
    <row r="659" spans="15:54" ht="15.75" customHeight="1" x14ac:dyDescent="0.25"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</row>
    <row r="660" spans="15:54" ht="15.75" customHeight="1" x14ac:dyDescent="0.25"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</row>
    <row r="661" spans="15:54" ht="15.75" customHeight="1" x14ac:dyDescent="0.25"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</row>
    <row r="662" spans="15:54" ht="15.75" customHeight="1" x14ac:dyDescent="0.25"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</row>
    <row r="663" spans="15:54" ht="15.75" customHeight="1" x14ac:dyDescent="0.25"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</row>
    <row r="664" spans="15:54" ht="15.75" customHeight="1" x14ac:dyDescent="0.25"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</row>
    <row r="665" spans="15:54" ht="15.75" customHeight="1" x14ac:dyDescent="0.25"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</row>
    <row r="666" spans="15:54" ht="15.75" customHeight="1" x14ac:dyDescent="0.25"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</row>
    <row r="667" spans="15:54" ht="15.75" customHeight="1" x14ac:dyDescent="0.25"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</row>
    <row r="668" spans="15:54" ht="15.75" customHeight="1" x14ac:dyDescent="0.25"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</row>
    <row r="669" spans="15:54" ht="15.75" customHeight="1" x14ac:dyDescent="0.25"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</row>
    <row r="670" spans="15:54" ht="15.75" customHeight="1" x14ac:dyDescent="0.25"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</row>
    <row r="671" spans="15:54" ht="15.75" customHeight="1" x14ac:dyDescent="0.25"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</row>
    <row r="672" spans="15:54" ht="15.75" customHeight="1" x14ac:dyDescent="0.25"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</row>
    <row r="673" spans="15:54" ht="15.75" customHeight="1" x14ac:dyDescent="0.25"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</row>
    <row r="674" spans="15:54" ht="15.75" customHeight="1" x14ac:dyDescent="0.25"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</row>
    <row r="675" spans="15:54" ht="15.75" customHeight="1" x14ac:dyDescent="0.25"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</row>
    <row r="676" spans="15:54" ht="15.75" customHeight="1" x14ac:dyDescent="0.25"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</row>
    <row r="677" spans="15:54" ht="15.75" customHeight="1" x14ac:dyDescent="0.25"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</row>
    <row r="678" spans="15:54" ht="15.75" customHeight="1" x14ac:dyDescent="0.25"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</row>
    <row r="679" spans="15:54" ht="15.75" customHeight="1" x14ac:dyDescent="0.25"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</row>
    <row r="680" spans="15:54" ht="15.75" customHeight="1" x14ac:dyDescent="0.25"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</row>
    <row r="681" spans="15:54" ht="15.75" customHeight="1" x14ac:dyDescent="0.25"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</row>
    <row r="682" spans="15:54" ht="15.75" customHeight="1" x14ac:dyDescent="0.25"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</row>
    <row r="683" spans="15:54" ht="15.75" customHeight="1" x14ac:dyDescent="0.25"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</row>
    <row r="684" spans="15:54" ht="15.75" customHeight="1" x14ac:dyDescent="0.25"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</row>
    <row r="685" spans="15:54" ht="15.75" customHeight="1" x14ac:dyDescent="0.25"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</row>
    <row r="686" spans="15:54" ht="15.75" customHeight="1" x14ac:dyDescent="0.25"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</row>
    <row r="687" spans="15:54" ht="15.75" customHeight="1" x14ac:dyDescent="0.25"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</row>
    <row r="688" spans="15:54" ht="15.75" customHeight="1" x14ac:dyDescent="0.25"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</row>
    <row r="689" spans="15:54" ht="15.75" customHeight="1" x14ac:dyDescent="0.25"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</row>
    <row r="690" spans="15:54" ht="15.75" customHeight="1" x14ac:dyDescent="0.25"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</row>
    <row r="691" spans="15:54" ht="15.75" customHeight="1" x14ac:dyDescent="0.25"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</row>
    <row r="692" spans="15:54" ht="15.75" customHeight="1" x14ac:dyDescent="0.25"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</row>
    <row r="693" spans="15:54" ht="15.75" customHeight="1" x14ac:dyDescent="0.25"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</row>
    <row r="694" spans="15:54" ht="15.75" customHeight="1" x14ac:dyDescent="0.25"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</row>
    <row r="695" spans="15:54" ht="15.75" customHeight="1" x14ac:dyDescent="0.25"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</row>
    <row r="696" spans="15:54" ht="15.75" customHeight="1" x14ac:dyDescent="0.25"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</row>
    <row r="697" spans="15:54" ht="15.75" customHeight="1" x14ac:dyDescent="0.25"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</row>
    <row r="698" spans="15:54" ht="15.75" customHeight="1" x14ac:dyDescent="0.25"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</row>
    <row r="699" spans="15:54" ht="15.75" customHeight="1" x14ac:dyDescent="0.25"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</row>
    <row r="700" spans="15:54" ht="15.75" customHeight="1" x14ac:dyDescent="0.25"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</row>
    <row r="701" spans="15:54" ht="15.75" customHeight="1" x14ac:dyDescent="0.25"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</row>
    <row r="702" spans="15:54" ht="15.75" customHeight="1" x14ac:dyDescent="0.25"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</row>
    <row r="703" spans="15:54" ht="15.75" customHeight="1" x14ac:dyDescent="0.25"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</row>
    <row r="704" spans="15:54" ht="15.75" customHeight="1" x14ac:dyDescent="0.25"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</row>
    <row r="705" spans="15:54" ht="15.75" customHeight="1" x14ac:dyDescent="0.25"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</row>
    <row r="706" spans="15:54" ht="15.75" customHeight="1" x14ac:dyDescent="0.25"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</row>
    <row r="707" spans="15:54" ht="15.75" customHeight="1" x14ac:dyDescent="0.25"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</row>
    <row r="708" spans="15:54" ht="15.75" customHeight="1" x14ac:dyDescent="0.25"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</row>
    <row r="709" spans="15:54" ht="15.75" customHeight="1" x14ac:dyDescent="0.25"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</row>
    <row r="710" spans="15:54" ht="15.75" customHeight="1" x14ac:dyDescent="0.25"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</row>
    <row r="711" spans="15:54" ht="15.75" customHeight="1" x14ac:dyDescent="0.25"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</row>
    <row r="712" spans="15:54" ht="15.75" customHeight="1" x14ac:dyDescent="0.25"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</row>
    <row r="713" spans="15:54" ht="15.75" customHeight="1" x14ac:dyDescent="0.25"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</row>
    <row r="714" spans="15:54" ht="15.75" customHeight="1" x14ac:dyDescent="0.25"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</row>
    <row r="715" spans="15:54" ht="15.75" customHeight="1" x14ac:dyDescent="0.25"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</row>
    <row r="716" spans="15:54" ht="15.75" customHeight="1" x14ac:dyDescent="0.25"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</row>
    <row r="717" spans="15:54" ht="15.75" customHeight="1" x14ac:dyDescent="0.25"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</row>
    <row r="718" spans="15:54" ht="15.75" customHeight="1" x14ac:dyDescent="0.25"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</row>
    <row r="719" spans="15:54" ht="15.75" customHeight="1" x14ac:dyDescent="0.25"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</row>
    <row r="720" spans="15:54" ht="15.75" customHeight="1" x14ac:dyDescent="0.25"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</row>
    <row r="721" spans="15:54" ht="15.75" customHeight="1" x14ac:dyDescent="0.25"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</row>
    <row r="722" spans="15:54" ht="15.75" customHeight="1" x14ac:dyDescent="0.25"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</row>
    <row r="723" spans="15:54" ht="15.75" customHeight="1" x14ac:dyDescent="0.25"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</row>
    <row r="724" spans="15:54" ht="15.75" customHeight="1" x14ac:dyDescent="0.25"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</row>
    <row r="725" spans="15:54" ht="15.75" customHeight="1" x14ac:dyDescent="0.25"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</row>
    <row r="726" spans="15:54" ht="15.75" customHeight="1" x14ac:dyDescent="0.25"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</row>
    <row r="727" spans="15:54" ht="15.75" customHeight="1" x14ac:dyDescent="0.25"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</row>
    <row r="728" spans="15:54" ht="15.75" customHeight="1" x14ac:dyDescent="0.25"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</row>
    <row r="729" spans="15:54" ht="15.75" customHeight="1" x14ac:dyDescent="0.25"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</row>
    <row r="730" spans="15:54" ht="15.75" customHeight="1" x14ac:dyDescent="0.25"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</row>
    <row r="731" spans="15:54" ht="15.75" customHeight="1" x14ac:dyDescent="0.25"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</row>
    <row r="732" spans="15:54" ht="15.75" customHeight="1" x14ac:dyDescent="0.25"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</row>
    <row r="733" spans="15:54" ht="15.75" customHeight="1" x14ac:dyDescent="0.25"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</row>
    <row r="734" spans="15:54" ht="15.75" customHeight="1" x14ac:dyDescent="0.25"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</row>
    <row r="735" spans="15:54" ht="15.75" customHeight="1" x14ac:dyDescent="0.25"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</row>
    <row r="736" spans="15:54" ht="15.75" customHeight="1" x14ac:dyDescent="0.25"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</row>
    <row r="737" spans="15:54" ht="15.75" customHeight="1" x14ac:dyDescent="0.25"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</row>
    <row r="738" spans="15:54" ht="15.75" customHeight="1" x14ac:dyDescent="0.25"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</row>
    <row r="739" spans="15:54" ht="15.75" customHeight="1" x14ac:dyDescent="0.25"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</row>
    <row r="740" spans="15:54" ht="15.75" customHeight="1" x14ac:dyDescent="0.25"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</row>
    <row r="741" spans="15:54" ht="15.75" customHeight="1" x14ac:dyDescent="0.25"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</row>
    <row r="742" spans="15:54" ht="15.75" customHeight="1" x14ac:dyDescent="0.25"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</row>
    <row r="743" spans="15:54" ht="15.75" customHeight="1" x14ac:dyDescent="0.25"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</row>
    <row r="744" spans="15:54" ht="15.75" customHeight="1" x14ac:dyDescent="0.25"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</row>
    <row r="745" spans="15:54" ht="15.75" customHeight="1" x14ac:dyDescent="0.25"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</row>
    <row r="746" spans="15:54" ht="15.75" customHeight="1" x14ac:dyDescent="0.25"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</row>
    <row r="747" spans="15:54" ht="15.75" customHeight="1" x14ac:dyDescent="0.25"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</row>
    <row r="748" spans="15:54" ht="15.75" customHeight="1" x14ac:dyDescent="0.25"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</row>
    <row r="749" spans="15:54" ht="15.75" customHeight="1" x14ac:dyDescent="0.25"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</row>
    <row r="750" spans="15:54" ht="15.75" customHeight="1" x14ac:dyDescent="0.25"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</row>
    <row r="751" spans="15:54" ht="15.75" customHeight="1" x14ac:dyDescent="0.25"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</row>
    <row r="752" spans="15:54" ht="15.75" customHeight="1" x14ac:dyDescent="0.25"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</row>
    <row r="753" spans="15:54" ht="15.75" customHeight="1" x14ac:dyDescent="0.25"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</row>
    <row r="754" spans="15:54" ht="15.75" customHeight="1" x14ac:dyDescent="0.25"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</row>
    <row r="755" spans="15:54" ht="15.75" customHeight="1" x14ac:dyDescent="0.25"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</row>
    <row r="756" spans="15:54" ht="15.75" customHeight="1" x14ac:dyDescent="0.25"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</row>
    <row r="757" spans="15:54" ht="15.75" customHeight="1" x14ac:dyDescent="0.25"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</row>
    <row r="758" spans="15:54" ht="15.75" customHeight="1" x14ac:dyDescent="0.25"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</row>
    <row r="759" spans="15:54" ht="15.75" customHeight="1" x14ac:dyDescent="0.25"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</row>
    <row r="760" spans="15:54" ht="15.75" customHeight="1" x14ac:dyDescent="0.25"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</row>
    <row r="761" spans="15:54" ht="15.75" customHeight="1" x14ac:dyDescent="0.25"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</row>
    <row r="762" spans="15:54" ht="15.75" customHeight="1" x14ac:dyDescent="0.25"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</row>
    <row r="763" spans="15:54" ht="15.75" customHeight="1" x14ac:dyDescent="0.25"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</row>
    <row r="764" spans="15:54" ht="15.75" customHeight="1" x14ac:dyDescent="0.25"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</row>
    <row r="765" spans="15:54" ht="15.75" customHeight="1" x14ac:dyDescent="0.25"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</row>
    <row r="766" spans="15:54" ht="15.75" customHeight="1" x14ac:dyDescent="0.25"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</row>
    <row r="767" spans="15:54" ht="15.75" customHeight="1" x14ac:dyDescent="0.25"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</row>
    <row r="768" spans="15:54" ht="15.75" customHeight="1" x14ac:dyDescent="0.25"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</row>
    <row r="769" spans="15:54" ht="15.75" customHeight="1" x14ac:dyDescent="0.25"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</row>
    <row r="770" spans="15:54" ht="15.75" customHeight="1" x14ac:dyDescent="0.25"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</row>
    <row r="771" spans="15:54" ht="15.75" customHeight="1" x14ac:dyDescent="0.25"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</row>
    <row r="772" spans="15:54" ht="15.75" customHeight="1" x14ac:dyDescent="0.25"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</row>
    <row r="773" spans="15:54" ht="15.75" customHeight="1" x14ac:dyDescent="0.25"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</row>
    <row r="774" spans="15:54" ht="15.75" customHeight="1" x14ac:dyDescent="0.25"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</row>
    <row r="775" spans="15:54" ht="15.75" customHeight="1" x14ac:dyDescent="0.25"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</row>
    <row r="776" spans="15:54" ht="15.75" customHeight="1" x14ac:dyDescent="0.25"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</row>
    <row r="777" spans="15:54" ht="15.75" customHeight="1" x14ac:dyDescent="0.25"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</row>
    <row r="778" spans="15:54" ht="15.75" customHeight="1" x14ac:dyDescent="0.25"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</row>
    <row r="779" spans="15:54" ht="15.75" customHeight="1" x14ac:dyDescent="0.25"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</row>
    <row r="780" spans="15:54" ht="15.75" customHeight="1" x14ac:dyDescent="0.25"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</row>
    <row r="781" spans="15:54" ht="15.75" customHeight="1" x14ac:dyDescent="0.25"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</row>
    <row r="782" spans="15:54" ht="15.75" customHeight="1" x14ac:dyDescent="0.25"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</row>
    <row r="783" spans="15:54" ht="15.75" customHeight="1" x14ac:dyDescent="0.25"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</row>
    <row r="784" spans="15:54" ht="15.75" customHeight="1" x14ac:dyDescent="0.25"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</row>
    <row r="785" spans="15:54" ht="15.75" customHeight="1" x14ac:dyDescent="0.25"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</row>
    <row r="786" spans="15:54" ht="15.75" customHeight="1" x14ac:dyDescent="0.25"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</row>
    <row r="787" spans="15:54" ht="15.75" customHeight="1" x14ac:dyDescent="0.25"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</row>
    <row r="788" spans="15:54" ht="15.75" customHeight="1" x14ac:dyDescent="0.25"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</row>
    <row r="789" spans="15:54" ht="15.75" customHeight="1" x14ac:dyDescent="0.25"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</row>
    <row r="790" spans="15:54" ht="15.75" customHeight="1" x14ac:dyDescent="0.25"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</row>
    <row r="791" spans="15:54" ht="15.75" customHeight="1" x14ac:dyDescent="0.25"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</row>
    <row r="792" spans="15:54" ht="15.75" customHeight="1" x14ac:dyDescent="0.25"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</row>
    <row r="793" spans="15:54" ht="15.75" customHeight="1" x14ac:dyDescent="0.25"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</row>
    <row r="794" spans="15:54" ht="15.75" customHeight="1" x14ac:dyDescent="0.25"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</row>
    <row r="795" spans="15:54" ht="15.75" customHeight="1" x14ac:dyDescent="0.25"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</row>
    <row r="796" spans="15:54" ht="15.75" customHeight="1" x14ac:dyDescent="0.25"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</row>
    <row r="797" spans="15:54" ht="15.75" customHeight="1" x14ac:dyDescent="0.25"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</row>
    <row r="798" spans="15:54" ht="15.75" customHeight="1" x14ac:dyDescent="0.25"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</row>
    <row r="799" spans="15:54" ht="15.75" customHeight="1" x14ac:dyDescent="0.25"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</row>
    <row r="800" spans="15:54" ht="15.75" customHeight="1" x14ac:dyDescent="0.25"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</row>
    <row r="801" spans="15:54" ht="15.75" customHeight="1" x14ac:dyDescent="0.25"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</row>
    <row r="802" spans="15:54" ht="15.75" customHeight="1" x14ac:dyDescent="0.25"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</row>
    <row r="803" spans="15:54" ht="15.75" customHeight="1" x14ac:dyDescent="0.25"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</row>
    <row r="804" spans="15:54" ht="15.75" customHeight="1" x14ac:dyDescent="0.25"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</row>
    <row r="805" spans="15:54" ht="15.75" customHeight="1" x14ac:dyDescent="0.25"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</row>
    <row r="806" spans="15:54" ht="15.75" customHeight="1" x14ac:dyDescent="0.25"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</row>
    <row r="807" spans="15:54" ht="15.75" customHeight="1" x14ac:dyDescent="0.25"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</row>
    <row r="808" spans="15:54" ht="15.75" customHeight="1" x14ac:dyDescent="0.25"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</row>
    <row r="809" spans="15:54" ht="15.75" customHeight="1" x14ac:dyDescent="0.25"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</row>
    <row r="810" spans="15:54" ht="15.75" customHeight="1" x14ac:dyDescent="0.25"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</row>
    <row r="811" spans="15:54" ht="15.75" customHeight="1" x14ac:dyDescent="0.25"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</row>
    <row r="812" spans="15:54" ht="15.75" customHeight="1" x14ac:dyDescent="0.25"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</row>
    <row r="813" spans="15:54" ht="15.75" customHeight="1" x14ac:dyDescent="0.25"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</row>
    <row r="814" spans="15:54" ht="15.75" customHeight="1" x14ac:dyDescent="0.25"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</row>
    <row r="815" spans="15:54" ht="15.75" customHeight="1" x14ac:dyDescent="0.25"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</row>
    <row r="816" spans="15:54" ht="15.75" customHeight="1" x14ac:dyDescent="0.25"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</row>
    <row r="817" spans="15:54" ht="15.75" customHeight="1" x14ac:dyDescent="0.25"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</row>
    <row r="818" spans="15:54" ht="15.75" customHeight="1" x14ac:dyDescent="0.25"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</row>
    <row r="819" spans="15:54" ht="15.75" customHeight="1" x14ac:dyDescent="0.25"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</row>
    <row r="820" spans="15:54" ht="15.75" customHeight="1" x14ac:dyDescent="0.25"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</row>
    <row r="821" spans="15:54" ht="15.75" customHeight="1" x14ac:dyDescent="0.25"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</row>
    <row r="822" spans="15:54" ht="15.75" customHeight="1" x14ac:dyDescent="0.25"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</row>
    <row r="823" spans="15:54" ht="15.75" customHeight="1" x14ac:dyDescent="0.25"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</row>
    <row r="824" spans="15:54" ht="15.75" customHeight="1" x14ac:dyDescent="0.25"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</row>
    <row r="825" spans="15:54" ht="15.75" customHeight="1" x14ac:dyDescent="0.25"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</row>
    <row r="826" spans="15:54" ht="15.75" customHeight="1" x14ac:dyDescent="0.25"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</row>
    <row r="827" spans="15:54" ht="15.75" customHeight="1" x14ac:dyDescent="0.25"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</row>
    <row r="828" spans="15:54" ht="15.75" customHeight="1" x14ac:dyDescent="0.25"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</row>
    <row r="829" spans="15:54" ht="15.75" customHeight="1" x14ac:dyDescent="0.25"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</row>
    <row r="830" spans="15:54" ht="15.75" customHeight="1" x14ac:dyDescent="0.25"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</row>
    <row r="831" spans="15:54" ht="15.75" customHeight="1" x14ac:dyDescent="0.25"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</row>
    <row r="832" spans="15:54" ht="15.75" customHeight="1" x14ac:dyDescent="0.25"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</row>
    <row r="833" spans="15:54" ht="15.75" customHeight="1" x14ac:dyDescent="0.25"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</row>
    <row r="834" spans="15:54" ht="15.75" customHeight="1" x14ac:dyDescent="0.25"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</row>
    <row r="835" spans="15:54" ht="15.75" customHeight="1" x14ac:dyDescent="0.25"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</row>
    <row r="836" spans="15:54" ht="15.75" customHeight="1" x14ac:dyDescent="0.25"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</row>
    <row r="837" spans="15:54" ht="15.75" customHeight="1" x14ac:dyDescent="0.25"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</row>
    <row r="838" spans="15:54" ht="15.75" customHeight="1" x14ac:dyDescent="0.25"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</row>
    <row r="839" spans="15:54" ht="15.75" customHeight="1" x14ac:dyDescent="0.25"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</row>
    <row r="840" spans="15:54" ht="15.75" customHeight="1" x14ac:dyDescent="0.25"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</row>
    <row r="841" spans="15:54" ht="15.75" customHeight="1" x14ac:dyDescent="0.25"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</row>
    <row r="842" spans="15:54" ht="15.75" customHeight="1" x14ac:dyDescent="0.25"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</row>
    <row r="843" spans="15:54" ht="15.75" customHeight="1" x14ac:dyDescent="0.25"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</row>
    <row r="844" spans="15:54" ht="15.75" customHeight="1" x14ac:dyDescent="0.25"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</row>
    <row r="845" spans="15:54" ht="15.75" customHeight="1" x14ac:dyDescent="0.25"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</row>
    <row r="846" spans="15:54" ht="15.75" customHeight="1" x14ac:dyDescent="0.25"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</row>
    <row r="847" spans="15:54" ht="15.75" customHeight="1" x14ac:dyDescent="0.25"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</row>
    <row r="848" spans="15:54" ht="15.75" customHeight="1" x14ac:dyDescent="0.25"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</row>
    <row r="849" spans="15:54" ht="15.75" customHeight="1" x14ac:dyDescent="0.25"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</row>
    <row r="850" spans="15:54" ht="15.75" customHeight="1" x14ac:dyDescent="0.25"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</row>
    <row r="851" spans="15:54" ht="15.75" customHeight="1" x14ac:dyDescent="0.25"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</row>
    <row r="852" spans="15:54" ht="15.75" customHeight="1" x14ac:dyDescent="0.25"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</row>
    <row r="853" spans="15:54" ht="15.75" customHeight="1" x14ac:dyDescent="0.25"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</row>
    <row r="854" spans="15:54" ht="15.75" customHeight="1" x14ac:dyDescent="0.25"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</row>
    <row r="855" spans="15:54" ht="15.75" customHeight="1" x14ac:dyDescent="0.25"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</row>
    <row r="856" spans="15:54" ht="15.75" customHeight="1" x14ac:dyDescent="0.25"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</row>
    <row r="857" spans="15:54" ht="15.75" customHeight="1" x14ac:dyDescent="0.25"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</row>
    <row r="858" spans="15:54" ht="15.75" customHeight="1" x14ac:dyDescent="0.25"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</row>
    <row r="859" spans="15:54" ht="15.75" customHeight="1" x14ac:dyDescent="0.25"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</row>
    <row r="860" spans="15:54" ht="15.75" customHeight="1" x14ac:dyDescent="0.25"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</row>
    <row r="861" spans="15:54" ht="15.75" customHeight="1" x14ac:dyDescent="0.25"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</row>
    <row r="862" spans="15:54" ht="15.75" customHeight="1" x14ac:dyDescent="0.25"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</row>
    <row r="863" spans="15:54" ht="15.75" customHeight="1" x14ac:dyDescent="0.25"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</row>
    <row r="864" spans="15:54" ht="15.75" customHeight="1" x14ac:dyDescent="0.25"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</row>
    <row r="865" spans="15:54" ht="15.75" customHeight="1" x14ac:dyDescent="0.25"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</row>
    <row r="866" spans="15:54" ht="15.75" customHeight="1" x14ac:dyDescent="0.25"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</row>
    <row r="867" spans="15:54" ht="15.75" customHeight="1" x14ac:dyDescent="0.25"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</row>
    <row r="868" spans="15:54" ht="15.75" customHeight="1" x14ac:dyDescent="0.25"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</row>
    <row r="869" spans="15:54" ht="15.75" customHeight="1" x14ac:dyDescent="0.25"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</row>
    <row r="870" spans="15:54" ht="15.75" customHeight="1" x14ac:dyDescent="0.25"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</row>
    <row r="871" spans="15:54" ht="15.75" customHeight="1" x14ac:dyDescent="0.25"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</row>
    <row r="872" spans="15:54" ht="15.75" customHeight="1" x14ac:dyDescent="0.25"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</row>
    <row r="873" spans="15:54" ht="15.75" customHeight="1" x14ac:dyDescent="0.25"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</row>
    <row r="874" spans="15:54" ht="15.75" customHeight="1" x14ac:dyDescent="0.25"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</row>
    <row r="875" spans="15:54" ht="15.75" customHeight="1" x14ac:dyDescent="0.25"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</row>
    <row r="876" spans="15:54" ht="15.75" customHeight="1" x14ac:dyDescent="0.25"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</row>
    <row r="877" spans="15:54" ht="15.75" customHeight="1" x14ac:dyDescent="0.25"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</row>
    <row r="878" spans="15:54" ht="15.75" customHeight="1" x14ac:dyDescent="0.25"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</row>
    <row r="879" spans="15:54" ht="15.75" customHeight="1" x14ac:dyDescent="0.25"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</row>
    <row r="880" spans="15:54" ht="15.75" customHeight="1" x14ac:dyDescent="0.25"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</row>
    <row r="881" spans="15:54" ht="15.75" customHeight="1" x14ac:dyDescent="0.25"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</row>
    <row r="882" spans="15:54" ht="15.75" customHeight="1" x14ac:dyDescent="0.25"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</row>
    <row r="883" spans="15:54" ht="15.75" customHeight="1" x14ac:dyDescent="0.25"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</row>
    <row r="884" spans="15:54" ht="15.75" customHeight="1" x14ac:dyDescent="0.25"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</row>
    <row r="885" spans="15:54" ht="15.75" customHeight="1" x14ac:dyDescent="0.25"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</row>
    <row r="886" spans="15:54" ht="15.75" customHeight="1" x14ac:dyDescent="0.25"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</row>
    <row r="887" spans="15:54" ht="15.75" customHeight="1" x14ac:dyDescent="0.25"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</row>
    <row r="888" spans="15:54" ht="15.75" customHeight="1" x14ac:dyDescent="0.25"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</row>
    <row r="889" spans="15:54" ht="15.75" customHeight="1" x14ac:dyDescent="0.25"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</row>
    <row r="890" spans="15:54" ht="15.75" customHeight="1" x14ac:dyDescent="0.25"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</row>
    <row r="891" spans="15:54" ht="15.75" customHeight="1" x14ac:dyDescent="0.25"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</row>
    <row r="892" spans="15:54" ht="15.75" customHeight="1" x14ac:dyDescent="0.25"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</row>
    <row r="893" spans="15:54" ht="15.75" customHeight="1" x14ac:dyDescent="0.25"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</row>
    <row r="894" spans="15:54" ht="15.75" customHeight="1" x14ac:dyDescent="0.25"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</row>
    <row r="895" spans="15:54" ht="15.75" customHeight="1" x14ac:dyDescent="0.25"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</row>
    <row r="896" spans="15:54" ht="15.75" customHeight="1" x14ac:dyDescent="0.25"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</row>
    <row r="897" spans="15:54" ht="15.75" customHeight="1" x14ac:dyDescent="0.25"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</row>
    <row r="898" spans="15:54" ht="15.75" customHeight="1" x14ac:dyDescent="0.25"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</row>
    <row r="899" spans="15:54" ht="15.75" customHeight="1" x14ac:dyDescent="0.25"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</row>
    <row r="900" spans="15:54" ht="15.75" customHeight="1" x14ac:dyDescent="0.25"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</row>
    <row r="901" spans="15:54" ht="15.75" customHeight="1" x14ac:dyDescent="0.25"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</row>
    <row r="902" spans="15:54" ht="15.75" customHeight="1" x14ac:dyDescent="0.25"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</row>
    <row r="903" spans="15:54" ht="15.75" customHeight="1" x14ac:dyDescent="0.25"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</row>
    <row r="904" spans="15:54" ht="15.75" customHeight="1" x14ac:dyDescent="0.25"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</row>
    <row r="905" spans="15:54" ht="15.75" customHeight="1" x14ac:dyDescent="0.25"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</row>
    <row r="906" spans="15:54" ht="15.75" customHeight="1" x14ac:dyDescent="0.25"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</row>
    <row r="907" spans="15:54" ht="15.75" customHeight="1" x14ac:dyDescent="0.25"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</row>
    <row r="908" spans="15:54" ht="15.75" customHeight="1" x14ac:dyDescent="0.25"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</row>
    <row r="909" spans="15:54" ht="15.75" customHeight="1" x14ac:dyDescent="0.25"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</row>
    <row r="910" spans="15:54" ht="15.75" customHeight="1" x14ac:dyDescent="0.25"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</row>
    <row r="911" spans="15:54" ht="15.75" customHeight="1" x14ac:dyDescent="0.25"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</row>
    <row r="912" spans="15:54" ht="15.75" customHeight="1" x14ac:dyDescent="0.25"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</row>
    <row r="913" spans="15:54" ht="15.75" customHeight="1" x14ac:dyDescent="0.25"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</row>
    <row r="914" spans="15:54" ht="15.75" customHeight="1" x14ac:dyDescent="0.25"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</row>
    <row r="915" spans="15:54" ht="15.75" customHeight="1" x14ac:dyDescent="0.25"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</row>
    <row r="916" spans="15:54" ht="15.75" customHeight="1" x14ac:dyDescent="0.25"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</row>
    <row r="917" spans="15:54" ht="15.75" customHeight="1" x14ac:dyDescent="0.25"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</row>
    <row r="918" spans="15:54" ht="15.75" customHeight="1" x14ac:dyDescent="0.25"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</row>
    <row r="919" spans="15:54" ht="15.75" customHeight="1" x14ac:dyDescent="0.25"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</row>
    <row r="920" spans="15:54" ht="15.75" customHeight="1" x14ac:dyDescent="0.25"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</row>
    <row r="921" spans="15:54" ht="15.75" customHeight="1" x14ac:dyDescent="0.25"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</row>
    <row r="922" spans="15:54" ht="15.75" customHeight="1" x14ac:dyDescent="0.25"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</row>
    <row r="923" spans="15:54" ht="15.75" customHeight="1" x14ac:dyDescent="0.25"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</row>
    <row r="924" spans="15:54" ht="15.75" customHeight="1" x14ac:dyDescent="0.25"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</row>
    <row r="925" spans="15:54" ht="15.75" customHeight="1" x14ac:dyDescent="0.25"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</row>
    <row r="926" spans="15:54" ht="15.75" customHeight="1" x14ac:dyDescent="0.25"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</row>
    <row r="927" spans="15:54" ht="15.75" customHeight="1" x14ac:dyDescent="0.25"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</row>
    <row r="928" spans="15:54" ht="15.75" customHeight="1" x14ac:dyDescent="0.25"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</row>
    <row r="929" spans="15:54" ht="15.75" customHeight="1" x14ac:dyDescent="0.25"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</row>
    <row r="930" spans="15:54" ht="15.75" customHeight="1" x14ac:dyDescent="0.25"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</row>
    <row r="931" spans="15:54" ht="15.75" customHeight="1" x14ac:dyDescent="0.25"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</row>
    <row r="932" spans="15:54" ht="15.75" customHeight="1" x14ac:dyDescent="0.25"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</row>
    <row r="933" spans="15:54" ht="15.75" customHeight="1" x14ac:dyDescent="0.25"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</row>
    <row r="934" spans="15:54" ht="15.75" customHeight="1" x14ac:dyDescent="0.25"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</row>
    <row r="935" spans="15:54" ht="15.75" customHeight="1" x14ac:dyDescent="0.25"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</row>
    <row r="936" spans="15:54" ht="15.75" customHeight="1" x14ac:dyDescent="0.25"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</row>
    <row r="937" spans="15:54" ht="15.75" customHeight="1" x14ac:dyDescent="0.25"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</row>
    <row r="938" spans="15:54" ht="15.75" customHeight="1" x14ac:dyDescent="0.25"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</row>
    <row r="939" spans="15:54" ht="15.75" customHeight="1" x14ac:dyDescent="0.25"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</row>
    <row r="940" spans="15:54" ht="15.75" customHeight="1" x14ac:dyDescent="0.25"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</row>
    <row r="941" spans="15:54" ht="15.75" customHeight="1" x14ac:dyDescent="0.25"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</row>
    <row r="942" spans="15:54" ht="15.75" customHeight="1" x14ac:dyDescent="0.25"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</row>
    <row r="943" spans="15:54" ht="15.75" customHeight="1" x14ac:dyDescent="0.25"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</row>
    <row r="944" spans="15:54" ht="15.75" customHeight="1" x14ac:dyDescent="0.25"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</row>
    <row r="945" spans="15:54" ht="15.75" customHeight="1" x14ac:dyDescent="0.25"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</row>
    <row r="946" spans="15:54" ht="15.75" customHeight="1" x14ac:dyDescent="0.25"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</row>
    <row r="947" spans="15:54" ht="15.75" customHeight="1" x14ac:dyDescent="0.25"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</row>
    <row r="948" spans="15:54" ht="15.75" customHeight="1" x14ac:dyDescent="0.25"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</row>
    <row r="949" spans="15:54" ht="15.75" customHeight="1" x14ac:dyDescent="0.25"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</row>
    <row r="950" spans="15:54" ht="15.75" customHeight="1" x14ac:dyDescent="0.25"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</row>
    <row r="951" spans="15:54" ht="15.75" customHeight="1" x14ac:dyDescent="0.25"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</row>
    <row r="952" spans="15:54" ht="15.75" customHeight="1" x14ac:dyDescent="0.25"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</row>
    <row r="953" spans="15:54" ht="15.75" customHeight="1" x14ac:dyDescent="0.25"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</row>
    <row r="954" spans="15:54" ht="15.75" customHeight="1" x14ac:dyDescent="0.25"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</row>
    <row r="955" spans="15:54" ht="15.75" customHeight="1" x14ac:dyDescent="0.25"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</row>
    <row r="956" spans="15:54" ht="15.75" customHeight="1" x14ac:dyDescent="0.25"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</row>
    <row r="957" spans="15:54" ht="15.75" customHeight="1" x14ac:dyDescent="0.25"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</row>
    <row r="958" spans="15:54" ht="15.75" customHeight="1" x14ac:dyDescent="0.25"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</row>
    <row r="959" spans="15:54" ht="15.75" customHeight="1" x14ac:dyDescent="0.25"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</row>
    <row r="960" spans="15:54" ht="15.75" customHeight="1" x14ac:dyDescent="0.25"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</row>
    <row r="961" spans="15:54" ht="15.75" customHeight="1" x14ac:dyDescent="0.25"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</row>
    <row r="962" spans="15:54" ht="15.75" customHeight="1" x14ac:dyDescent="0.25"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</row>
    <row r="963" spans="15:54" ht="15.75" customHeight="1" x14ac:dyDescent="0.25"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</row>
    <row r="964" spans="15:54" ht="15.75" customHeight="1" x14ac:dyDescent="0.25"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</row>
    <row r="965" spans="15:54" ht="15.75" customHeight="1" x14ac:dyDescent="0.25"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</row>
    <row r="966" spans="15:54" ht="15.75" customHeight="1" x14ac:dyDescent="0.25"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</row>
    <row r="967" spans="15:54" ht="15.75" customHeight="1" x14ac:dyDescent="0.25"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</row>
    <row r="968" spans="15:54" ht="15.75" customHeight="1" x14ac:dyDescent="0.25"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</row>
    <row r="969" spans="15:54" ht="15.75" customHeight="1" x14ac:dyDescent="0.25"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</row>
    <row r="970" spans="15:54" ht="15.75" customHeight="1" x14ac:dyDescent="0.25"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</row>
    <row r="971" spans="15:54" ht="15.75" customHeight="1" x14ac:dyDescent="0.25"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</row>
    <row r="972" spans="15:54" ht="15.75" customHeight="1" x14ac:dyDescent="0.25"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</row>
    <row r="973" spans="15:54" ht="15.75" customHeight="1" x14ac:dyDescent="0.25"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</row>
    <row r="974" spans="15:54" ht="15.75" customHeight="1" x14ac:dyDescent="0.25"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</row>
    <row r="975" spans="15:54" ht="15.75" customHeight="1" x14ac:dyDescent="0.25"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</row>
    <row r="976" spans="15:54" ht="15.75" customHeight="1" x14ac:dyDescent="0.25"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</row>
    <row r="977" spans="15:54" ht="15.75" customHeight="1" x14ac:dyDescent="0.25"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</row>
    <row r="978" spans="15:54" ht="15.75" customHeight="1" x14ac:dyDescent="0.25"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</row>
    <row r="979" spans="15:54" ht="15.75" customHeight="1" x14ac:dyDescent="0.25"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</row>
    <row r="980" spans="15:54" ht="15.75" customHeight="1" x14ac:dyDescent="0.25"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</row>
    <row r="981" spans="15:54" ht="15.75" customHeight="1" x14ac:dyDescent="0.25"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  <c r="AH981" s="52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</row>
    <row r="982" spans="15:54" ht="15.75" customHeight="1" x14ac:dyDescent="0.25"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</row>
    <row r="983" spans="15:54" ht="15.75" customHeight="1" x14ac:dyDescent="0.25"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</row>
    <row r="984" spans="15:54" ht="15.75" customHeight="1" x14ac:dyDescent="0.25"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  <c r="AH984" s="52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</row>
    <row r="985" spans="15:54" ht="15.75" customHeight="1" x14ac:dyDescent="0.25"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  <c r="AG985" s="52"/>
      <c r="AH985" s="52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</row>
    <row r="986" spans="15:54" ht="15.75" customHeight="1" x14ac:dyDescent="0.25"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  <c r="AH986" s="52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</row>
    <row r="987" spans="15:54" ht="15.75" customHeight="1" x14ac:dyDescent="0.25"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  <c r="AH987" s="52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</row>
    <row r="988" spans="15:54" ht="15.75" customHeight="1" x14ac:dyDescent="0.25"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  <c r="AH988" s="52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</row>
    <row r="989" spans="15:54" ht="15.75" customHeight="1" x14ac:dyDescent="0.25"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  <c r="AH989" s="52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</row>
    <row r="990" spans="15:54" ht="15.75" customHeight="1" x14ac:dyDescent="0.25"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52"/>
      <c r="AG990" s="52"/>
      <c r="AH990" s="52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</row>
    <row r="991" spans="15:54" ht="15.75" customHeight="1" x14ac:dyDescent="0.25"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52"/>
      <c r="AG991" s="52"/>
      <c r="AH991" s="52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</row>
    <row r="992" spans="15:54" ht="15.75" customHeight="1" x14ac:dyDescent="0.25"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52"/>
      <c r="AG992" s="52"/>
      <c r="AH992" s="52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</row>
    <row r="993" spans="15:54" ht="15.75" customHeight="1" x14ac:dyDescent="0.25"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52"/>
      <c r="AG993" s="52"/>
      <c r="AH993" s="52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</row>
    <row r="994" spans="15:54" ht="15.75" customHeight="1" x14ac:dyDescent="0.25"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52"/>
      <c r="AG994" s="52"/>
      <c r="AH994" s="52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</row>
    <row r="995" spans="15:54" ht="15.75" customHeight="1" x14ac:dyDescent="0.25"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52"/>
      <c r="AG995" s="52"/>
      <c r="AH995" s="52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</row>
    <row r="996" spans="15:54" ht="15.75" customHeight="1" x14ac:dyDescent="0.25"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52"/>
      <c r="AG996" s="52"/>
      <c r="AH996" s="52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</row>
    <row r="997" spans="15:54" ht="15.75" customHeight="1" x14ac:dyDescent="0.25"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52"/>
      <c r="AG997" s="52"/>
      <c r="AH997" s="52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</row>
    <row r="998" spans="15:54" ht="15.75" customHeight="1" x14ac:dyDescent="0.25"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  <c r="AH998" s="52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</row>
    <row r="999" spans="15:54" ht="15.75" customHeight="1" x14ac:dyDescent="0.25"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52"/>
      <c r="AG999" s="52"/>
      <c r="AH999" s="52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</row>
    <row r="1000" spans="15:54" ht="15.75" customHeight="1" x14ac:dyDescent="0.25"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52"/>
      <c r="AG1000" s="52"/>
      <c r="AH1000" s="52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</row>
  </sheetData>
  <mergeCells count="8">
    <mergeCell ref="J24:L24"/>
    <mergeCell ref="J25:L25"/>
    <mergeCell ref="J26:L26"/>
    <mergeCell ref="B3:G4"/>
    <mergeCell ref="B6:G6"/>
    <mergeCell ref="K6:N6"/>
    <mergeCell ref="J22:M22"/>
    <mergeCell ref="J23:L23"/>
  </mergeCells>
  <conditionalFormatting sqref="M23:M26">
    <cfRule type="expression" dxfId="94" priority="1">
      <formula>J23=""</formula>
    </cfRule>
  </conditionalFormatting>
  <conditionalFormatting sqref="M24:M26">
    <cfRule type="expression" dxfId="93" priority="2">
      <formula>J24=""</formula>
    </cfRule>
  </conditionalFormatting>
  <conditionalFormatting sqref="M25">
    <cfRule type="expression" dxfId="92" priority="3">
      <formula>J25=""</formula>
    </cfRule>
  </conditionalFormatting>
  <conditionalFormatting sqref="B22:H28 J22:M26">
    <cfRule type="expression" dxfId="91" priority="4">
      <formula>OR($I$22=0,AND($J$20="",$J$21="",$J$22="",$J$23=""))</formula>
    </cfRule>
  </conditionalFormatting>
  <conditionalFormatting sqref="N23:AH27">
    <cfRule type="expression" dxfId="90" priority="5">
      <formula>K23=""</formula>
    </cfRule>
  </conditionalFormatting>
  <conditionalFormatting sqref="N24:AH26">
    <cfRule type="expression" dxfId="89" priority="6">
      <formula>K24=""</formula>
    </cfRule>
  </conditionalFormatting>
  <conditionalFormatting sqref="N25:AH25">
    <cfRule type="expression" dxfId="88" priority="7">
      <formula>K25=""</formula>
    </cfRule>
  </conditionalFormatting>
  <conditionalFormatting sqref="N27:AH27">
    <cfRule type="expression" dxfId="87" priority="8">
      <formula>K27=""</formula>
    </cfRule>
  </conditionalFormatting>
  <conditionalFormatting sqref="N23:AH27">
    <cfRule type="expression" dxfId="86" priority="9">
      <formula>OR($I$22=0,AND($J$20="",$J$21="",$J$22="",$J$23=""))</formula>
    </cfRule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B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3.7109375" customWidth="1"/>
    <col min="4" max="10" width="10.7109375" customWidth="1"/>
    <col min="11" max="11" width="13.7109375" customWidth="1"/>
    <col min="12" max="13" width="10.7109375" customWidth="1"/>
    <col min="14" max="34" width="13.7109375" customWidth="1"/>
    <col min="35" max="35" width="20" customWidth="1"/>
    <col min="36" max="46" width="11.42578125" customWidth="1"/>
    <col min="47" max="47" width="10.42578125" customWidth="1"/>
    <col min="48" max="48" width="13.7109375" customWidth="1"/>
    <col min="49" max="49" width="10.42578125" customWidth="1"/>
    <col min="50" max="50" width="9.85546875" customWidth="1"/>
    <col min="51" max="51" width="13" customWidth="1"/>
    <col min="52" max="52" width="29.85546875" customWidth="1"/>
    <col min="53" max="53" width="25.7109375" customWidth="1"/>
    <col min="54" max="54" width="11.42578125" customWidth="1"/>
  </cols>
  <sheetData>
    <row r="1" spans="2:54" x14ac:dyDescent="0.25"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spans="2:54" x14ac:dyDescent="0.25"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2:54" x14ac:dyDescent="0.25">
      <c r="B3" s="88" t="s">
        <v>41</v>
      </c>
      <c r="C3" s="89"/>
      <c r="D3" s="89"/>
      <c r="E3" s="89"/>
      <c r="F3" s="89"/>
      <c r="G3" s="90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spans="2:54" x14ac:dyDescent="0.25">
      <c r="B4" s="91"/>
      <c r="C4" s="92"/>
      <c r="D4" s="92"/>
      <c r="E4" s="92"/>
      <c r="F4" s="92"/>
      <c r="G4" s="93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  <row r="5" spans="2:54" x14ac:dyDescent="0.25">
      <c r="B5" s="4"/>
      <c r="C5" s="5">
        <v>2</v>
      </c>
      <c r="D5" s="5">
        <v>3</v>
      </c>
      <c r="E5" s="5">
        <v>5</v>
      </c>
      <c r="F5" s="5">
        <v>6</v>
      </c>
      <c r="G5" s="5">
        <v>4</v>
      </c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spans="2:54" x14ac:dyDescent="0.25">
      <c r="B6" s="94" t="s">
        <v>5</v>
      </c>
      <c r="C6" s="95"/>
      <c r="D6" s="95"/>
      <c r="E6" s="95"/>
      <c r="F6" s="95"/>
      <c r="G6" s="96"/>
      <c r="J6" s="6" t="s">
        <v>6</v>
      </c>
      <c r="K6" s="97" t="s">
        <v>7</v>
      </c>
      <c r="L6" s="95"/>
      <c r="M6" s="95"/>
      <c r="N6" s="96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5"/>
      <c r="AJ6" s="3">
        <v>1</v>
      </c>
      <c r="AK6" s="3">
        <v>2</v>
      </c>
      <c r="AL6" s="3" t="s">
        <v>8</v>
      </c>
      <c r="AM6" s="3"/>
      <c r="AN6" s="3" t="s">
        <v>9</v>
      </c>
      <c r="AO6" s="3" t="s">
        <v>10</v>
      </c>
      <c r="AP6" s="3" t="s">
        <v>11</v>
      </c>
      <c r="AQ6" s="3" t="s">
        <v>12</v>
      </c>
      <c r="AR6" s="3" t="s">
        <v>13</v>
      </c>
      <c r="AS6" s="3" t="s">
        <v>14</v>
      </c>
      <c r="AT6" s="3"/>
      <c r="AU6" s="3"/>
      <c r="AV6" s="3" t="s">
        <v>10</v>
      </c>
      <c r="AW6" s="3" t="s">
        <v>15</v>
      </c>
      <c r="AX6" s="3" t="s">
        <v>8</v>
      </c>
      <c r="AY6" s="3" t="s">
        <v>16</v>
      </c>
      <c r="AZ6" s="3" t="s">
        <v>17</v>
      </c>
      <c r="BA6" s="3" t="s">
        <v>18</v>
      </c>
      <c r="BB6" s="3" t="s">
        <v>19</v>
      </c>
    </row>
    <row r="7" spans="2:54" x14ac:dyDescent="0.25">
      <c r="B7" s="7" t="s">
        <v>20</v>
      </c>
      <c r="C7" s="8" t="s">
        <v>10</v>
      </c>
      <c r="D7" s="9" t="s">
        <v>11</v>
      </c>
      <c r="E7" s="9" t="s">
        <v>13</v>
      </c>
      <c r="F7" s="9" t="s">
        <v>14</v>
      </c>
      <c r="G7" s="10" t="s">
        <v>12</v>
      </c>
      <c r="I7" s="11">
        <v>5</v>
      </c>
      <c r="J7" s="12">
        <v>44887</v>
      </c>
      <c r="K7" s="13" t="s">
        <v>42</v>
      </c>
      <c r="L7" s="14">
        <v>1</v>
      </c>
      <c r="M7" s="15">
        <v>3</v>
      </c>
      <c r="N7" s="11" t="s">
        <v>43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5" t="str">
        <f t="shared" ref="AI7:AI12" si="0">CONCATENATE(K7,"_",N7)</f>
        <v>Mexico_Polonia</v>
      </c>
      <c r="AJ7" s="3">
        <f t="shared" ref="AJ7:AJ12" si="1">IF(L7&gt;M7,3,IF(L7&lt;M7,0,1))</f>
        <v>0</v>
      </c>
      <c r="AK7" s="3">
        <f t="shared" ref="AK7:AK12" si="2">IF(AJ7=3,0,IF(AJ7=1,1,3))</f>
        <v>3</v>
      </c>
      <c r="AL7" s="3" t="str">
        <f t="shared" ref="AL7:AL12" si="3">IF(AJ7&gt;AK7,K7,IF(AK7&gt;AJ7,N7,"SIN GANADOR"))</f>
        <v>Polonia</v>
      </c>
      <c r="AM7" s="3"/>
      <c r="AN7" s="3">
        <f t="shared" ref="AN7:AN10" si="4">_xlfn.RANK.EQ(BB7,BB$7:BB$11,1)</f>
        <v>1</v>
      </c>
      <c r="AO7" s="3" t="s">
        <v>44</v>
      </c>
      <c r="AP7" s="3">
        <f t="shared" ref="AP7:AP10" si="5">SUMIF($K$7:$K$12,AO7,$AJ$7:$AJ$12) + SUMIF($N$7:$N$12,AO7,$AK$7:$AK$12)</f>
        <v>9</v>
      </c>
      <c r="AQ7" s="3">
        <f t="shared" ref="AQ7:AQ10" si="6">AR7-AS7</f>
        <v>7</v>
      </c>
      <c r="AR7" s="3">
        <f t="shared" ref="AR7:AR10" si="7">SUMIF($K$7:$K$12,AO7,$L$7:$L$12) + SUMIF($N$7:$N$12,AO7,$M$7:$M$12)</f>
        <v>8</v>
      </c>
      <c r="AS7" s="3">
        <f t="shared" ref="AS7:AS10" si="8">SUMIF($K$7:$K$12,AO7,$M$7:$M$12) + SUMIF($N$7:$N$12,AO7,$L$7:$L$12)</f>
        <v>1</v>
      </c>
      <c r="AT7" s="3"/>
      <c r="AU7" s="3"/>
      <c r="AV7" s="3" t="str">
        <f t="shared" ref="AV7:AV10" si="9">AO7</f>
        <v>Argentina</v>
      </c>
      <c r="AW7" s="3" t="str">
        <f>IF(AZ7=AZ8,AV8,IF(AZ7=AZ9,AV9,IF(AZ7=AZ10,AV10,"")))</f>
        <v/>
      </c>
      <c r="AX7" s="3" t="str">
        <f t="shared" ref="AX7:AX10" si="10">IF(AW7="","",IFERROR(VLOOKUP(CONCATENATE(AV7,"_",AW7),$AI$7:$AL$16,4,FALSE),VLOOKUP(CONCATENATE(AW7,"_",AV7),$AI$7:$AL$16,4,FALSE)))</f>
        <v/>
      </c>
      <c r="AY7" s="3">
        <f t="shared" ref="AY7:AY10" si="11">IF(AX7="",1,IF(AX7=AV7,1,0))</f>
        <v>1</v>
      </c>
      <c r="AZ7" s="3">
        <f t="shared" ref="AZ7:AZ10" si="12">-AP7*10000000 - AQ7*10000 - AR7*100</f>
        <v>-90070800</v>
      </c>
      <c r="BA7" s="3">
        <f t="shared" ref="BA7:BA10" si="13">AZ7-AY7*10</f>
        <v>-90070810</v>
      </c>
      <c r="BB7" s="3">
        <f t="shared" ref="BB7:BB10" si="14">BA7+N23</f>
        <v>-90070809</v>
      </c>
    </row>
    <row r="8" spans="2:54" x14ac:dyDescent="0.25">
      <c r="B8" s="16">
        <v>1</v>
      </c>
      <c r="C8" s="17" t="str">
        <f t="shared" ref="C8:G8" si="15">IFERROR(VLOOKUP($B8,$AN$7:$AS$11,C$5,FALSE),"")</f>
        <v>Argentina</v>
      </c>
      <c r="D8" s="18">
        <f t="shared" si="15"/>
        <v>9</v>
      </c>
      <c r="E8" s="18">
        <f t="shared" si="15"/>
        <v>8</v>
      </c>
      <c r="F8" s="18">
        <f t="shared" si="15"/>
        <v>1</v>
      </c>
      <c r="G8" s="19">
        <f t="shared" si="15"/>
        <v>7</v>
      </c>
      <c r="I8" s="20">
        <v>6</v>
      </c>
      <c r="J8" s="21">
        <v>44887</v>
      </c>
      <c r="K8" s="22" t="s">
        <v>44</v>
      </c>
      <c r="L8" s="23">
        <v>4</v>
      </c>
      <c r="M8" s="24">
        <v>0</v>
      </c>
      <c r="N8" s="20" t="s">
        <v>45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5" t="str">
        <f t="shared" si="0"/>
        <v>Argentina_Arabia Saudita</v>
      </c>
      <c r="AJ8" s="3">
        <f t="shared" si="1"/>
        <v>3</v>
      </c>
      <c r="AK8" s="3">
        <f t="shared" si="2"/>
        <v>0</v>
      </c>
      <c r="AL8" s="3" t="str">
        <f t="shared" si="3"/>
        <v>Argentina</v>
      </c>
      <c r="AM8" s="3"/>
      <c r="AN8" s="3">
        <f t="shared" si="4"/>
        <v>3</v>
      </c>
      <c r="AO8" s="3" t="s">
        <v>42</v>
      </c>
      <c r="AP8" s="3">
        <f t="shared" si="5"/>
        <v>3</v>
      </c>
      <c r="AQ8" s="3">
        <f t="shared" si="6"/>
        <v>-2</v>
      </c>
      <c r="AR8" s="3">
        <f t="shared" si="7"/>
        <v>3</v>
      </c>
      <c r="AS8" s="3">
        <f t="shared" si="8"/>
        <v>5</v>
      </c>
      <c r="AT8" s="3"/>
      <c r="AU8" s="3"/>
      <c r="AV8" s="3" t="str">
        <f t="shared" si="9"/>
        <v>Mexico</v>
      </c>
      <c r="AW8" s="3" t="str">
        <f>IF(AZ8=AZ9,AV9,IF(AZ8=AZ10,AV10,IF(AZ8=AZ7,AV7,"")))</f>
        <v/>
      </c>
      <c r="AX8" s="3" t="str">
        <f t="shared" si="10"/>
        <v/>
      </c>
      <c r="AY8" s="3">
        <f t="shared" si="11"/>
        <v>1</v>
      </c>
      <c r="AZ8" s="3">
        <f t="shared" si="12"/>
        <v>-29980300</v>
      </c>
      <c r="BA8" s="3">
        <f t="shared" si="13"/>
        <v>-29980310</v>
      </c>
      <c r="BB8" s="3">
        <f t="shared" si="14"/>
        <v>-29980308</v>
      </c>
    </row>
    <row r="9" spans="2:54" x14ac:dyDescent="0.25">
      <c r="B9" s="25">
        <v>2</v>
      </c>
      <c r="C9" s="26" t="str">
        <f t="shared" ref="C9:G9" si="16">IFERROR(VLOOKUP($B9,$AN$7:$AS$11,C$5,FALSE),"")</f>
        <v>Polonia</v>
      </c>
      <c r="D9" s="27">
        <f t="shared" si="16"/>
        <v>6</v>
      </c>
      <c r="E9" s="27">
        <f t="shared" si="16"/>
        <v>7</v>
      </c>
      <c r="F9" s="27">
        <f t="shared" si="16"/>
        <v>3</v>
      </c>
      <c r="G9" s="28">
        <f t="shared" si="16"/>
        <v>4</v>
      </c>
      <c r="I9" s="29">
        <f t="shared" ref="I9:I12" si="17">I7+16</f>
        <v>21</v>
      </c>
      <c r="J9" s="30">
        <v>44891</v>
      </c>
      <c r="K9" s="31" t="s">
        <v>43</v>
      </c>
      <c r="L9" s="23">
        <v>3</v>
      </c>
      <c r="M9" s="24">
        <v>0</v>
      </c>
      <c r="N9" s="29" t="s">
        <v>45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5" t="str">
        <f t="shared" si="0"/>
        <v>Polonia_Arabia Saudita</v>
      </c>
      <c r="AJ9" s="3">
        <f t="shared" si="1"/>
        <v>3</v>
      </c>
      <c r="AK9" s="3">
        <f t="shared" si="2"/>
        <v>0</v>
      </c>
      <c r="AL9" s="3" t="str">
        <f t="shared" si="3"/>
        <v>Polonia</v>
      </c>
      <c r="AM9" s="3"/>
      <c r="AN9" s="3">
        <f t="shared" si="4"/>
        <v>2</v>
      </c>
      <c r="AO9" s="3" t="s">
        <v>43</v>
      </c>
      <c r="AP9" s="3">
        <f t="shared" si="5"/>
        <v>6</v>
      </c>
      <c r="AQ9" s="3">
        <f t="shared" si="6"/>
        <v>4</v>
      </c>
      <c r="AR9" s="3">
        <f t="shared" si="7"/>
        <v>7</v>
      </c>
      <c r="AS9" s="3">
        <f t="shared" si="8"/>
        <v>3</v>
      </c>
      <c r="AT9" s="3"/>
      <c r="AU9" s="3"/>
      <c r="AV9" s="3" t="str">
        <f t="shared" si="9"/>
        <v>Polonia</v>
      </c>
      <c r="AW9" s="3" t="str">
        <f>IF(AZ9=AZ10,AV10,IF(AZ9=AZ7,AV7,IF(AZ9=AZ8,AV8,"")))</f>
        <v/>
      </c>
      <c r="AX9" s="3" t="str">
        <f t="shared" si="10"/>
        <v/>
      </c>
      <c r="AY9" s="3">
        <f t="shared" si="11"/>
        <v>1</v>
      </c>
      <c r="AZ9" s="3">
        <f t="shared" si="12"/>
        <v>-60040700</v>
      </c>
      <c r="BA9" s="3">
        <f t="shared" si="13"/>
        <v>-60040710</v>
      </c>
      <c r="BB9" s="3">
        <f t="shared" si="14"/>
        <v>-60040707</v>
      </c>
    </row>
    <row r="10" spans="2:54" x14ac:dyDescent="0.25">
      <c r="B10" s="32">
        <v>3</v>
      </c>
      <c r="C10" s="33" t="str">
        <f t="shared" ref="C10:G10" si="18">IFERROR(VLOOKUP($B10,$AN$7:$AS$11,C$5,FALSE),"")</f>
        <v>Mexico</v>
      </c>
      <c r="D10" s="34">
        <f t="shared" si="18"/>
        <v>3</v>
      </c>
      <c r="E10" s="34">
        <f t="shared" si="18"/>
        <v>3</v>
      </c>
      <c r="F10" s="34">
        <f t="shared" si="18"/>
        <v>5</v>
      </c>
      <c r="G10" s="35">
        <f t="shared" si="18"/>
        <v>-2</v>
      </c>
      <c r="I10" s="20">
        <f t="shared" si="17"/>
        <v>22</v>
      </c>
      <c r="J10" s="21">
        <v>44891</v>
      </c>
      <c r="K10" s="22" t="s">
        <v>44</v>
      </c>
      <c r="L10" s="23">
        <v>2</v>
      </c>
      <c r="M10" s="24">
        <v>0</v>
      </c>
      <c r="N10" s="20" t="s">
        <v>42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5" t="str">
        <f t="shared" si="0"/>
        <v>Argentina_Mexico</v>
      </c>
      <c r="AJ10" s="3">
        <f t="shared" si="1"/>
        <v>3</v>
      </c>
      <c r="AK10" s="3">
        <f t="shared" si="2"/>
        <v>0</v>
      </c>
      <c r="AL10" s="3" t="str">
        <f t="shared" si="3"/>
        <v>Argentina</v>
      </c>
      <c r="AM10" s="3"/>
      <c r="AN10" s="3">
        <f t="shared" si="4"/>
        <v>4</v>
      </c>
      <c r="AO10" s="3" t="s">
        <v>45</v>
      </c>
      <c r="AP10" s="3">
        <f t="shared" si="5"/>
        <v>0</v>
      </c>
      <c r="AQ10" s="3">
        <f t="shared" si="6"/>
        <v>-9</v>
      </c>
      <c r="AR10" s="3">
        <f t="shared" si="7"/>
        <v>0</v>
      </c>
      <c r="AS10" s="3">
        <f t="shared" si="8"/>
        <v>9</v>
      </c>
      <c r="AT10" s="3"/>
      <c r="AU10" s="3"/>
      <c r="AV10" s="3" t="str">
        <f t="shared" si="9"/>
        <v>Arabia Saudita</v>
      </c>
      <c r="AW10" s="3" t="str">
        <f>IF(AZ10=AZ7,AV7,IF(AZ10=AZ8,AV8,IF(AZ10=AZ9,AV9,"")))</f>
        <v/>
      </c>
      <c r="AX10" s="3" t="str">
        <f t="shared" si="10"/>
        <v/>
      </c>
      <c r="AY10" s="3">
        <f t="shared" si="11"/>
        <v>1</v>
      </c>
      <c r="AZ10" s="3">
        <f t="shared" si="12"/>
        <v>90000</v>
      </c>
      <c r="BA10" s="3">
        <f t="shared" si="13"/>
        <v>89990</v>
      </c>
      <c r="BB10" s="3">
        <f t="shared" si="14"/>
        <v>89994</v>
      </c>
    </row>
    <row r="11" spans="2:54" x14ac:dyDescent="0.25">
      <c r="B11" s="36">
        <v>4</v>
      </c>
      <c r="C11" s="37" t="str">
        <f t="shared" ref="C11:G11" si="19">IFERROR(VLOOKUP($B11,$AN$7:$AS$11,C$5,FALSE),"")</f>
        <v>Arabia Saudita</v>
      </c>
      <c r="D11" s="38">
        <f t="shared" si="19"/>
        <v>0</v>
      </c>
      <c r="E11" s="38">
        <f t="shared" si="19"/>
        <v>0</v>
      </c>
      <c r="F11" s="38">
        <f t="shared" si="19"/>
        <v>9</v>
      </c>
      <c r="G11" s="39">
        <f t="shared" si="19"/>
        <v>-9</v>
      </c>
      <c r="I11" s="29">
        <f t="shared" si="17"/>
        <v>37</v>
      </c>
      <c r="J11" s="30">
        <v>44895</v>
      </c>
      <c r="K11" s="31" t="s">
        <v>43</v>
      </c>
      <c r="L11" s="23">
        <v>1</v>
      </c>
      <c r="M11" s="24">
        <v>2</v>
      </c>
      <c r="N11" s="29" t="s">
        <v>44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5" t="str">
        <f t="shared" si="0"/>
        <v>Polonia_Argentina</v>
      </c>
      <c r="AJ11" s="3">
        <f t="shared" si="1"/>
        <v>0</v>
      </c>
      <c r="AK11" s="3">
        <f t="shared" si="2"/>
        <v>3</v>
      </c>
      <c r="AL11" s="3" t="str">
        <f t="shared" si="3"/>
        <v>Argentina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</row>
    <row r="12" spans="2:54" x14ac:dyDescent="0.25">
      <c r="I12" s="40">
        <f t="shared" si="17"/>
        <v>38</v>
      </c>
      <c r="J12" s="41">
        <v>44895</v>
      </c>
      <c r="K12" s="42" t="s">
        <v>45</v>
      </c>
      <c r="L12" s="43">
        <v>0</v>
      </c>
      <c r="M12" s="44">
        <v>2</v>
      </c>
      <c r="N12" s="40" t="s">
        <v>42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5" t="str">
        <f t="shared" si="0"/>
        <v>Arabia Saudita_Mexico</v>
      </c>
      <c r="AJ12" s="3">
        <f t="shared" si="1"/>
        <v>0</v>
      </c>
      <c r="AK12" s="3">
        <f t="shared" si="2"/>
        <v>3</v>
      </c>
      <c r="AL12" s="3" t="str">
        <f t="shared" si="3"/>
        <v>Mexico</v>
      </c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 spans="2:54" x14ac:dyDescent="0.25"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</row>
    <row r="14" spans="2:54" x14ac:dyDescent="0.25"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</row>
    <row r="15" spans="2:54" x14ac:dyDescent="0.25"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</row>
    <row r="16" spans="2:54" x14ac:dyDescent="0.25"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</row>
    <row r="17" spans="2:54" x14ac:dyDescent="0.25"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</row>
    <row r="18" spans="2:54" x14ac:dyDescent="0.25"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</row>
    <row r="19" spans="2:54" x14ac:dyDescent="0.25"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</row>
    <row r="20" spans="2:54" x14ac:dyDescent="0.25"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</row>
    <row r="21" spans="2:54" ht="15.75" customHeight="1" x14ac:dyDescent="0.25"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</row>
    <row r="22" spans="2:54" ht="15.75" customHeight="1" x14ac:dyDescent="0.25">
      <c r="B22" s="45" t="s">
        <v>25</v>
      </c>
      <c r="C22" s="46"/>
      <c r="D22" s="46"/>
      <c r="E22" s="46"/>
      <c r="F22" s="46"/>
      <c r="G22" s="46"/>
      <c r="H22" s="47"/>
      <c r="I22" s="3">
        <v>1</v>
      </c>
      <c r="J22" s="81" t="s">
        <v>40</v>
      </c>
      <c r="K22" s="82"/>
      <c r="L22" s="82"/>
      <c r="M22" s="83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</row>
    <row r="23" spans="2:54" ht="15.75" customHeight="1" x14ac:dyDescent="0.25">
      <c r="B23" s="48" t="s">
        <v>27</v>
      </c>
      <c r="C23" s="49"/>
      <c r="D23" s="49"/>
      <c r="E23" s="49"/>
      <c r="F23" s="49"/>
      <c r="G23" s="49"/>
      <c r="H23" s="50"/>
      <c r="I23" s="3">
        <f t="shared" ref="I23:I26" si="20">IF(J23="",0,1)</f>
        <v>1</v>
      </c>
      <c r="J23" s="98" t="s">
        <v>44</v>
      </c>
      <c r="K23" s="99"/>
      <c r="L23" s="85"/>
      <c r="M23" s="58">
        <v>1</v>
      </c>
      <c r="N23" s="52">
        <f t="shared" ref="N23:N27" si="21">IF(J23="",0,M23)</f>
        <v>1</v>
      </c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</row>
    <row r="24" spans="2:54" ht="15.75" customHeight="1" x14ac:dyDescent="0.25">
      <c r="B24" s="48" t="s">
        <v>28</v>
      </c>
      <c r="C24" s="49"/>
      <c r="D24" s="49"/>
      <c r="E24" s="49"/>
      <c r="F24" s="49"/>
      <c r="G24" s="49"/>
      <c r="H24" s="50"/>
      <c r="I24" s="3">
        <f t="shared" si="20"/>
        <v>1</v>
      </c>
      <c r="J24" s="100" t="s">
        <v>43</v>
      </c>
      <c r="K24" s="101"/>
      <c r="L24" s="102"/>
      <c r="M24" s="53">
        <v>2</v>
      </c>
      <c r="N24" s="52">
        <f t="shared" si="21"/>
        <v>2</v>
      </c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</row>
    <row r="25" spans="2:54" ht="15.75" customHeight="1" x14ac:dyDescent="0.25">
      <c r="B25" s="48" t="s">
        <v>30</v>
      </c>
      <c r="C25" s="49"/>
      <c r="D25" s="49"/>
      <c r="E25" s="49"/>
      <c r="F25" s="49"/>
      <c r="G25" s="49"/>
      <c r="H25" s="50"/>
      <c r="I25" s="3">
        <f t="shared" si="20"/>
        <v>1</v>
      </c>
      <c r="J25" s="100" t="s">
        <v>42</v>
      </c>
      <c r="K25" s="101"/>
      <c r="L25" s="102"/>
      <c r="M25" s="53">
        <v>3</v>
      </c>
      <c r="N25" s="52">
        <f t="shared" si="21"/>
        <v>3</v>
      </c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</row>
    <row r="26" spans="2:54" ht="15.75" customHeight="1" x14ac:dyDescent="0.25">
      <c r="B26" s="48" t="s">
        <v>32</v>
      </c>
      <c r="C26" s="49"/>
      <c r="D26" s="49"/>
      <c r="E26" s="49"/>
      <c r="F26" s="49"/>
      <c r="G26" s="49"/>
      <c r="H26" s="50"/>
      <c r="I26" s="3">
        <f t="shared" si="20"/>
        <v>1</v>
      </c>
      <c r="J26" s="103" t="s">
        <v>45</v>
      </c>
      <c r="K26" s="104"/>
      <c r="L26" s="87"/>
      <c r="M26" s="54">
        <v>4</v>
      </c>
      <c r="N26" s="52">
        <f t="shared" si="21"/>
        <v>4</v>
      </c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</row>
    <row r="27" spans="2:54" ht="15.75" customHeight="1" x14ac:dyDescent="0.25">
      <c r="B27" s="48" t="s">
        <v>34</v>
      </c>
      <c r="C27" s="49"/>
      <c r="D27" s="49"/>
      <c r="E27" s="49"/>
      <c r="F27" s="49"/>
      <c r="G27" s="49"/>
      <c r="H27" s="50"/>
      <c r="I27" s="3"/>
      <c r="N27" s="52">
        <f t="shared" si="21"/>
        <v>0</v>
      </c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</row>
    <row r="28" spans="2:54" ht="15.75" customHeight="1" x14ac:dyDescent="0.25">
      <c r="B28" s="55"/>
      <c r="C28" s="56"/>
      <c r="D28" s="56"/>
      <c r="E28" s="56"/>
      <c r="F28" s="56"/>
      <c r="G28" s="56"/>
      <c r="H28" s="57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</row>
    <row r="29" spans="2:54" ht="15.75" customHeight="1" x14ac:dyDescent="0.25"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</row>
    <row r="30" spans="2:54" ht="15.75" customHeight="1" x14ac:dyDescent="0.25"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</row>
    <row r="31" spans="2:54" ht="15.75" customHeight="1" x14ac:dyDescent="0.25"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</row>
    <row r="32" spans="2:54" ht="15.75" customHeight="1" x14ac:dyDescent="0.25"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</row>
    <row r="33" spans="15:54" ht="15.75" customHeight="1" x14ac:dyDescent="0.25"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</row>
    <row r="34" spans="15:54" ht="15.75" customHeight="1" x14ac:dyDescent="0.25"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</row>
    <row r="35" spans="15:54" ht="15.75" customHeight="1" x14ac:dyDescent="0.25"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</row>
    <row r="36" spans="15:54" ht="15.75" customHeight="1" x14ac:dyDescent="0.25"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</row>
    <row r="37" spans="15:54" ht="15.75" customHeight="1" x14ac:dyDescent="0.25"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</row>
    <row r="38" spans="15:54" ht="15.75" customHeight="1" x14ac:dyDescent="0.25"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</row>
    <row r="39" spans="15:54" ht="15.75" customHeight="1" x14ac:dyDescent="0.25"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</row>
    <row r="40" spans="15:54" ht="15.75" customHeight="1" x14ac:dyDescent="0.25"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</row>
    <row r="41" spans="15:54" ht="15.75" customHeight="1" x14ac:dyDescent="0.25"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</row>
    <row r="42" spans="15:54" ht="15.75" customHeight="1" x14ac:dyDescent="0.25"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</row>
    <row r="43" spans="15:54" ht="15.75" customHeight="1" x14ac:dyDescent="0.25"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</row>
    <row r="44" spans="15:54" ht="15.75" customHeight="1" x14ac:dyDescent="0.25"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</row>
    <row r="45" spans="15:54" ht="15.75" customHeight="1" x14ac:dyDescent="0.25"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</row>
    <row r="46" spans="15:54" ht="15.75" customHeight="1" x14ac:dyDescent="0.25"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</row>
    <row r="47" spans="15:54" ht="15.75" customHeight="1" x14ac:dyDescent="0.25"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15:54" ht="15.75" customHeight="1" x14ac:dyDescent="0.25"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r="49" spans="15:54" ht="15.75" customHeight="1" x14ac:dyDescent="0.25"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r="50" spans="15:54" ht="15.75" customHeight="1" x14ac:dyDescent="0.25"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</row>
    <row r="51" spans="15:54" ht="15.75" customHeight="1" x14ac:dyDescent="0.25"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</row>
    <row r="52" spans="15:54" ht="15.75" customHeight="1" x14ac:dyDescent="0.25"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</row>
    <row r="53" spans="15:54" ht="15.75" customHeight="1" x14ac:dyDescent="0.25"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</row>
    <row r="54" spans="15:54" ht="15.75" customHeight="1" x14ac:dyDescent="0.25"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</row>
    <row r="55" spans="15:54" ht="15.75" customHeight="1" x14ac:dyDescent="0.25"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</row>
    <row r="56" spans="15:54" ht="15.75" customHeight="1" x14ac:dyDescent="0.25"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</row>
    <row r="57" spans="15:54" ht="15.75" customHeight="1" x14ac:dyDescent="0.25"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</row>
    <row r="58" spans="15:54" ht="15.75" customHeight="1" x14ac:dyDescent="0.25"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</row>
    <row r="59" spans="15:54" ht="15.75" customHeight="1" x14ac:dyDescent="0.25"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</row>
    <row r="60" spans="15:54" ht="15.75" customHeight="1" x14ac:dyDescent="0.25"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</row>
    <row r="61" spans="15:54" ht="15.75" customHeight="1" x14ac:dyDescent="0.25"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</row>
    <row r="62" spans="15:54" ht="15.75" customHeight="1" x14ac:dyDescent="0.25"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</row>
    <row r="63" spans="15:54" ht="15.75" customHeight="1" x14ac:dyDescent="0.25"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</row>
    <row r="64" spans="15:54" ht="15.75" customHeight="1" x14ac:dyDescent="0.25"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</row>
    <row r="65" spans="15:54" ht="15.75" customHeight="1" x14ac:dyDescent="0.25"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</row>
    <row r="66" spans="15:54" ht="15.75" customHeight="1" x14ac:dyDescent="0.25"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</row>
    <row r="67" spans="15:54" ht="15.75" customHeight="1" x14ac:dyDescent="0.25"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</row>
    <row r="68" spans="15:54" ht="15.75" customHeight="1" x14ac:dyDescent="0.25"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</row>
    <row r="69" spans="15:54" ht="15.75" customHeight="1" x14ac:dyDescent="0.25"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</row>
    <row r="70" spans="15:54" ht="15.75" customHeight="1" x14ac:dyDescent="0.25"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</row>
    <row r="71" spans="15:54" ht="15.75" customHeight="1" x14ac:dyDescent="0.25"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</row>
    <row r="72" spans="15:54" ht="15.75" customHeight="1" x14ac:dyDescent="0.25"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</row>
    <row r="73" spans="15:54" ht="15.75" customHeight="1" x14ac:dyDescent="0.25"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</row>
    <row r="74" spans="15:54" ht="15.75" customHeight="1" x14ac:dyDescent="0.25"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</row>
    <row r="75" spans="15:54" ht="15.75" customHeight="1" x14ac:dyDescent="0.25"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</row>
    <row r="76" spans="15:54" ht="15.75" customHeight="1" x14ac:dyDescent="0.25"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</row>
    <row r="77" spans="15:54" ht="15.75" customHeight="1" x14ac:dyDescent="0.25"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</row>
    <row r="78" spans="15:54" ht="15.75" customHeight="1" x14ac:dyDescent="0.25"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</row>
    <row r="79" spans="15:54" ht="15.75" customHeight="1" x14ac:dyDescent="0.25"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</row>
    <row r="80" spans="15:54" ht="15.75" customHeight="1" x14ac:dyDescent="0.25"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</row>
    <row r="81" spans="15:54" ht="15.75" customHeight="1" x14ac:dyDescent="0.25"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</row>
    <row r="82" spans="15:54" ht="15.75" customHeight="1" x14ac:dyDescent="0.25"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</row>
    <row r="83" spans="15:54" ht="15.75" customHeight="1" x14ac:dyDescent="0.25"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</row>
    <row r="84" spans="15:54" ht="15.75" customHeight="1" x14ac:dyDescent="0.25"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</row>
    <row r="85" spans="15:54" ht="15.75" customHeight="1" x14ac:dyDescent="0.25"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</row>
    <row r="86" spans="15:54" ht="15.75" customHeight="1" x14ac:dyDescent="0.25"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</row>
    <row r="87" spans="15:54" ht="15.75" customHeight="1" x14ac:dyDescent="0.25"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</row>
    <row r="88" spans="15:54" ht="15.75" customHeight="1" x14ac:dyDescent="0.25"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</row>
    <row r="89" spans="15:54" ht="15.75" customHeight="1" x14ac:dyDescent="0.25"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</row>
    <row r="90" spans="15:54" ht="15.75" customHeight="1" x14ac:dyDescent="0.25"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</row>
    <row r="91" spans="15:54" ht="15.75" customHeight="1" x14ac:dyDescent="0.25"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</row>
    <row r="92" spans="15:54" ht="15.75" customHeight="1" x14ac:dyDescent="0.25"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</row>
    <row r="93" spans="15:54" ht="15.75" customHeight="1" x14ac:dyDescent="0.25"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</row>
    <row r="94" spans="15:54" ht="15.75" customHeight="1" x14ac:dyDescent="0.25"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</row>
    <row r="95" spans="15:54" ht="15.75" customHeight="1" x14ac:dyDescent="0.25"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</row>
    <row r="96" spans="15:54" ht="15.75" customHeight="1" x14ac:dyDescent="0.25"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</row>
    <row r="97" spans="15:54" ht="15.75" customHeight="1" x14ac:dyDescent="0.25"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</row>
    <row r="98" spans="15:54" ht="15.75" customHeight="1" x14ac:dyDescent="0.25"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</row>
    <row r="99" spans="15:54" ht="15.75" customHeight="1" x14ac:dyDescent="0.25"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</row>
    <row r="100" spans="15:54" ht="15.75" customHeight="1" x14ac:dyDescent="0.25"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</row>
    <row r="101" spans="15:54" ht="15.75" customHeight="1" x14ac:dyDescent="0.25"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</row>
    <row r="102" spans="15:54" ht="15.75" customHeight="1" x14ac:dyDescent="0.25"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</row>
    <row r="103" spans="15:54" ht="15.75" customHeight="1" x14ac:dyDescent="0.25"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</row>
    <row r="104" spans="15:54" ht="15.75" customHeight="1" x14ac:dyDescent="0.25"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</row>
    <row r="105" spans="15:54" ht="15.75" customHeight="1" x14ac:dyDescent="0.25"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</row>
    <row r="106" spans="15:54" ht="15.75" customHeight="1" x14ac:dyDescent="0.25"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</row>
    <row r="107" spans="15:54" ht="15.75" customHeight="1" x14ac:dyDescent="0.25"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</row>
    <row r="108" spans="15:54" ht="15.75" customHeight="1" x14ac:dyDescent="0.25"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</row>
    <row r="109" spans="15:54" ht="15.75" customHeight="1" x14ac:dyDescent="0.25"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</row>
    <row r="110" spans="15:54" ht="15.75" customHeight="1" x14ac:dyDescent="0.25"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</row>
    <row r="111" spans="15:54" ht="15.75" customHeight="1" x14ac:dyDescent="0.25"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</row>
    <row r="112" spans="15:54" ht="15.75" customHeight="1" x14ac:dyDescent="0.25"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</row>
    <row r="113" spans="15:54" ht="15.75" customHeight="1" x14ac:dyDescent="0.25"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</row>
    <row r="114" spans="15:54" ht="15.75" customHeight="1" x14ac:dyDescent="0.25"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</row>
    <row r="115" spans="15:54" ht="15.75" customHeight="1" x14ac:dyDescent="0.25"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</row>
    <row r="116" spans="15:54" ht="15.75" customHeight="1" x14ac:dyDescent="0.25"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</row>
    <row r="117" spans="15:54" ht="15.75" customHeight="1" x14ac:dyDescent="0.25"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</row>
    <row r="118" spans="15:54" ht="15.75" customHeight="1" x14ac:dyDescent="0.25"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</row>
    <row r="119" spans="15:54" ht="15.75" customHeight="1" x14ac:dyDescent="0.25"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</row>
    <row r="120" spans="15:54" ht="15.75" customHeight="1" x14ac:dyDescent="0.25"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</row>
    <row r="121" spans="15:54" ht="15.75" customHeight="1" x14ac:dyDescent="0.25"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</row>
    <row r="122" spans="15:54" ht="15.75" customHeight="1" x14ac:dyDescent="0.25"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</row>
    <row r="123" spans="15:54" ht="15.75" customHeight="1" x14ac:dyDescent="0.25"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</row>
    <row r="124" spans="15:54" ht="15.75" customHeight="1" x14ac:dyDescent="0.25"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</row>
    <row r="125" spans="15:54" ht="15.75" customHeight="1" x14ac:dyDescent="0.25"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</row>
    <row r="126" spans="15:54" ht="15.75" customHeight="1" x14ac:dyDescent="0.25"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</row>
    <row r="127" spans="15:54" ht="15.75" customHeight="1" x14ac:dyDescent="0.25"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</row>
    <row r="128" spans="15:54" ht="15.75" customHeight="1" x14ac:dyDescent="0.25"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</row>
    <row r="129" spans="15:54" ht="15.75" customHeight="1" x14ac:dyDescent="0.25"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</row>
    <row r="130" spans="15:54" ht="15.75" customHeight="1" x14ac:dyDescent="0.25"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</row>
    <row r="131" spans="15:54" ht="15.75" customHeight="1" x14ac:dyDescent="0.25"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</row>
    <row r="132" spans="15:54" ht="15.75" customHeight="1" x14ac:dyDescent="0.25"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</row>
    <row r="133" spans="15:54" ht="15.75" customHeight="1" x14ac:dyDescent="0.25"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</row>
    <row r="134" spans="15:54" ht="15.75" customHeight="1" x14ac:dyDescent="0.25"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</row>
    <row r="135" spans="15:54" ht="15.75" customHeight="1" x14ac:dyDescent="0.25"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</row>
    <row r="136" spans="15:54" ht="15.75" customHeight="1" x14ac:dyDescent="0.25"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</row>
    <row r="137" spans="15:54" ht="15.75" customHeight="1" x14ac:dyDescent="0.25"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</row>
    <row r="138" spans="15:54" ht="15.75" customHeight="1" x14ac:dyDescent="0.25"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</row>
    <row r="139" spans="15:54" ht="15.75" customHeight="1" x14ac:dyDescent="0.25"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</row>
    <row r="140" spans="15:54" ht="15.75" customHeight="1" x14ac:dyDescent="0.25"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</row>
    <row r="141" spans="15:54" ht="15.75" customHeight="1" x14ac:dyDescent="0.25"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</row>
    <row r="142" spans="15:54" ht="15.75" customHeight="1" x14ac:dyDescent="0.25"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</row>
    <row r="143" spans="15:54" ht="15.75" customHeight="1" x14ac:dyDescent="0.25"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</row>
    <row r="144" spans="15:54" ht="15.75" customHeight="1" x14ac:dyDescent="0.25"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</row>
    <row r="145" spans="15:54" ht="15.75" customHeight="1" x14ac:dyDescent="0.25"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</row>
    <row r="146" spans="15:54" ht="15.75" customHeight="1" x14ac:dyDescent="0.25"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</row>
    <row r="147" spans="15:54" ht="15.75" customHeight="1" x14ac:dyDescent="0.25"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</row>
    <row r="148" spans="15:54" ht="15.75" customHeight="1" x14ac:dyDescent="0.25"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</row>
    <row r="149" spans="15:54" ht="15.75" customHeight="1" x14ac:dyDescent="0.25"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</row>
    <row r="150" spans="15:54" ht="15.75" customHeight="1" x14ac:dyDescent="0.25"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</row>
    <row r="151" spans="15:54" ht="15.75" customHeight="1" x14ac:dyDescent="0.25"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</row>
    <row r="152" spans="15:54" ht="15.75" customHeight="1" x14ac:dyDescent="0.25"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</row>
    <row r="153" spans="15:54" ht="15.75" customHeight="1" x14ac:dyDescent="0.25"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</row>
    <row r="154" spans="15:54" ht="15.75" customHeight="1" x14ac:dyDescent="0.25"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</row>
    <row r="155" spans="15:54" ht="15.75" customHeight="1" x14ac:dyDescent="0.25"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</row>
    <row r="156" spans="15:54" ht="15.75" customHeight="1" x14ac:dyDescent="0.25"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</row>
    <row r="157" spans="15:54" ht="15.75" customHeight="1" x14ac:dyDescent="0.25"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</row>
    <row r="158" spans="15:54" ht="15.75" customHeight="1" x14ac:dyDescent="0.25"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</row>
    <row r="159" spans="15:54" ht="15.75" customHeight="1" x14ac:dyDescent="0.25"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</row>
    <row r="160" spans="15:54" ht="15.75" customHeight="1" x14ac:dyDescent="0.25"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</row>
    <row r="161" spans="15:54" ht="15.75" customHeight="1" x14ac:dyDescent="0.25"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</row>
    <row r="162" spans="15:54" ht="15.75" customHeight="1" x14ac:dyDescent="0.25"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</row>
    <row r="163" spans="15:54" ht="15.75" customHeight="1" x14ac:dyDescent="0.25"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</row>
    <row r="164" spans="15:54" ht="15.75" customHeight="1" x14ac:dyDescent="0.25"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</row>
    <row r="165" spans="15:54" ht="15.75" customHeight="1" x14ac:dyDescent="0.25"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</row>
    <row r="166" spans="15:54" ht="15.75" customHeight="1" x14ac:dyDescent="0.25"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</row>
    <row r="167" spans="15:54" ht="15.75" customHeight="1" x14ac:dyDescent="0.25"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</row>
    <row r="168" spans="15:54" ht="15.75" customHeight="1" x14ac:dyDescent="0.25"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</row>
    <row r="169" spans="15:54" ht="15.75" customHeight="1" x14ac:dyDescent="0.25"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</row>
    <row r="170" spans="15:54" ht="15.75" customHeight="1" x14ac:dyDescent="0.25"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</row>
    <row r="171" spans="15:54" ht="15.75" customHeight="1" x14ac:dyDescent="0.25"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</row>
    <row r="172" spans="15:54" ht="15.75" customHeight="1" x14ac:dyDescent="0.25"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</row>
    <row r="173" spans="15:54" ht="15.75" customHeight="1" x14ac:dyDescent="0.25"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</row>
    <row r="174" spans="15:54" ht="15.75" customHeight="1" x14ac:dyDescent="0.25"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</row>
    <row r="175" spans="15:54" ht="15.75" customHeight="1" x14ac:dyDescent="0.25"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</row>
    <row r="176" spans="15:54" ht="15.75" customHeight="1" x14ac:dyDescent="0.25"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</row>
    <row r="177" spans="15:54" ht="15.75" customHeight="1" x14ac:dyDescent="0.25"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</row>
    <row r="178" spans="15:54" ht="15.75" customHeight="1" x14ac:dyDescent="0.25"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</row>
    <row r="179" spans="15:54" ht="15.75" customHeight="1" x14ac:dyDescent="0.25"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</row>
    <row r="180" spans="15:54" ht="15.75" customHeight="1" x14ac:dyDescent="0.25"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</row>
    <row r="181" spans="15:54" ht="15.75" customHeight="1" x14ac:dyDescent="0.25"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</row>
    <row r="182" spans="15:54" ht="15.75" customHeight="1" x14ac:dyDescent="0.25"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</row>
    <row r="183" spans="15:54" ht="15.75" customHeight="1" x14ac:dyDescent="0.25"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</row>
    <row r="184" spans="15:54" ht="15.75" customHeight="1" x14ac:dyDescent="0.25"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</row>
    <row r="185" spans="15:54" ht="15.75" customHeight="1" x14ac:dyDescent="0.25"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</row>
    <row r="186" spans="15:54" ht="15.75" customHeight="1" x14ac:dyDescent="0.25"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</row>
    <row r="187" spans="15:54" ht="15.75" customHeight="1" x14ac:dyDescent="0.25"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</row>
    <row r="188" spans="15:54" ht="15.75" customHeight="1" x14ac:dyDescent="0.25"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</row>
    <row r="189" spans="15:54" ht="15.75" customHeight="1" x14ac:dyDescent="0.25"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</row>
    <row r="190" spans="15:54" ht="15.75" customHeight="1" x14ac:dyDescent="0.25"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</row>
    <row r="191" spans="15:54" ht="15.75" customHeight="1" x14ac:dyDescent="0.25"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</row>
    <row r="192" spans="15:54" ht="15.75" customHeight="1" x14ac:dyDescent="0.25"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</row>
    <row r="193" spans="15:54" ht="15.75" customHeight="1" x14ac:dyDescent="0.25"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</row>
    <row r="194" spans="15:54" ht="15.75" customHeight="1" x14ac:dyDescent="0.25"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</row>
    <row r="195" spans="15:54" ht="15.75" customHeight="1" x14ac:dyDescent="0.25"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</row>
    <row r="196" spans="15:54" ht="15.75" customHeight="1" x14ac:dyDescent="0.25"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</row>
    <row r="197" spans="15:54" ht="15.75" customHeight="1" x14ac:dyDescent="0.25"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</row>
    <row r="198" spans="15:54" ht="15.75" customHeight="1" x14ac:dyDescent="0.25"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</row>
    <row r="199" spans="15:54" ht="15.75" customHeight="1" x14ac:dyDescent="0.25"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</row>
    <row r="200" spans="15:54" ht="15.75" customHeight="1" x14ac:dyDescent="0.25"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</row>
    <row r="201" spans="15:54" ht="15.75" customHeight="1" x14ac:dyDescent="0.25"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</row>
    <row r="202" spans="15:54" ht="15.75" customHeight="1" x14ac:dyDescent="0.25"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</row>
    <row r="203" spans="15:54" ht="15.75" customHeight="1" x14ac:dyDescent="0.25"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</row>
    <row r="204" spans="15:54" ht="15.75" customHeight="1" x14ac:dyDescent="0.25"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</row>
    <row r="205" spans="15:54" ht="15.75" customHeight="1" x14ac:dyDescent="0.25"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</row>
    <row r="206" spans="15:54" ht="15.75" customHeight="1" x14ac:dyDescent="0.25"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</row>
    <row r="207" spans="15:54" ht="15.75" customHeight="1" x14ac:dyDescent="0.25"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</row>
    <row r="208" spans="15:54" ht="15.75" customHeight="1" x14ac:dyDescent="0.25"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</row>
    <row r="209" spans="15:54" ht="15.75" customHeight="1" x14ac:dyDescent="0.25"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</row>
    <row r="210" spans="15:54" ht="15.75" customHeight="1" x14ac:dyDescent="0.25"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</row>
    <row r="211" spans="15:54" ht="15.75" customHeight="1" x14ac:dyDescent="0.25"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</row>
    <row r="212" spans="15:54" ht="15.75" customHeight="1" x14ac:dyDescent="0.25"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</row>
    <row r="213" spans="15:54" ht="15.75" customHeight="1" x14ac:dyDescent="0.25"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</row>
    <row r="214" spans="15:54" ht="15.75" customHeight="1" x14ac:dyDescent="0.25"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</row>
    <row r="215" spans="15:54" ht="15.75" customHeight="1" x14ac:dyDescent="0.25"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</row>
    <row r="216" spans="15:54" ht="15.75" customHeight="1" x14ac:dyDescent="0.25"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</row>
    <row r="217" spans="15:54" ht="15.75" customHeight="1" x14ac:dyDescent="0.25"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</row>
    <row r="218" spans="15:54" ht="15.75" customHeight="1" x14ac:dyDescent="0.25"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</row>
    <row r="219" spans="15:54" ht="15.75" customHeight="1" x14ac:dyDescent="0.25"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</row>
    <row r="220" spans="15:54" ht="15.75" customHeight="1" x14ac:dyDescent="0.25"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</row>
    <row r="221" spans="15:54" ht="15.75" customHeight="1" x14ac:dyDescent="0.25"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</row>
    <row r="222" spans="15:54" ht="15.75" customHeight="1" x14ac:dyDescent="0.25"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</row>
    <row r="223" spans="15:54" ht="15.75" customHeight="1" x14ac:dyDescent="0.25"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</row>
    <row r="224" spans="15:54" ht="15.75" customHeight="1" x14ac:dyDescent="0.25"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</row>
    <row r="225" spans="15:54" ht="15.75" customHeight="1" x14ac:dyDescent="0.25"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</row>
    <row r="226" spans="15:54" ht="15.75" customHeight="1" x14ac:dyDescent="0.25"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</row>
    <row r="227" spans="15:54" ht="15.75" customHeight="1" x14ac:dyDescent="0.25"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</row>
    <row r="228" spans="15:54" ht="15.75" customHeight="1" x14ac:dyDescent="0.25"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</row>
    <row r="229" spans="15:54" ht="15.75" customHeight="1" x14ac:dyDescent="0.25"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</row>
    <row r="230" spans="15:54" ht="15.75" customHeight="1" x14ac:dyDescent="0.25"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</row>
    <row r="231" spans="15:54" ht="15.75" customHeight="1" x14ac:dyDescent="0.25"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</row>
    <row r="232" spans="15:54" ht="15.75" customHeight="1" x14ac:dyDescent="0.25"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</row>
    <row r="233" spans="15:54" ht="15.75" customHeight="1" x14ac:dyDescent="0.25"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</row>
    <row r="234" spans="15:54" ht="15.75" customHeight="1" x14ac:dyDescent="0.25"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</row>
    <row r="235" spans="15:54" ht="15.75" customHeight="1" x14ac:dyDescent="0.25"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</row>
    <row r="236" spans="15:54" ht="15.75" customHeight="1" x14ac:dyDescent="0.25"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</row>
    <row r="237" spans="15:54" ht="15.75" customHeight="1" x14ac:dyDescent="0.25"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</row>
    <row r="238" spans="15:54" ht="15.75" customHeight="1" x14ac:dyDescent="0.25"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</row>
    <row r="239" spans="15:54" ht="15.75" customHeight="1" x14ac:dyDescent="0.25"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</row>
    <row r="240" spans="15:54" ht="15.75" customHeight="1" x14ac:dyDescent="0.25"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</row>
    <row r="241" spans="15:54" ht="15.75" customHeight="1" x14ac:dyDescent="0.25"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</row>
    <row r="242" spans="15:54" ht="15.75" customHeight="1" x14ac:dyDescent="0.25"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</row>
    <row r="243" spans="15:54" ht="15.75" customHeight="1" x14ac:dyDescent="0.25"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</row>
    <row r="244" spans="15:54" ht="15.75" customHeight="1" x14ac:dyDescent="0.25"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</row>
    <row r="245" spans="15:54" ht="15.75" customHeight="1" x14ac:dyDescent="0.25"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</row>
    <row r="246" spans="15:54" ht="15.75" customHeight="1" x14ac:dyDescent="0.25"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</row>
    <row r="247" spans="15:54" ht="15.75" customHeight="1" x14ac:dyDescent="0.25"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</row>
    <row r="248" spans="15:54" ht="15.75" customHeight="1" x14ac:dyDescent="0.25"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</row>
    <row r="249" spans="15:54" ht="15.75" customHeight="1" x14ac:dyDescent="0.25"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</row>
    <row r="250" spans="15:54" ht="15.75" customHeight="1" x14ac:dyDescent="0.25"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</row>
    <row r="251" spans="15:54" ht="15.75" customHeight="1" x14ac:dyDescent="0.25"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</row>
    <row r="252" spans="15:54" ht="15.75" customHeight="1" x14ac:dyDescent="0.25"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</row>
    <row r="253" spans="15:54" ht="15.75" customHeight="1" x14ac:dyDescent="0.25"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</row>
    <row r="254" spans="15:54" ht="15.75" customHeight="1" x14ac:dyDescent="0.25"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</row>
    <row r="255" spans="15:54" ht="15.75" customHeight="1" x14ac:dyDescent="0.25"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</row>
    <row r="256" spans="15:54" ht="15.75" customHeight="1" x14ac:dyDescent="0.25"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</row>
    <row r="257" spans="15:54" ht="15.75" customHeight="1" x14ac:dyDescent="0.25"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</row>
    <row r="258" spans="15:54" ht="15.75" customHeight="1" x14ac:dyDescent="0.25"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</row>
    <row r="259" spans="15:54" ht="15.75" customHeight="1" x14ac:dyDescent="0.25"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</row>
    <row r="260" spans="15:54" ht="15.75" customHeight="1" x14ac:dyDescent="0.25"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</row>
    <row r="261" spans="15:54" ht="15.75" customHeight="1" x14ac:dyDescent="0.25"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</row>
    <row r="262" spans="15:54" ht="15.75" customHeight="1" x14ac:dyDescent="0.25"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</row>
    <row r="263" spans="15:54" ht="15.75" customHeight="1" x14ac:dyDescent="0.25"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</row>
    <row r="264" spans="15:54" ht="15.75" customHeight="1" x14ac:dyDescent="0.25"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</row>
    <row r="265" spans="15:54" ht="15.75" customHeight="1" x14ac:dyDescent="0.25"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</row>
    <row r="266" spans="15:54" ht="15.75" customHeight="1" x14ac:dyDescent="0.25"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</row>
    <row r="267" spans="15:54" ht="15.75" customHeight="1" x14ac:dyDescent="0.25"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</row>
    <row r="268" spans="15:54" ht="15.75" customHeight="1" x14ac:dyDescent="0.25"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</row>
    <row r="269" spans="15:54" ht="15.75" customHeight="1" x14ac:dyDescent="0.25"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</row>
    <row r="270" spans="15:54" ht="15.75" customHeight="1" x14ac:dyDescent="0.25"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</row>
    <row r="271" spans="15:54" ht="15.75" customHeight="1" x14ac:dyDescent="0.25"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</row>
    <row r="272" spans="15:54" ht="15.75" customHeight="1" x14ac:dyDescent="0.25"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</row>
    <row r="273" spans="15:54" ht="15.75" customHeight="1" x14ac:dyDescent="0.25"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</row>
    <row r="274" spans="15:54" ht="15.75" customHeight="1" x14ac:dyDescent="0.25"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</row>
    <row r="275" spans="15:54" ht="15.75" customHeight="1" x14ac:dyDescent="0.25"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</row>
    <row r="276" spans="15:54" ht="15.75" customHeight="1" x14ac:dyDescent="0.25"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</row>
    <row r="277" spans="15:54" ht="15.75" customHeight="1" x14ac:dyDescent="0.25"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</row>
    <row r="278" spans="15:54" ht="15.75" customHeight="1" x14ac:dyDescent="0.25"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</row>
    <row r="279" spans="15:54" ht="15.75" customHeight="1" x14ac:dyDescent="0.25"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</row>
    <row r="280" spans="15:54" ht="15.75" customHeight="1" x14ac:dyDescent="0.25"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</row>
    <row r="281" spans="15:54" ht="15.75" customHeight="1" x14ac:dyDescent="0.25"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</row>
    <row r="282" spans="15:54" ht="15.75" customHeight="1" x14ac:dyDescent="0.25"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</row>
    <row r="283" spans="15:54" ht="15.75" customHeight="1" x14ac:dyDescent="0.25"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</row>
    <row r="284" spans="15:54" ht="15.75" customHeight="1" x14ac:dyDescent="0.25"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</row>
    <row r="285" spans="15:54" ht="15.75" customHeight="1" x14ac:dyDescent="0.25"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</row>
    <row r="286" spans="15:54" ht="15.75" customHeight="1" x14ac:dyDescent="0.25"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</row>
    <row r="287" spans="15:54" ht="15.75" customHeight="1" x14ac:dyDescent="0.25"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</row>
    <row r="288" spans="15:54" ht="15.75" customHeight="1" x14ac:dyDescent="0.25"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</row>
    <row r="289" spans="15:54" ht="15.75" customHeight="1" x14ac:dyDescent="0.25"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</row>
    <row r="290" spans="15:54" ht="15.75" customHeight="1" x14ac:dyDescent="0.25"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</row>
    <row r="291" spans="15:54" ht="15.75" customHeight="1" x14ac:dyDescent="0.25"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</row>
    <row r="292" spans="15:54" ht="15.75" customHeight="1" x14ac:dyDescent="0.25"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</row>
    <row r="293" spans="15:54" ht="15.75" customHeight="1" x14ac:dyDescent="0.25"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</row>
    <row r="294" spans="15:54" ht="15.75" customHeight="1" x14ac:dyDescent="0.25"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</row>
    <row r="295" spans="15:54" ht="15.75" customHeight="1" x14ac:dyDescent="0.25"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</row>
    <row r="296" spans="15:54" ht="15.75" customHeight="1" x14ac:dyDescent="0.25"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</row>
    <row r="297" spans="15:54" ht="15.75" customHeight="1" x14ac:dyDescent="0.25"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</row>
    <row r="298" spans="15:54" ht="15.75" customHeight="1" x14ac:dyDescent="0.25"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</row>
    <row r="299" spans="15:54" ht="15.75" customHeight="1" x14ac:dyDescent="0.25"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</row>
    <row r="300" spans="15:54" ht="15.75" customHeight="1" x14ac:dyDescent="0.25"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</row>
    <row r="301" spans="15:54" ht="15.75" customHeight="1" x14ac:dyDescent="0.25"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</row>
    <row r="302" spans="15:54" ht="15.75" customHeight="1" x14ac:dyDescent="0.25"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</row>
    <row r="303" spans="15:54" ht="15.75" customHeight="1" x14ac:dyDescent="0.25"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</row>
    <row r="304" spans="15:54" ht="15.75" customHeight="1" x14ac:dyDescent="0.25"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</row>
    <row r="305" spans="15:54" ht="15.75" customHeight="1" x14ac:dyDescent="0.25"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</row>
    <row r="306" spans="15:54" ht="15.75" customHeight="1" x14ac:dyDescent="0.25"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</row>
    <row r="307" spans="15:54" ht="15.75" customHeight="1" x14ac:dyDescent="0.25"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</row>
    <row r="308" spans="15:54" ht="15.75" customHeight="1" x14ac:dyDescent="0.25"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</row>
    <row r="309" spans="15:54" ht="15.75" customHeight="1" x14ac:dyDescent="0.25"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</row>
    <row r="310" spans="15:54" ht="15.75" customHeight="1" x14ac:dyDescent="0.25"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</row>
    <row r="311" spans="15:54" ht="15.75" customHeight="1" x14ac:dyDescent="0.25"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</row>
    <row r="312" spans="15:54" ht="15.75" customHeight="1" x14ac:dyDescent="0.25"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</row>
    <row r="313" spans="15:54" ht="15.75" customHeight="1" x14ac:dyDescent="0.25"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</row>
    <row r="314" spans="15:54" ht="15.75" customHeight="1" x14ac:dyDescent="0.25"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</row>
    <row r="315" spans="15:54" ht="15.75" customHeight="1" x14ac:dyDescent="0.25"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</row>
    <row r="316" spans="15:54" ht="15.75" customHeight="1" x14ac:dyDescent="0.25"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</row>
    <row r="317" spans="15:54" ht="15.75" customHeight="1" x14ac:dyDescent="0.25"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</row>
    <row r="318" spans="15:54" ht="15.75" customHeight="1" x14ac:dyDescent="0.25"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</row>
    <row r="319" spans="15:54" ht="15.75" customHeight="1" x14ac:dyDescent="0.25"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</row>
    <row r="320" spans="15:54" ht="15.75" customHeight="1" x14ac:dyDescent="0.25"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</row>
    <row r="321" spans="15:54" ht="15.75" customHeight="1" x14ac:dyDescent="0.25"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</row>
    <row r="322" spans="15:54" ht="15.75" customHeight="1" x14ac:dyDescent="0.25"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</row>
    <row r="323" spans="15:54" ht="15.75" customHeight="1" x14ac:dyDescent="0.25"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</row>
    <row r="324" spans="15:54" ht="15.75" customHeight="1" x14ac:dyDescent="0.25"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</row>
    <row r="325" spans="15:54" ht="15.75" customHeight="1" x14ac:dyDescent="0.25"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</row>
    <row r="326" spans="15:54" ht="15.75" customHeight="1" x14ac:dyDescent="0.25"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</row>
    <row r="327" spans="15:54" ht="15.75" customHeight="1" x14ac:dyDescent="0.25"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</row>
    <row r="328" spans="15:54" ht="15.75" customHeight="1" x14ac:dyDescent="0.25"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</row>
    <row r="329" spans="15:54" ht="15.75" customHeight="1" x14ac:dyDescent="0.25"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</row>
    <row r="330" spans="15:54" ht="15.75" customHeight="1" x14ac:dyDescent="0.25"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</row>
    <row r="331" spans="15:54" ht="15.75" customHeight="1" x14ac:dyDescent="0.25"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</row>
    <row r="332" spans="15:54" ht="15.75" customHeight="1" x14ac:dyDescent="0.25"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</row>
    <row r="333" spans="15:54" ht="15.75" customHeight="1" x14ac:dyDescent="0.25"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</row>
    <row r="334" spans="15:54" ht="15.75" customHeight="1" x14ac:dyDescent="0.25"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</row>
    <row r="335" spans="15:54" ht="15.75" customHeight="1" x14ac:dyDescent="0.25"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</row>
    <row r="336" spans="15:54" ht="15.75" customHeight="1" x14ac:dyDescent="0.25"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</row>
    <row r="337" spans="15:54" ht="15.75" customHeight="1" x14ac:dyDescent="0.25"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</row>
    <row r="338" spans="15:54" ht="15.75" customHeight="1" x14ac:dyDescent="0.25"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</row>
    <row r="339" spans="15:54" ht="15.75" customHeight="1" x14ac:dyDescent="0.25"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</row>
    <row r="340" spans="15:54" ht="15.75" customHeight="1" x14ac:dyDescent="0.25"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</row>
    <row r="341" spans="15:54" ht="15.75" customHeight="1" x14ac:dyDescent="0.25"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</row>
    <row r="342" spans="15:54" ht="15.75" customHeight="1" x14ac:dyDescent="0.25"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</row>
    <row r="343" spans="15:54" ht="15.75" customHeight="1" x14ac:dyDescent="0.25"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</row>
    <row r="344" spans="15:54" ht="15.75" customHeight="1" x14ac:dyDescent="0.25"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</row>
    <row r="345" spans="15:54" ht="15.75" customHeight="1" x14ac:dyDescent="0.25"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</row>
    <row r="346" spans="15:54" ht="15.75" customHeight="1" x14ac:dyDescent="0.25"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</row>
    <row r="347" spans="15:54" ht="15.75" customHeight="1" x14ac:dyDescent="0.25"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</row>
    <row r="348" spans="15:54" ht="15.75" customHeight="1" x14ac:dyDescent="0.25"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</row>
    <row r="349" spans="15:54" ht="15.75" customHeight="1" x14ac:dyDescent="0.25"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</row>
    <row r="350" spans="15:54" ht="15.75" customHeight="1" x14ac:dyDescent="0.25"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</row>
    <row r="351" spans="15:54" ht="15.75" customHeight="1" x14ac:dyDescent="0.25"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</row>
    <row r="352" spans="15:54" ht="15.75" customHeight="1" x14ac:dyDescent="0.25"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</row>
    <row r="353" spans="15:54" ht="15.75" customHeight="1" x14ac:dyDescent="0.25"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</row>
    <row r="354" spans="15:54" ht="15.75" customHeight="1" x14ac:dyDescent="0.25"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</row>
    <row r="355" spans="15:54" ht="15.75" customHeight="1" x14ac:dyDescent="0.25"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</row>
    <row r="356" spans="15:54" ht="15.75" customHeight="1" x14ac:dyDescent="0.25"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</row>
    <row r="357" spans="15:54" ht="15.75" customHeight="1" x14ac:dyDescent="0.25"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</row>
    <row r="358" spans="15:54" ht="15.75" customHeight="1" x14ac:dyDescent="0.25"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</row>
    <row r="359" spans="15:54" ht="15.75" customHeight="1" x14ac:dyDescent="0.25"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</row>
    <row r="360" spans="15:54" ht="15.75" customHeight="1" x14ac:dyDescent="0.25"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</row>
    <row r="361" spans="15:54" ht="15.75" customHeight="1" x14ac:dyDescent="0.25"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</row>
    <row r="362" spans="15:54" ht="15.75" customHeight="1" x14ac:dyDescent="0.25"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</row>
    <row r="363" spans="15:54" ht="15.75" customHeight="1" x14ac:dyDescent="0.25"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</row>
    <row r="364" spans="15:54" ht="15.75" customHeight="1" x14ac:dyDescent="0.25"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</row>
    <row r="365" spans="15:54" ht="15.75" customHeight="1" x14ac:dyDescent="0.25"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</row>
    <row r="366" spans="15:54" ht="15.75" customHeight="1" x14ac:dyDescent="0.25"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</row>
    <row r="367" spans="15:54" ht="15.75" customHeight="1" x14ac:dyDescent="0.25"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</row>
    <row r="368" spans="15:54" ht="15.75" customHeight="1" x14ac:dyDescent="0.25"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</row>
    <row r="369" spans="15:54" ht="15.75" customHeight="1" x14ac:dyDescent="0.25"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</row>
    <row r="370" spans="15:54" ht="15.75" customHeight="1" x14ac:dyDescent="0.25"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</row>
    <row r="371" spans="15:54" ht="15.75" customHeight="1" x14ac:dyDescent="0.25"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</row>
    <row r="372" spans="15:54" ht="15.75" customHeight="1" x14ac:dyDescent="0.25"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</row>
    <row r="373" spans="15:54" ht="15.75" customHeight="1" x14ac:dyDescent="0.25"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</row>
    <row r="374" spans="15:54" ht="15.75" customHeight="1" x14ac:dyDescent="0.25"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</row>
    <row r="375" spans="15:54" ht="15.75" customHeight="1" x14ac:dyDescent="0.25"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</row>
    <row r="376" spans="15:54" ht="15.75" customHeight="1" x14ac:dyDescent="0.25"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</row>
    <row r="377" spans="15:54" ht="15.75" customHeight="1" x14ac:dyDescent="0.25"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</row>
    <row r="378" spans="15:54" ht="15.75" customHeight="1" x14ac:dyDescent="0.25"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</row>
    <row r="379" spans="15:54" ht="15.75" customHeight="1" x14ac:dyDescent="0.25"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</row>
    <row r="380" spans="15:54" ht="15.75" customHeight="1" x14ac:dyDescent="0.25"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</row>
    <row r="381" spans="15:54" ht="15.75" customHeight="1" x14ac:dyDescent="0.25"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</row>
    <row r="382" spans="15:54" ht="15.75" customHeight="1" x14ac:dyDescent="0.25"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</row>
    <row r="383" spans="15:54" ht="15.75" customHeight="1" x14ac:dyDescent="0.25"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</row>
    <row r="384" spans="15:54" ht="15.75" customHeight="1" x14ac:dyDescent="0.25"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</row>
    <row r="385" spans="15:54" ht="15.75" customHeight="1" x14ac:dyDescent="0.25"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</row>
    <row r="386" spans="15:54" ht="15.75" customHeight="1" x14ac:dyDescent="0.25"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</row>
    <row r="387" spans="15:54" ht="15.75" customHeight="1" x14ac:dyDescent="0.25"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</row>
    <row r="388" spans="15:54" ht="15.75" customHeight="1" x14ac:dyDescent="0.25"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</row>
    <row r="389" spans="15:54" ht="15.75" customHeight="1" x14ac:dyDescent="0.25"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</row>
    <row r="390" spans="15:54" ht="15.75" customHeight="1" x14ac:dyDescent="0.25"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</row>
    <row r="391" spans="15:54" ht="15.75" customHeight="1" x14ac:dyDescent="0.25"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</row>
    <row r="392" spans="15:54" ht="15.75" customHeight="1" x14ac:dyDescent="0.25"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</row>
    <row r="393" spans="15:54" ht="15.75" customHeight="1" x14ac:dyDescent="0.25"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</row>
    <row r="394" spans="15:54" ht="15.75" customHeight="1" x14ac:dyDescent="0.25"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</row>
    <row r="395" spans="15:54" ht="15.75" customHeight="1" x14ac:dyDescent="0.25"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</row>
    <row r="396" spans="15:54" ht="15.75" customHeight="1" x14ac:dyDescent="0.25"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</row>
    <row r="397" spans="15:54" ht="15.75" customHeight="1" x14ac:dyDescent="0.25"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</row>
    <row r="398" spans="15:54" ht="15.75" customHeight="1" x14ac:dyDescent="0.25"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</row>
    <row r="399" spans="15:54" ht="15.75" customHeight="1" x14ac:dyDescent="0.25"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</row>
    <row r="400" spans="15:54" ht="15.75" customHeight="1" x14ac:dyDescent="0.25"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</row>
    <row r="401" spans="15:54" ht="15.75" customHeight="1" x14ac:dyDescent="0.25"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</row>
    <row r="402" spans="15:54" ht="15.75" customHeight="1" x14ac:dyDescent="0.25"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</row>
    <row r="403" spans="15:54" ht="15.75" customHeight="1" x14ac:dyDescent="0.25"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</row>
    <row r="404" spans="15:54" ht="15.75" customHeight="1" x14ac:dyDescent="0.25"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</row>
    <row r="405" spans="15:54" ht="15.75" customHeight="1" x14ac:dyDescent="0.25"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</row>
    <row r="406" spans="15:54" ht="15.75" customHeight="1" x14ac:dyDescent="0.25"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</row>
    <row r="407" spans="15:54" ht="15.75" customHeight="1" x14ac:dyDescent="0.25"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</row>
    <row r="408" spans="15:54" ht="15.75" customHeight="1" x14ac:dyDescent="0.25"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</row>
    <row r="409" spans="15:54" ht="15.75" customHeight="1" x14ac:dyDescent="0.25"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</row>
    <row r="410" spans="15:54" ht="15.75" customHeight="1" x14ac:dyDescent="0.25"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</row>
    <row r="411" spans="15:54" ht="15.75" customHeight="1" x14ac:dyDescent="0.25"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</row>
    <row r="412" spans="15:54" ht="15.75" customHeight="1" x14ac:dyDescent="0.25"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</row>
    <row r="413" spans="15:54" ht="15.75" customHeight="1" x14ac:dyDescent="0.25"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</row>
    <row r="414" spans="15:54" ht="15.75" customHeight="1" x14ac:dyDescent="0.25"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</row>
    <row r="415" spans="15:54" ht="15.75" customHeight="1" x14ac:dyDescent="0.25"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</row>
    <row r="416" spans="15:54" ht="15.75" customHeight="1" x14ac:dyDescent="0.25"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</row>
    <row r="417" spans="15:54" ht="15.75" customHeight="1" x14ac:dyDescent="0.25"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</row>
    <row r="418" spans="15:54" ht="15.75" customHeight="1" x14ac:dyDescent="0.25"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</row>
    <row r="419" spans="15:54" ht="15.75" customHeight="1" x14ac:dyDescent="0.25"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</row>
    <row r="420" spans="15:54" ht="15.75" customHeight="1" x14ac:dyDescent="0.25"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</row>
    <row r="421" spans="15:54" ht="15.75" customHeight="1" x14ac:dyDescent="0.25"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</row>
    <row r="422" spans="15:54" ht="15.75" customHeight="1" x14ac:dyDescent="0.25"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</row>
    <row r="423" spans="15:54" ht="15.75" customHeight="1" x14ac:dyDescent="0.25"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</row>
    <row r="424" spans="15:54" ht="15.75" customHeight="1" x14ac:dyDescent="0.25"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</row>
    <row r="425" spans="15:54" ht="15.75" customHeight="1" x14ac:dyDescent="0.25"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</row>
    <row r="426" spans="15:54" ht="15.75" customHeight="1" x14ac:dyDescent="0.25"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</row>
    <row r="427" spans="15:54" ht="15.75" customHeight="1" x14ac:dyDescent="0.25"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</row>
    <row r="428" spans="15:54" ht="15.75" customHeight="1" x14ac:dyDescent="0.25"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</row>
    <row r="429" spans="15:54" ht="15.75" customHeight="1" x14ac:dyDescent="0.25"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</row>
    <row r="430" spans="15:54" ht="15.75" customHeight="1" x14ac:dyDescent="0.25"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</row>
    <row r="431" spans="15:54" ht="15.75" customHeight="1" x14ac:dyDescent="0.25"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</row>
    <row r="432" spans="15:54" ht="15.75" customHeight="1" x14ac:dyDescent="0.25"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</row>
    <row r="433" spans="15:54" ht="15.75" customHeight="1" x14ac:dyDescent="0.25"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</row>
    <row r="434" spans="15:54" ht="15.75" customHeight="1" x14ac:dyDescent="0.25"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</row>
    <row r="435" spans="15:54" ht="15.75" customHeight="1" x14ac:dyDescent="0.25"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</row>
    <row r="436" spans="15:54" ht="15.75" customHeight="1" x14ac:dyDescent="0.25"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</row>
    <row r="437" spans="15:54" ht="15.75" customHeight="1" x14ac:dyDescent="0.25"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</row>
    <row r="438" spans="15:54" ht="15.75" customHeight="1" x14ac:dyDescent="0.25"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</row>
    <row r="439" spans="15:54" ht="15.75" customHeight="1" x14ac:dyDescent="0.25"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</row>
    <row r="440" spans="15:54" ht="15.75" customHeight="1" x14ac:dyDescent="0.25"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</row>
    <row r="441" spans="15:54" ht="15.75" customHeight="1" x14ac:dyDescent="0.25"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</row>
    <row r="442" spans="15:54" ht="15.75" customHeight="1" x14ac:dyDescent="0.25"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</row>
    <row r="443" spans="15:54" ht="15.75" customHeight="1" x14ac:dyDescent="0.25"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</row>
    <row r="444" spans="15:54" ht="15.75" customHeight="1" x14ac:dyDescent="0.25"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</row>
    <row r="445" spans="15:54" ht="15.75" customHeight="1" x14ac:dyDescent="0.25"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</row>
    <row r="446" spans="15:54" ht="15.75" customHeight="1" x14ac:dyDescent="0.25"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</row>
    <row r="447" spans="15:54" ht="15.75" customHeight="1" x14ac:dyDescent="0.25"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</row>
    <row r="448" spans="15:54" ht="15.75" customHeight="1" x14ac:dyDescent="0.25"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</row>
    <row r="449" spans="15:54" ht="15.75" customHeight="1" x14ac:dyDescent="0.25"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</row>
    <row r="450" spans="15:54" ht="15.75" customHeight="1" x14ac:dyDescent="0.25"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</row>
    <row r="451" spans="15:54" ht="15.75" customHeight="1" x14ac:dyDescent="0.25"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</row>
    <row r="452" spans="15:54" ht="15.75" customHeight="1" x14ac:dyDescent="0.25"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</row>
    <row r="453" spans="15:54" ht="15.75" customHeight="1" x14ac:dyDescent="0.25"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</row>
    <row r="454" spans="15:54" ht="15.75" customHeight="1" x14ac:dyDescent="0.25"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</row>
    <row r="455" spans="15:54" ht="15.75" customHeight="1" x14ac:dyDescent="0.25"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</row>
    <row r="456" spans="15:54" ht="15.75" customHeight="1" x14ac:dyDescent="0.25"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</row>
    <row r="457" spans="15:54" ht="15.75" customHeight="1" x14ac:dyDescent="0.25"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</row>
    <row r="458" spans="15:54" ht="15.75" customHeight="1" x14ac:dyDescent="0.25"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</row>
    <row r="459" spans="15:54" ht="15.75" customHeight="1" x14ac:dyDescent="0.25"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</row>
    <row r="460" spans="15:54" ht="15.75" customHeight="1" x14ac:dyDescent="0.25"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</row>
    <row r="461" spans="15:54" ht="15.75" customHeight="1" x14ac:dyDescent="0.25"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</row>
    <row r="462" spans="15:54" ht="15.75" customHeight="1" x14ac:dyDescent="0.25"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</row>
    <row r="463" spans="15:54" ht="15.75" customHeight="1" x14ac:dyDescent="0.25"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</row>
    <row r="464" spans="15:54" ht="15.75" customHeight="1" x14ac:dyDescent="0.25"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</row>
    <row r="465" spans="15:54" ht="15.75" customHeight="1" x14ac:dyDescent="0.25"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</row>
    <row r="466" spans="15:54" ht="15.75" customHeight="1" x14ac:dyDescent="0.25"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</row>
    <row r="467" spans="15:54" ht="15.75" customHeight="1" x14ac:dyDescent="0.25"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</row>
    <row r="468" spans="15:54" ht="15.75" customHeight="1" x14ac:dyDescent="0.25"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</row>
    <row r="469" spans="15:54" ht="15.75" customHeight="1" x14ac:dyDescent="0.25"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</row>
    <row r="470" spans="15:54" ht="15.75" customHeight="1" x14ac:dyDescent="0.25"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</row>
    <row r="471" spans="15:54" ht="15.75" customHeight="1" x14ac:dyDescent="0.25"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</row>
    <row r="472" spans="15:54" ht="15.75" customHeight="1" x14ac:dyDescent="0.25"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</row>
    <row r="473" spans="15:54" ht="15.75" customHeight="1" x14ac:dyDescent="0.25"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</row>
    <row r="474" spans="15:54" ht="15.75" customHeight="1" x14ac:dyDescent="0.25"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</row>
    <row r="475" spans="15:54" ht="15.75" customHeight="1" x14ac:dyDescent="0.25"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</row>
    <row r="476" spans="15:54" ht="15.75" customHeight="1" x14ac:dyDescent="0.25"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</row>
    <row r="477" spans="15:54" ht="15.75" customHeight="1" x14ac:dyDescent="0.25"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</row>
    <row r="478" spans="15:54" ht="15.75" customHeight="1" x14ac:dyDescent="0.25"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</row>
    <row r="479" spans="15:54" ht="15.75" customHeight="1" x14ac:dyDescent="0.25"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</row>
    <row r="480" spans="15:54" ht="15.75" customHeight="1" x14ac:dyDescent="0.25"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</row>
    <row r="481" spans="15:54" ht="15.75" customHeight="1" x14ac:dyDescent="0.25"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</row>
    <row r="482" spans="15:54" ht="15.75" customHeight="1" x14ac:dyDescent="0.25"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</row>
    <row r="483" spans="15:54" ht="15.75" customHeight="1" x14ac:dyDescent="0.25"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</row>
    <row r="484" spans="15:54" ht="15.75" customHeight="1" x14ac:dyDescent="0.25"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</row>
    <row r="485" spans="15:54" ht="15.75" customHeight="1" x14ac:dyDescent="0.25"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</row>
    <row r="486" spans="15:54" ht="15.75" customHeight="1" x14ac:dyDescent="0.25"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</row>
    <row r="487" spans="15:54" ht="15.75" customHeight="1" x14ac:dyDescent="0.25"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</row>
    <row r="488" spans="15:54" ht="15.75" customHeight="1" x14ac:dyDescent="0.25"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</row>
    <row r="489" spans="15:54" ht="15.75" customHeight="1" x14ac:dyDescent="0.25"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</row>
    <row r="490" spans="15:54" ht="15.75" customHeight="1" x14ac:dyDescent="0.25"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</row>
    <row r="491" spans="15:54" ht="15.75" customHeight="1" x14ac:dyDescent="0.25"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</row>
    <row r="492" spans="15:54" ht="15.75" customHeight="1" x14ac:dyDescent="0.25"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</row>
    <row r="493" spans="15:54" ht="15.75" customHeight="1" x14ac:dyDescent="0.25"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</row>
    <row r="494" spans="15:54" ht="15.75" customHeight="1" x14ac:dyDescent="0.25"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</row>
    <row r="495" spans="15:54" ht="15.75" customHeight="1" x14ac:dyDescent="0.25"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</row>
    <row r="496" spans="15:54" ht="15.75" customHeight="1" x14ac:dyDescent="0.25"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</row>
    <row r="497" spans="15:54" ht="15.75" customHeight="1" x14ac:dyDescent="0.25"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</row>
    <row r="498" spans="15:54" ht="15.75" customHeight="1" x14ac:dyDescent="0.25"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</row>
    <row r="499" spans="15:54" ht="15.75" customHeight="1" x14ac:dyDescent="0.25"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</row>
    <row r="500" spans="15:54" ht="15.75" customHeight="1" x14ac:dyDescent="0.25"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</row>
    <row r="501" spans="15:54" ht="15.75" customHeight="1" x14ac:dyDescent="0.25"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</row>
    <row r="502" spans="15:54" ht="15.75" customHeight="1" x14ac:dyDescent="0.25"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</row>
    <row r="503" spans="15:54" ht="15.75" customHeight="1" x14ac:dyDescent="0.25"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</row>
    <row r="504" spans="15:54" ht="15.75" customHeight="1" x14ac:dyDescent="0.25"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</row>
    <row r="505" spans="15:54" ht="15.75" customHeight="1" x14ac:dyDescent="0.25"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</row>
    <row r="506" spans="15:54" ht="15.75" customHeight="1" x14ac:dyDescent="0.25"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</row>
    <row r="507" spans="15:54" ht="15.75" customHeight="1" x14ac:dyDescent="0.25"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</row>
    <row r="508" spans="15:54" ht="15.75" customHeight="1" x14ac:dyDescent="0.25"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</row>
    <row r="509" spans="15:54" ht="15.75" customHeight="1" x14ac:dyDescent="0.25"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</row>
    <row r="510" spans="15:54" ht="15.75" customHeight="1" x14ac:dyDescent="0.25"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</row>
    <row r="511" spans="15:54" ht="15.75" customHeight="1" x14ac:dyDescent="0.25"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</row>
    <row r="512" spans="15:54" ht="15.75" customHeight="1" x14ac:dyDescent="0.25"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</row>
    <row r="513" spans="15:54" ht="15.75" customHeight="1" x14ac:dyDescent="0.25"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</row>
    <row r="514" spans="15:54" ht="15.75" customHeight="1" x14ac:dyDescent="0.25"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</row>
    <row r="515" spans="15:54" ht="15.75" customHeight="1" x14ac:dyDescent="0.25"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</row>
    <row r="516" spans="15:54" ht="15.75" customHeight="1" x14ac:dyDescent="0.25"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</row>
    <row r="517" spans="15:54" ht="15.75" customHeight="1" x14ac:dyDescent="0.25"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</row>
    <row r="518" spans="15:54" ht="15.75" customHeight="1" x14ac:dyDescent="0.25"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</row>
    <row r="519" spans="15:54" ht="15.75" customHeight="1" x14ac:dyDescent="0.25"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</row>
    <row r="520" spans="15:54" ht="15.75" customHeight="1" x14ac:dyDescent="0.25"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</row>
    <row r="521" spans="15:54" ht="15.75" customHeight="1" x14ac:dyDescent="0.25"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</row>
    <row r="522" spans="15:54" ht="15.75" customHeight="1" x14ac:dyDescent="0.25"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</row>
    <row r="523" spans="15:54" ht="15.75" customHeight="1" x14ac:dyDescent="0.25"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</row>
    <row r="524" spans="15:54" ht="15.75" customHeight="1" x14ac:dyDescent="0.25"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</row>
    <row r="525" spans="15:54" ht="15.75" customHeight="1" x14ac:dyDescent="0.25"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</row>
    <row r="526" spans="15:54" ht="15.75" customHeight="1" x14ac:dyDescent="0.25"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</row>
    <row r="527" spans="15:54" ht="15.75" customHeight="1" x14ac:dyDescent="0.25"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</row>
    <row r="528" spans="15:54" ht="15.75" customHeight="1" x14ac:dyDescent="0.25"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</row>
    <row r="529" spans="15:54" ht="15.75" customHeight="1" x14ac:dyDescent="0.25"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</row>
    <row r="530" spans="15:54" ht="15.75" customHeight="1" x14ac:dyDescent="0.25"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</row>
    <row r="531" spans="15:54" ht="15.75" customHeight="1" x14ac:dyDescent="0.25"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</row>
    <row r="532" spans="15:54" ht="15.75" customHeight="1" x14ac:dyDescent="0.25"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</row>
    <row r="533" spans="15:54" ht="15.75" customHeight="1" x14ac:dyDescent="0.25"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</row>
    <row r="534" spans="15:54" ht="15.75" customHeight="1" x14ac:dyDescent="0.25"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</row>
    <row r="535" spans="15:54" ht="15.75" customHeight="1" x14ac:dyDescent="0.25"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</row>
    <row r="536" spans="15:54" ht="15.75" customHeight="1" x14ac:dyDescent="0.25"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</row>
    <row r="537" spans="15:54" ht="15.75" customHeight="1" x14ac:dyDescent="0.25"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</row>
    <row r="538" spans="15:54" ht="15.75" customHeight="1" x14ac:dyDescent="0.25"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</row>
    <row r="539" spans="15:54" ht="15.75" customHeight="1" x14ac:dyDescent="0.25"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</row>
    <row r="540" spans="15:54" ht="15.75" customHeight="1" x14ac:dyDescent="0.25"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</row>
    <row r="541" spans="15:54" ht="15.75" customHeight="1" x14ac:dyDescent="0.25"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</row>
    <row r="542" spans="15:54" ht="15.75" customHeight="1" x14ac:dyDescent="0.25"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</row>
    <row r="543" spans="15:54" ht="15.75" customHeight="1" x14ac:dyDescent="0.25"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</row>
    <row r="544" spans="15:54" ht="15.75" customHeight="1" x14ac:dyDescent="0.25"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</row>
    <row r="545" spans="15:54" ht="15.75" customHeight="1" x14ac:dyDescent="0.25"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</row>
    <row r="546" spans="15:54" ht="15.75" customHeight="1" x14ac:dyDescent="0.25"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</row>
    <row r="547" spans="15:54" ht="15.75" customHeight="1" x14ac:dyDescent="0.25"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</row>
    <row r="548" spans="15:54" ht="15.75" customHeight="1" x14ac:dyDescent="0.25"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</row>
    <row r="549" spans="15:54" ht="15.75" customHeight="1" x14ac:dyDescent="0.25"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</row>
    <row r="550" spans="15:54" ht="15.75" customHeight="1" x14ac:dyDescent="0.25"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</row>
    <row r="551" spans="15:54" ht="15.75" customHeight="1" x14ac:dyDescent="0.25"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</row>
    <row r="552" spans="15:54" ht="15.75" customHeight="1" x14ac:dyDescent="0.25"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</row>
    <row r="553" spans="15:54" ht="15.75" customHeight="1" x14ac:dyDescent="0.25"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</row>
    <row r="554" spans="15:54" ht="15.75" customHeight="1" x14ac:dyDescent="0.25"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</row>
    <row r="555" spans="15:54" ht="15.75" customHeight="1" x14ac:dyDescent="0.25"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</row>
    <row r="556" spans="15:54" ht="15.75" customHeight="1" x14ac:dyDescent="0.25"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</row>
    <row r="557" spans="15:54" ht="15.75" customHeight="1" x14ac:dyDescent="0.25"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</row>
    <row r="558" spans="15:54" ht="15.75" customHeight="1" x14ac:dyDescent="0.25"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</row>
    <row r="559" spans="15:54" ht="15.75" customHeight="1" x14ac:dyDescent="0.25"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</row>
    <row r="560" spans="15:54" ht="15.75" customHeight="1" x14ac:dyDescent="0.25"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</row>
    <row r="561" spans="15:54" ht="15.75" customHeight="1" x14ac:dyDescent="0.25"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</row>
    <row r="562" spans="15:54" ht="15.75" customHeight="1" x14ac:dyDescent="0.25"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</row>
    <row r="563" spans="15:54" ht="15.75" customHeight="1" x14ac:dyDescent="0.25"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</row>
    <row r="564" spans="15:54" ht="15.75" customHeight="1" x14ac:dyDescent="0.25"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</row>
    <row r="565" spans="15:54" ht="15.75" customHeight="1" x14ac:dyDescent="0.25"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</row>
    <row r="566" spans="15:54" ht="15.75" customHeight="1" x14ac:dyDescent="0.25"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</row>
    <row r="567" spans="15:54" ht="15.75" customHeight="1" x14ac:dyDescent="0.25"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</row>
    <row r="568" spans="15:54" ht="15.75" customHeight="1" x14ac:dyDescent="0.25"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</row>
    <row r="569" spans="15:54" ht="15.75" customHeight="1" x14ac:dyDescent="0.25"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</row>
    <row r="570" spans="15:54" ht="15.75" customHeight="1" x14ac:dyDescent="0.25"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</row>
    <row r="571" spans="15:54" ht="15.75" customHeight="1" x14ac:dyDescent="0.25"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</row>
    <row r="572" spans="15:54" ht="15.75" customHeight="1" x14ac:dyDescent="0.25"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</row>
    <row r="573" spans="15:54" ht="15.75" customHeight="1" x14ac:dyDescent="0.25"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</row>
    <row r="574" spans="15:54" ht="15.75" customHeight="1" x14ac:dyDescent="0.25"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</row>
    <row r="575" spans="15:54" ht="15.75" customHeight="1" x14ac:dyDescent="0.25"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</row>
    <row r="576" spans="15:54" ht="15.75" customHeight="1" x14ac:dyDescent="0.25"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</row>
    <row r="577" spans="15:54" ht="15.75" customHeight="1" x14ac:dyDescent="0.25"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</row>
    <row r="578" spans="15:54" ht="15.75" customHeight="1" x14ac:dyDescent="0.25"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</row>
    <row r="579" spans="15:54" ht="15.75" customHeight="1" x14ac:dyDescent="0.25"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</row>
    <row r="580" spans="15:54" ht="15.75" customHeight="1" x14ac:dyDescent="0.25"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</row>
    <row r="581" spans="15:54" ht="15.75" customHeight="1" x14ac:dyDescent="0.25"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</row>
    <row r="582" spans="15:54" ht="15.75" customHeight="1" x14ac:dyDescent="0.25"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</row>
    <row r="583" spans="15:54" ht="15.75" customHeight="1" x14ac:dyDescent="0.25"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</row>
    <row r="584" spans="15:54" ht="15.75" customHeight="1" x14ac:dyDescent="0.25"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</row>
    <row r="585" spans="15:54" ht="15.75" customHeight="1" x14ac:dyDescent="0.25"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</row>
    <row r="586" spans="15:54" ht="15.75" customHeight="1" x14ac:dyDescent="0.25"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</row>
    <row r="587" spans="15:54" ht="15.75" customHeight="1" x14ac:dyDescent="0.25"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</row>
    <row r="588" spans="15:54" ht="15.75" customHeight="1" x14ac:dyDescent="0.25"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</row>
    <row r="589" spans="15:54" ht="15.75" customHeight="1" x14ac:dyDescent="0.25"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</row>
    <row r="590" spans="15:54" ht="15.75" customHeight="1" x14ac:dyDescent="0.25"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</row>
    <row r="591" spans="15:54" ht="15.75" customHeight="1" x14ac:dyDescent="0.25"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</row>
    <row r="592" spans="15:54" ht="15.75" customHeight="1" x14ac:dyDescent="0.25"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</row>
    <row r="593" spans="15:54" ht="15.75" customHeight="1" x14ac:dyDescent="0.25"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</row>
    <row r="594" spans="15:54" ht="15.75" customHeight="1" x14ac:dyDescent="0.25"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</row>
    <row r="595" spans="15:54" ht="15.75" customHeight="1" x14ac:dyDescent="0.25"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</row>
    <row r="596" spans="15:54" ht="15.75" customHeight="1" x14ac:dyDescent="0.25"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</row>
    <row r="597" spans="15:54" ht="15.75" customHeight="1" x14ac:dyDescent="0.25"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</row>
    <row r="598" spans="15:54" ht="15.75" customHeight="1" x14ac:dyDescent="0.25"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</row>
    <row r="599" spans="15:54" ht="15.75" customHeight="1" x14ac:dyDescent="0.25"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</row>
    <row r="600" spans="15:54" ht="15.75" customHeight="1" x14ac:dyDescent="0.25"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</row>
    <row r="601" spans="15:54" ht="15.75" customHeight="1" x14ac:dyDescent="0.25"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</row>
    <row r="602" spans="15:54" ht="15.75" customHeight="1" x14ac:dyDescent="0.25"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</row>
    <row r="603" spans="15:54" ht="15.75" customHeight="1" x14ac:dyDescent="0.25"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</row>
    <row r="604" spans="15:54" ht="15.75" customHeight="1" x14ac:dyDescent="0.25"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</row>
    <row r="605" spans="15:54" ht="15.75" customHeight="1" x14ac:dyDescent="0.25"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</row>
    <row r="606" spans="15:54" ht="15.75" customHeight="1" x14ac:dyDescent="0.25"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</row>
    <row r="607" spans="15:54" ht="15.75" customHeight="1" x14ac:dyDescent="0.25"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</row>
    <row r="608" spans="15:54" ht="15.75" customHeight="1" x14ac:dyDescent="0.25"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</row>
    <row r="609" spans="15:54" ht="15.75" customHeight="1" x14ac:dyDescent="0.25"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</row>
    <row r="610" spans="15:54" ht="15.75" customHeight="1" x14ac:dyDescent="0.25"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</row>
    <row r="611" spans="15:54" ht="15.75" customHeight="1" x14ac:dyDescent="0.25"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</row>
    <row r="612" spans="15:54" ht="15.75" customHeight="1" x14ac:dyDescent="0.25"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</row>
    <row r="613" spans="15:54" ht="15.75" customHeight="1" x14ac:dyDescent="0.25"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</row>
    <row r="614" spans="15:54" ht="15.75" customHeight="1" x14ac:dyDescent="0.25"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</row>
    <row r="615" spans="15:54" ht="15.75" customHeight="1" x14ac:dyDescent="0.25"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</row>
    <row r="616" spans="15:54" ht="15.75" customHeight="1" x14ac:dyDescent="0.25"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</row>
    <row r="617" spans="15:54" ht="15.75" customHeight="1" x14ac:dyDescent="0.25"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</row>
    <row r="618" spans="15:54" ht="15.75" customHeight="1" x14ac:dyDescent="0.25"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</row>
    <row r="619" spans="15:54" ht="15.75" customHeight="1" x14ac:dyDescent="0.25"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</row>
    <row r="620" spans="15:54" ht="15.75" customHeight="1" x14ac:dyDescent="0.25"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</row>
    <row r="621" spans="15:54" ht="15.75" customHeight="1" x14ac:dyDescent="0.25"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</row>
    <row r="622" spans="15:54" ht="15.75" customHeight="1" x14ac:dyDescent="0.25"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</row>
    <row r="623" spans="15:54" ht="15.75" customHeight="1" x14ac:dyDescent="0.25"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</row>
    <row r="624" spans="15:54" ht="15.75" customHeight="1" x14ac:dyDescent="0.25"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</row>
    <row r="625" spans="15:54" ht="15.75" customHeight="1" x14ac:dyDescent="0.25"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</row>
    <row r="626" spans="15:54" ht="15.75" customHeight="1" x14ac:dyDescent="0.25"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</row>
    <row r="627" spans="15:54" ht="15.75" customHeight="1" x14ac:dyDescent="0.25"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</row>
    <row r="628" spans="15:54" ht="15.75" customHeight="1" x14ac:dyDescent="0.25"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</row>
    <row r="629" spans="15:54" ht="15.75" customHeight="1" x14ac:dyDescent="0.25"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</row>
    <row r="630" spans="15:54" ht="15.75" customHeight="1" x14ac:dyDescent="0.25"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</row>
    <row r="631" spans="15:54" ht="15.75" customHeight="1" x14ac:dyDescent="0.25"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</row>
    <row r="632" spans="15:54" ht="15.75" customHeight="1" x14ac:dyDescent="0.25"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</row>
    <row r="633" spans="15:54" ht="15.75" customHeight="1" x14ac:dyDescent="0.25"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</row>
    <row r="634" spans="15:54" ht="15.75" customHeight="1" x14ac:dyDescent="0.25"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</row>
    <row r="635" spans="15:54" ht="15.75" customHeight="1" x14ac:dyDescent="0.25"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</row>
    <row r="636" spans="15:54" ht="15.75" customHeight="1" x14ac:dyDescent="0.25"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</row>
    <row r="637" spans="15:54" ht="15.75" customHeight="1" x14ac:dyDescent="0.25"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</row>
    <row r="638" spans="15:54" ht="15.75" customHeight="1" x14ac:dyDescent="0.25"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</row>
    <row r="639" spans="15:54" ht="15.75" customHeight="1" x14ac:dyDescent="0.25"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</row>
    <row r="640" spans="15:54" ht="15.75" customHeight="1" x14ac:dyDescent="0.25"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</row>
    <row r="641" spans="15:54" ht="15.75" customHeight="1" x14ac:dyDescent="0.25"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</row>
    <row r="642" spans="15:54" ht="15.75" customHeight="1" x14ac:dyDescent="0.25"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</row>
    <row r="643" spans="15:54" ht="15.75" customHeight="1" x14ac:dyDescent="0.25"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</row>
    <row r="644" spans="15:54" ht="15.75" customHeight="1" x14ac:dyDescent="0.25"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</row>
    <row r="645" spans="15:54" ht="15.75" customHeight="1" x14ac:dyDescent="0.25"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</row>
    <row r="646" spans="15:54" ht="15.75" customHeight="1" x14ac:dyDescent="0.25"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</row>
    <row r="647" spans="15:54" ht="15.75" customHeight="1" x14ac:dyDescent="0.25"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</row>
    <row r="648" spans="15:54" ht="15.75" customHeight="1" x14ac:dyDescent="0.25"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</row>
    <row r="649" spans="15:54" ht="15.75" customHeight="1" x14ac:dyDescent="0.25"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</row>
    <row r="650" spans="15:54" ht="15.75" customHeight="1" x14ac:dyDescent="0.25"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</row>
    <row r="651" spans="15:54" ht="15.75" customHeight="1" x14ac:dyDescent="0.25"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</row>
    <row r="652" spans="15:54" ht="15.75" customHeight="1" x14ac:dyDescent="0.25"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</row>
    <row r="653" spans="15:54" ht="15.75" customHeight="1" x14ac:dyDescent="0.25"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</row>
    <row r="654" spans="15:54" ht="15.75" customHeight="1" x14ac:dyDescent="0.25"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</row>
    <row r="655" spans="15:54" ht="15.75" customHeight="1" x14ac:dyDescent="0.25"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</row>
    <row r="656" spans="15:54" ht="15.75" customHeight="1" x14ac:dyDescent="0.25"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</row>
    <row r="657" spans="15:54" ht="15.75" customHeight="1" x14ac:dyDescent="0.25"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</row>
    <row r="658" spans="15:54" ht="15.75" customHeight="1" x14ac:dyDescent="0.25"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</row>
    <row r="659" spans="15:54" ht="15.75" customHeight="1" x14ac:dyDescent="0.25"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</row>
    <row r="660" spans="15:54" ht="15.75" customHeight="1" x14ac:dyDescent="0.25"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</row>
    <row r="661" spans="15:54" ht="15.75" customHeight="1" x14ac:dyDescent="0.25"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</row>
    <row r="662" spans="15:54" ht="15.75" customHeight="1" x14ac:dyDescent="0.25"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</row>
    <row r="663" spans="15:54" ht="15.75" customHeight="1" x14ac:dyDescent="0.25"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</row>
    <row r="664" spans="15:54" ht="15.75" customHeight="1" x14ac:dyDescent="0.25"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</row>
    <row r="665" spans="15:54" ht="15.75" customHeight="1" x14ac:dyDescent="0.25"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</row>
    <row r="666" spans="15:54" ht="15.75" customHeight="1" x14ac:dyDescent="0.25"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</row>
    <row r="667" spans="15:54" ht="15.75" customHeight="1" x14ac:dyDescent="0.25"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</row>
    <row r="668" spans="15:54" ht="15.75" customHeight="1" x14ac:dyDescent="0.25"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</row>
    <row r="669" spans="15:54" ht="15.75" customHeight="1" x14ac:dyDescent="0.25"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</row>
    <row r="670" spans="15:54" ht="15.75" customHeight="1" x14ac:dyDescent="0.25"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</row>
    <row r="671" spans="15:54" ht="15.75" customHeight="1" x14ac:dyDescent="0.25"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</row>
    <row r="672" spans="15:54" ht="15.75" customHeight="1" x14ac:dyDescent="0.25"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</row>
    <row r="673" spans="15:54" ht="15.75" customHeight="1" x14ac:dyDescent="0.25"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</row>
    <row r="674" spans="15:54" ht="15.75" customHeight="1" x14ac:dyDescent="0.25"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</row>
    <row r="675" spans="15:54" ht="15.75" customHeight="1" x14ac:dyDescent="0.25"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</row>
    <row r="676" spans="15:54" ht="15.75" customHeight="1" x14ac:dyDescent="0.25"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</row>
    <row r="677" spans="15:54" ht="15.75" customHeight="1" x14ac:dyDescent="0.25"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</row>
    <row r="678" spans="15:54" ht="15.75" customHeight="1" x14ac:dyDescent="0.25"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</row>
    <row r="679" spans="15:54" ht="15.75" customHeight="1" x14ac:dyDescent="0.25"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</row>
    <row r="680" spans="15:54" ht="15.75" customHeight="1" x14ac:dyDescent="0.25"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</row>
    <row r="681" spans="15:54" ht="15.75" customHeight="1" x14ac:dyDescent="0.25"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</row>
    <row r="682" spans="15:54" ht="15.75" customHeight="1" x14ac:dyDescent="0.25"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</row>
    <row r="683" spans="15:54" ht="15.75" customHeight="1" x14ac:dyDescent="0.25"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</row>
    <row r="684" spans="15:54" ht="15.75" customHeight="1" x14ac:dyDescent="0.25"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</row>
    <row r="685" spans="15:54" ht="15.75" customHeight="1" x14ac:dyDescent="0.25"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</row>
    <row r="686" spans="15:54" ht="15.75" customHeight="1" x14ac:dyDescent="0.25"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</row>
    <row r="687" spans="15:54" ht="15.75" customHeight="1" x14ac:dyDescent="0.25"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</row>
    <row r="688" spans="15:54" ht="15.75" customHeight="1" x14ac:dyDescent="0.25"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</row>
    <row r="689" spans="15:54" ht="15.75" customHeight="1" x14ac:dyDescent="0.25"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</row>
    <row r="690" spans="15:54" ht="15.75" customHeight="1" x14ac:dyDescent="0.25"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</row>
    <row r="691" spans="15:54" ht="15.75" customHeight="1" x14ac:dyDescent="0.25"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</row>
    <row r="692" spans="15:54" ht="15.75" customHeight="1" x14ac:dyDescent="0.25"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</row>
    <row r="693" spans="15:54" ht="15.75" customHeight="1" x14ac:dyDescent="0.25"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</row>
    <row r="694" spans="15:54" ht="15.75" customHeight="1" x14ac:dyDescent="0.25"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</row>
    <row r="695" spans="15:54" ht="15.75" customHeight="1" x14ac:dyDescent="0.25"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</row>
    <row r="696" spans="15:54" ht="15.75" customHeight="1" x14ac:dyDescent="0.25"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</row>
    <row r="697" spans="15:54" ht="15.75" customHeight="1" x14ac:dyDescent="0.25"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</row>
    <row r="698" spans="15:54" ht="15.75" customHeight="1" x14ac:dyDescent="0.25"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</row>
    <row r="699" spans="15:54" ht="15.75" customHeight="1" x14ac:dyDescent="0.25"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</row>
    <row r="700" spans="15:54" ht="15.75" customHeight="1" x14ac:dyDescent="0.25"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</row>
    <row r="701" spans="15:54" ht="15.75" customHeight="1" x14ac:dyDescent="0.25"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</row>
    <row r="702" spans="15:54" ht="15.75" customHeight="1" x14ac:dyDescent="0.25"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</row>
    <row r="703" spans="15:54" ht="15.75" customHeight="1" x14ac:dyDescent="0.25"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</row>
    <row r="704" spans="15:54" ht="15.75" customHeight="1" x14ac:dyDescent="0.25"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</row>
    <row r="705" spans="15:54" ht="15.75" customHeight="1" x14ac:dyDescent="0.25"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</row>
    <row r="706" spans="15:54" ht="15.75" customHeight="1" x14ac:dyDescent="0.25"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</row>
    <row r="707" spans="15:54" ht="15.75" customHeight="1" x14ac:dyDescent="0.25"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</row>
    <row r="708" spans="15:54" ht="15.75" customHeight="1" x14ac:dyDescent="0.25"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</row>
    <row r="709" spans="15:54" ht="15.75" customHeight="1" x14ac:dyDescent="0.25"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</row>
    <row r="710" spans="15:54" ht="15.75" customHeight="1" x14ac:dyDescent="0.25"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</row>
    <row r="711" spans="15:54" ht="15.75" customHeight="1" x14ac:dyDescent="0.25"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</row>
    <row r="712" spans="15:54" ht="15.75" customHeight="1" x14ac:dyDescent="0.25"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</row>
    <row r="713" spans="15:54" ht="15.75" customHeight="1" x14ac:dyDescent="0.25"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</row>
    <row r="714" spans="15:54" ht="15.75" customHeight="1" x14ac:dyDescent="0.25"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</row>
    <row r="715" spans="15:54" ht="15.75" customHeight="1" x14ac:dyDescent="0.25"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</row>
    <row r="716" spans="15:54" ht="15.75" customHeight="1" x14ac:dyDescent="0.25"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</row>
    <row r="717" spans="15:54" ht="15.75" customHeight="1" x14ac:dyDescent="0.25"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</row>
    <row r="718" spans="15:54" ht="15.75" customHeight="1" x14ac:dyDescent="0.25"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</row>
    <row r="719" spans="15:54" ht="15.75" customHeight="1" x14ac:dyDescent="0.25"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</row>
    <row r="720" spans="15:54" ht="15.75" customHeight="1" x14ac:dyDescent="0.25"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</row>
    <row r="721" spans="15:54" ht="15.75" customHeight="1" x14ac:dyDescent="0.25"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</row>
    <row r="722" spans="15:54" ht="15.75" customHeight="1" x14ac:dyDescent="0.25"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</row>
    <row r="723" spans="15:54" ht="15.75" customHeight="1" x14ac:dyDescent="0.25"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</row>
    <row r="724" spans="15:54" ht="15.75" customHeight="1" x14ac:dyDescent="0.25"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</row>
    <row r="725" spans="15:54" ht="15.75" customHeight="1" x14ac:dyDescent="0.25"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</row>
    <row r="726" spans="15:54" ht="15.75" customHeight="1" x14ac:dyDescent="0.25"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</row>
    <row r="727" spans="15:54" ht="15.75" customHeight="1" x14ac:dyDescent="0.25"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</row>
    <row r="728" spans="15:54" ht="15.75" customHeight="1" x14ac:dyDescent="0.25"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</row>
    <row r="729" spans="15:54" ht="15.75" customHeight="1" x14ac:dyDescent="0.25"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</row>
    <row r="730" spans="15:54" ht="15.75" customHeight="1" x14ac:dyDescent="0.25"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</row>
    <row r="731" spans="15:54" ht="15.75" customHeight="1" x14ac:dyDescent="0.25"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</row>
    <row r="732" spans="15:54" ht="15.75" customHeight="1" x14ac:dyDescent="0.25"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</row>
    <row r="733" spans="15:54" ht="15.75" customHeight="1" x14ac:dyDescent="0.25"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</row>
    <row r="734" spans="15:54" ht="15.75" customHeight="1" x14ac:dyDescent="0.25"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</row>
    <row r="735" spans="15:54" ht="15.75" customHeight="1" x14ac:dyDescent="0.25"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</row>
    <row r="736" spans="15:54" ht="15.75" customHeight="1" x14ac:dyDescent="0.25"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</row>
    <row r="737" spans="15:54" ht="15.75" customHeight="1" x14ac:dyDescent="0.25"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</row>
    <row r="738" spans="15:54" ht="15.75" customHeight="1" x14ac:dyDescent="0.25"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</row>
    <row r="739" spans="15:54" ht="15.75" customHeight="1" x14ac:dyDescent="0.25"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</row>
    <row r="740" spans="15:54" ht="15.75" customHeight="1" x14ac:dyDescent="0.25"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</row>
    <row r="741" spans="15:54" ht="15.75" customHeight="1" x14ac:dyDescent="0.25"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</row>
    <row r="742" spans="15:54" ht="15.75" customHeight="1" x14ac:dyDescent="0.25"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</row>
    <row r="743" spans="15:54" ht="15.75" customHeight="1" x14ac:dyDescent="0.25"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</row>
    <row r="744" spans="15:54" ht="15.75" customHeight="1" x14ac:dyDescent="0.25"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</row>
    <row r="745" spans="15:54" ht="15.75" customHeight="1" x14ac:dyDescent="0.25"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</row>
    <row r="746" spans="15:54" ht="15.75" customHeight="1" x14ac:dyDescent="0.25"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</row>
    <row r="747" spans="15:54" ht="15.75" customHeight="1" x14ac:dyDescent="0.25"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</row>
    <row r="748" spans="15:54" ht="15.75" customHeight="1" x14ac:dyDescent="0.25"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</row>
    <row r="749" spans="15:54" ht="15.75" customHeight="1" x14ac:dyDescent="0.25"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</row>
    <row r="750" spans="15:54" ht="15.75" customHeight="1" x14ac:dyDescent="0.25"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</row>
    <row r="751" spans="15:54" ht="15.75" customHeight="1" x14ac:dyDescent="0.25"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</row>
    <row r="752" spans="15:54" ht="15.75" customHeight="1" x14ac:dyDescent="0.25"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</row>
    <row r="753" spans="15:54" ht="15.75" customHeight="1" x14ac:dyDescent="0.25"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</row>
    <row r="754" spans="15:54" ht="15.75" customHeight="1" x14ac:dyDescent="0.25"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</row>
    <row r="755" spans="15:54" ht="15.75" customHeight="1" x14ac:dyDescent="0.25"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</row>
    <row r="756" spans="15:54" ht="15.75" customHeight="1" x14ac:dyDescent="0.25"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</row>
    <row r="757" spans="15:54" ht="15.75" customHeight="1" x14ac:dyDescent="0.25"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</row>
    <row r="758" spans="15:54" ht="15.75" customHeight="1" x14ac:dyDescent="0.25"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</row>
    <row r="759" spans="15:54" ht="15.75" customHeight="1" x14ac:dyDescent="0.25"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</row>
    <row r="760" spans="15:54" ht="15.75" customHeight="1" x14ac:dyDescent="0.25"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</row>
    <row r="761" spans="15:54" ht="15.75" customHeight="1" x14ac:dyDescent="0.25"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</row>
    <row r="762" spans="15:54" ht="15.75" customHeight="1" x14ac:dyDescent="0.25"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</row>
    <row r="763" spans="15:54" ht="15.75" customHeight="1" x14ac:dyDescent="0.25"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</row>
    <row r="764" spans="15:54" ht="15.75" customHeight="1" x14ac:dyDescent="0.25"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</row>
    <row r="765" spans="15:54" ht="15.75" customHeight="1" x14ac:dyDescent="0.25"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</row>
    <row r="766" spans="15:54" ht="15.75" customHeight="1" x14ac:dyDescent="0.25"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</row>
    <row r="767" spans="15:54" ht="15.75" customHeight="1" x14ac:dyDescent="0.25"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</row>
    <row r="768" spans="15:54" ht="15.75" customHeight="1" x14ac:dyDescent="0.25"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</row>
    <row r="769" spans="15:54" ht="15.75" customHeight="1" x14ac:dyDescent="0.25"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</row>
    <row r="770" spans="15:54" ht="15.75" customHeight="1" x14ac:dyDescent="0.25"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</row>
    <row r="771" spans="15:54" ht="15.75" customHeight="1" x14ac:dyDescent="0.25"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</row>
    <row r="772" spans="15:54" ht="15.75" customHeight="1" x14ac:dyDescent="0.25"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</row>
    <row r="773" spans="15:54" ht="15.75" customHeight="1" x14ac:dyDescent="0.25"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</row>
    <row r="774" spans="15:54" ht="15.75" customHeight="1" x14ac:dyDescent="0.25"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</row>
    <row r="775" spans="15:54" ht="15.75" customHeight="1" x14ac:dyDescent="0.25"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</row>
    <row r="776" spans="15:54" ht="15.75" customHeight="1" x14ac:dyDescent="0.25"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</row>
    <row r="777" spans="15:54" ht="15.75" customHeight="1" x14ac:dyDescent="0.25"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</row>
    <row r="778" spans="15:54" ht="15.75" customHeight="1" x14ac:dyDescent="0.25"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</row>
    <row r="779" spans="15:54" ht="15.75" customHeight="1" x14ac:dyDescent="0.25"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</row>
    <row r="780" spans="15:54" ht="15.75" customHeight="1" x14ac:dyDescent="0.25"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</row>
    <row r="781" spans="15:54" ht="15.75" customHeight="1" x14ac:dyDescent="0.25"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</row>
    <row r="782" spans="15:54" ht="15.75" customHeight="1" x14ac:dyDescent="0.25"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</row>
    <row r="783" spans="15:54" ht="15.75" customHeight="1" x14ac:dyDescent="0.25"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</row>
    <row r="784" spans="15:54" ht="15.75" customHeight="1" x14ac:dyDescent="0.25"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</row>
    <row r="785" spans="15:54" ht="15.75" customHeight="1" x14ac:dyDescent="0.25"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</row>
    <row r="786" spans="15:54" ht="15.75" customHeight="1" x14ac:dyDescent="0.25"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</row>
    <row r="787" spans="15:54" ht="15.75" customHeight="1" x14ac:dyDescent="0.25"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</row>
    <row r="788" spans="15:54" ht="15.75" customHeight="1" x14ac:dyDescent="0.25"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</row>
    <row r="789" spans="15:54" ht="15.75" customHeight="1" x14ac:dyDescent="0.25"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</row>
    <row r="790" spans="15:54" ht="15.75" customHeight="1" x14ac:dyDescent="0.25"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</row>
    <row r="791" spans="15:54" ht="15.75" customHeight="1" x14ac:dyDescent="0.25"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</row>
    <row r="792" spans="15:54" ht="15.75" customHeight="1" x14ac:dyDescent="0.25"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</row>
    <row r="793" spans="15:54" ht="15.75" customHeight="1" x14ac:dyDescent="0.25"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</row>
    <row r="794" spans="15:54" ht="15.75" customHeight="1" x14ac:dyDescent="0.25"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</row>
    <row r="795" spans="15:54" ht="15.75" customHeight="1" x14ac:dyDescent="0.25"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</row>
    <row r="796" spans="15:54" ht="15.75" customHeight="1" x14ac:dyDescent="0.25"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</row>
    <row r="797" spans="15:54" ht="15.75" customHeight="1" x14ac:dyDescent="0.25"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</row>
    <row r="798" spans="15:54" ht="15.75" customHeight="1" x14ac:dyDescent="0.25"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</row>
    <row r="799" spans="15:54" ht="15.75" customHeight="1" x14ac:dyDescent="0.25"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</row>
    <row r="800" spans="15:54" ht="15.75" customHeight="1" x14ac:dyDescent="0.25"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</row>
    <row r="801" spans="15:54" ht="15.75" customHeight="1" x14ac:dyDescent="0.25"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</row>
    <row r="802" spans="15:54" ht="15.75" customHeight="1" x14ac:dyDescent="0.25"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</row>
    <row r="803" spans="15:54" ht="15.75" customHeight="1" x14ac:dyDescent="0.25"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</row>
    <row r="804" spans="15:54" ht="15.75" customHeight="1" x14ac:dyDescent="0.25"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</row>
    <row r="805" spans="15:54" ht="15.75" customHeight="1" x14ac:dyDescent="0.25"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</row>
    <row r="806" spans="15:54" ht="15.75" customHeight="1" x14ac:dyDescent="0.25"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</row>
    <row r="807" spans="15:54" ht="15.75" customHeight="1" x14ac:dyDescent="0.25"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</row>
    <row r="808" spans="15:54" ht="15.75" customHeight="1" x14ac:dyDescent="0.25"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</row>
    <row r="809" spans="15:54" ht="15.75" customHeight="1" x14ac:dyDescent="0.25"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</row>
    <row r="810" spans="15:54" ht="15.75" customHeight="1" x14ac:dyDescent="0.25"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</row>
    <row r="811" spans="15:54" ht="15.75" customHeight="1" x14ac:dyDescent="0.25"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</row>
    <row r="812" spans="15:54" ht="15.75" customHeight="1" x14ac:dyDescent="0.25"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</row>
    <row r="813" spans="15:54" ht="15.75" customHeight="1" x14ac:dyDescent="0.25"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</row>
    <row r="814" spans="15:54" ht="15.75" customHeight="1" x14ac:dyDescent="0.25"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</row>
    <row r="815" spans="15:54" ht="15.75" customHeight="1" x14ac:dyDescent="0.25"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</row>
    <row r="816" spans="15:54" ht="15.75" customHeight="1" x14ac:dyDescent="0.25"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</row>
    <row r="817" spans="15:54" ht="15.75" customHeight="1" x14ac:dyDescent="0.25"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</row>
    <row r="818" spans="15:54" ht="15.75" customHeight="1" x14ac:dyDescent="0.25"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</row>
    <row r="819" spans="15:54" ht="15.75" customHeight="1" x14ac:dyDescent="0.25"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</row>
    <row r="820" spans="15:54" ht="15.75" customHeight="1" x14ac:dyDescent="0.25"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</row>
    <row r="821" spans="15:54" ht="15.75" customHeight="1" x14ac:dyDescent="0.25"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</row>
    <row r="822" spans="15:54" ht="15.75" customHeight="1" x14ac:dyDescent="0.25"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</row>
    <row r="823" spans="15:54" ht="15.75" customHeight="1" x14ac:dyDescent="0.25"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</row>
    <row r="824" spans="15:54" ht="15.75" customHeight="1" x14ac:dyDescent="0.25"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</row>
    <row r="825" spans="15:54" ht="15.75" customHeight="1" x14ac:dyDescent="0.25"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</row>
    <row r="826" spans="15:54" ht="15.75" customHeight="1" x14ac:dyDescent="0.25"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</row>
    <row r="827" spans="15:54" ht="15.75" customHeight="1" x14ac:dyDescent="0.25"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</row>
    <row r="828" spans="15:54" ht="15.75" customHeight="1" x14ac:dyDescent="0.25"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</row>
    <row r="829" spans="15:54" ht="15.75" customHeight="1" x14ac:dyDescent="0.25"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</row>
    <row r="830" spans="15:54" ht="15.75" customHeight="1" x14ac:dyDescent="0.25"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</row>
    <row r="831" spans="15:54" ht="15.75" customHeight="1" x14ac:dyDescent="0.25"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</row>
    <row r="832" spans="15:54" ht="15.75" customHeight="1" x14ac:dyDescent="0.25"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</row>
    <row r="833" spans="15:54" ht="15.75" customHeight="1" x14ac:dyDescent="0.25"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</row>
    <row r="834" spans="15:54" ht="15.75" customHeight="1" x14ac:dyDescent="0.25"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</row>
    <row r="835" spans="15:54" ht="15.75" customHeight="1" x14ac:dyDescent="0.25"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</row>
    <row r="836" spans="15:54" ht="15.75" customHeight="1" x14ac:dyDescent="0.25"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</row>
    <row r="837" spans="15:54" ht="15.75" customHeight="1" x14ac:dyDescent="0.25"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</row>
    <row r="838" spans="15:54" ht="15.75" customHeight="1" x14ac:dyDescent="0.25"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</row>
    <row r="839" spans="15:54" ht="15.75" customHeight="1" x14ac:dyDescent="0.25"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</row>
    <row r="840" spans="15:54" ht="15.75" customHeight="1" x14ac:dyDescent="0.25"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</row>
    <row r="841" spans="15:54" ht="15.75" customHeight="1" x14ac:dyDescent="0.25"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</row>
    <row r="842" spans="15:54" ht="15.75" customHeight="1" x14ac:dyDescent="0.25"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</row>
    <row r="843" spans="15:54" ht="15.75" customHeight="1" x14ac:dyDescent="0.25"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</row>
    <row r="844" spans="15:54" ht="15.75" customHeight="1" x14ac:dyDescent="0.25"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</row>
    <row r="845" spans="15:54" ht="15.75" customHeight="1" x14ac:dyDescent="0.25"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</row>
    <row r="846" spans="15:54" ht="15.75" customHeight="1" x14ac:dyDescent="0.25"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</row>
    <row r="847" spans="15:54" ht="15.75" customHeight="1" x14ac:dyDescent="0.25"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</row>
    <row r="848" spans="15:54" ht="15.75" customHeight="1" x14ac:dyDescent="0.25"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</row>
    <row r="849" spans="15:54" ht="15.75" customHeight="1" x14ac:dyDescent="0.25"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</row>
    <row r="850" spans="15:54" ht="15.75" customHeight="1" x14ac:dyDescent="0.25"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</row>
    <row r="851" spans="15:54" ht="15.75" customHeight="1" x14ac:dyDescent="0.25"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</row>
    <row r="852" spans="15:54" ht="15.75" customHeight="1" x14ac:dyDescent="0.25"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</row>
    <row r="853" spans="15:54" ht="15.75" customHeight="1" x14ac:dyDescent="0.25"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</row>
    <row r="854" spans="15:54" ht="15.75" customHeight="1" x14ac:dyDescent="0.25"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</row>
    <row r="855" spans="15:54" ht="15.75" customHeight="1" x14ac:dyDescent="0.25"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</row>
    <row r="856" spans="15:54" ht="15.75" customHeight="1" x14ac:dyDescent="0.25"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</row>
    <row r="857" spans="15:54" ht="15.75" customHeight="1" x14ac:dyDescent="0.25"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</row>
    <row r="858" spans="15:54" ht="15.75" customHeight="1" x14ac:dyDescent="0.25"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</row>
    <row r="859" spans="15:54" ht="15.75" customHeight="1" x14ac:dyDescent="0.25"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</row>
    <row r="860" spans="15:54" ht="15.75" customHeight="1" x14ac:dyDescent="0.25"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</row>
    <row r="861" spans="15:54" ht="15.75" customHeight="1" x14ac:dyDescent="0.25"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</row>
    <row r="862" spans="15:54" ht="15.75" customHeight="1" x14ac:dyDescent="0.25"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</row>
    <row r="863" spans="15:54" ht="15.75" customHeight="1" x14ac:dyDescent="0.25"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</row>
    <row r="864" spans="15:54" ht="15.75" customHeight="1" x14ac:dyDescent="0.25"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</row>
    <row r="865" spans="15:54" ht="15.75" customHeight="1" x14ac:dyDescent="0.25"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</row>
    <row r="866" spans="15:54" ht="15.75" customHeight="1" x14ac:dyDescent="0.25"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</row>
    <row r="867" spans="15:54" ht="15.75" customHeight="1" x14ac:dyDescent="0.25"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</row>
    <row r="868" spans="15:54" ht="15.75" customHeight="1" x14ac:dyDescent="0.25"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</row>
    <row r="869" spans="15:54" ht="15.75" customHeight="1" x14ac:dyDescent="0.25"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</row>
    <row r="870" spans="15:54" ht="15.75" customHeight="1" x14ac:dyDescent="0.25"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</row>
    <row r="871" spans="15:54" ht="15.75" customHeight="1" x14ac:dyDescent="0.25"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</row>
    <row r="872" spans="15:54" ht="15.75" customHeight="1" x14ac:dyDescent="0.25"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</row>
    <row r="873" spans="15:54" ht="15.75" customHeight="1" x14ac:dyDescent="0.25"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</row>
    <row r="874" spans="15:54" ht="15.75" customHeight="1" x14ac:dyDescent="0.25"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</row>
    <row r="875" spans="15:54" ht="15.75" customHeight="1" x14ac:dyDescent="0.25"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</row>
    <row r="876" spans="15:54" ht="15.75" customHeight="1" x14ac:dyDescent="0.25"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</row>
    <row r="877" spans="15:54" ht="15.75" customHeight="1" x14ac:dyDescent="0.25"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</row>
    <row r="878" spans="15:54" ht="15.75" customHeight="1" x14ac:dyDescent="0.25"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</row>
    <row r="879" spans="15:54" ht="15.75" customHeight="1" x14ac:dyDescent="0.25"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</row>
    <row r="880" spans="15:54" ht="15.75" customHeight="1" x14ac:dyDescent="0.25"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</row>
    <row r="881" spans="15:54" ht="15.75" customHeight="1" x14ac:dyDescent="0.25"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</row>
    <row r="882" spans="15:54" ht="15.75" customHeight="1" x14ac:dyDescent="0.25"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</row>
    <row r="883" spans="15:54" ht="15.75" customHeight="1" x14ac:dyDescent="0.25"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</row>
    <row r="884" spans="15:54" ht="15.75" customHeight="1" x14ac:dyDescent="0.25"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</row>
    <row r="885" spans="15:54" ht="15.75" customHeight="1" x14ac:dyDescent="0.25"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</row>
    <row r="886" spans="15:54" ht="15.75" customHeight="1" x14ac:dyDescent="0.25"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</row>
    <row r="887" spans="15:54" ht="15.75" customHeight="1" x14ac:dyDescent="0.25"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</row>
    <row r="888" spans="15:54" ht="15.75" customHeight="1" x14ac:dyDescent="0.25"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</row>
    <row r="889" spans="15:54" ht="15.75" customHeight="1" x14ac:dyDescent="0.25"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</row>
    <row r="890" spans="15:54" ht="15.75" customHeight="1" x14ac:dyDescent="0.25"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</row>
    <row r="891" spans="15:54" ht="15.75" customHeight="1" x14ac:dyDescent="0.25"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</row>
    <row r="892" spans="15:54" ht="15.75" customHeight="1" x14ac:dyDescent="0.25"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</row>
    <row r="893" spans="15:54" ht="15.75" customHeight="1" x14ac:dyDescent="0.25"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</row>
    <row r="894" spans="15:54" ht="15.75" customHeight="1" x14ac:dyDescent="0.25"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</row>
    <row r="895" spans="15:54" ht="15.75" customHeight="1" x14ac:dyDescent="0.25"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</row>
    <row r="896" spans="15:54" ht="15.75" customHeight="1" x14ac:dyDescent="0.25"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</row>
    <row r="897" spans="15:54" ht="15.75" customHeight="1" x14ac:dyDescent="0.25"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</row>
    <row r="898" spans="15:54" ht="15.75" customHeight="1" x14ac:dyDescent="0.25"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</row>
    <row r="899" spans="15:54" ht="15.75" customHeight="1" x14ac:dyDescent="0.25"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</row>
    <row r="900" spans="15:54" ht="15.75" customHeight="1" x14ac:dyDescent="0.25"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</row>
    <row r="901" spans="15:54" ht="15.75" customHeight="1" x14ac:dyDescent="0.25"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</row>
    <row r="902" spans="15:54" ht="15.75" customHeight="1" x14ac:dyDescent="0.25"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</row>
    <row r="903" spans="15:54" ht="15.75" customHeight="1" x14ac:dyDescent="0.25"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</row>
    <row r="904" spans="15:54" ht="15.75" customHeight="1" x14ac:dyDescent="0.25"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</row>
    <row r="905" spans="15:54" ht="15.75" customHeight="1" x14ac:dyDescent="0.25"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</row>
    <row r="906" spans="15:54" ht="15.75" customHeight="1" x14ac:dyDescent="0.25"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</row>
    <row r="907" spans="15:54" ht="15.75" customHeight="1" x14ac:dyDescent="0.25"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</row>
    <row r="908" spans="15:54" ht="15.75" customHeight="1" x14ac:dyDescent="0.25"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</row>
    <row r="909" spans="15:54" ht="15.75" customHeight="1" x14ac:dyDescent="0.25"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</row>
    <row r="910" spans="15:54" ht="15.75" customHeight="1" x14ac:dyDescent="0.25"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</row>
    <row r="911" spans="15:54" ht="15.75" customHeight="1" x14ac:dyDescent="0.25"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</row>
    <row r="912" spans="15:54" ht="15.75" customHeight="1" x14ac:dyDescent="0.25"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</row>
    <row r="913" spans="15:54" ht="15.75" customHeight="1" x14ac:dyDescent="0.25"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</row>
    <row r="914" spans="15:54" ht="15.75" customHeight="1" x14ac:dyDescent="0.25"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</row>
    <row r="915" spans="15:54" ht="15.75" customHeight="1" x14ac:dyDescent="0.25"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</row>
    <row r="916" spans="15:54" ht="15.75" customHeight="1" x14ac:dyDescent="0.25"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</row>
    <row r="917" spans="15:54" ht="15.75" customHeight="1" x14ac:dyDescent="0.25"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</row>
    <row r="918" spans="15:54" ht="15.75" customHeight="1" x14ac:dyDescent="0.25"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</row>
    <row r="919" spans="15:54" ht="15.75" customHeight="1" x14ac:dyDescent="0.25"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</row>
    <row r="920" spans="15:54" ht="15.75" customHeight="1" x14ac:dyDescent="0.25"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</row>
    <row r="921" spans="15:54" ht="15.75" customHeight="1" x14ac:dyDescent="0.25"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</row>
    <row r="922" spans="15:54" ht="15.75" customHeight="1" x14ac:dyDescent="0.25"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</row>
    <row r="923" spans="15:54" ht="15.75" customHeight="1" x14ac:dyDescent="0.25"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</row>
    <row r="924" spans="15:54" ht="15.75" customHeight="1" x14ac:dyDescent="0.25"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</row>
    <row r="925" spans="15:54" ht="15.75" customHeight="1" x14ac:dyDescent="0.25"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</row>
    <row r="926" spans="15:54" ht="15.75" customHeight="1" x14ac:dyDescent="0.25"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</row>
    <row r="927" spans="15:54" ht="15.75" customHeight="1" x14ac:dyDescent="0.25"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</row>
    <row r="928" spans="15:54" ht="15.75" customHeight="1" x14ac:dyDescent="0.25"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</row>
    <row r="929" spans="15:54" ht="15.75" customHeight="1" x14ac:dyDescent="0.25"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</row>
    <row r="930" spans="15:54" ht="15.75" customHeight="1" x14ac:dyDescent="0.25"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</row>
    <row r="931" spans="15:54" ht="15.75" customHeight="1" x14ac:dyDescent="0.25"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</row>
    <row r="932" spans="15:54" ht="15.75" customHeight="1" x14ac:dyDescent="0.25"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</row>
    <row r="933" spans="15:54" ht="15.75" customHeight="1" x14ac:dyDescent="0.25"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</row>
    <row r="934" spans="15:54" ht="15.75" customHeight="1" x14ac:dyDescent="0.25"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</row>
    <row r="935" spans="15:54" ht="15.75" customHeight="1" x14ac:dyDescent="0.25"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</row>
    <row r="936" spans="15:54" ht="15.75" customHeight="1" x14ac:dyDescent="0.25"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</row>
    <row r="937" spans="15:54" ht="15.75" customHeight="1" x14ac:dyDescent="0.25"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</row>
    <row r="938" spans="15:54" ht="15.75" customHeight="1" x14ac:dyDescent="0.25"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</row>
    <row r="939" spans="15:54" ht="15.75" customHeight="1" x14ac:dyDescent="0.25"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</row>
    <row r="940" spans="15:54" ht="15.75" customHeight="1" x14ac:dyDescent="0.25"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</row>
    <row r="941" spans="15:54" ht="15.75" customHeight="1" x14ac:dyDescent="0.25"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</row>
    <row r="942" spans="15:54" ht="15.75" customHeight="1" x14ac:dyDescent="0.25"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</row>
    <row r="943" spans="15:54" ht="15.75" customHeight="1" x14ac:dyDescent="0.25"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</row>
    <row r="944" spans="15:54" ht="15.75" customHeight="1" x14ac:dyDescent="0.25"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</row>
    <row r="945" spans="15:54" ht="15.75" customHeight="1" x14ac:dyDescent="0.25"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</row>
    <row r="946" spans="15:54" ht="15.75" customHeight="1" x14ac:dyDescent="0.25"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</row>
    <row r="947" spans="15:54" ht="15.75" customHeight="1" x14ac:dyDescent="0.25"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</row>
    <row r="948" spans="15:54" ht="15.75" customHeight="1" x14ac:dyDescent="0.25"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</row>
    <row r="949" spans="15:54" ht="15.75" customHeight="1" x14ac:dyDescent="0.25"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</row>
    <row r="950" spans="15:54" ht="15.75" customHeight="1" x14ac:dyDescent="0.25"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</row>
    <row r="951" spans="15:54" ht="15.75" customHeight="1" x14ac:dyDescent="0.25"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</row>
    <row r="952" spans="15:54" ht="15.75" customHeight="1" x14ac:dyDescent="0.25"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</row>
    <row r="953" spans="15:54" ht="15.75" customHeight="1" x14ac:dyDescent="0.25"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</row>
    <row r="954" spans="15:54" ht="15.75" customHeight="1" x14ac:dyDescent="0.25"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</row>
    <row r="955" spans="15:54" ht="15.75" customHeight="1" x14ac:dyDescent="0.25"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</row>
    <row r="956" spans="15:54" ht="15.75" customHeight="1" x14ac:dyDescent="0.25"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</row>
    <row r="957" spans="15:54" ht="15.75" customHeight="1" x14ac:dyDescent="0.25"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</row>
    <row r="958" spans="15:54" ht="15.75" customHeight="1" x14ac:dyDescent="0.25"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</row>
    <row r="959" spans="15:54" ht="15.75" customHeight="1" x14ac:dyDescent="0.25"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</row>
    <row r="960" spans="15:54" ht="15.75" customHeight="1" x14ac:dyDescent="0.25"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</row>
    <row r="961" spans="15:54" ht="15.75" customHeight="1" x14ac:dyDescent="0.25"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</row>
    <row r="962" spans="15:54" ht="15.75" customHeight="1" x14ac:dyDescent="0.25"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</row>
    <row r="963" spans="15:54" ht="15.75" customHeight="1" x14ac:dyDescent="0.25"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</row>
    <row r="964" spans="15:54" ht="15.75" customHeight="1" x14ac:dyDescent="0.25"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</row>
    <row r="965" spans="15:54" ht="15.75" customHeight="1" x14ac:dyDescent="0.25"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</row>
    <row r="966" spans="15:54" ht="15.75" customHeight="1" x14ac:dyDescent="0.25"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</row>
    <row r="967" spans="15:54" ht="15.75" customHeight="1" x14ac:dyDescent="0.25"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</row>
    <row r="968" spans="15:54" ht="15.75" customHeight="1" x14ac:dyDescent="0.25"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</row>
    <row r="969" spans="15:54" ht="15.75" customHeight="1" x14ac:dyDescent="0.25"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</row>
    <row r="970" spans="15:54" ht="15.75" customHeight="1" x14ac:dyDescent="0.25"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</row>
    <row r="971" spans="15:54" ht="15.75" customHeight="1" x14ac:dyDescent="0.25"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</row>
    <row r="972" spans="15:54" ht="15.75" customHeight="1" x14ac:dyDescent="0.25"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</row>
    <row r="973" spans="15:54" ht="15.75" customHeight="1" x14ac:dyDescent="0.25"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</row>
    <row r="974" spans="15:54" ht="15.75" customHeight="1" x14ac:dyDescent="0.25"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</row>
    <row r="975" spans="15:54" ht="15.75" customHeight="1" x14ac:dyDescent="0.25"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</row>
    <row r="976" spans="15:54" ht="15.75" customHeight="1" x14ac:dyDescent="0.25"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</row>
    <row r="977" spans="15:54" ht="15.75" customHeight="1" x14ac:dyDescent="0.25"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</row>
    <row r="978" spans="15:54" ht="15.75" customHeight="1" x14ac:dyDescent="0.25"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</row>
    <row r="979" spans="15:54" ht="15.75" customHeight="1" x14ac:dyDescent="0.25"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</row>
    <row r="980" spans="15:54" ht="15.75" customHeight="1" x14ac:dyDescent="0.25"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</row>
    <row r="981" spans="15:54" ht="15.75" customHeight="1" x14ac:dyDescent="0.25"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  <c r="AH981" s="52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</row>
    <row r="982" spans="15:54" ht="15.75" customHeight="1" x14ac:dyDescent="0.25"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</row>
    <row r="983" spans="15:54" ht="15.75" customHeight="1" x14ac:dyDescent="0.25"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</row>
    <row r="984" spans="15:54" ht="15.75" customHeight="1" x14ac:dyDescent="0.25"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  <c r="AH984" s="52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</row>
    <row r="985" spans="15:54" ht="15.75" customHeight="1" x14ac:dyDescent="0.25"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  <c r="AG985" s="52"/>
      <c r="AH985" s="52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</row>
    <row r="986" spans="15:54" ht="15.75" customHeight="1" x14ac:dyDescent="0.25"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  <c r="AH986" s="52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</row>
    <row r="987" spans="15:54" ht="15.75" customHeight="1" x14ac:dyDescent="0.25"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  <c r="AH987" s="52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</row>
    <row r="988" spans="15:54" ht="15.75" customHeight="1" x14ac:dyDescent="0.25"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  <c r="AH988" s="52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</row>
    <row r="989" spans="15:54" ht="15.75" customHeight="1" x14ac:dyDescent="0.25"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  <c r="AH989" s="52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</row>
    <row r="990" spans="15:54" ht="15.75" customHeight="1" x14ac:dyDescent="0.25"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52"/>
      <c r="AG990" s="52"/>
      <c r="AH990" s="52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</row>
    <row r="991" spans="15:54" ht="15.75" customHeight="1" x14ac:dyDescent="0.25"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52"/>
      <c r="AG991" s="52"/>
      <c r="AH991" s="52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</row>
    <row r="992" spans="15:54" ht="15.75" customHeight="1" x14ac:dyDescent="0.25"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52"/>
      <c r="AG992" s="52"/>
      <c r="AH992" s="52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</row>
    <row r="993" spans="15:54" ht="15.75" customHeight="1" x14ac:dyDescent="0.25"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52"/>
      <c r="AG993" s="52"/>
      <c r="AH993" s="52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</row>
    <row r="994" spans="15:54" ht="15.75" customHeight="1" x14ac:dyDescent="0.25"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52"/>
      <c r="AG994" s="52"/>
      <c r="AH994" s="52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</row>
    <row r="995" spans="15:54" ht="15.75" customHeight="1" x14ac:dyDescent="0.25"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52"/>
      <c r="AG995" s="52"/>
      <c r="AH995" s="52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</row>
    <row r="996" spans="15:54" ht="15.75" customHeight="1" x14ac:dyDescent="0.25"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52"/>
      <c r="AG996" s="52"/>
      <c r="AH996" s="52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</row>
    <row r="997" spans="15:54" ht="15.75" customHeight="1" x14ac:dyDescent="0.25"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52"/>
      <c r="AG997" s="52"/>
      <c r="AH997" s="52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</row>
    <row r="998" spans="15:54" ht="15.75" customHeight="1" x14ac:dyDescent="0.25"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  <c r="AH998" s="52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</row>
    <row r="999" spans="15:54" ht="15.75" customHeight="1" x14ac:dyDescent="0.25"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52"/>
      <c r="AG999" s="52"/>
      <c r="AH999" s="52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</row>
    <row r="1000" spans="15:54" ht="15.75" customHeight="1" x14ac:dyDescent="0.25"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52"/>
      <c r="AG1000" s="52"/>
      <c r="AH1000" s="52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</row>
  </sheetData>
  <mergeCells count="8">
    <mergeCell ref="J24:L24"/>
    <mergeCell ref="J25:L25"/>
    <mergeCell ref="J26:L26"/>
    <mergeCell ref="B3:G4"/>
    <mergeCell ref="B6:G6"/>
    <mergeCell ref="K6:N6"/>
    <mergeCell ref="J22:M22"/>
    <mergeCell ref="J23:L23"/>
  </mergeCells>
  <conditionalFormatting sqref="M23:M26">
    <cfRule type="expression" dxfId="85" priority="1">
      <formula>J23=""</formula>
    </cfRule>
  </conditionalFormatting>
  <conditionalFormatting sqref="M24:M26">
    <cfRule type="expression" dxfId="84" priority="2">
      <formula>J24=""</formula>
    </cfRule>
  </conditionalFormatting>
  <conditionalFormatting sqref="M25">
    <cfRule type="expression" dxfId="83" priority="3">
      <formula>J25=""</formula>
    </cfRule>
  </conditionalFormatting>
  <conditionalFormatting sqref="B22:H28 J22:M26">
    <cfRule type="expression" dxfId="82" priority="4">
      <formula>OR($I$22=0,AND($J$20="",$J$21="",$J$22="",$J$23=""))</formula>
    </cfRule>
  </conditionalFormatting>
  <conditionalFormatting sqref="N23:AH27">
    <cfRule type="expression" dxfId="81" priority="5">
      <formula>K23=""</formula>
    </cfRule>
  </conditionalFormatting>
  <conditionalFormatting sqref="N24:AH26">
    <cfRule type="expression" dxfId="80" priority="6">
      <formula>K24=""</formula>
    </cfRule>
  </conditionalFormatting>
  <conditionalFormatting sqref="N25:AH25">
    <cfRule type="expression" dxfId="79" priority="7">
      <formula>K25=""</formula>
    </cfRule>
  </conditionalFormatting>
  <conditionalFormatting sqref="N27:AH27">
    <cfRule type="expression" dxfId="78" priority="8">
      <formula>K27=""</formula>
    </cfRule>
  </conditionalFormatting>
  <conditionalFormatting sqref="N23:AH27">
    <cfRule type="expression" dxfId="77" priority="9">
      <formula>OR($I$22=0,AND($J$20="",$J$21="",$J$22="",$J$23=""))</formula>
    </cfRule>
  </conditionalFormatting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B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3.7109375" customWidth="1"/>
    <col min="4" max="10" width="10.7109375" customWidth="1"/>
    <col min="11" max="11" width="13.7109375" customWidth="1"/>
    <col min="12" max="13" width="10.7109375" customWidth="1"/>
    <col min="14" max="34" width="13.7109375" customWidth="1"/>
    <col min="35" max="35" width="20" customWidth="1"/>
    <col min="36" max="46" width="11.42578125" customWidth="1"/>
    <col min="47" max="47" width="10.42578125" customWidth="1"/>
    <col min="48" max="48" width="13.7109375" customWidth="1"/>
    <col min="49" max="49" width="10.42578125" customWidth="1"/>
    <col min="50" max="50" width="9.85546875" customWidth="1"/>
    <col min="51" max="51" width="13" customWidth="1"/>
    <col min="52" max="52" width="29.85546875" customWidth="1"/>
    <col min="53" max="53" width="25.7109375" customWidth="1"/>
    <col min="54" max="54" width="11.42578125" customWidth="1"/>
  </cols>
  <sheetData>
    <row r="1" spans="2:54" x14ac:dyDescent="0.25"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spans="2:54" x14ac:dyDescent="0.25"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2:54" x14ac:dyDescent="0.25">
      <c r="B3" s="88" t="s">
        <v>46</v>
      </c>
      <c r="C3" s="89"/>
      <c r="D3" s="89"/>
      <c r="E3" s="89"/>
      <c r="F3" s="89"/>
      <c r="G3" s="90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spans="2:54" x14ac:dyDescent="0.25">
      <c r="B4" s="91"/>
      <c r="C4" s="92"/>
      <c r="D4" s="92"/>
      <c r="E4" s="92"/>
      <c r="F4" s="92"/>
      <c r="G4" s="93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  <row r="5" spans="2:54" x14ac:dyDescent="0.25">
      <c r="B5" s="4"/>
      <c r="C5" s="5">
        <v>2</v>
      </c>
      <c r="D5" s="5">
        <v>3</v>
      </c>
      <c r="E5" s="5">
        <v>5</v>
      </c>
      <c r="F5" s="5">
        <v>6</v>
      </c>
      <c r="G5" s="5">
        <v>4</v>
      </c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spans="2:54" x14ac:dyDescent="0.25">
      <c r="B6" s="94" t="s">
        <v>5</v>
      </c>
      <c r="C6" s="95"/>
      <c r="D6" s="95"/>
      <c r="E6" s="95"/>
      <c r="F6" s="95"/>
      <c r="G6" s="96"/>
      <c r="J6" s="6" t="s">
        <v>6</v>
      </c>
      <c r="K6" s="97" t="s">
        <v>7</v>
      </c>
      <c r="L6" s="95"/>
      <c r="M6" s="95"/>
      <c r="N6" s="96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5"/>
      <c r="AJ6" s="3">
        <v>1</v>
      </c>
      <c r="AK6" s="3">
        <v>2</v>
      </c>
      <c r="AL6" s="3" t="s">
        <v>8</v>
      </c>
      <c r="AM6" s="3"/>
      <c r="AN6" s="3" t="s">
        <v>9</v>
      </c>
      <c r="AO6" s="3" t="s">
        <v>10</v>
      </c>
      <c r="AP6" s="3" t="s">
        <v>11</v>
      </c>
      <c r="AQ6" s="3" t="s">
        <v>12</v>
      </c>
      <c r="AR6" s="3" t="s">
        <v>13</v>
      </c>
      <c r="AS6" s="3" t="s">
        <v>14</v>
      </c>
      <c r="AT6" s="3"/>
      <c r="AU6" s="3"/>
      <c r="AV6" s="3" t="s">
        <v>10</v>
      </c>
      <c r="AW6" s="3" t="s">
        <v>15</v>
      </c>
      <c r="AX6" s="3" t="s">
        <v>8</v>
      </c>
      <c r="AY6" s="3" t="s">
        <v>16</v>
      </c>
      <c r="AZ6" s="3" t="s">
        <v>17</v>
      </c>
      <c r="BA6" s="3" t="s">
        <v>18</v>
      </c>
      <c r="BB6" s="3" t="s">
        <v>19</v>
      </c>
    </row>
    <row r="7" spans="2:54" x14ac:dyDescent="0.25">
      <c r="B7" s="7" t="s">
        <v>20</v>
      </c>
      <c r="C7" s="8" t="s">
        <v>10</v>
      </c>
      <c r="D7" s="9" t="s">
        <v>11</v>
      </c>
      <c r="E7" s="9" t="s">
        <v>13</v>
      </c>
      <c r="F7" s="9" t="s">
        <v>14</v>
      </c>
      <c r="G7" s="10" t="s">
        <v>12</v>
      </c>
      <c r="I7" s="11">
        <v>7</v>
      </c>
      <c r="J7" s="12">
        <v>44887</v>
      </c>
      <c r="K7" s="13" t="s">
        <v>47</v>
      </c>
      <c r="L7" s="14">
        <v>2</v>
      </c>
      <c r="M7" s="15">
        <v>0</v>
      </c>
      <c r="N7" s="11" t="s">
        <v>48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5" t="str">
        <f t="shared" ref="AI7:AI12" si="0">CONCATENATE(K7,"_",N7)</f>
        <v>Dinamarca_Tunez</v>
      </c>
      <c r="AJ7" s="3">
        <f t="shared" ref="AJ7:AJ12" si="1">IF(L7&gt;M7,3,IF(L7&lt;M7,0,1))</f>
        <v>3</v>
      </c>
      <c r="AK7" s="3">
        <f t="shared" ref="AK7:AK12" si="2">IF(AJ7=3,0,IF(AJ7=1,1,3))</f>
        <v>0</v>
      </c>
      <c r="AL7" s="3" t="str">
        <f t="shared" ref="AL7:AL12" si="3">IF(AJ7&gt;AK7,K7,IF(AK7&gt;AJ7,N7,"SIN GANADOR"))</f>
        <v>Dinamarca</v>
      </c>
      <c r="AM7" s="3"/>
      <c r="AN7" s="3">
        <f t="shared" ref="AN7:AN10" si="4">_xlfn.RANK.EQ(BB7,BB$7:BB$11,1)</f>
        <v>1</v>
      </c>
      <c r="AO7" s="3" t="s">
        <v>49</v>
      </c>
      <c r="AP7" s="3">
        <f t="shared" ref="AP7:AP10" si="5">SUMIF($K$7:$K$12,AO7,$AJ$7:$AJ$12) + SUMIF($N$7:$N$12,AO7,$AK$7:$AK$12)</f>
        <v>7</v>
      </c>
      <c r="AQ7" s="3">
        <f t="shared" ref="AQ7:AQ10" si="6">AR7-AS7</f>
        <v>6</v>
      </c>
      <c r="AR7" s="3">
        <f t="shared" ref="AR7:AR10" si="7">SUMIF($K$7:$K$12,AO7,$L$7:$L$12) + SUMIF($N$7:$N$12,AO7,$M$7:$M$12)</f>
        <v>9</v>
      </c>
      <c r="AS7" s="3">
        <f t="shared" ref="AS7:AS10" si="8">SUMIF($K$7:$K$12,AO7,$M$7:$M$12) + SUMIF($N$7:$N$12,AO7,$L$7:$L$12)</f>
        <v>3</v>
      </c>
      <c r="AT7" s="3"/>
      <c r="AU7" s="3"/>
      <c r="AV7" s="3" t="str">
        <f t="shared" ref="AV7:AV10" si="9">AO7</f>
        <v>Francia</v>
      </c>
      <c r="AW7" s="3" t="str">
        <f>IF(AZ7=AZ8,AV8,IF(AZ7=AZ9,AV9,IF(AZ7=AZ10,AV10,"")))</f>
        <v/>
      </c>
      <c r="AX7" s="3" t="str">
        <f t="shared" ref="AX7:AX10" si="10">IF(AW7="","",IFERROR(VLOOKUP(CONCATENATE(AV7,"_",AW7),$AI$7:$AL$16,4,FALSE),VLOOKUP(CONCATENATE(AW7,"_",AV7),$AI$7:$AL$16,4,FALSE)))</f>
        <v/>
      </c>
      <c r="AY7" s="3">
        <f t="shared" ref="AY7:AY10" si="11">IF(AX7="",1,IF(AX7=AV7,1,0))</f>
        <v>1</v>
      </c>
      <c r="AZ7" s="3">
        <f t="shared" ref="AZ7:AZ10" si="12">-AP7*10000000 - AQ7*10000 - AR7*100</f>
        <v>-70060900</v>
      </c>
      <c r="BA7" s="3">
        <f t="shared" ref="BA7:BA10" si="13">AZ7-AY7*10</f>
        <v>-70060910</v>
      </c>
      <c r="BB7" s="3">
        <f t="shared" ref="BB7:BB10" si="14">BA7+N23</f>
        <v>-70060909</v>
      </c>
    </row>
    <row r="8" spans="2:54" x14ac:dyDescent="0.25">
      <c r="B8" s="16">
        <v>1</v>
      </c>
      <c r="C8" s="17" t="str">
        <f t="shared" ref="C8:G8" si="15">IFERROR(VLOOKUP($B8,$AN$7:$AS$11,C$5,FALSE),"")</f>
        <v>Francia</v>
      </c>
      <c r="D8" s="18">
        <f t="shared" si="15"/>
        <v>7</v>
      </c>
      <c r="E8" s="18">
        <f t="shared" si="15"/>
        <v>9</v>
      </c>
      <c r="F8" s="18">
        <f t="shared" si="15"/>
        <v>3</v>
      </c>
      <c r="G8" s="19">
        <f t="shared" si="15"/>
        <v>6</v>
      </c>
      <c r="I8" s="20">
        <v>8</v>
      </c>
      <c r="J8" s="21">
        <v>44887</v>
      </c>
      <c r="K8" s="22" t="s">
        <v>49</v>
      </c>
      <c r="L8" s="23">
        <v>3</v>
      </c>
      <c r="M8" s="24">
        <v>1</v>
      </c>
      <c r="N8" s="20" t="s">
        <v>50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5" t="str">
        <f t="shared" si="0"/>
        <v>Francia_Australia</v>
      </c>
      <c r="AJ8" s="3">
        <f t="shared" si="1"/>
        <v>3</v>
      </c>
      <c r="AK8" s="3">
        <f t="shared" si="2"/>
        <v>0</v>
      </c>
      <c r="AL8" s="3" t="str">
        <f t="shared" si="3"/>
        <v>Francia</v>
      </c>
      <c r="AM8" s="3"/>
      <c r="AN8" s="3">
        <f t="shared" si="4"/>
        <v>2</v>
      </c>
      <c r="AO8" s="3" t="s">
        <v>47</v>
      </c>
      <c r="AP8" s="3">
        <f t="shared" si="5"/>
        <v>7</v>
      </c>
      <c r="AQ8" s="3">
        <f t="shared" si="6"/>
        <v>3</v>
      </c>
      <c r="AR8" s="3">
        <f t="shared" si="7"/>
        <v>6</v>
      </c>
      <c r="AS8" s="3">
        <f t="shared" si="8"/>
        <v>3</v>
      </c>
      <c r="AT8" s="3"/>
      <c r="AU8" s="3"/>
      <c r="AV8" s="3" t="str">
        <f t="shared" si="9"/>
        <v>Dinamarca</v>
      </c>
      <c r="AW8" s="3" t="str">
        <f>IF(AZ8=AZ9,AV9,IF(AZ8=AZ10,AV10,IF(AZ8=AZ7,AV7,"")))</f>
        <v/>
      </c>
      <c r="AX8" s="3" t="str">
        <f t="shared" si="10"/>
        <v/>
      </c>
      <c r="AY8" s="3">
        <f t="shared" si="11"/>
        <v>1</v>
      </c>
      <c r="AZ8" s="3">
        <f t="shared" si="12"/>
        <v>-70030600</v>
      </c>
      <c r="BA8" s="3">
        <f t="shared" si="13"/>
        <v>-70030610</v>
      </c>
      <c r="BB8" s="3">
        <f t="shared" si="14"/>
        <v>-70030608</v>
      </c>
    </row>
    <row r="9" spans="2:54" x14ac:dyDescent="0.25">
      <c r="B9" s="25">
        <v>2</v>
      </c>
      <c r="C9" s="26" t="str">
        <f t="shared" ref="C9:G9" si="16">IFERROR(VLOOKUP($B9,$AN$7:$AS$11,C$5,FALSE),"")</f>
        <v>Dinamarca</v>
      </c>
      <c r="D9" s="27">
        <f t="shared" si="16"/>
        <v>7</v>
      </c>
      <c r="E9" s="27">
        <f t="shared" si="16"/>
        <v>6</v>
      </c>
      <c r="F9" s="27">
        <f t="shared" si="16"/>
        <v>3</v>
      </c>
      <c r="G9" s="28">
        <f t="shared" si="16"/>
        <v>3</v>
      </c>
      <c r="I9" s="29">
        <f t="shared" ref="I9:I12" si="17">I7+16</f>
        <v>23</v>
      </c>
      <c r="J9" s="30">
        <v>44891</v>
      </c>
      <c r="K9" s="31" t="s">
        <v>48</v>
      </c>
      <c r="L9" s="23">
        <v>1</v>
      </c>
      <c r="M9" s="24">
        <v>1</v>
      </c>
      <c r="N9" s="29" t="s">
        <v>50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5" t="str">
        <f t="shared" si="0"/>
        <v>Tunez_Australia</v>
      </c>
      <c r="AJ9" s="3">
        <f t="shared" si="1"/>
        <v>1</v>
      </c>
      <c r="AK9" s="3">
        <f t="shared" si="2"/>
        <v>1</v>
      </c>
      <c r="AL9" s="3" t="str">
        <f t="shared" si="3"/>
        <v>SIN GANADOR</v>
      </c>
      <c r="AM9" s="3"/>
      <c r="AN9" s="3">
        <f t="shared" si="4"/>
        <v>4</v>
      </c>
      <c r="AO9" s="3" t="s">
        <v>48</v>
      </c>
      <c r="AP9" s="3">
        <f t="shared" si="5"/>
        <v>1</v>
      </c>
      <c r="AQ9" s="3">
        <f t="shared" si="6"/>
        <v>-6</v>
      </c>
      <c r="AR9" s="3">
        <f t="shared" si="7"/>
        <v>1</v>
      </c>
      <c r="AS9" s="3">
        <f t="shared" si="8"/>
        <v>7</v>
      </c>
      <c r="AT9" s="3"/>
      <c r="AU9" s="3"/>
      <c r="AV9" s="3" t="str">
        <f t="shared" si="9"/>
        <v>Tunez</v>
      </c>
      <c r="AW9" s="3" t="str">
        <f>IF(AZ9=AZ10,AV10,IF(AZ9=AZ7,AV7,IF(AZ9=AZ8,AV8,"")))</f>
        <v/>
      </c>
      <c r="AX9" s="3" t="str">
        <f t="shared" si="10"/>
        <v/>
      </c>
      <c r="AY9" s="3">
        <f t="shared" si="11"/>
        <v>1</v>
      </c>
      <c r="AZ9" s="3">
        <f t="shared" si="12"/>
        <v>-9940100</v>
      </c>
      <c r="BA9" s="3">
        <f t="shared" si="13"/>
        <v>-9940110</v>
      </c>
      <c r="BB9" s="3">
        <f t="shared" si="14"/>
        <v>-9940107</v>
      </c>
    </row>
    <row r="10" spans="2:54" x14ac:dyDescent="0.25">
      <c r="B10" s="32">
        <v>3</v>
      </c>
      <c r="C10" s="33" t="str">
        <f t="shared" ref="C10:G10" si="18">IFERROR(VLOOKUP($B10,$AN$7:$AS$11,C$5,FALSE),"")</f>
        <v>Australia</v>
      </c>
      <c r="D10" s="34">
        <f t="shared" si="18"/>
        <v>1</v>
      </c>
      <c r="E10" s="34">
        <f t="shared" si="18"/>
        <v>3</v>
      </c>
      <c r="F10" s="34">
        <f t="shared" si="18"/>
        <v>6</v>
      </c>
      <c r="G10" s="35">
        <f t="shared" si="18"/>
        <v>-3</v>
      </c>
      <c r="I10" s="20">
        <f t="shared" si="17"/>
        <v>24</v>
      </c>
      <c r="J10" s="21">
        <v>44891</v>
      </c>
      <c r="K10" s="22" t="s">
        <v>49</v>
      </c>
      <c r="L10" s="23">
        <v>2</v>
      </c>
      <c r="M10" s="24">
        <v>2</v>
      </c>
      <c r="N10" s="20" t="s">
        <v>47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5" t="str">
        <f t="shared" si="0"/>
        <v>Francia_Dinamarca</v>
      </c>
      <c r="AJ10" s="3">
        <f t="shared" si="1"/>
        <v>1</v>
      </c>
      <c r="AK10" s="3">
        <f t="shared" si="2"/>
        <v>1</v>
      </c>
      <c r="AL10" s="3" t="str">
        <f t="shared" si="3"/>
        <v>SIN GANADOR</v>
      </c>
      <c r="AM10" s="3"/>
      <c r="AN10" s="3">
        <f t="shared" si="4"/>
        <v>3</v>
      </c>
      <c r="AO10" s="3" t="s">
        <v>50</v>
      </c>
      <c r="AP10" s="3">
        <f t="shared" si="5"/>
        <v>1</v>
      </c>
      <c r="AQ10" s="3">
        <f t="shared" si="6"/>
        <v>-3</v>
      </c>
      <c r="AR10" s="3">
        <f t="shared" si="7"/>
        <v>3</v>
      </c>
      <c r="AS10" s="3">
        <f t="shared" si="8"/>
        <v>6</v>
      </c>
      <c r="AT10" s="3"/>
      <c r="AU10" s="3"/>
      <c r="AV10" s="3" t="str">
        <f t="shared" si="9"/>
        <v>Australia</v>
      </c>
      <c r="AW10" s="3" t="str">
        <f>IF(AZ10=AZ7,AV7,IF(AZ10=AZ8,AV8,IF(AZ10=AZ9,AV9,"")))</f>
        <v/>
      </c>
      <c r="AX10" s="3" t="str">
        <f t="shared" si="10"/>
        <v/>
      </c>
      <c r="AY10" s="3">
        <f t="shared" si="11"/>
        <v>1</v>
      </c>
      <c r="AZ10" s="3">
        <f t="shared" si="12"/>
        <v>-9970300</v>
      </c>
      <c r="BA10" s="3">
        <f t="shared" si="13"/>
        <v>-9970310</v>
      </c>
      <c r="BB10" s="3">
        <f t="shared" si="14"/>
        <v>-9970306</v>
      </c>
    </row>
    <row r="11" spans="2:54" x14ac:dyDescent="0.25">
      <c r="B11" s="36">
        <v>4</v>
      </c>
      <c r="C11" s="37" t="str">
        <f t="shared" ref="C11:G11" si="19">IFERROR(VLOOKUP($B11,$AN$7:$AS$11,C$5,FALSE),"")</f>
        <v>Tunez</v>
      </c>
      <c r="D11" s="38">
        <f t="shared" si="19"/>
        <v>1</v>
      </c>
      <c r="E11" s="38">
        <f t="shared" si="19"/>
        <v>1</v>
      </c>
      <c r="F11" s="38">
        <f t="shared" si="19"/>
        <v>7</v>
      </c>
      <c r="G11" s="39">
        <f t="shared" si="19"/>
        <v>-6</v>
      </c>
      <c r="I11" s="29">
        <f t="shared" si="17"/>
        <v>39</v>
      </c>
      <c r="J11" s="30">
        <v>44895</v>
      </c>
      <c r="K11" s="31" t="s">
        <v>48</v>
      </c>
      <c r="L11" s="23">
        <v>0</v>
      </c>
      <c r="M11" s="24">
        <v>4</v>
      </c>
      <c r="N11" s="29" t="s">
        <v>49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5" t="str">
        <f t="shared" si="0"/>
        <v>Tunez_Francia</v>
      </c>
      <c r="AJ11" s="3">
        <f t="shared" si="1"/>
        <v>0</v>
      </c>
      <c r="AK11" s="3">
        <f t="shared" si="2"/>
        <v>3</v>
      </c>
      <c r="AL11" s="3" t="str">
        <f t="shared" si="3"/>
        <v>Francia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</row>
    <row r="12" spans="2:54" x14ac:dyDescent="0.25">
      <c r="I12" s="40">
        <f t="shared" si="17"/>
        <v>40</v>
      </c>
      <c r="J12" s="41">
        <v>44895</v>
      </c>
      <c r="K12" s="42" t="s">
        <v>50</v>
      </c>
      <c r="L12" s="43">
        <v>1</v>
      </c>
      <c r="M12" s="44">
        <v>2</v>
      </c>
      <c r="N12" s="40" t="s">
        <v>47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5" t="str">
        <f t="shared" si="0"/>
        <v>Australia_Dinamarca</v>
      </c>
      <c r="AJ12" s="3">
        <f t="shared" si="1"/>
        <v>0</v>
      </c>
      <c r="AK12" s="3">
        <f t="shared" si="2"/>
        <v>3</v>
      </c>
      <c r="AL12" s="3" t="str">
        <f t="shared" si="3"/>
        <v>Dinamarca</v>
      </c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 spans="2:54" x14ac:dyDescent="0.25"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</row>
    <row r="14" spans="2:54" x14ac:dyDescent="0.25"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</row>
    <row r="15" spans="2:54" x14ac:dyDescent="0.25"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</row>
    <row r="16" spans="2:54" x14ac:dyDescent="0.25"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</row>
    <row r="17" spans="2:54" x14ac:dyDescent="0.25"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</row>
    <row r="18" spans="2:54" x14ac:dyDescent="0.25"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</row>
    <row r="19" spans="2:54" x14ac:dyDescent="0.25"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</row>
    <row r="20" spans="2:54" x14ac:dyDescent="0.25"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</row>
    <row r="21" spans="2:54" ht="15.75" customHeight="1" x14ac:dyDescent="0.25"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</row>
    <row r="22" spans="2:54" ht="15.75" customHeight="1" x14ac:dyDescent="0.25">
      <c r="B22" s="45" t="s">
        <v>25</v>
      </c>
      <c r="C22" s="46"/>
      <c r="D22" s="46"/>
      <c r="E22" s="46"/>
      <c r="F22" s="46"/>
      <c r="G22" s="46"/>
      <c r="H22" s="47"/>
      <c r="I22" s="3">
        <v>1</v>
      </c>
      <c r="J22" s="81" t="s">
        <v>40</v>
      </c>
      <c r="K22" s="82"/>
      <c r="L22" s="82"/>
      <c r="M22" s="83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</row>
    <row r="23" spans="2:54" ht="15.75" customHeight="1" x14ac:dyDescent="0.25">
      <c r="B23" s="48" t="s">
        <v>27</v>
      </c>
      <c r="C23" s="49"/>
      <c r="D23" s="49"/>
      <c r="E23" s="49"/>
      <c r="F23" s="49"/>
      <c r="G23" s="49"/>
      <c r="H23" s="50"/>
      <c r="I23" s="3">
        <f t="shared" ref="I23:I26" si="20">IF(J23="",0,1)</f>
        <v>1</v>
      </c>
      <c r="J23" s="98" t="s">
        <v>49</v>
      </c>
      <c r="K23" s="99"/>
      <c r="L23" s="85"/>
      <c r="M23" s="58">
        <v>1</v>
      </c>
      <c r="N23" s="52">
        <f t="shared" ref="N23:N27" si="21">IF(J23="",0,M23)</f>
        <v>1</v>
      </c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</row>
    <row r="24" spans="2:54" ht="15.75" customHeight="1" x14ac:dyDescent="0.25">
      <c r="B24" s="48" t="s">
        <v>28</v>
      </c>
      <c r="C24" s="49"/>
      <c r="D24" s="49"/>
      <c r="E24" s="49"/>
      <c r="F24" s="49"/>
      <c r="G24" s="49"/>
      <c r="H24" s="50"/>
      <c r="I24" s="3">
        <f t="shared" si="20"/>
        <v>1</v>
      </c>
      <c r="J24" s="100" t="s">
        <v>47</v>
      </c>
      <c r="K24" s="101"/>
      <c r="L24" s="102"/>
      <c r="M24" s="53">
        <v>2</v>
      </c>
      <c r="N24" s="52">
        <f t="shared" si="21"/>
        <v>2</v>
      </c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</row>
    <row r="25" spans="2:54" ht="15.75" customHeight="1" x14ac:dyDescent="0.25">
      <c r="B25" s="48" t="s">
        <v>30</v>
      </c>
      <c r="C25" s="49"/>
      <c r="D25" s="49"/>
      <c r="E25" s="49"/>
      <c r="F25" s="49"/>
      <c r="G25" s="49"/>
      <c r="H25" s="50"/>
      <c r="I25" s="3">
        <f t="shared" si="20"/>
        <v>1</v>
      </c>
      <c r="J25" s="100" t="s">
        <v>50</v>
      </c>
      <c r="K25" s="101"/>
      <c r="L25" s="102"/>
      <c r="M25" s="53">
        <v>3</v>
      </c>
      <c r="N25" s="52">
        <f t="shared" si="21"/>
        <v>3</v>
      </c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</row>
    <row r="26" spans="2:54" ht="15.75" customHeight="1" x14ac:dyDescent="0.25">
      <c r="B26" s="48" t="s">
        <v>32</v>
      </c>
      <c r="C26" s="49"/>
      <c r="D26" s="49"/>
      <c r="E26" s="49"/>
      <c r="F26" s="49"/>
      <c r="G26" s="49"/>
      <c r="H26" s="50"/>
      <c r="I26" s="3">
        <f t="shared" si="20"/>
        <v>1</v>
      </c>
      <c r="J26" s="103" t="s">
        <v>48</v>
      </c>
      <c r="K26" s="104"/>
      <c r="L26" s="87"/>
      <c r="M26" s="54">
        <v>4</v>
      </c>
      <c r="N26" s="52">
        <f t="shared" si="21"/>
        <v>4</v>
      </c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</row>
    <row r="27" spans="2:54" ht="15.75" customHeight="1" x14ac:dyDescent="0.25">
      <c r="B27" s="48" t="s">
        <v>34</v>
      </c>
      <c r="C27" s="49"/>
      <c r="D27" s="49"/>
      <c r="E27" s="49"/>
      <c r="F27" s="49"/>
      <c r="G27" s="49"/>
      <c r="H27" s="50"/>
      <c r="I27" s="3"/>
      <c r="N27" s="52">
        <f t="shared" si="21"/>
        <v>0</v>
      </c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</row>
    <row r="28" spans="2:54" ht="15.75" customHeight="1" x14ac:dyDescent="0.25">
      <c r="B28" s="55"/>
      <c r="C28" s="56"/>
      <c r="D28" s="56"/>
      <c r="E28" s="56"/>
      <c r="F28" s="56"/>
      <c r="G28" s="56"/>
      <c r="H28" s="57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</row>
    <row r="29" spans="2:54" ht="15.75" customHeight="1" x14ac:dyDescent="0.25"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</row>
    <row r="30" spans="2:54" ht="15.75" customHeight="1" x14ac:dyDescent="0.25"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</row>
    <row r="31" spans="2:54" ht="15.75" customHeight="1" x14ac:dyDescent="0.25"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</row>
    <row r="32" spans="2:54" ht="15.75" customHeight="1" x14ac:dyDescent="0.25"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</row>
    <row r="33" spans="15:54" ht="15.75" customHeight="1" x14ac:dyDescent="0.25"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</row>
    <row r="34" spans="15:54" ht="15.75" customHeight="1" x14ac:dyDescent="0.25"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</row>
    <row r="35" spans="15:54" ht="15.75" customHeight="1" x14ac:dyDescent="0.25"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</row>
    <row r="36" spans="15:54" ht="15.75" customHeight="1" x14ac:dyDescent="0.25"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</row>
    <row r="37" spans="15:54" ht="15.75" customHeight="1" x14ac:dyDescent="0.25"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</row>
    <row r="38" spans="15:54" ht="15.75" customHeight="1" x14ac:dyDescent="0.25"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</row>
    <row r="39" spans="15:54" ht="15.75" customHeight="1" x14ac:dyDescent="0.25"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</row>
    <row r="40" spans="15:54" ht="15.75" customHeight="1" x14ac:dyDescent="0.25"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</row>
    <row r="41" spans="15:54" ht="15.75" customHeight="1" x14ac:dyDescent="0.25"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</row>
    <row r="42" spans="15:54" ht="15.75" customHeight="1" x14ac:dyDescent="0.25"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</row>
    <row r="43" spans="15:54" ht="15.75" customHeight="1" x14ac:dyDescent="0.25"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</row>
    <row r="44" spans="15:54" ht="15.75" customHeight="1" x14ac:dyDescent="0.25"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</row>
    <row r="45" spans="15:54" ht="15.75" customHeight="1" x14ac:dyDescent="0.25"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</row>
    <row r="46" spans="15:54" ht="15.75" customHeight="1" x14ac:dyDescent="0.25"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</row>
    <row r="47" spans="15:54" ht="15.75" customHeight="1" x14ac:dyDescent="0.25"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15:54" ht="15.75" customHeight="1" x14ac:dyDescent="0.25"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r="49" spans="15:54" ht="15.75" customHeight="1" x14ac:dyDescent="0.25"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r="50" spans="15:54" ht="15.75" customHeight="1" x14ac:dyDescent="0.25"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</row>
    <row r="51" spans="15:54" ht="15.75" customHeight="1" x14ac:dyDescent="0.25"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</row>
    <row r="52" spans="15:54" ht="15.75" customHeight="1" x14ac:dyDescent="0.25"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</row>
    <row r="53" spans="15:54" ht="15.75" customHeight="1" x14ac:dyDescent="0.25"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</row>
    <row r="54" spans="15:54" ht="15.75" customHeight="1" x14ac:dyDescent="0.25"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</row>
    <row r="55" spans="15:54" ht="15.75" customHeight="1" x14ac:dyDescent="0.25"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</row>
    <row r="56" spans="15:54" ht="15.75" customHeight="1" x14ac:dyDescent="0.25"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</row>
    <row r="57" spans="15:54" ht="15.75" customHeight="1" x14ac:dyDescent="0.25"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</row>
    <row r="58" spans="15:54" ht="15.75" customHeight="1" x14ac:dyDescent="0.25"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</row>
    <row r="59" spans="15:54" ht="15.75" customHeight="1" x14ac:dyDescent="0.25"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</row>
    <row r="60" spans="15:54" ht="15.75" customHeight="1" x14ac:dyDescent="0.25"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</row>
    <row r="61" spans="15:54" ht="15.75" customHeight="1" x14ac:dyDescent="0.25"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</row>
    <row r="62" spans="15:54" ht="15.75" customHeight="1" x14ac:dyDescent="0.25"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</row>
    <row r="63" spans="15:54" ht="15.75" customHeight="1" x14ac:dyDescent="0.25"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</row>
    <row r="64" spans="15:54" ht="15.75" customHeight="1" x14ac:dyDescent="0.25"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</row>
    <row r="65" spans="15:54" ht="15.75" customHeight="1" x14ac:dyDescent="0.25"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</row>
    <row r="66" spans="15:54" ht="15.75" customHeight="1" x14ac:dyDescent="0.25"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</row>
    <row r="67" spans="15:54" ht="15.75" customHeight="1" x14ac:dyDescent="0.25"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</row>
    <row r="68" spans="15:54" ht="15.75" customHeight="1" x14ac:dyDescent="0.25"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</row>
    <row r="69" spans="15:54" ht="15.75" customHeight="1" x14ac:dyDescent="0.25"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</row>
    <row r="70" spans="15:54" ht="15.75" customHeight="1" x14ac:dyDescent="0.25"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</row>
    <row r="71" spans="15:54" ht="15.75" customHeight="1" x14ac:dyDescent="0.25"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</row>
    <row r="72" spans="15:54" ht="15.75" customHeight="1" x14ac:dyDescent="0.25"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</row>
    <row r="73" spans="15:54" ht="15.75" customHeight="1" x14ac:dyDescent="0.25"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</row>
    <row r="74" spans="15:54" ht="15.75" customHeight="1" x14ac:dyDescent="0.25"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</row>
    <row r="75" spans="15:54" ht="15.75" customHeight="1" x14ac:dyDescent="0.25"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</row>
    <row r="76" spans="15:54" ht="15.75" customHeight="1" x14ac:dyDescent="0.25"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</row>
    <row r="77" spans="15:54" ht="15.75" customHeight="1" x14ac:dyDescent="0.25"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</row>
    <row r="78" spans="15:54" ht="15.75" customHeight="1" x14ac:dyDescent="0.25"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</row>
    <row r="79" spans="15:54" ht="15.75" customHeight="1" x14ac:dyDescent="0.25"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</row>
    <row r="80" spans="15:54" ht="15.75" customHeight="1" x14ac:dyDescent="0.25"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</row>
    <row r="81" spans="15:54" ht="15.75" customHeight="1" x14ac:dyDescent="0.25"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</row>
    <row r="82" spans="15:54" ht="15.75" customHeight="1" x14ac:dyDescent="0.25"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</row>
    <row r="83" spans="15:54" ht="15.75" customHeight="1" x14ac:dyDescent="0.25"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</row>
    <row r="84" spans="15:54" ht="15.75" customHeight="1" x14ac:dyDescent="0.25"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</row>
    <row r="85" spans="15:54" ht="15.75" customHeight="1" x14ac:dyDescent="0.25"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</row>
    <row r="86" spans="15:54" ht="15.75" customHeight="1" x14ac:dyDescent="0.25"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</row>
    <row r="87" spans="15:54" ht="15.75" customHeight="1" x14ac:dyDescent="0.25"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</row>
    <row r="88" spans="15:54" ht="15.75" customHeight="1" x14ac:dyDescent="0.25"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</row>
    <row r="89" spans="15:54" ht="15.75" customHeight="1" x14ac:dyDescent="0.25"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</row>
    <row r="90" spans="15:54" ht="15.75" customHeight="1" x14ac:dyDescent="0.25"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</row>
    <row r="91" spans="15:54" ht="15.75" customHeight="1" x14ac:dyDescent="0.25"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</row>
    <row r="92" spans="15:54" ht="15.75" customHeight="1" x14ac:dyDescent="0.25"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</row>
    <row r="93" spans="15:54" ht="15.75" customHeight="1" x14ac:dyDescent="0.25"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</row>
    <row r="94" spans="15:54" ht="15.75" customHeight="1" x14ac:dyDescent="0.25"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</row>
    <row r="95" spans="15:54" ht="15.75" customHeight="1" x14ac:dyDescent="0.25"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</row>
    <row r="96" spans="15:54" ht="15.75" customHeight="1" x14ac:dyDescent="0.25"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</row>
    <row r="97" spans="15:54" ht="15.75" customHeight="1" x14ac:dyDescent="0.25"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</row>
    <row r="98" spans="15:54" ht="15.75" customHeight="1" x14ac:dyDescent="0.25"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</row>
    <row r="99" spans="15:54" ht="15.75" customHeight="1" x14ac:dyDescent="0.25"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</row>
    <row r="100" spans="15:54" ht="15.75" customHeight="1" x14ac:dyDescent="0.25"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</row>
    <row r="101" spans="15:54" ht="15.75" customHeight="1" x14ac:dyDescent="0.25"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</row>
    <row r="102" spans="15:54" ht="15.75" customHeight="1" x14ac:dyDescent="0.25"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</row>
    <row r="103" spans="15:54" ht="15.75" customHeight="1" x14ac:dyDescent="0.25"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</row>
    <row r="104" spans="15:54" ht="15.75" customHeight="1" x14ac:dyDescent="0.25"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</row>
    <row r="105" spans="15:54" ht="15.75" customHeight="1" x14ac:dyDescent="0.25"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</row>
    <row r="106" spans="15:54" ht="15.75" customHeight="1" x14ac:dyDescent="0.25"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</row>
    <row r="107" spans="15:54" ht="15.75" customHeight="1" x14ac:dyDescent="0.25"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</row>
    <row r="108" spans="15:54" ht="15.75" customHeight="1" x14ac:dyDescent="0.25"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</row>
    <row r="109" spans="15:54" ht="15.75" customHeight="1" x14ac:dyDescent="0.25"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</row>
    <row r="110" spans="15:54" ht="15.75" customHeight="1" x14ac:dyDescent="0.25"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</row>
    <row r="111" spans="15:54" ht="15.75" customHeight="1" x14ac:dyDescent="0.25"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</row>
    <row r="112" spans="15:54" ht="15.75" customHeight="1" x14ac:dyDescent="0.25"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</row>
    <row r="113" spans="15:54" ht="15.75" customHeight="1" x14ac:dyDescent="0.25"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</row>
    <row r="114" spans="15:54" ht="15.75" customHeight="1" x14ac:dyDescent="0.25"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</row>
    <row r="115" spans="15:54" ht="15.75" customHeight="1" x14ac:dyDescent="0.25"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</row>
    <row r="116" spans="15:54" ht="15.75" customHeight="1" x14ac:dyDescent="0.25"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</row>
    <row r="117" spans="15:54" ht="15.75" customHeight="1" x14ac:dyDescent="0.25"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</row>
    <row r="118" spans="15:54" ht="15.75" customHeight="1" x14ac:dyDescent="0.25"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</row>
    <row r="119" spans="15:54" ht="15.75" customHeight="1" x14ac:dyDescent="0.25"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</row>
    <row r="120" spans="15:54" ht="15.75" customHeight="1" x14ac:dyDescent="0.25"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</row>
    <row r="121" spans="15:54" ht="15.75" customHeight="1" x14ac:dyDescent="0.25"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</row>
    <row r="122" spans="15:54" ht="15.75" customHeight="1" x14ac:dyDescent="0.25"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</row>
    <row r="123" spans="15:54" ht="15.75" customHeight="1" x14ac:dyDescent="0.25"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</row>
    <row r="124" spans="15:54" ht="15.75" customHeight="1" x14ac:dyDescent="0.25"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</row>
    <row r="125" spans="15:54" ht="15.75" customHeight="1" x14ac:dyDescent="0.25"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</row>
    <row r="126" spans="15:54" ht="15.75" customHeight="1" x14ac:dyDescent="0.25"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</row>
    <row r="127" spans="15:54" ht="15.75" customHeight="1" x14ac:dyDescent="0.25"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</row>
    <row r="128" spans="15:54" ht="15.75" customHeight="1" x14ac:dyDescent="0.25"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</row>
    <row r="129" spans="15:54" ht="15.75" customHeight="1" x14ac:dyDescent="0.25"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</row>
    <row r="130" spans="15:54" ht="15.75" customHeight="1" x14ac:dyDescent="0.25"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</row>
    <row r="131" spans="15:54" ht="15.75" customHeight="1" x14ac:dyDescent="0.25"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</row>
    <row r="132" spans="15:54" ht="15.75" customHeight="1" x14ac:dyDescent="0.25"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</row>
    <row r="133" spans="15:54" ht="15.75" customHeight="1" x14ac:dyDescent="0.25"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</row>
    <row r="134" spans="15:54" ht="15.75" customHeight="1" x14ac:dyDescent="0.25"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</row>
    <row r="135" spans="15:54" ht="15.75" customHeight="1" x14ac:dyDescent="0.25"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</row>
    <row r="136" spans="15:54" ht="15.75" customHeight="1" x14ac:dyDescent="0.25"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</row>
    <row r="137" spans="15:54" ht="15.75" customHeight="1" x14ac:dyDescent="0.25"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</row>
    <row r="138" spans="15:54" ht="15.75" customHeight="1" x14ac:dyDescent="0.25"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</row>
    <row r="139" spans="15:54" ht="15.75" customHeight="1" x14ac:dyDescent="0.25"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</row>
    <row r="140" spans="15:54" ht="15.75" customHeight="1" x14ac:dyDescent="0.25"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</row>
    <row r="141" spans="15:54" ht="15.75" customHeight="1" x14ac:dyDescent="0.25"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</row>
    <row r="142" spans="15:54" ht="15.75" customHeight="1" x14ac:dyDescent="0.25"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</row>
    <row r="143" spans="15:54" ht="15.75" customHeight="1" x14ac:dyDescent="0.25"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</row>
    <row r="144" spans="15:54" ht="15.75" customHeight="1" x14ac:dyDescent="0.25"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</row>
    <row r="145" spans="15:54" ht="15.75" customHeight="1" x14ac:dyDescent="0.25"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</row>
    <row r="146" spans="15:54" ht="15.75" customHeight="1" x14ac:dyDescent="0.25"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</row>
    <row r="147" spans="15:54" ht="15.75" customHeight="1" x14ac:dyDescent="0.25"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</row>
    <row r="148" spans="15:54" ht="15.75" customHeight="1" x14ac:dyDescent="0.25"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</row>
    <row r="149" spans="15:54" ht="15.75" customHeight="1" x14ac:dyDescent="0.25"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</row>
    <row r="150" spans="15:54" ht="15.75" customHeight="1" x14ac:dyDescent="0.25"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</row>
    <row r="151" spans="15:54" ht="15.75" customHeight="1" x14ac:dyDescent="0.25"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</row>
    <row r="152" spans="15:54" ht="15.75" customHeight="1" x14ac:dyDescent="0.25"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</row>
    <row r="153" spans="15:54" ht="15.75" customHeight="1" x14ac:dyDescent="0.25"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</row>
    <row r="154" spans="15:54" ht="15.75" customHeight="1" x14ac:dyDescent="0.25"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</row>
    <row r="155" spans="15:54" ht="15.75" customHeight="1" x14ac:dyDescent="0.25"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</row>
    <row r="156" spans="15:54" ht="15.75" customHeight="1" x14ac:dyDescent="0.25"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</row>
    <row r="157" spans="15:54" ht="15.75" customHeight="1" x14ac:dyDescent="0.25"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</row>
    <row r="158" spans="15:54" ht="15.75" customHeight="1" x14ac:dyDescent="0.25"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</row>
    <row r="159" spans="15:54" ht="15.75" customHeight="1" x14ac:dyDescent="0.25"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</row>
    <row r="160" spans="15:54" ht="15.75" customHeight="1" x14ac:dyDescent="0.25"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</row>
    <row r="161" spans="15:54" ht="15.75" customHeight="1" x14ac:dyDescent="0.25"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</row>
    <row r="162" spans="15:54" ht="15.75" customHeight="1" x14ac:dyDescent="0.25"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</row>
    <row r="163" spans="15:54" ht="15.75" customHeight="1" x14ac:dyDescent="0.25"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</row>
    <row r="164" spans="15:54" ht="15.75" customHeight="1" x14ac:dyDescent="0.25"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</row>
    <row r="165" spans="15:54" ht="15.75" customHeight="1" x14ac:dyDescent="0.25"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</row>
    <row r="166" spans="15:54" ht="15.75" customHeight="1" x14ac:dyDescent="0.25"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</row>
    <row r="167" spans="15:54" ht="15.75" customHeight="1" x14ac:dyDescent="0.25"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</row>
    <row r="168" spans="15:54" ht="15.75" customHeight="1" x14ac:dyDescent="0.25"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</row>
    <row r="169" spans="15:54" ht="15.75" customHeight="1" x14ac:dyDescent="0.25"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</row>
    <row r="170" spans="15:54" ht="15.75" customHeight="1" x14ac:dyDescent="0.25"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</row>
    <row r="171" spans="15:54" ht="15.75" customHeight="1" x14ac:dyDescent="0.25"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</row>
    <row r="172" spans="15:54" ht="15.75" customHeight="1" x14ac:dyDescent="0.25"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</row>
    <row r="173" spans="15:54" ht="15.75" customHeight="1" x14ac:dyDescent="0.25"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</row>
    <row r="174" spans="15:54" ht="15.75" customHeight="1" x14ac:dyDescent="0.25"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</row>
    <row r="175" spans="15:54" ht="15.75" customHeight="1" x14ac:dyDescent="0.25"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</row>
    <row r="176" spans="15:54" ht="15.75" customHeight="1" x14ac:dyDescent="0.25"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</row>
    <row r="177" spans="15:54" ht="15.75" customHeight="1" x14ac:dyDescent="0.25"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</row>
    <row r="178" spans="15:54" ht="15.75" customHeight="1" x14ac:dyDescent="0.25"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</row>
    <row r="179" spans="15:54" ht="15.75" customHeight="1" x14ac:dyDescent="0.25"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</row>
    <row r="180" spans="15:54" ht="15.75" customHeight="1" x14ac:dyDescent="0.25"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</row>
    <row r="181" spans="15:54" ht="15.75" customHeight="1" x14ac:dyDescent="0.25"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</row>
    <row r="182" spans="15:54" ht="15.75" customHeight="1" x14ac:dyDescent="0.25"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</row>
    <row r="183" spans="15:54" ht="15.75" customHeight="1" x14ac:dyDescent="0.25"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</row>
    <row r="184" spans="15:54" ht="15.75" customHeight="1" x14ac:dyDescent="0.25"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</row>
    <row r="185" spans="15:54" ht="15.75" customHeight="1" x14ac:dyDescent="0.25"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</row>
    <row r="186" spans="15:54" ht="15.75" customHeight="1" x14ac:dyDescent="0.25"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</row>
    <row r="187" spans="15:54" ht="15.75" customHeight="1" x14ac:dyDescent="0.25"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</row>
    <row r="188" spans="15:54" ht="15.75" customHeight="1" x14ac:dyDescent="0.25"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</row>
    <row r="189" spans="15:54" ht="15.75" customHeight="1" x14ac:dyDescent="0.25"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</row>
    <row r="190" spans="15:54" ht="15.75" customHeight="1" x14ac:dyDescent="0.25"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</row>
    <row r="191" spans="15:54" ht="15.75" customHeight="1" x14ac:dyDescent="0.25"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</row>
    <row r="192" spans="15:54" ht="15.75" customHeight="1" x14ac:dyDescent="0.25"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</row>
    <row r="193" spans="15:54" ht="15.75" customHeight="1" x14ac:dyDescent="0.25"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</row>
    <row r="194" spans="15:54" ht="15.75" customHeight="1" x14ac:dyDescent="0.25"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</row>
    <row r="195" spans="15:54" ht="15.75" customHeight="1" x14ac:dyDescent="0.25"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</row>
    <row r="196" spans="15:54" ht="15.75" customHeight="1" x14ac:dyDescent="0.25"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</row>
    <row r="197" spans="15:54" ht="15.75" customHeight="1" x14ac:dyDescent="0.25"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</row>
    <row r="198" spans="15:54" ht="15.75" customHeight="1" x14ac:dyDescent="0.25"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</row>
    <row r="199" spans="15:54" ht="15.75" customHeight="1" x14ac:dyDescent="0.25"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</row>
    <row r="200" spans="15:54" ht="15.75" customHeight="1" x14ac:dyDescent="0.25"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</row>
    <row r="201" spans="15:54" ht="15.75" customHeight="1" x14ac:dyDescent="0.25"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</row>
    <row r="202" spans="15:54" ht="15.75" customHeight="1" x14ac:dyDescent="0.25"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</row>
    <row r="203" spans="15:54" ht="15.75" customHeight="1" x14ac:dyDescent="0.25"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</row>
    <row r="204" spans="15:54" ht="15.75" customHeight="1" x14ac:dyDescent="0.25"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</row>
    <row r="205" spans="15:54" ht="15.75" customHeight="1" x14ac:dyDescent="0.25"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</row>
    <row r="206" spans="15:54" ht="15.75" customHeight="1" x14ac:dyDescent="0.25"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</row>
    <row r="207" spans="15:54" ht="15.75" customHeight="1" x14ac:dyDescent="0.25"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</row>
    <row r="208" spans="15:54" ht="15.75" customHeight="1" x14ac:dyDescent="0.25"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</row>
    <row r="209" spans="15:54" ht="15.75" customHeight="1" x14ac:dyDescent="0.25"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</row>
    <row r="210" spans="15:54" ht="15.75" customHeight="1" x14ac:dyDescent="0.25"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</row>
    <row r="211" spans="15:54" ht="15.75" customHeight="1" x14ac:dyDescent="0.25"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</row>
    <row r="212" spans="15:54" ht="15.75" customHeight="1" x14ac:dyDescent="0.25"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</row>
    <row r="213" spans="15:54" ht="15.75" customHeight="1" x14ac:dyDescent="0.25"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</row>
    <row r="214" spans="15:54" ht="15.75" customHeight="1" x14ac:dyDescent="0.25"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</row>
    <row r="215" spans="15:54" ht="15.75" customHeight="1" x14ac:dyDescent="0.25"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</row>
    <row r="216" spans="15:54" ht="15.75" customHeight="1" x14ac:dyDescent="0.25"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</row>
    <row r="217" spans="15:54" ht="15.75" customHeight="1" x14ac:dyDescent="0.25"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</row>
    <row r="218" spans="15:54" ht="15.75" customHeight="1" x14ac:dyDescent="0.25"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</row>
    <row r="219" spans="15:54" ht="15.75" customHeight="1" x14ac:dyDescent="0.25"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</row>
    <row r="220" spans="15:54" ht="15.75" customHeight="1" x14ac:dyDescent="0.25"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</row>
    <row r="221" spans="15:54" ht="15.75" customHeight="1" x14ac:dyDescent="0.25"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</row>
    <row r="222" spans="15:54" ht="15.75" customHeight="1" x14ac:dyDescent="0.25"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</row>
    <row r="223" spans="15:54" ht="15.75" customHeight="1" x14ac:dyDescent="0.25"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</row>
    <row r="224" spans="15:54" ht="15.75" customHeight="1" x14ac:dyDescent="0.25"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</row>
    <row r="225" spans="15:54" ht="15.75" customHeight="1" x14ac:dyDescent="0.25"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</row>
    <row r="226" spans="15:54" ht="15.75" customHeight="1" x14ac:dyDescent="0.25"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</row>
    <row r="227" spans="15:54" ht="15.75" customHeight="1" x14ac:dyDescent="0.25"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</row>
    <row r="228" spans="15:54" ht="15.75" customHeight="1" x14ac:dyDescent="0.25"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</row>
    <row r="229" spans="15:54" ht="15.75" customHeight="1" x14ac:dyDescent="0.25"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</row>
    <row r="230" spans="15:54" ht="15.75" customHeight="1" x14ac:dyDescent="0.25"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</row>
    <row r="231" spans="15:54" ht="15.75" customHeight="1" x14ac:dyDescent="0.25"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</row>
    <row r="232" spans="15:54" ht="15.75" customHeight="1" x14ac:dyDescent="0.25"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</row>
    <row r="233" spans="15:54" ht="15.75" customHeight="1" x14ac:dyDescent="0.25"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</row>
    <row r="234" spans="15:54" ht="15.75" customHeight="1" x14ac:dyDescent="0.25"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</row>
    <row r="235" spans="15:54" ht="15.75" customHeight="1" x14ac:dyDescent="0.25"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</row>
    <row r="236" spans="15:54" ht="15.75" customHeight="1" x14ac:dyDescent="0.25"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</row>
    <row r="237" spans="15:54" ht="15.75" customHeight="1" x14ac:dyDescent="0.25"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</row>
    <row r="238" spans="15:54" ht="15.75" customHeight="1" x14ac:dyDescent="0.25"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</row>
    <row r="239" spans="15:54" ht="15.75" customHeight="1" x14ac:dyDescent="0.25"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</row>
    <row r="240" spans="15:54" ht="15.75" customHeight="1" x14ac:dyDescent="0.25"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</row>
    <row r="241" spans="15:54" ht="15.75" customHeight="1" x14ac:dyDescent="0.25"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</row>
    <row r="242" spans="15:54" ht="15.75" customHeight="1" x14ac:dyDescent="0.25"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</row>
    <row r="243" spans="15:54" ht="15.75" customHeight="1" x14ac:dyDescent="0.25"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</row>
    <row r="244" spans="15:54" ht="15.75" customHeight="1" x14ac:dyDescent="0.25"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</row>
    <row r="245" spans="15:54" ht="15.75" customHeight="1" x14ac:dyDescent="0.25"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</row>
    <row r="246" spans="15:54" ht="15.75" customHeight="1" x14ac:dyDescent="0.25"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</row>
    <row r="247" spans="15:54" ht="15.75" customHeight="1" x14ac:dyDescent="0.25"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</row>
    <row r="248" spans="15:54" ht="15.75" customHeight="1" x14ac:dyDescent="0.25"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</row>
    <row r="249" spans="15:54" ht="15.75" customHeight="1" x14ac:dyDescent="0.25"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</row>
    <row r="250" spans="15:54" ht="15.75" customHeight="1" x14ac:dyDescent="0.25"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</row>
    <row r="251" spans="15:54" ht="15.75" customHeight="1" x14ac:dyDescent="0.25"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</row>
    <row r="252" spans="15:54" ht="15.75" customHeight="1" x14ac:dyDescent="0.25"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</row>
    <row r="253" spans="15:54" ht="15.75" customHeight="1" x14ac:dyDescent="0.25"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</row>
    <row r="254" spans="15:54" ht="15.75" customHeight="1" x14ac:dyDescent="0.25"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</row>
    <row r="255" spans="15:54" ht="15.75" customHeight="1" x14ac:dyDescent="0.25"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</row>
    <row r="256" spans="15:54" ht="15.75" customHeight="1" x14ac:dyDescent="0.25"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</row>
    <row r="257" spans="15:54" ht="15.75" customHeight="1" x14ac:dyDescent="0.25"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</row>
    <row r="258" spans="15:54" ht="15.75" customHeight="1" x14ac:dyDescent="0.25"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</row>
    <row r="259" spans="15:54" ht="15.75" customHeight="1" x14ac:dyDescent="0.25"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</row>
    <row r="260" spans="15:54" ht="15.75" customHeight="1" x14ac:dyDescent="0.25"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</row>
    <row r="261" spans="15:54" ht="15.75" customHeight="1" x14ac:dyDescent="0.25"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</row>
    <row r="262" spans="15:54" ht="15.75" customHeight="1" x14ac:dyDescent="0.25"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</row>
    <row r="263" spans="15:54" ht="15.75" customHeight="1" x14ac:dyDescent="0.25"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</row>
    <row r="264" spans="15:54" ht="15.75" customHeight="1" x14ac:dyDescent="0.25"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</row>
    <row r="265" spans="15:54" ht="15.75" customHeight="1" x14ac:dyDescent="0.25"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</row>
    <row r="266" spans="15:54" ht="15.75" customHeight="1" x14ac:dyDescent="0.25"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</row>
    <row r="267" spans="15:54" ht="15.75" customHeight="1" x14ac:dyDescent="0.25"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</row>
    <row r="268" spans="15:54" ht="15.75" customHeight="1" x14ac:dyDescent="0.25"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</row>
    <row r="269" spans="15:54" ht="15.75" customHeight="1" x14ac:dyDescent="0.25"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</row>
    <row r="270" spans="15:54" ht="15.75" customHeight="1" x14ac:dyDescent="0.25"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</row>
    <row r="271" spans="15:54" ht="15.75" customHeight="1" x14ac:dyDescent="0.25"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</row>
    <row r="272" spans="15:54" ht="15.75" customHeight="1" x14ac:dyDescent="0.25"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</row>
    <row r="273" spans="15:54" ht="15.75" customHeight="1" x14ac:dyDescent="0.25"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</row>
    <row r="274" spans="15:54" ht="15.75" customHeight="1" x14ac:dyDescent="0.25"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</row>
    <row r="275" spans="15:54" ht="15.75" customHeight="1" x14ac:dyDescent="0.25"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</row>
    <row r="276" spans="15:54" ht="15.75" customHeight="1" x14ac:dyDescent="0.25"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</row>
    <row r="277" spans="15:54" ht="15.75" customHeight="1" x14ac:dyDescent="0.25"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</row>
    <row r="278" spans="15:54" ht="15.75" customHeight="1" x14ac:dyDescent="0.25"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</row>
    <row r="279" spans="15:54" ht="15.75" customHeight="1" x14ac:dyDescent="0.25"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</row>
    <row r="280" spans="15:54" ht="15.75" customHeight="1" x14ac:dyDescent="0.25"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</row>
    <row r="281" spans="15:54" ht="15.75" customHeight="1" x14ac:dyDescent="0.25"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</row>
    <row r="282" spans="15:54" ht="15.75" customHeight="1" x14ac:dyDescent="0.25"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</row>
    <row r="283" spans="15:54" ht="15.75" customHeight="1" x14ac:dyDescent="0.25"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</row>
    <row r="284" spans="15:54" ht="15.75" customHeight="1" x14ac:dyDescent="0.25"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</row>
    <row r="285" spans="15:54" ht="15.75" customHeight="1" x14ac:dyDescent="0.25"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</row>
    <row r="286" spans="15:54" ht="15.75" customHeight="1" x14ac:dyDescent="0.25"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</row>
    <row r="287" spans="15:54" ht="15.75" customHeight="1" x14ac:dyDescent="0.25"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</row>
    <row r="288" spans="15:54" ht="15.75" customHeight="1" x14ac:dyDescent="0.25"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</row>
    <row r="289" spans="15:54" ht="15.75" customHeight="1" x14ac:dyDescent="0.25"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</row>
    <row r="290" spans="15:54" ht="15.75" customHeight="1" x14ac:dyDescent="0.25"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</row>
    <row r="291" spans="15:54" ht="15.75" customHeight="1" x14ac:dyDescent="0.25"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</row>
    <row r="292" spans="15:54" ht="15.75" customHeight="1" x14ac:dyDescent="0.25"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</row>
    <row r="293" spans="15:54" ht="15.75" customHeight="1" x14ac:dyDescent="0.25"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</row>
    <row r="294" spans="15:54" ht="15.75" customHeight="1" x14ac:dyDescent="0.25"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</row>
    <row r="295" spans="15:54" ht="15.75" customHeight="1" x14ac:dyDescent="0.25"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</row>
    <row r="296" spans="15:54" ht="15.75" customHeight="1" x14ac:dyDescent="0.25"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</row>
    <row r="297" spans="15:54" ht="15.75" customHeight="1" x14ac:dyDescent="0.25"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</row>
    <row r="298" spans="15:54" ht="15.75" customHeight="1" x14ac:dyDescent="0.25"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</row>
    <row r="299" spans="15:54" ht="15.75" customHeight="1" x14ac:dyDescent="0.25"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</row>
    <row r="300" spans="15:54" ht="15.75" customHeight="1" x14ac:dyDescent="0.25"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</row>
    <row r="301" spans="15:54" ht="15.75" customHeight="1" x14ac:dyDescent="0.25"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</row>
    <row r="302" spans="15:54" ht="15.75" customHeight="1" x14ac:dyDescent="0.25"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</row>
    <row r="303" spans="15:54" ht="15.75" customHeight="1" x14ac:dyDescent="0.25"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</row>
    <row r="304" spans="15:54" ht="15.75" customHeight="1" x14ac:dyDescent="0.25"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</row>
    <row r="305" spans="15:54" ht="15.75" customHeight="1" x14ac:dyDescent="0.25"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</row>
    <row r="306" spans="15:54" ht="15.75" customHeight="1" x14ac:dyDescent="0.25"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</row>
    <row r="307" spans="15:54" ht="15.75" customHeight="1" x14ac:dyDescent="0.25"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</row>
    <row r="308" spans="15:54" ht="15.75" customHeight="1" x14ac:dyDescent="0.25"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</row>
    <row r="309" spans="15:54" ht="15.75" customHeight="1" x14ac:dyDescent="0.25"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</row>
    <row r="310" spans="15:54" ht="15.75" customHeight="1" x14ac:dyDescent="0.25"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</row>
    <row r="311" spans="15:54" ht="15.75" customHeight="1" x14ac:dyDescent="0.25"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</row>
    <row r="312" spans="15:54" ht="15.75" customHeight="1" x14ac:dyDescent="0.25"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</row>
    <row r="313" spans="15:54" ht="15.75" customHeight="1" x14ac:dyDescent="0.25"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</row>
    <row r="314" spans="15:54" ht="15.75" customHeight="1" x14ac:dyDescent="0.25"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</row>
    <row r="315" spans="15:54" ht="15.75" customHeight="1" x14ac:dyDescent="0.25"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</row>
    <row r="316" spans="15:54" ht="15.75" customHeight="1" x14ac:dyDescent="0.25"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</row>
    <row r="317" spans="15:54" ht="15.75" customHeight="1" x14ac:dyDescent="0.25"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</row>
    <row r="318" spans="15:54" ht="15.75" customHeight="1" x14ac:dyDescent="0.25"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</row>
    <row r="319" spans="15:54" ht="15.75" customHeight="1" x14ac:dyDescent="0.25"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</row>
    <row r="320" spans="15:54" ht="15.75" customHeight="1" x14ac:dyDescent="0.25"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</row>
    <row r="321" spans="15:54" ht="15.75" customHeight="1" x14ac:dyDescent="0.25"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</row>
    <row r="322" spans="15:54" ht="15.75" customHeight="1" x14ac:dyDescent="0.25"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</row>
    <row r="323" spans="15:54" ht="15.75" customHeight="1" x14ac:dyDescent="0.25"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</row>
    <row r="324" spans="15:54" ht="15.75" customHeight="1" x14ac:dyDescent="0.25"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</row>
    <row r="325" spans="15:54" ht="15.75" customHeight="1" x14ac:dyDescent="0.25"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</row>
    <row r="326" spans="15:54" ht="15.75" customHeight="1" x14ac:dyDescent="0.25"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</row>
    <row r="327" spans="15:54" ht="15.75" customHeight="1" x14ac:dyDescent="0.25"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</row>
    <row r="328" spans="15:54" ht="15.75" customHeight="1" x14ac:dyDescent="0.25"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</row>
    <row r="329" spans="15:54" ht="15.75" customHeight="1" x14ac:dyDescent="0.25"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</row>
    <row r="330" spans="15:54" ht="15.75" customHeight="1" x14ac:dyDescent="0.25"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</row>
    <row r="331" spans="15:54" ht="15.75" customHeight="1" x14ac:dyDescent="0.25"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</row>
    <row r="332" spans="15:54" ht="15.75" customHeight="1" x14ac:dyDescent="0.25"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</row>
    <row r="333" spans="15:54" ht="15.75" customHeight="1" x14ac:dyDescent="0.25"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</row>
    <row r="334" spans="15:54" ht="15.75" customHeight="1" x14ac:dyDescent="0.25"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</row>
    <row r="335" spans="15:54" ht="15.75" customHeight="1" x14ac:dyDescent="0.25"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</row>
    <row r="336" spans="15:54" ht="15.75" customHeight="1" x14ac:dyDescent="0.25"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</row>
    <row r="337" spans="15:54" ht="15.75" customHeight="1" x14ac:dyDescent="0.25"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</row>
    <row r="338" spans="15:54" ht="15.75" customHeight="1" x14ac:dyDescent="0.25"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</row>
    <row r="339" spans="15:54" ht="15.75" customHeight="1" x14ac:dyDescent="0.25"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</row>
    <row r="340" spans="15:54" ht="15.75" customHeight="1" x14ac:dyDescent="0.25"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</row>
    <row r="341" spans="15:54" ht="15.75" customHeight="1" x14ac:dyDescent="0.25"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</row>
    <row r="342" spans="15:54" ht="15.75" customHeight="1" x14ac:dyDescent="0.25"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</row>
    <row r="343" spans="15:54" ht="15.75" customHeight="1" x14ac:dyDescent="0.25"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</row>
    <row r="344" spans="15:54" ht="15.75" customHeight="1" x14ac:dyDescent="0.25"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</row>
    <row r="345" spans="15:54" ht="15.75" customHeight="1" x14ac:dyDescent="0.25"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</row>
    <row r="346" spans="15:54" ht="15.75" customHeight="1" x14ac:dyDescent="0.25"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</row>
    <row r="347" spans="15:54" ht="15.75" customHeight="1" x14ac:dyDescent="0.25"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</row>
    <row r="348" spans="15:54" ht="15.75" customHeight="1" x14ac:dyDescent="0.25"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</row>
    <row r="349" spans="15:54" ht="15.75" customHeight="1" x14ac:dyDescent="0.25"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</row>
    <row r="350" spans="15:54" ht="15.75" customHeight="1" x14ac:dyDescent="0.25"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</row>
    <row r="351" spans="15:54" ht="15.75" customHeight="1" x14ac:dyDescent="0.25"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</row>
    <row r="352" spans="15:54" ht="15.75" customHeight="1" x14ac:dyDescent="0.25"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</row>
    <row r="353" spans="15:54" ht="15.75" customHeight="1" x14ac:dyDescent="0.25"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</row>
    <row r="354" spans="15:54" ht="15.75" customHeight="1" x14ac:dyDescent="0.25"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</row>
    <row r="355" spans="15:54" ht="15.75" customHeight="1" x14ac:dyDescent="0.25"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</row>
    <row r="356" spans="15:54" ht="15.75" customHeight="1" x14ac:dyDescent="0.25"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</row>
    <row r="357" spans="15:54" ht="15.75" customHeight="1" x14ac:dyDescent="0.25"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</row>
    <row r="358" spans="15:54" ht="15.75" customHeight="1" x14ac:dyDescent="0.25"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</row>
    <row r="359" spans="15:54" ht="15.75" customHeight="1" x14ac:dyDescent="0.25"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</row>
    <row r="360" spans="15:54" ht="15.75" customHeight="1" x14ac:dyDescent="0.25"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</row>
    <row r="361" spans="15:54" ht="15.75" customHeight="1" x14ac:dyDescent="0.25"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</row>
    <row r="362" spans="15:54" ht="15.75" customHeight="1" x14ac:dyDescent="0.25"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</row>
    <row r="363" spans="15:54" ht="15.75" customHeight="1" x14ac:dyDescent="0.25"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</row>
    <row r="364" spans="15:54" ht="15.75" customHeight="1" x14ac:dyDescent="0.25"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</row>
    <row r="365" spans="15:54" ht="15.75" customHeight="1" x14ac:dyDescent="0.25"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</row>
    <row r="366" spans="15:54" ht="15.75" customHeight="1" x14ac:dyDescent="0.25"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</row>
    <row r="367" spans="15:54" ht="15.75" customHeight="1" x14ac:dyDescent="0.25"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</row>
    <row r="368" spans="15:54" ht="15.75" customHeight="1" x14ac:dyDescent="0.25"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</row>
    <row r="369" spans="15:54" ht="15.75" customHeight="1" x14ac:dyDescent="0.25"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</row>
    <row r="370" spans="15:54" ht="15.75" customHeight="1" x14ac:dyDescent="0.25"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</row>
    <row r="371" spans="15:54" ht="15.75" customHeight="1" x14ac:dyDescent="0.25"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</row>
    <row r="372" spans="15:54" ht="15.75" customHeight="1" x14ac:dyDescent="0.25"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</row>
    <row r="373" spans="15:54" ht="15.75" customHeight="1" x14ac:dyDescent="0.25"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</row>
    <row r="374" spans="15:54" ht="15.75" customHeight="1" x14ac:dyDescent="0.25"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</row>
    <row r="375" spans="15:54" ht="15.75" customHeight="1" x14ac:dyDescent="0.25"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</row>
    <row r="376" spans="15:54" ht="15.75" customHeight="1" x14ac:dyDescent="0.25"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</row>
    <row r="377" spans="15:54" ht="15.75" customHeight="1" x14ac:dyDescent="0.25"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</row>
    <row r="378" spans="15:54" ht="15.75" customHeight="1" x14ac:dyDescent="0.25"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</row>
    <row r="379" spans="15:54" ht="15.75" customHeight="1" x14ac:dyDescent="0.25"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</row>
    <row r="380" spans="15:54" ht="15.75" customHeight="1" x14ac:dyDescent="0.25"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</row>
    <row r="381" spans="15:54" ht="15.75" customHeight="1" x14ac:dyDescent="0.25"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</row>
    <row r="382" spans="15:54" ht="15.75" customHeight="1" x14ac:dyDescent="0.25"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</row>
    <row r="383" spans="15:54" ht="15.75" customHeight="1" x14ac:dyDescent="0.25"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</row>
    <row r="384" spans="15:54" ht="15.75" customHeight="1" x14ac:dyDescent="0.25"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</row>
    <row r="385" spans="15:54" ht="15.75" customHeight="1" x14ac:dyDescent="0.25"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</row>
    <row r="386" spans="15:54" ht="15.75" customHeight="1" x14ac:dyDescent="0.25"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</row>
    <row r="387" spans="15:54" ht="15.75" customHeight="1" x14ac:dyDescent="0.25"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</row>
    <row r="388" spans="15:54" ht="15.75" customHeight="1" x14ac:dyDescent="0.25"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</row>
    <row r="389" spans="15:54" ht="15.75" customHeight="1" x14ac:dyDescent="0.25"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</row>
    <row r="390" spans="15:54" ht="15.75" customHeight="1" x14ac:dyDescent="0.25"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</row>
    <row r="391" spans="15:54" ht="15.75" customHeight="1" x14ac:dyDescent="0.25"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</row>
    <row r="392" spans="15:54" ht="15.75" customHeight="1" x14ac:dyDescent="0.25"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</row>
    <row r="393" spans="15:54" ht="15.75" customHeight="1" x14ac:dyDescent="0.25"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</row>
    <row r="394" spans="15:54" ht="15.75" customHeight="1" x14ac:dyDescent="0.25"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</row>
    <row r="395" spans="15:54" ht="15.75" customHeight="1" x14ac:dyDescent="0.25"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</row>
    <row r="396" spans="15:54" ht="15.75" customHeight="1" x14ac:dyDescent="0.25"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</row>
    <row r="397" spans="15:54" ht="15.75" customHeight="1" x14ac:dyDescent="0.25"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</row>
    <row r="398" spans="15:54" ht="15.75" customHeight="1" x14ac:dyDescent="0.25"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</row>
    <row r="399" spans="15:54" ht="15.75" customHeight="1" x14ac:dyDescent="0.25"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</row>
    <row r="400" spans="15:54" ht="15.75" customHeight="1" x14ac:dyDescent="0.25"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</row>
    <row r="401" spans="15:54" ht="15.75" customHeight="1" x14ac:dyDescent="0.25"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</row>
    <row r="402" spans="15:54" ht="15.75" customHeight="1" x14ac:dyDescent="0.25"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</row>
    <row r="403" spans="15:54" ht="15.75" customHeight="1" x14ac:dyDescent="0.25"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</row>
    <row r="404" spans="15:54" ht="15.75" customHeight="1" x14ac:dyDescent="0.25"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</row>
    <row r="405" spans="15:54" ht="15.75" customHeight="1" x14ac:dyDescent="0.25"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</row>
    <row r="406" spans="15:54" ht="15.75" customHeight="1" x14ac:dyDescent="0.25"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</row>
    <row r="407" spans="15:54" ht="15.75" customHeight="1" x14ac:dyDescent="0.25"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</row>
    <row r="408" spans="15:54" ht="15.75" customHeight="1" x14ac:dyDescent="0.25"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</row>
    <row r="409" spans="15:54" ht="15.75" customHeight="1" x14ac:dyDescent="0.25"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</row>
    <row r="410" spans="15:54" ht="15.75" customHeight="1" x14ac:dyDescent="0.25"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</row>
    <row r="411" spans="15:54" ht="15.75" customHeight="1" x14ac:dyDescent="0.25"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</row>
    <row r="412" spans="15:54" ht="15.75" customHeight="1" x14ac:dyDescent="0.25"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</row>
    <row r="413" spans="15:54" ht="15.75" customHeight="1" x14ac:dyDescent="0.25"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</row>
    <row r="414" spans="15:54" ht="15.75" customHeight="1" x14ac:dyDescent="0.25"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</row>
    <row r="415" spans="15:54" ht="15.75" customHeight="1" x14ac:dyDescent="0.25"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</row>
    <row r="416" spans="15:54" ht="15.75" customHeight="1" x14ac:dyDescent="0.25"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</row>
    <row r="417" spans="15:54" ht="15.75" customHeight="1" x14ac:dyDescent="0.25"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</row>
    <row r="418" spans="15:54" ht="15.75" customHeight="1" x14ac:dyDescent="0.25"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</row>
    <row r="419" spans="15:54" ht="15.75" customHeight="1" x14ac:dyDescent="0.25"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</row>
    <row r="420" spans="15:54" ht="15.75" customHeight="1" x14ac:dyDescent="0.25"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</row>
    <row r="421" spans="15:54" ht="15.75" customHeight="1" x14ac:dyDescent="0.25"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</row>
    <row r="422" spans="15:54" ht="15.75" customHeight="1" x14ac:dyDescent="0.25"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</row>
    <row r="423" spans="15:54" ht="15.75" customHeight="1" x14ac:dyDescent="0.25"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</row>
    <row r="424" spans="15:54" ht="15.75" customHeight="1" x14ac:dyDescent="0.25"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</row>
    <row r="425" spans="15:54" ht="15.75" customHeight="1" x14ac:dyDescent="0.25"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</row>
    <row r="426" spans="15:54" ht="15.75" customHeight="1" x14ac:dyDescent="0.25"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</row>
    <row r="427" spans="15:54" ht="15.75" customHeight="1" x14ac:dyDescent="0.25"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</row>
    <row r="428" spans="15:54" ht="15.75" customHeight="1" x14ac:dyDescent="0.25"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</row>
    <row r="429" spans="15:54" ht="15.75" customHeight="1" x14ac:dyDescent="0.25"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</row>
    <row r="430" spans="15:54" ht="15.75" customHeight="1" x14ac:dyDescent="0.25"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</row>
    <row r="431" spans="15:54" ht="15.75" customHeight="1" x14ac:dyDescent="0.25"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</row>
    <row r="432" spans="15:54" ht="15.75" customHeight="1" x14ac:dyDescent="0.25"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</row>
    <row r="433" spans="15:54" ht="15.75" customHeight="1" x14ac:dyDescent="0.25"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</row>
    <row r="434" spans="15:54" ht="15.75" customHeight="1" x14ac:dyDescent="0.25"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</row>
    <row r="435" spans="15:54" ht="15.75" customHeight="1" x14ac:dyDescent="0.25"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</row>
    <row r="436" spans="15:54" ht="15.75" customHeight="1" x14ac:dyDescent="0.25"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</row>
    <row r="437" spans="15:54" ht="15.75" customHeight="1" x14ac:dyDescent="0.25"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</row>
    <row r="438" spans="15:54" ht="15.75" customHeight="1" x14ac:dyDescent="0.25"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</row>
    <row r="439" spans="15:54" ht="15.75" customHeight="1" x14ac:dyDescent="0.25"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</row>
    <row r="440" spans="15:54" ht="15.75" customHeight="1" x14ac:dyDescent="0.25"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</row>
    <row r="441" spans="15:54" ht="15.75" customHeight="1" x14ac:dyDescent="0.25"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</row>
    <row r="442" spans="15:54" ht="15.75" customHeight="1" x14ac:dyDescent="0.25"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</row>
    <row r="443" spans="15:54" ht="15.75" customHeight="1" x14ac:dyDescent="0.25"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</row>
    <row r="444" spans="15:54" ht="15.75" customHeight="1" x14ac:dyDescent="0.25"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</row>
    <row r="445" spans="15:54" ht="15.75" customHeight="1" x14ac:dyDescent="0.25"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</row>
    <row r="446" spans="15:54" ht="15.75" customHeight="1" x14ac:dyDescent="0.25"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</row>
    <row r="447" spans="15:54" ht="15.75" customHeight="1" x14ac:dyDescent="0.25"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</row>
    <row r="448" spans="15:54" ht="15.75" customHeight="1" x14ac:dyDescent="0.25"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</row>
    <row r="449" spans="15:54" ht="15.75" customHeight="1" x14ac:dyDescent="0.25"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</row>
    <row r="450" spans="15:54" ht="15.75" customHeight="1" x14ac:dyDescent="0.25"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</row>
    <row r="451" spans="15:54" ht="15.75" customHeight="1" x14ac:dyDescent="0.25"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</row>
    <row r="452" spans="15:54" ht="15.75" customHeight="1" x14ac:dyDescent="0.25"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</row>
    <row r="453" spans="15:54" ht="15.75" customHeight="1" x14ac:dyDescent="0.25"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</row>
    <row r="454" spans="15:54" ht="15.75" customHeight="1" x14ac:dyDescent="0.25"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</row>
    <row r="455" spans="15:54" ht="15.75" customHeight="1" x14ac:dyDescent="0.25"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</row>
    <row r="456" spans="15:54" ht="15.75" customHeight="1" x14ac:dyDescent="0.25"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</row>
    <row r="457" spans="15:54" ht="15.75" customHeight="1" x14ac:dyDescent="0.25"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</row>
    <row r="458" spans="15:54" ht="15.75" customHeight="1" x14ac:dyDescent="0.25"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</row>
    <row r="459" spans="15:54" ht="15.75" customHeight="1" x14ac:dyDescent="0.25"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</row>
    <row r="460" spans="15:54" ht="15.75" customHeight="1" x14ac:dyDescent="0.25"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</row>
    <row r="461" spans="15:54" ht="15.75" customHeight="1" x14ac:dyDescent="0.25"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</row>
    <row r="462" spans="15:54" ht="15.75" customHeight="1" x14ac:dyDescent="0.25"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</row>
    <row r="463" spans="15:54" ht="15.75" customHeight="1" x14ac:dyDescent="0.25"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</row>
    <row r="464" spans="15:54" ht="15.75" customHeight="1" x14ac:dyDescent="0.25"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</row>
    <row r="465" spans="15:54" ht="15.75" customHeight="1" x14ac:dyDescent="0.25"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</row>
    <row r="466" spans="15:54" ht="15.75" customHeight="1" x14ac:dyDescent="0.25"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</row>
    <row r="467" spans="15:54" ht="15.75" customHeight="1" x14ac:dyDescent="0.25"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</row>
    <row r="468" spans="15:54" ht="15.75" customHeight="1" x14ac:dyDescent="0.25"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</row>
    <row r="469" spans="15:54" ht="15.75" customHeight="1" x14ac:dyDescent="0.25"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</row>
    <row r="470" spans="15:54" ht="15.75" customHeight="1" x14ac:dyDescent="0.25"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</row>
    <row r="471" spans="15:54" ht="15.75" customHeight="1" x14ac:dyDescent="0.25"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</row>
    <row r="472" spans="15:54" ht="15.75" customHeight="1" x14ac:dyDescent="0.25"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</row>
    <row r="473" spans="15:54" ht="15.75" customHeight="1" x14ac:dyDescent="0.25"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</row>
    <row r="474" spans="15:54" ht="15.75" customHeight="1" x14ac:dyDescent="0.25"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</row>
    <row r="475" spans="15:54" ht="15.75" customHeight="1" x14ac:dyDescent="0.25"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</row>
    <row r="476" spans="15:54" ht="15.75" customHeight="1" x14ac:dyDescent="0.25"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</row>
    <row r="477" spans="15:54" ht="15.75" customHeight="1" x14ac:dyDescent="0.25"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</row>
    <row r="478" spans="15:54" ht="15.75" customHeight="1" x14ac:dyDescent="0.25"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</row>
    <row r="479" spans="15:54" ht="15.75" customHeight="1" x14ac:dyDescent="0.25"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</row>
    <row r="480" spans="15:54" ht="15.75" customHeight="1" x14ac:dyDescent="0.25"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</row>
    <row r="481" spans="15:54" ht="15.75" customHeight="1" x14ac:dyDescent="0.25"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</row>
    <row r="482" spans="15:54" ht="15.75" customHeight="1" x14ac:dyDescent="0.25"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</row>
    <row r="483" spans="15:54" ht="15.75" customHeight="1" x14ac:dyDescent="0.25"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</row>
    <row r="484" spans="15:54" ht="15.75" customHeight="1" x14ac:dyDescent="0.25"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</row>
    <row r="485" spans="15:54" ht="15.75" customHeight="1" x14ac:dyDescent="0.25"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</row>
    <row r="486" spans="15:54" ht="15.75" customHeight="1" x14ac:dyDescent="0.25"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</row>
    <row r="487" spans="15:54" ht="15.75" customHeight="1" x14ac:dyDescent="0.25"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</row>
    <row r="488" spans="15:54" ht="15.75" customHeight="1" x14ac:dyDescent="0.25"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</row>
    <row r="489" spans="15:54" ht="15.75" customHeight="1" x14ac:dyDescent="0.25"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</row>
    <row r="490" spans="15:54" ht="15.75" customHeight="1" x14ac:dyDescent="0.25"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</row>
    <row r="491" spans="15:54" ht="15.75" customHeight="1" x14ac:dyDescent="0.25"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</row>
    <row r="492" spans="15:54" ht="15.75" customHeight="1" x14ac:dyDescent="0.25"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</row>
    <row r="493" spans="15:54" ht="15.75" customHeight="1" x14ac:dyDescent="0.25"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</row>
    <row r="494" spans="15:54" ht="15.75" customHeight="1" x14ac:dyDescent="0.25"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</row>
    <row r="495" spans="15:54" ht="15.75" customHeight="1" x14ac:dyDescent="0.25"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</row>
    <row r="496" spans="15:54" ht="15.75" customHeight="1" x14ac:dyDescent="0.25"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</row>
    <row r="497" spans="15:54" ht="15.75" customHeight="1" x14ac:dyDescent="0.25"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</row>
    <row r="498" spans="15:54" ht="15.75" customHeight="1" x14ac:dyDescent="0.25"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</row>
    <row r="499" spans="15:54" ht="15.75" customHeight="1" x14ac:dyDescent="0.25"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</row>
    <row r="500" spans="15:54" ht="15.75" customHeight="1" x14ac:dyDescent="0.25"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</row>
    <row r="501" spans="15:54" ht="15.75" customHeight="1" x14ac:dyDescent="0.25"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</row>
    <row r="502" spans="15:54" ht="15.75" customHeight="1" x14ac:dyDescent="0.25"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</row>
    <row r="503" spans="15:54" ht="15.75" customHeight="1" x14ac:dyDescent="0.25"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</row>
    <row r="504" spans="15:54" ht="15.75" customHeight="1" x14ac:dyDescent="0.25"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</row>
    <row r="505" spans="15:54" ht="15.75" customHeight="1" x14ac:dyDescent="0.25"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</row>
    <row r="506" spans="15:54" ht="15.75" customHeight="1" x14ac:dyDescent="0.25"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</row>
    <row r="507" spans="15:54" ht="15.75" customHeight="1" x14ac:dyDescent="0.25"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</row>
    <row r="508" spans="15:54" ht="15.75" customHeight="1" x14ac:dyDescent="0.25"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</row>
    <row r="509" spans="15:54" ht="15.75" customHeight="1" x14ac:dyDescent="0.25"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</row>
    <row r="510" spans="15:54" ht="15.75" customHeight="1" x14ac:dyDescent="0.25"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</row>
    <row r="511" spans="15:54" ht="15.75" customHeight="1" x14ac:dyDescent="0.25"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</row>
    <row r="512" spans="15:54" ht="15.75" customHeight="1" x14ac:dyDescent="0.25"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</row>
    <row r="513" spans="15:54" ht="15.75" customHeight="1" x14ac:dyDescent="0.25"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</row>
    <row r="514" spans="15:54" ht="15.75" customHeight="1" x14ac:dyDescent="0.25"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</row>
    <row r="515" spans="15:54" ht="15.75" customHeight="1" x14ac:dyDescent="0.25"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</row>
    <row r="516" spans="15:54" ht="15.75" customHeight="1" x14ac:dyDescent="0.25"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</row>
    <row r="517" spans="15:54" ht="15.75" customHeight="1" x14ac:dyDescent="0.25"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</row>
    <row r="518" spans="15:54" ht="15.75" customHeight="1" x14ac:dyDescent="0.25"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</row>
    <row r="519" spans="15:54" ht="15.75" customHeight="1" x14ac:dyDescent="0.25"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</row>
    <row r="520" spans="15:54" ht="15.75" customHeight="1" x14ac:dyDescent="0.25"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</row>
    <row r="521" spans="15:54" ht="15.75" customHeight="1" x14ac:dyDescent="0.25"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</row>
    <row r="522" spans="15:54" ht="15.75" customHeight="1" x14ac:dyDescent="0.25"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</row>
    <row r="523" spans="15:54" ht="15.75" customHeight="1" x14ac:dyDescent="0.25"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</row>
    <row r="524" spans="15:54" ht="15.75" customHeight="1" x14ac:dyDescent="0.25"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</row>
    <row r="525" spans="15:54" ht="15.75" customHeight="1" x14ac:dyDescent="0.25"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</row>
    <row r="526" spans="15:54" ht="15.75" customHeight="1" x14ac:dyDescent="0.25"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</row>
    <row r="527" spans="15:54" ht="15.75" customHeight="1" x14ac:dyDescent="0.25"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</row>
    <row r="528" spans="15:54" ht="15.75" customHeight="1" x14ac:dyDescent="0.25"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</row>
    <row r="529" spans="15:54" ht="15.75" customHeight="1" x14ac:dyDescent="0.25"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</row>
    <row r="530" spans="15:54" ht="15.75" customHeight="1" x14ac:dyDescent="0.25"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</row>
    <row r="531" spans="15:54" ht="15.75" customHeight="1" x14ac:dyDescent="0.25"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</row>
    <row r="532" spans="15:54" ht="15.75" customHeight="1" x14ac:dyDescent="0.25"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</row>
    <row r="533" spans="15:54" ht="15.75" customHeight="1" x14ac:dyDescent="0.25"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</row>
    <row r="534" spans="15:54" ht="15.75" customHeight="1" x14ac:dyDescent="0.25"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</row>
    <row r="535" spans="15:54" ht="15.75" customHeight="1" x14ac:dyDescent="0.25"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</row>
    <row r="536" spans="15:54" ht="15.75" customHeight="1" x14ac:dyDescent="0.25"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</row>
    <row r="537" spans="15:54" ht="15.75" customHeight="1" x14ac:dyDescent="0.25"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</row>
    <row r="538" spans="15:54" ht="15.75" customHeight="1" x14ac:dyDescent="0.25"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</row>
    <row r="539" spans="15:54" ht="15.75" customHeight="1" x14ac:dyDescent="0.25"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</row>
    <row r="540" spans="15:54" ht="15.75" customHeight="1" x14ac:dyDescent="0.25"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</row>
    <row r="541" spans="15:54" ht="15.75" customHeight="1" x14ac:dyDescent="0.25"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</row>
    <row r="542" spans="15:54" ht="15.75" customHeight="1" x14ac:dyDescent="0.25"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</row>
    <row r="543" spans="15:54" ht="15.75" customHeight="1" x14ac:dyDescent="0.25"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</row>
    <row r="544" spans="15:54" ht="15.75" customHeight="1" x14ac:dyDescent="0.25"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</row>
    <row r="545" spans="15:54" ht="15.75" customHeight="1" x14ac:dyDescent="0.25"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</row>
    <row r="546" spans="15:54" ht="15.75" customHeight="1" x14ac:dyDescent="0.25"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</row>
    <row r="547" spans="15:54" ht="15.75" customHeight="1" x14ac:dyDescent="0.25"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</row>
    <row r="548" spans="15:54" ht="15.75" customHeight="1" x14ac:dyDescent="0.25"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</row>
    <row r="549" spans="15:54" ht="15.75" customHeight="1" x14ac:dyDescent="0.25"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</row>
    <row r="550" spans="15:54" ht="15.75" customHeight="1" x14ac:dyDescent="0.25"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</row>
    <row r="551" spans="15:54" ht="15.75" customHeight="1" x14ac:dyDescent="0.25"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</row>
    <row r="552" spans="15:54" ht="15.75" customHeight="1" x14ac:dyDescent="0.25"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</row>
    <row r="553" spans="15:54" ht="15.75" customHeight="1" x14ac:dyDescent="0.25"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</row>
    <row r="554" spans="15:54" ht="15.75" customHeight="1" x14ac:dyDescent="0.25"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</row>
    <row r="555" spans="15:54" ht="15.75" customHeight="1" x14ac:dyDescent="0.25"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</row>
    <row r="556" spans="15:54" ht="15.75" customHeight="1" x14ac:dyDescent="0.25"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</row>
    <row r="557" spans="15:54" ht="15.75" customHeight="1" x14ac:dyDescent="0.25"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</row>
    <row r="558" spans="15:54" ht="15.75" customHeight="1" x14ac:dyDescent="0.25"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</row>
    <row r="559" spans="15:54" ht="15.75" customHeight="1" x14ac:dyDescent="0.25"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</row>
    <row r="560" spans="15:54" ht="15.75" customHeight="1" x14ac:dyDescent="0.25"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</row>
    <row r="561" spans="15:54" ht="15.75" customHeight="1" x14ac:dyDescent="0.25"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</row>
    <row r="562" spans="15:54" ht="15.75" customHeight="1" x14ac:dyDescent="0.25"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</row>
    <row r="563" spans="15:54" ht="15.75" customHeight="1" x14ac:dyDescent="0.25"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</row>
    <row r="564" spans="15:54" ht="15.75" customHeight="1" x14ac:dyDescent="0.25"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</row>
    <row r="565" spans="15:54" ht="15.75" customHeight="1" x14ac:dyDescent="0.25"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</row>
    <row r="566" spans="15:54" ht="15.75" customHeight="1" x14ac:dyDescent="0.25"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</row>
    <row r="567" spans="15:54" ht="15.75" customHeight="1" x14ac:dyDescent="0.25"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</row>
    <row r="568" spans="15:54" ht="15.75" customHeight="1" x14ac:dyDescent="0.25"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</row>
    <row r="569" spans="15:54" ht="15.75" customHeight="1" x14ac:dyDescent="0.25"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</row>
    <row r="570" spans="15:54" ht="15.75" customHeight="1" x14ac:dyDescent="0.25"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</row>
    <row r="571" spans="15:54" ht="15.75" customHeight="1" x14ac:dyDescent="0.25"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</row>
    <row r="572" spans="15:54" ht="15.75" customHeight="1" x14ac:dyDescent="0.25"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</row>
    <row r="573" spans="15:54" ht="15.75" customHeight="1" x14ac:dyDescent="0.25"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</row>
    <row r="574" spans="15:54" ht="15.75" customHeight="1" x14ac:dyDescent="0.25"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</row>
    <row r="575" spans="15:54" ht="15.75" customHeight="1" x14ac:dyDescent="0.25"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</row>
    <row r="576" spans="15:54" ht="15.75" customHeight="1" x14ac:dyDescent="0.25"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</row>
    <row r="577" spans="15:54" ht="15.75" customHeight="1" x14ac:dyDescent="0.25"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</row>
    <row r="578" spans="15:54" ht="15.75" customHeight="1" x14ac:dyDescent="0.25"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</row>
    <row r="579" spans="15:54" ht="15.75" customHeight="1" x14ac:dyDescent="0.25"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</row>
    <row r="580" spans="15:54" ht="15.75" customHeight="1" x14ac:dyDescent="0.25"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</row>
    <row r="581" spans="15:54" ht="15.75" customHeight="1" x14ac:dyDescent="0.25"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</row>
    <row r="582" spans="15:54" ht="15.75" customHeight="1" x14ac:dyDescent="0.25"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</row>
    <row r="583" spans="15:54" ht="15.75" customHeight="1" x14ac:dyDescent="0.25"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</row>
    <row r="584" spans="15:54" ht="15.75" customHeight="1" x14ac:dyDescent="0.25"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</row>
    <row r="585" spans="15:54" ht="15.75" customHeight="1" x14ac:dyDescent="0.25"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</row>
    <row r="586" spans="15:54" ht="15.75" customHeight="1" x14ac:dyDescent="0.25"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</row>
    <row r="587" spans="15:54" ht="15.75" customHeight="1" x14ac:dyDescent="0.25"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</row>
    <row r="588" spans="15:54" ht="15.75" customHeight="1" x14ac:dyDescent="0.25"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</row>
    <row r="589" spans="15:54" ht="15.75" customHeight="1" x14ac:dyDescent="0.25"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</row>
    <row r="590" spans="15:54" ht="15.75" customHeight="1" x14ac:dyDescent="0.25"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</row>
    <row r="591" spans="15:54" ht="15.75" customHeight="1" x14ac:dyDescent="0.25"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</row>
    <row r="592" spans="15:54" ht="15.75" customHeight="1" x14ac:dyDescent="0.25"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</row>
    <row r="593" spans="15:54" ht="15.75" customHeight="1" x14ac:dyDescent="0.25"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</row>
    <row r="594" spans="15:54" ht="15.75" customHeight="1" x14ac:dyDescent="0.25"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</row>
    <row r="595" spans="15:54" ht="15.75" customHeight="1" x14ac:dyDescent="0.25"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</row>
    <row r="596" spans="15:54" ht="15.75" customHeight="1" x14ac:dyDescent="0.25"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</row>
    <row r="597" spans="15:54" ht="15.75" customHeight="1" x14ac:dyDescent="0.25"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</row>
    <row r="598" spans="15:54" ht="15.75" customHeight="1" x14ac:dyDescent="0.25"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</row>
    <row r="599" spans="15:54" ht="15.75" customHeight="1" x14ac:dyDescent="0.25"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</row>
    <row r="600" spans="15:54" ht="15.75" customHeight="1" x14ac:dyDescent="0.25"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</row>
    <row r="601" spans="15:54" ht="15.75" customHeight="1" x14ac:dyDescent="0.25"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</row>
    <row r="602" spans="15:54" ht="15.75" customHeight="1" x14ac:dyDescent="0.25"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</row>
    <row r="603" spans="15:54" ht="15.75" customHeight="1" x14ac:dyDescent="0.25"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</row>
    <row r="604" spans="15:54" ht="15.75" customHeight="1" x14ac:dyDescent="0.25"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</row>
    <row r="605" spans="15:54" ht="15.75" customHeight="1" x14ac:dyDescent="0.25"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</row>
    <row r="606" spans="15:54" ht="15.75" customHeight="1" x14ac:dyDescent="0.25"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</row>
    <row r="607" spans="15:54" ht="15.75" customHeight="1" x14ac:dyDescent="0.25"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</row>
    <row r="608" spans="15:54" ht="15.75" customHeight="1" x14ac:dyDescent="0.25"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</row>
    <row r="609" spans="15:54" ht="15.75" customHeight="1" x14ac:dyDescent="0.25"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</row>
    <row r="610" spans="15:54" ht="15.75" customHeight="1" x14ac:dyDescent="0.25"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</row>
    <row r="611" spans="15:54" ht="15.75" customHeight="1" x14ac:dyDescent="0.25"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</row>
    <row r="612" spans="15:54" ht="15.75" customHeight="1" x14ac:dyDescent="0.25"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</row>
    <row r="613" spans="15:54" ht="15.75" customHeight="1" x14ac:dyDescent="0.25"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</row>
    <row r="614" spans="15:54" ht="15.75" customHeight="1" x14ac:dyDescent="0.25"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</row>
    <row r="615" spans="15:54" ht="15.75" customHeight="1" x14ac:dyDescent="0.25"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</row>
    <row r="616" spans="15:54" ht="15.75" customHeight="1" x14ac:dyDescent="0.25"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</row>
    <row r="617" spans="15:54" ht="15.75" customHeight="1" x14ac:dyDescent="0.25"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</row>
    <row r="618" spans="15:54" ht="15.75" customHeight="1" x14ac:dyDescent="0.25"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</row>
    <row r="619" spans="15:54" ht="15.75" customHeight="1" x14ac:dyDescent="0.25"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</row>
    <row r="620" spans="15:54" ht="15.75" customHeight="1" x14ac:dyDescent="0.25"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</row>
    <row r="621" spans="15:54" ht="15.75" customHeight="1" x14ac:dyDescent="0.25"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</row>
    <row r="622" spans="15:54" ht="15.75" customHeight="1" x14ac:dyDescent="0.25"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</row>
    <row r="623" spans="15:54" ht="15.75" customHeight="1" x14ac:dyDescent="0.25"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</row>
    <row r="624" spans="15:54" ht="15.75" customHeight="1" x14ac:dyDescent="0.25"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</row>
    <row r="625" spans="15:54" ht="15.75" customHeight="1" x14ac:dyDescent="0.25"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</row>
    <row r="626" spans="15:54" ht="15.75" customHeight="1" x14ac:dyDescent="0.25"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</row>
    <row r="627" spans="15:54" ht="15.75" customHeight="1" x14ac:dyDescent="0.25"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</row>
    <row r="628" spans="15:54" ht="15.75" customHeight="1" x14ac:dyDescent="0.25"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</row>
    <row r="629" spans="15:54" ht="15.75" customHeight="1" x14ac:dyDescent="0.25"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</row>
    <row r="630" spans="15:54" ht="15.75" customHeight="1" x14ac:dyDescent="0.25"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</row>
    <row r="631" spans="15:54" ht="15.75" customHeight="1" x14ac:dyDescent="0.25"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</row>
    <row r="632" spans="15:54" ht="15.75" customHeight="1" x14ac:dyDescent="0.25"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</row>
    <row r="633" spans="15:54" ht="15.75" customHeight="1" x14ac:dyDescent="0.25"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</row>
    <row r="634" spans="15:54" ht="15.75" customHeight="1" x14ac:dyDescent="0.25"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</row>
    <row r="635" spans="15:54" ht="15.75" customHeight="1" x14ac:dyDescent="0.25"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</row>
    <row r="636" spans="15:54" ht="15.75" customHeight="1" x14ac:dyDescent="0.25"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</row>
    <row r="637" spans="15:54" ht="15.75" customHeight="1" x14ac:dyDescent="0.25"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</row>
    <row r="638" spans="15:54" ht="15.75" customHeight="1" x14ac:dyDescent="0.25"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</row>
    <row r="639" spans="15:54" ht="15.75" customHeight="1" x14ac:dyDescent="0.25"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</row>
    <row r="640" spans="15:54" ht="15.75" customHeight="1" x14ac:dyDescent="0.25"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</row>
    <row r="641" spans="15:54" ht="15.75" customHeight="1" x14ac:dyDescent="0.25"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</row>
    <row r="642" spans="15:54" ht="15.75" customHeight="1" x14ac:dyDescent="0.25"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</row>
    <row r="643" spans="15:54" ht="15.75" customHeight="1" x14ac:dyDescent="0.25"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</row>
    <row r="644" spans="15:54" ht="15.75" customHeight="1" x14ac:dyDescent="0.25"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</row>
    <row r="645" spans="15:54" ht="15.75" customHeight="1" x14ac:dyDescent="0.25"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</row>
    <row r="646" spans="15:54" ht="15.75" customHeight="1" x14ac:dyDescent="0.25"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</row>
    <row r="647" spans="15:54" ht="15.75" customHeight="1" x14ac:dyDescent="0.25"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</row>
    <row r="648" spans="15:54" ht="15.75" customHeight="1" x14ac:dyDescent="0.25"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</row>
    <row r="649" spans="15:54" ht="15.75" customHeight="1" x14ac:dyDescent="0.25"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</row>
    <row r="650" spans="15:54" ht="15.75" customHeight="1" x14ac:dyDescent="0.25"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</row>
    <row r="651" spans="15:54" ht="15.75" customHeight="1" x14ac:dyDescent="0.25"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</row>
    <row r="652" spans="15:54" ht="15.75" customHeight="1" x14ac:dyDescent="0.25"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</row>
    <row r="653" spans="15:54" ht="15.75" customHeight="1" x14ac:dyDescent="0.25"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</row>
    <row r="654" spans="15:54" ht="15.75" customHeight="1" x14ac:dyDescent="0.25"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</row>
    <row r="655" spans="15:54" ht="15.75" customHeight="1" x14ac:dyDescent="0.25"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</row>
    <row r="656" spans="15:54" ht="15.75" customHeight="1" x14ac:dyDescent="0.25"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</row>
    <row r="657" spans="15:54" ht="15.75" customHeight="1" x14ac:dyDescent="0.25"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</row>
    <row r="658" spans="15:54" ht="15.75" customHeight="1" x14ac:dyDescent="0.25"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</row>
    <row r="659" spans="15:54" ht="15.75" customHeight="1" x14ac:dyDescent="0.25"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</row>
    <row r="660" spans="15:54" ht="15.75" customHeight="1" x14ac:dyDescent="0.25"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</row>
    <row r="661" spans="15:54" ht="15.75" customHeight="1" x14ac:dyDescent="0.25"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</row>
    <row r="662" spans="15:54" ht="15.75" customHeight="1" x14ac:dyDescent="0.25"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</row>
    <row r="663" spans="15:54" ht="15.75" customHeight="1" x14ac:dyDescent="0.25"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</row>
    <row r="664" spans="15:54" ht="15.75" customHeight="1" x14ac:dyDescent="0.25"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</row>
    <row r="665" spans="15:54" ht="15.75" customHeight="1" x14ac:dyDescent="0.25"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</row>
    <row r="666" spans="15:54" ht="15.75" customHeight="1" x14ac:dyDescent="0.25"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</row>
    <row r="667" spans="15:54" ht="15.75" customHeight="1" x14ac:dyDescent="0.25"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</row>
    <row r="668" spans="15:54" ht="15.75" customHeight="1" x14ac:dyDescent="0.25"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</row>
    <row r="669" spans="15:54" ht="15.75" customHeight="1" x14ac:dyDescent="0.25"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</row>
    <row r="670" spans="15:54" ht="15.75" customHeight="1" x14ac:dyDescent="0.25"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</row>
    <row r="671" spans="15:54" ht="15.75" customHeight="1" x14ac:dyDescent="0.25"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</row>
    <row r="672" spans="15:54" ht="15.75" customHeight="1" x14ac:dyDescent="0.25"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</row>
    <row r="673" spans="15:54" ht="15.75" customHeight="1" x14ac:dyDescent="0.25"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</row>
    <row r="674" spans="15:54" ht="15.75" customHeight="1" x14ac:dyDescent="0.25"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</row>
    <row r="675" spans="15:54" ht="15.75" customHeight="1" x14ac:dyDescent="0.25"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</row>
    <row r="676" spans="15:54" ht="15.75" customHeight="1" x14ac:dyDescent="0.25"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</row>
    <row r="677" spans="15:54" ht="15.75" customHeight="1" x14ac:dyDescent="0.25"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</row>
    <row r="678" spans="15:54" ht="15.75" customHeight="1" x14ac:dyDescent="0.25"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</row>
    <row r="679" spans="15:54" ht="15.75" customHeight="1" x14ac:dyDescent="0.25"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</row>
    <row r="680" spans="15:54" ht="15.75" customHeight="1" x14ac:dyDescent="0.25"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</row>
    <row r="681" spans="15:54" ht="15.75" customHeight="1" x14ac:dyDescent="0.25"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</row>
    <row r="682" spans="15:54" ht="15.75" customHeight="1" x14ac:dyDescent="0.25"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</row>
    <row r="683" spans="15:54" ht="15.75" customHeight="1" x14ac:dyDescent="0.25"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</row>
    <row r="684" spans="15:54" ht="15.75" customHeight="1" x14ac:dyDescent="0.25"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</row>
    <row r="685" spans="15:54" ht="15.75" customHeight="1" x14ac:dyDescent="0.25"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</row>
    <row r="686" spans="15:54" ht="15.75" customHeight="1" x14ac:dyDescent="0.25"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</row>
    <row r="687" spans="15:54" ht="15.75" customHeight="1" x14ac:dyDescent="0.25"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</row>
    <row r="688" spans="15:54" ht="15.75" customHeight="1" x14ac:dyDescent="0.25"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</row>
    <row r="689" spans="15:54" ht="15.75" customHeight="1" x14ac:dyDescent="0.25"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</row>
    <row r="690" spans="15:54" ht="15.75" customHeight="1" x14ac:dyDescent="0.25"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</row>
    <row r="691" spans="15:54" ht="15.75" customHeight="1" x14ac:dyDescent="0.25"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</row>
    <row r="692" spans="15:54" ht="15.75" customHeight="1" x14ac:dyDescent="0.25"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</row>
    <row r="693" spans="15:54" ht="15.75" customHeight="1" x14ac:dyDescent="0.25"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</row>
    <row r="694" spans="15:54" ht="15.75" customHeight="1" x14ac:dyDescent="0.25"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</row>
    <row r="695" spans="15:54" ht="15.75" customHeight="1" x14ac:dyDescent="0.25"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</row>
    <row r="696" spans="15:54" ht="15.75" customHeight="1" x14ac:dyDescent="0.25"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</row>
    <row r="697" spans="15:54" ht="15.75" customHeight="1" x14ac:dyDescent="0.25"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</row>
    <row r="698" spans="15:54" ht="15.75" customHeight="1" x14ac:dyDescent="0.25"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</row>
    <row r="699" spans="15:54" ht="15.75" customHeight="1" x14ac:dyDescent="0.25"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</row>
    <row r="700" spans="15:54" ht="15.75" customHeight="1" x14ac:dyDescent="0.25"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</row>
    <row r="701" spans="15:54" ht="15.75" customHeight="1" x14ac:dyDescent="0.25"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</row>
    <row r="702" spans="15:54" ht="15.75" customHeight="1" x14ac:dyDescent="0.25"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</row>
    <row r="703" spans="15:54" ht="15.75" customHeight="1" x14ac:dyDescent="0.25"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</row>
    <row r="704" spans="15:54" ht="15.75" customHeight="1" x14ac:dyDescent="0.25"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</row>
    <row r="705" spans="15:54" ht="15.75" customHeight="1" x14ac:dyDescent="0.25"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</row>
    <row r="706" spans="15:54" ht="15.75" customHeight="1" x14ac:dyDescent="0.25"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</row>
    <row r="707" spans="15:54" ht="15.75" customHeight="1" x14ac:dyDescent="0.25"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</row>
    <row r="708" spans="15:54" ht="15.75" customHeight="1" x14ac:dyDescent="0.25"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</row>
    <row r="709" spans="15:54" ht="15.75" customHeight="1" x14ac:dyDescent="0.25"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</row>
    <row r="710" spans="15:54" ht="15.75" customHeight="1" x14ac:dyDescent="0.25"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</row>
    <row r="711" spans="15:54" ht="15.75" customHeight="1" x14ac:dyDescent="0.25"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</row>
    <row r="712" spans="15:54" ht="15.75" customHeight="1" x14ac:dyDescent="0.25"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</row>
    <row r="713" spans="15:54" ht="15.75" customHeight="1" x14ac:dyDescent="0.25"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</row>
    <row r="714" spans="15:54" ht="15.75" customHeight="1" x14ac:dyDescent="0.25"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</row>
    <row r="715" spans="15:54" ht="15.75" customHeight="1" x14ac:dyDescent="0.25"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</row>
    <row r="716" spans="15:54" ht="15.75" customHeight="1" x14ac:dyDescent="0.25"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</row>
    <row r="717" spans="15:54" ht="15.75" customHeight="1" x14ac:dyDescent="0.25"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</row>
    <row r="718" spans="15:54" ht="15.75" customHeight="1" x14ac:dyDescent="0.25"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</row>
    <row r="719" spans="15:54" ht="15.75" customHeight="1" x14ac:dyDescent="0.25"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</row>
    <row r="720" spans="15:54" ht="15.75" customHeight="1" x14ac:dyDescent="0.25"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</row>
    <row r="721" spans="15:54" ht="15.75" customHeight="1" x14ac:dyDescent="0.25"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</row>
    <row r="722" spans="15:54" ht="15.75" customHeight="1" x14ac:dyDescent="0.25"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</row>
    <row r="723" spans="15:54" ht="15.75" customHeight="1" x14ac:dyDescent="0.25"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</row>
    <row r="724" spans="15:54" ht="15.75" customHeight="1" x14ac:dyDescent="0.25"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</row>
    <row r="725" spans="15:54" ht="15.75" customHeight="1" x14ac:dyDescent="0.25"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</row>
    <row r="726" spans="15:54" ht="15.75" customHeight="1" x14ac:dyDescent="0.25"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</row>
    <row r="727" spans="15:54" ht="15.75" customHeight="1" x14ac:dyDescent="0.25"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</row>
    <row r="728" spans="15:54" ht="15.75" customHeight="1" x14ac:dyDescent="0.25"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</row>
    <row r="729" spans="15:54" ht="15.75" customHeight="1" x14ac:dyDescent="0.25"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</row>
    <row r="730" spans="15:54" ht="15.75" customHeight="1" x14ac:dyDescent="0.25"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</row>
    <row r="731" spans="15:54" ht="15.75" customHeight="1" x14ac:dyDescent="0.25"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</row>
    <row r="732" spans="15:54" ht="15.75" customHeight="1" x14ac:dyDescent="0.25"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</row>
    <row r="733" spans="15:54" ht="15.75" customHeight="1" x14ac:dyDescent="0.25"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</row>
    <row r="734" spans="15:54" ht="15.75" customHeight="1" x14ac:dyDescent="0.25"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</row>
    <row r="735" spans="15:54" ht="15.75" customHeight="1" x14ac:dyDescent="0.25"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</row>
    <row r="736" spans="15:54" ht="15.75" customHeight="1" x14ac:dyDescent="0.25"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</row>
    <row r="737" spans="15:54" ht="15.75" customHeight="1" x14ac:dyDescent="0.25"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</row>
    <row r="738" spans="15:54" ht="15.75" customHeight="1" x14ac:dyDescent="0.25"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</row>
    <row r="739" spans="15:54" ht="15.75" customHeight="1" x14ac:dyDescent="0.25"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</row>
    <row r="740" spans="15:54" ht="15.75" customHeight="1" x14ac:dyDescent="0.25"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</row>
    <row r="741" spans="15:54" ht="15.75" customHeight="1" x14ac:dyDescent="0.25"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</row>
    <row r="742" spans="15:54" ht="15.75" customHeight="1" x14ac:dyDescent="0.25"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</row>
    <row r="743" spans="15:54" ht="15.75" customHeight="1" x14ac:dyDescent="0.25"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</row>
    <row r="744" spans="15:54" ht="15.75" customHeight="1" x14ac:dyDescent="0.25"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</row>
    <row r="745" spans="15:54" ht="15.75" customHeight="1" x14ac:dyDescent="0.25"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</row>
    <row r="746" spans="15:54" ht="15.75" customHeight="1" x14ac:dyDescent="0.25"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</row>
    <row r="747" spans="15:54" ht="15.75" customHeight="1" x14ac:dyDescent="0.25"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</row>
    <row r="748" spans="15:54" ht="15.75" customHeight="1" x14ac:dyDescent="0.25"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</row>
    <row r="749" spans="15:54" ht="15.75" customHeight="1" x14ac:dyDescent="0.25"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</row>
    <row r="750" spans="15:54" ht="15.75" customHeight="1" x14ac:dyDescent="0.25"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</row>
    <row r="751" spans="15:54" ht="15.75" customHeight="1" x14ac:dyDescent="0.25"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</row>
    <row r="752" spans="15:54" ht="15.75" customHeight="1" x14ac:dyDescent="0.25"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</row>
    <row r="753" spans="15:54" ht="15.75" customHeight="1" x14ac:dyDescent="0.25"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</row>
    <row r="754" spans="15:54" ht="15.75" customHeight="1" x14ac:dyDescent="0.25"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</row>
    <row r="755" spans="15:54" ht="15.75" customHeight="1" x14ac:dyDescent="0.25"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</row>
    <row r="756" spans="15:54" ht="15.75" customHeight="1" x14ac:dyDescent="0.25"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</row>
    <row r="757" spans="15:54" ht="15.75" customHeight="1" x14ac:dyDescent="0.25"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</row>
    <row r="758" spans="15:54" ht="15.75" customHeight="1" x14ac:dyDescent="0.25"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</row>
    <row r="759" spans="15:54" ht="15.75" customHeight="1" x14ac:dyDescent="0.25"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</row>
    <row r="760" spans="15:54" ht="15.75" customHeight="1" x14ac:dyDescent="0.25"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</row>
    <row r="761" spans="15:54" ht="15.75" customHeight="1" x14ac:dyDescent="0.25"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</row>
    <row r="762" spans="15:54" ht="15.75" customHeight="1" x14ac:dyDescent="0.25"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</row>
    <row r="763" spans="15:54" ht="15.75" customHeight="1" x14ac:dyDescent="0.25"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</row>
    <row r="764" spans="15:54" ht="15.75" customHeight="1" x14ac:dyDescent="0.25"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</row>
    <row r="765" spans="15:54" ht="15.75" customHeight="1" x14ac:dyDescent="0.25"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</row>
    <row r="766" spans="15:54" ht="15.75" customHeight="1" x14ac:dyDescent="0.25"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</row>
    <row r="767" spans="15:54" ht="15.75" customHeight="1" x14ac:dyDescent="0.25"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</row>
    <row r="768" spans="15:54" ht="15.75" customHeight="1" x14ac:dyDescent="0.25"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</row>
    <row r="769" spans="15:54" ht="15.75" customHeight="1" x14ac:dyDescent="0.25"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</row>
    <row r="770" spans="15:54" ht="15.75" customHeight="1" x14ac:dyDescent="0.25"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</row>
    <row r="771" spans="15:54" ht="15.75" customHeight="1" x14ac:dyDescent="0.25"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</row>
    <row r="772" spans="15:54" ht="15.75" customHeight="1" x14ac:dyDescent="0.25"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</row>
    <row r="773" spans="15:54" ht="15.75" customHeight="1" x14ac:dyDescent="0.25"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</row>
    <row r="774" spans="15:54" ht="15.75" customHeight="1" x14ac:dyDescent="0.25"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</row>
    <row r="775" spans="15:54" ht="15.75" customHeight="1" x14ac:dyDescent="0.25"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</row>
    <row r="776" spans="15:54" ht="15.75" customHeight="1" x14ac:dyDescent="0.25"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</row>
    <row r="777" spans="15:54" ht="15.75" customHeight="1" x14ac:dyDescent="0.25"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</row>
    <row r="778" spans="15:54" ht="15.75" customHeight="1" x14ac:dyDescent="0.25"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</row>
    <row r="779" spans="15:54" ht="15.75" customHeight="1" x14ac:dyDescent="0.25"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</row>
    <row r="780" spans="15:54" ht="15.75" customHeight="1" x14ac:dyDescent="0.25"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</row>
    <row r="781" spans="15:54" ht="15.75" customHeight="1" x14ac:dyDescent="0.25"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</row>
    <row r="782" spans="15:54" ht="15.75" customHeight="1" x14ac:dyDescent="0.25"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</row>
    <row r="783" spans="15:54" ht="15.75" customHeight="1" x14ac:dyDescent="0.25"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</row>
    <row r="784" spans="15:54" ht="15.75" customHeight="1" x14ac:dyDescent="0.25"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</row>
    <row r="785" spans="15:54" ht="15.75" customHeight="1" x14ac:dyDescent="0.25"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</row>
    <row r="786" spans="15:54" ht="15.75" customHeight="1" x14ac:dyDescent="0.25"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</row>
    <row r="787" spans="15:54" ht="15.75" customHeight="1" x14ac:dyDescent="0.25"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</row>
    <row r="788" spans="15:54" ht="15.75" customHeight="1" x14ac:dyDescent="0.25"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</row>
    <row r="789" spans="15:54" ht="15.75" customHeight="1" x14ac:dyDescent="0.25"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</row>
    <row r="790" spans="15:54" ht="15.75" customHeight="1" x14ac:dyDescent="0.25"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</row>
    <row r="791" spans="15:54" ht="15.75" customHeight="1" x14ac:dyDescent="0.25"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</row>
    <row r="792" spans="15:54" ht="15.75" customHeight="1" x14ac:dyDescent="0.25"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</row>
    <row r="793" spans="15:54" ht="15.75" customHeight="1" x14ac:dyDescent="0.25"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</row>
    <row r="794" spans="15:54" ht="15.75" customHeight="1" x14ac:dyDescent="0.25"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</row>
    <row r="795" spans="15:54" ht="15.75" customHeight="1" x14ac:dyDescent="0.25"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</row>
    <row r="796" spans="15:54" ht="15.75" customHeight="1" x14ac:dyDescent="0.25"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</row>
    <row r="797" spans="15:54" ht="15.75" customHeight="1" x14ac:dyDescent="0.25"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</row>
    <row r="798" spans="15:54" ht="15.75" customHeight="1" x14ac:dyDescent="0.25"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</row>
    <row r="799" spans="15:54" ht="15.75" customHeight="1" x14ac:dyDescent="0.25"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</row>
    <row r="800" spans="15:54" ht="15.75" customHeight="1" x14ac:dyDescent="0.25"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</row>
    <row r="801" spans="15:54" ht="15.75" customHeight="1" x14ac:dyDescent="0.25"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</row>
    <row r="802" spans="15:54" ht="15.75" customHeight="1" x14ac:dyDescent="0.25"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</row>
    <row r="803" spans="15:54" ht="15.75" customHeight="1" x14ac:dyDescent="0.25"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</row>
    <row r="804" spans="15:54" ht="15.75" customHeight="1" x14ac:dyDescent="0.25"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</row>
    <row r="805" spans="15:54" ht="15.75" customHeight="1" x14ac:dyDescent="0.25"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</row>
    <row r="806" spans="15:54" ht="15.75" customHeight="1" x14ac:dyDescent="0.25"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</row>
    <row r="807" spans="15:54" ht="15.75" customHeight="1" x14ac:dyDescent="0.25"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</row>
    <row r="808" spans="15:54" ht="15.75" customHeight="1" x14ac:dyDescent="0.25"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</row>
    <row r="809" spans="15:54" ht="15.75" customHeight="1" x14ac:dyDescent="0.25"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</row>
    <row r="810" spans="15:54" ht="15.75" customHeight="1" x14ac:dyDescent="0.25"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</row>
    <row r="811" spans="15:54" ht="15.75" customHeight="1" x14ac:dyDescent="0.25"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</row>
    <row r="812" spans="15:54" ht="15.75" customHeight="1" x14ac:dyDescent="0.25"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</row>
    <row r="813" spans="15:54" ht="15.75" customHeight="1" x14ac:dyDescent="0.25"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</row>
    <row r="814" spans="15:54" ht="15.75" customHeight="1" x14ac:dyDescent="0.25"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</row>
    <row r="815" spans="15:54" ht="15.75" customHeight="1" x14ac:dyDescent="0.25"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</row>
    <row r="816" spans="15:54" ht="15.75" customHeight="1" x14ac:dyDescent="0.25"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</row>
    <row r="817" spans="15:54" ht="15.75" customHeight="1" x14ac:dyDescent="0.25"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</row>
    <row r="818" spans="15:54" ht="15.75" customHeight="1" x14ac:dyDescent="0.25"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</row>
    <row r="819" spans="15:54" ht="15.75" customHeight="1" x14ac:dyDescent="0.25"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</row>
    <row r="820" spans="15:54" ht="15.75" customHeight="1" x14ac:dyDescent="0.25"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</row>
    <row r="821" spans="15:54" ht="15.75" customHeight="1" x14ac:dyDescent="0.25"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</row>
    <row r="822" spans="15:54" ht="15.75" customHeight="1" x14ac:dyDescent="0.25"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</row>
    <row r="823" spans="15:54" ht="15.75" customHeight="1" x14ac:dyDescent="0.25"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</row>
    <row r="824" spans="15:54" ht="15.75" customHeight="1" x14ac:dyDescent="0.25"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</row>
    <row r="825" spans="15:54" ht="15.75" customHeight="1" x14ac:dyDescent="0.25"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</row>
    <row r="826" spans="15:54" ht="15.75" customHeight="1" x14ac:dyDescent="0.25"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</row>
    <row r="827" spans="15:54" ht="15.75" customHeight="1" x14ac:dyDescent="0.25"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</row>
    <row r="828" spans="15:54" ht="15.75" customHeight="1" x14ac:dyDescent="0.25"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</row>
    <row r="829" spans="15:54" ht="15.75" customHeight="1" x14ac:dyDescent="0.25"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</row>
    <row r="830" spans="15:54" ht="15.75" customHeight="1" x14ac:dyDescent="0.25"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</row>
    <row r="831" spans="15:54" ht="15.75" customHeight="1" x14ac:dyDescent="0.25"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</row>
    <row r="832" spans="15:54" ht="15.75" customHeight="1" x14ac:dyDescent="0.25"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</row>
    <row r="833" spans="15:54" ht="15.75" customHeight="1" x14ac:dyDescent="0.25"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</row>
    <row r="834" spans="15:54" ht="15.75" customHeight="1" x14ac:dyDescent="0.25"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</row>
    <row r="835" spans="15:54" ht="15.75" customHeight="1" x14ac:dyDescent="0.25"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</row>
    <row r="836" spans="15:54" ht="15.75" customHeight="1" x14ac:dyDescent="0.25"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</row>
    <row r="837" spans="15:54" ht="15.75" customHeight="1" x14ac:dyDescent="0.25"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</row>
    <row r="838" spans="15:54" ht="15.75" customHeight="1" x14ac:dyDescent="0.25"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</row>
    <row r="839" spans="15:54" ht="15.75" customHeight="1" x14ac:dyDescent="0.25"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</row>
    <row r="840" spans="15:54" ht="15.75" customHeight="1" x14ac:dyDescent="0.25"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</row>
    <row r="841" spans="15:54" ht="15.75" customHeight="1" x14ac:dyDescent="0.25"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</row>
    <row r="842" spans="15:54" ht="15.75" customHeight="1" x14ac:dyDescent="0.25"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</row>
    <row r="843" spans="15:54" ht="15.75" customHeight="1" x14ac:dyDescent="0.25"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</row>
    <row r="844" spans="15:54" ht="15.75" customHeight="1" x14ac:dyDescent="0.25"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</row>
    <row r="845" spans="15:54" ht="15.75" customHeight="1" x14ac:dyDescent="0.25"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</row>
    <row r="846" spans="15:54" ht="15.75" customHeight="1" x14ac:dyDescent="0.25"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</row>
    <row r="847" spans="15:54" ht="15.75" customHeight="1" x14ac:dyDescent="0.25"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</row>
    <row r="848" spans="15:54" ht="15.75" customHeight="1" x14ac:dyDescent="0.25"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</row>
    <row r="849" spans="15:54" ht="15.75" customHeight="1" x14ac:dyDescent="0.25"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</row>
    <row r="850" spans="15:54" ht="15.75" customHeight="1" x14ac:dyDescent="0.25"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</row>
    <row r="851" spans="15:54" ht="15.75" customHeight="1" x14ac:dyDescent="0.25"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</row>
    <row r="852" spans="15:54" ht="15.75" customHeight="1" x14ac:dyDescent="0.25"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</row>
    <row r="853" spans="15:54" ht="15.75" customHeight="1" x14ac:dyDescent="0.25"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</row>
    <row r="854" spans="15:54" ht="15.75" customHeight="1" x14ac:dyDescent="0.25"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</row>
    <row r="855" spans="15:54" ht="15.75" customHeight="1" x14ac:dyDescent="0.25"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</row>
    <row r="856" spans="15:54" ht="15.75" customHeight="1" x14ac:dyDescent="0.25"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</row>
    <row r="857" spans="15:54" ht="15.75" customHeight="1" x14ac:dyDescent="0.25"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</row>
    <row r="858" spans="15:54" ht="15.75" customHeight="1" x14ac:dyDescent="0.25"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</row>
    <row r="859" spans="15:54" ht="15.75" customHeight="1" x14ac:dyDescent="0.25"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</row>
    <row r="860" spans="15:54" ht="15.75" customHeight="1" x14ac:dyDescent="0.25"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</row>
    <row r="861" spans="15:54" ht="15.75" customHeight="1" x14ac:dyDescent="0.25"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</row>
    <row r="862" spans="15:54" ht="15.75" customHeight="1" x14ac:dyDescent="0.25"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</row>
    <row r="863" spans="15:54" ht="15.75" customHeight="1" x14ac:dyDescent="0.25"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</row>
    <row r="864" spans="15:54" ht="15.75" customHeight="1" x14ac:dyDescent="0.25"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</row>
    <row r="865" spans="15:54" ht="15.75" customHeight="1" x14ac:dyDescent="0.25"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</row>
    <row r="866" spans="15:54" ht="15.75" customHeight="1" x14ac:dyDescent="0.25"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</row>
    <row r="867" spans="15:54" ht="15.75" customHeight="1" x14ac:dyDescent="0.25"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</row>
    <row r="868" spans="15:54" ht="15.75" customHeight="1" x14ac:dyDescent="0.25"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</row>
    <row r="869" spans="15:54" ht="15.75" customHeight="1" x14ac:dyDescent="0.25"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</row>
    <row r="870" spans="15:54" ht="15.75" customHeight="1" x14ac:dyDescent="0.25"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</row>
    <row r="871" spans="15:54" ht="15.75" customHeight="1" x14ac:dyDescent="0.25"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</row>
    <row r="872" spans="15:54" ht="15.75" customHeight="1" x14ac:dyDescent="0.25"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</row>
    <row r="873" spans="15:54" ht="15.75" customHeight="1" x14ac:dyDescent="0.25"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</row>
    <row r="874" spans="15:54" ht="15.75" customHeight="1" x14ac:dyDescent="0.25"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</row>
    <row r="875" spans="15:54" ht="15.75" customHeight="1" x14ac:dyDescent="0.25"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</row>
    <row r="876" spans="15:54" ht="15.75" customHeight="1" x14ac:dyDescent="0.25"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</row>
    <row r="877" spans="15:54" ht="15.75" customHeight="1" x14ac:dyDescent="0.25"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</row>
    <row r="878" spans="15:54" ht="15.75" customHeight="1" x14ac:dyDescent="0.25"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</row>
    <row r="879" spans="15:54" ht="15.75" customHeight="1" x14ac:dyDescent="0.25"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</row>
    <row r="880" spans="15:54" ht="15.75" customHeight="1" x14ac:dyDescent="0.25"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</row>
    <row r="881" spans="15:54" ht="15.75" customHeight="1" x14ac:dyDescent="0.25"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</row>
    <row r="882" spans="15:54" ht="15.75" customHeight="1" x14ac:dyDescent="0.25"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</row>
    <row r="883" spans="15:54" ht="15.75" customHeight="1" x14ac:dyDescent="0.25"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</row>
    <row r="884" spans="15:54" ht="15.75" customHeight="1" x14ac:dyDescent="0.25"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</row>
    <row r="885" spans="15:54" ht="15.75" customHeight="1" x14ac:dyDescent="0.25"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</row>
    <row r="886" spans="15:54" ht="15.75" customHeight="1" x14ac:dyDescent="0.25"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</row>
    <row r="887" spans="15:54" ht="15.75" customHeight="1" x14ac:dyDescent="0.25"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</row>
    <row r="888" spans="15:54" ht="15.75" customHeight="1" x14ac:dyDescent="0.25"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</row>
    <row r="889" spans="15:54" ht="15.75" customHeight="1" x14ac:dyDescent="0.25"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</row>
    <row r="890" spans="15:54" ht="15.75" customHeight="1" x14ac:dyDescent="0.25"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</row>
    <row r="891" spans="15:54" ht="15.75" customHeight="1" x14ac:dyDescent="0.25"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</row>
    <row r="892" spans="15:54" ht="15.75" customHeight="1" x14ac:dyDescent="0.25"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</row>
    <row r="893" spans="15:54" ht="15.75" customHeight="1" x14ac:dyDescent="0.25"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</row>
    <row r="894" spans="15:54" ht="15.75" customHeight="1" x14ac:dyDescent="0.25"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</row>
    <row r="895" spans="15:54" ht="15.75" customHeight="1" x14ac:dyDescent="0.25"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</row>
    <row r="896" spans="15:54" ht="15.75" customHeight="1" x14ac:dyDescent="0.25"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</row>
    <row r="897" spans="15:54" ht="15.75" customHeight="1" x14ac:dyDescent="0.25"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</row>
    <row r="898" spans="15:54" ht="15.75" customHeight="1" x14ac:dyDescent="0.25"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</row>
    <row r="899" spans="15:54" ht="15.75" customHeight="1" x14ac:dyDescent="0.25"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</row>
    <row r="900" spans="15:54" ht="15.75" customHeight="1" x14ac:dyDescent="0.25"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</row>
    <row r="901" spans="15:54" ht="15.75" customHeight="1" x14ac:dyDescent="0.25"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</row>
    <row r="902" spans="15:54" ht="15.75" customHeight="1" x14ac:dyDescent="0.25"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</row>
    <row r="903" spans="15:54" ht="15.75" customHeight="1" x14ac:dyDescent="0.25"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</row>
    <row r="904" spans="15:54" ht="15.75" customHeight="1" x14ac:dyDescent="0.25"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</row>
    <row r="905" spans="15:54" ht="15.75" customHeight="1" x14ac:dyDescent="0.25"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</row>
    <row r="906" spans="15:54" ht="15.75" customHeight="1" x14ac:dyDescent="0.25"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</row>
    <row r="907" spans="15:54" ht="15.75" customHeight="1" x14ac:dyDescent="0.25"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</row>
    <row r="908" spans="15:54" ht="15.75" customHeight="1" x14ac:dyDescent="0.25"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</row>
    <row r="909" spans="15:54" ht="15.75" customHeight="1" x14ac:dyDescent="0.25"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</row>
    <row r="910" spans="15:54" ht="15.75" customHeight="1" x14ac:dyDescent="0.25"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</row>
    <row r="911" spans="15:54" ht="15.75" customHeight="1" x14ac:dyDescent="0.25"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</row>
    <row r="912" spans="15:54" ht="15.75" customHeight="1" x14ac:dyDescent="0.25"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</row>
    <row r="913" spans="15:54" ht="15.75" customHeight="1" x14ac:dyDescent="0.25"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</row>
    <row r="914" spans="15:54" ht="15.75" customHeight="1" x14ac:dyDescent="0.25"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</row>
    <row r="915" spans="15:54" ht="15.75" customHeight="1" x14ac:dyDescent="0.25"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</row>
    <row r="916" spans="15:54" ht="15.75" customHeight="1" x14ac:dyDescent="0.25"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</row>
    <row r="917" spans="15:54" ht="15.75" customHeight="1" x14ac:dyDescent="0.25"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</row>
    <row r="918" spans="15:54" ht="15.75" customHeight="1" x14ac:dyDescent="0.25"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</row>
    <row r="919" spans="15:54" ht="15.75" customHeight="1" x14ac:dyDescent="0.25"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</row>
    <row r="920" spans="15:54" ht="15.75" customHeight="1" x14ac:dyDescent="0.25"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</row>
    <row r="921" spans="15:54" ht="15.75" customHeight="1" x14ac:dyDescent="0.25"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</row>
    <row r="922" spans="15:54" ht="15.75" customHeight="1" x14ac:dyDescent="0.25"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</row>
    <row r="923" spans="15:54" ht="15.75" customHeight="1" x14ac:dyDescent="0.25"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</row>
    <row r="924" spans="15:54" ht="15.75" customHeight="1" x14ac:dyDescent="0.25"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</row>
    <row r="925" spans="15:54" ht="15.75" customHeight="1" x14ac:dyDescent="0.25"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</row>
    <row r="926" spans="15:54" ht="15.75" customHeight="1" x14ac:dyDescent="0.25"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</row>
    <row r="927" spans="15:54" ht="15.75" customHeight="1" x14ac:dyDescent="0.25"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</row>
    <row r="928" spans="15:54" ht="15.75" customHeight="1" x14ac:dyDescent="0.25"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</row>
    <row r="929" spans="15:54" ht="15.75" customHeight="1" x14ac:dyDescent="0.25"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</row>
    <row r="930" spans="15:54" ht="15.75" customHeight="1" x14ac:dyDescent="0.25"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</row>
    <row r="931" spans="15:54" ht="15.75" customHeight="1" x14ac:dyDescent="0.25"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</row>
    <row r="932" spans="15:54" ht="15.75" customHeight="1" x14ac:dyDescent="0.25"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</row>
    <row r="933" spans="15:54" ht="15.75" customHeight="1" x14ac:dyDescent="0.25"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</row>
    <row r="934" spans="15:54" ht="15.75" customHeight="1" x14ac:dyDescent="0.25"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</row>
    <row r="935" spans="15:54" ht="15.75" customHeight="1" x14ac:dyDescent="0.25"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</row>
    <row r="936" spans="15:54" ht="15.75" customHeight="1" x14ac:dyDescent="0.25"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</row>
    <row r="937" spans="15:54" ht="15.75" customHeight="1" x14ac:dyDescent="0.25"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</row>
    <row r="938" spans="15:54" ht="15.75" customHeight="1" x14ac:dyDescent="0.25"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</row>
    <row r="939" spans="15:54" ht="15.75" customHeight="1" x14ac:dyDescent="0.25"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</row>
    <row r="940" spans="15:54" ht="15.75" customHeight="1" x14ac:dyDescent="0.25"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</row>
    <row r="941" spans="15:54" ht="15.75" customHeight="1" x14ac:dyDescent="0.25"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</row>
    <row r="942" spans="15:54" ht="15.75" customHeight="1" x14ac:dyDescent="0.25"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</row>
    <row r="943" spans="15:54" ht="15.75" customHeight="1" x14ac:dyDescent="0.25"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</row>
    <row r="944" spans="15:54" ht="15.75" customHeight="1" x14ac:dyDescent="0.25"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</row>
    <row r="945" spans="15:54" ht="15.75" customHeight="1" x14ac:dyDescent="0.25"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</row>
    <row r="946" spans="15:54" ht="15.75" customHeight="1" x14ac:dyDescent="0.25"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</row>
    <row r="947" spans="15:54" ht="15.75" customHeight="1" x14ac:dyDescent="0.25"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</row>
    <row r="948" spans="15:54" ht="15.75" customHeight="1" x14ac:dyDescent="0.25"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</row>
    <row r="949" spans="15:54" ht="15.75" customHeight="1" x14ac:dyDescent="0.25"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</row>
    <row r="950" spans="15:54" ht="15.75" customHeight="1" x14ac:dyDescent="0.25"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</row>
    <row r="951" spans="15:54" ht="15.75" customHeight="1" x14ac:dyDescent="0.25"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</row>
    <row r="952" spans="15:54" ht="15.75" customHeight="1" x14ac:dyDescent="0.25"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</row>
    <row r="953" spans="15:54" ht="15.75" customHeight="1" x14ac:dyDescent="0.25"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</row>
    <row r="954" spans="15:54" ht="15.75" customHeight="1" x14ac:dyDescent="0.25"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</row>
    <row r="955" spans="15:54" ht="15.75" customHeight="1" x14ac:dyDescent="0.25"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</row>
    <row r="956" spans="15:54" ht="15.75" customHeight="1" x14ac:dyDescent="0.25"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</row>
    <row r="957" spans="15:54" ht="15.75" customHeight="1" x14ac:dyDescent="0.25"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</row>
    <row r="958" spans="15:54" ht="15.75" customHeight="1" x14ac:dyDescent="0.25"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</row>
    <row r="959" spans="15:54" ht="15.75" customHeight="1" x14ac:dyDescent="0.25"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</row>
    <row r="960" spans="15:54" ht="15.75" customHeight="1" x14ac:dyDescent="0.25"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</row>
    <row r="961" spans="15:54" ht="15.75" customHeight="1" x14ac:dyDescent="0.25"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</row>
    <row r="962" spans="15:54" ht="15.75" customHeight="1" x14ac:dyDescent="0.25"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</row>
    <row r="963" spans="15:54" ht="15.75" customHeight="1" x14ac:dyDescent="0.25"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</row>
    <row r="964" spans="15:54" ht="15.75" customHeight="1" x14ac:dyDescent="0.25"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</row>
    <row r="965" spans="15:54" ht="15.75" customHeight="1" x14ac:dyDescent="0.25"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</row>
    <row r="966" spans="15:54" ht="15.75" customHeight="1" x14ac:dyDescent="0.25"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</row>
    <row r="967" spans="15:54" ht="15.75" customHeight="1" x14ac:dyDescent="0.25"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</row>
    <row r="968" spans="15:54" ht="15.75" customHeight="1" x14ac:dyDescent="0.25"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</row>
    <row r="969" spans="15:54" ht="15.75" customHeight="1" x14ac:dyDescent="0.25"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</row>
    <row r="970" spans="15:54" ht="15.75" customHeight="1" x14ac:dyDescent="0.25"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</row>
    <row r="971" spans="15:54" ht="15.75" customHeight="1" x14ac:dyDescent="0.25"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</row>
    <row r="972" spans="15:54" ht="15.75" customHeight="1" x14ac:dyDescent="0.25"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</row>
    <row r="973" spans="15:54" ht="15.75" customHeight="1" x14ac:dyDescent="0.25"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</row>
    <row r="974" spans="15:54" ht="15.75" customHeight="1" x14ac:dyDescent="0.25"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</row>
    <row r="975" spans="15:54" ht="15.75" customHeight="1" x14ac:dyDescent="0.25"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</row>
    <row r="976" spans="15:54" ht="15.75" customHeight="1" x14ac:dyDescent="0.25"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</row>
    <row r="977" spans="15:54" ht="15.75" customHeight="1" x14ac:dyDescent="0.25"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</row>
    <row r="978" spans="15:54" ht="15.75" customHeight="1" x14ac:dyDescent="0.25"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</row>
    <row r="979" spans="15:54" ht="15.75" customHeight="1" x14ac:dyDescent="0.25"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</row>
    <row r="980" spans="15:54" ht="15.75" customHeight="1" x14ac:dyDescent="0.25"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</row>
    <row r="981" spans="15:54" ht="15.75" customHeight="1" x14ac:dyDescent="0.25"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  <c r="AH981" s="52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</row>
    <row r="982" spans="15:54" ht="15.75" customHeight="1" x14ac:dyDescent="0.25"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</row>
    <row r="983" spans="15:54" ht="15.75" customHeight="1" x14ac:dyDescent="0.25"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</row>
    <row r="984" spans="15:54" ht="15.75" customHeight="1" x14ac:dyDescent="0.25"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  <c r="AH984" s="52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</row>
    <row r="985" spans="15:54" ht="15.75" customHeight="1" x14ac:dyDescent="0.25"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  <c r="AG985" s="52"/>
      <c r="AH985" s="52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</row>
    <row r="986" spans="15:54" ht="15.75" customHeight="1" x14ac:dyDescent="0.25"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  <c r="AH986" s="52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</row>
    <row r="987" spans="15:54" ht="15.75" customHeight="1" x14ac:dyDescent="0.25"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  <c r="AH987" s="52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</row>
    <row r="988" spans="15:54" ht="15.75" customHeight="1" x14ac:dyDescent="0.25"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  <c r="AH988" s="52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</row>
    <row r="989" spans="15:54" ht="15.75" customHeight="1" x14ac:dyDescent="0.25"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  <c r="AH989" s="52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</row>
    <row r="990" spans="15:54" ht="15.75" customHeight="1" x14ac:dyDescent="0.25"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52"/>
      <c r="AG990" s="52"/>
      <c r="AH990" s="52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</row>
    <row r="991" spans="15:54" ht="15.75" customHeight="1" x14ac:dyDescent="0.25"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52"/>
      <c r="AG991" s="52"/>
      <c r="AH991" s="52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</row>
    <row r="992" spans="15:54" ht="15.75" customHeight="1" x14ac:dyDescent="0.25"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52"/>
      <c r="AG992" s="52"/>
      <c r="AH992" s="52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</row>
    <row r="993" spans="15:54" ht="15.75" customHeight="1" x14ac:dyDescent="0.25"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52"/>
      <c r="AG993" s="52"/>
      <c r="AH993" s="52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</row>
    <row r="994" spans="15:54" ht="15.75" customHeight="1" x14ac:dyDescent="0.25"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52"/>
      <c r="AG994" s="52"/>
      <c r="AH994" s="52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</row>
    <row r="995" spans="15:54" ht="15.75" customHeight="1" x14ac:dyDescent="0.25"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52"/>
      <c r="AG995" s="52"/>
      <c r="AH995" s="52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</row>
    <row r="996" spans="15:54" ht="15.75" customHeight="1" x14ac:dyDescent="0.25"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52"/>
      <c r="AG996" s="52"/>
      <c r="AH996" s="52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</row>
    <row r="997" spans="15:54" ht="15.75" customHeight="1" x14ac:dyDescent="0.25"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52"/>
      <c r="AG997" s="52"/>
      <c r="AH997" s="52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</row>
    <row r="998" spans="15:54" ht="15.75" customHeight="1" x14ac:dyDescent="0.25"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  <c r="AH998" s="52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</row>
    <row r="999" spans="15:54" ht="15.75" customHeight="1" x14ac:dyDescent="0.25"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52"/>
      <c r="AG999" s="52"/>
      <c r="AH999" s="52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</row>
    <row r="1000" spans="15:54" ht="15.75" customHeight="1" x14ac:dyDescent="0.25"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52"/>
      <c r="AG1000" s="52"/>
      <c r="AH1000" s="52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</row>
  </sheetData>
  <mergeCells count="8">
    <mergeCell ref="J24:L24"/>
    <mergeCell ref="J25:L25"/>
    <mergeCell ref="J26:L26"/>
    <mergeCell ref="B3:G4"/>
    <mergeCell ref="B6:G6"/>
    <mergeCell ref="K6:N6"/>
    <mergeCell ref="J22:M22"/>
    <mergeCell ref="J23:L23"/>
  </mergeCells>
  <conditionalFormatting sqref="M23:M26">
    <cfRule type="expression" dxfId="76" priority="1">
      <formula>J23=""</formula>
    </cfRule>
  </conditionalFormatting>
  <conditionalFormatting sqref="M24:M26">
    <cfRule type="expression" dxfId="75" priority="2">
      <formula>J24=""</formula>
    </cfRule>
  </conditionalFormatting>
  <conditionalFormatting sqref="M25">
    <cfRule type="expression" dxfId="74" priority="3">
      <formula>J25=""</formula>
    </cfRule>
  </conditionalFormatting>
  <conditionalFormatting sqref="B22:H28 J22:M26">
    <cfRule type="expression" dxfId="73" priority="4">
      <formula>OR($I$22=0,AND($J$20="",$J$21="",$J$22="",$J$23=""))</formula>
    </cfRule>
  </conditionalFormatting>
  <conditionalFormatting sqref="N23:AH27">
    <cfRule type="expression" dxfId="72" priority="5">
      <formula>K23=""</formula>
    </cfRule>
  </conditionalFormatting>
  <conditionalFormatting sqref="N24:AH26">
    <cfRule type="expression" dxfId="71" priority="6">
      <formula>K24=""</formula>
    </cfRule>
  </conditionalFormatting>
  <conditionalFormatting sqref="N25:AH25">
    <cfRule type="expression" dxfId="70" priority="7">
      <formula>K25=""</formula>
    </cfRule>
  </conditionalFormatting>
  <conditionalFormatting sqref="N27:AH27">
    <cfRule type="expression" dxfId="69" priority="8">
      <formula>K27=""</formula>
    </cfRule>
  </conditionalFormatting>
  <conditionalFormatting sqref="N23:AH27">
    <cfRule type="expression" dxfId="68" priority="9">
      <formula>OR($I$22=0,AND($J$20="",$J$21="",$J$22="",$J$23=""))</formula>
    </cfRule>
  </conditionalFormatting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B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3.7109375" customWidth="1"/>
    <col min="4" max="10" width="10.7109375" customWidth="1"/>
    <col min="11" max="11" width="13.7109375" customWidth="1"/>
    <col min="12" max="13" width="10.7109375" customWidth="1"/>
    <col min="14" max="34" width="13.7109375" customWidth="1"/>
    <col min="35" max="35" width="20" customWidth="1"/>
    <col min="36" max="46" width="11.42578125" customWidth="1"/>
    <col min="47" max="47" width="10.42578125" customWidth="1"/>
    <col min="48" max="48" width="13.7109375" customWidth="1"/>
    <col min="49" max="49" width="10.42578125" customWidth="1"/>
    <col min="50" max="50" width="9.85546875" customWidth="1"/>
    <col min="51" max="51" width="13" customWidth="1"/>
    <col min="52" max="52" width="29.85546875" customWidth="1"/>
    <col min="53" max="53" width="25.7109375" customWidth="1"/>
    <col min="54" max="54" width="11.42578125" customWidth="1"/>
  </cols>
  <sheetData>
    <row r="1" spans="2:54" x14ac:dyDescent="0.25"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spans="2:54" x14ac:dyDescent="0.25"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2:54" x14ac:dyDescent="0.25">
      <c r="B3" s="88" t="s">
        <v>51</v>
      </c>
      <c r="C3" s="89"/>
      <c r="D3" s="89"/>
      <c r="E3" s="89"/>
      <c r="F3" s="89"/>
      <c r="G3" s="90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spans="2:54" x14ac:dyDescent="0.25">
      <c r="B4" s="91"/>
      <c r="C4" s="92"/>
      <c r="D4" s="92"/>
      <c r="E4" s="92"/>
      <c r="F4" s="92"/>
      <c r="G4" s="93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  <row r="5" spans="2:54" x14ac:dyDescent="0.25">
      <c r="B5" s="4"/>
      <c r="C5" s="5">
        <v>2</v>
      </c>
      <c r="D5" s="5">
        <v>3</v>
      </c>
      <c r="E5" s="5">
        <v>5</v>
      </c>
      <c r="F5" s="5">
        <v>6</v>
      </c>
      <c r="G5" s="5">
        <v>4</v>
      </c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spans="2:54" x14ac:dyDescent="0.25">
      <c r="B6" s="94" t="s">
        <v>5</v>
      </c>
      <c r="C6" s="95"/>
      <c r="D6" s="95"/>
      <c r="E6" s="95"/>
      <c r="F6" s="95"/>
      <c r="G6" s="96"/>
      <c r="J6" s="6" t="s">
        <v>6</v>
      </c>
      <c r="K6" s="97" t="s">
        <v>7</v>
      </c>
      <c r="L6" s="95"/>
      <c r="M6" s="95"/>
      <c r="N6" s="96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5"/>
      <c r="AJ6" s="3">
        <v>1</v>
      </c>
      <c r="AK6" s="3">
        <v>2</v>
      </c>
      <c r="AL6" s="3" t="s">
        <v>8</v>
      </c>
      <c r="AM6" s="3"/>
      <c r="AN6" s="3" t="s">
        <v>9</v>
      </c>
      <c r="AO6" s="3" t="s">
        <v>10</v>
      </c>
      <c r="AP6" s="3" t="s">
        <v>11</v>
      </c>
      <c r="AQ6" s="3" t="s">
        <v>12</v>
      </c>
      <c r="AR6" s="3" t="s">
        <v>13</v>
      </c>
      <c r="AS6" s="3" t="s">
        <v>14</v>
      </c>
      <c r="AT6" s="3"/>
      <c r="AU6" s="3"/>
      <c r="AV6" s="3" t="s">
        <v>10</v>
      </c>
      <c r="AW6" s="3" t="s">
        <v>15</v>
      </c>
      <c r="AX6" s="3" t="s">
        <v>8</v>
      </c>
      <c r="AY6" s="3" t="s">
        <v>16</v>
      </c>
      <c r="AZ6" s="3" t="s">
        <v>17</v>
      </c>
      <c r="BA6" s="3" t="s">
        <v>18</v>
      </c>
      <c r="BB6" s="3" t="s">
        <v>19</v>
      </c>
    </row>
    <row r="7" spans="2:54" x14ac:dyDescent="0.25">
      <c r="B7" s="7" t="s">
        <v>20</v>
      </c>
      <c r="C7" s="8" t="s">
        <v>10</v>
      </c>
      <c r="D7" s="9" t="s">
        <v>11</v>
      </c>
      <c r="E7" s="9" t="s">
        <v>13</v>
      </c>
      <c r="F7" s="9" t="s">
        <v>14</v>
      </c>
      <c r="G7" s="10" t="s">
        <v>12</v>
      </c>
      <c r="I7" s="11">
        <v>9</v>
      </c>
      <c r="J7" s="12">
        <v>44888</v>
      </c>
      <c r="K7" s="13" t="s">
        <v>52</v>
      </c>
      <c r="L7" s="14">
        <v>3</v>
      </c>
      <c r="M7" s="15">
        <v>1</v>
      </c>
      <c r="N7" s="11" t="s">
        <v>53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5" t="str">
        <f t="shared" ref="AI7:AI12" si="0">CONCATENATE(K7,"_",N7)</f>
        <v>Alemania_Japon</v>
      </c>
      <c r="AJ7" s="3">
        <f t="shared" ref="AJ7:AJ12" si="1">IF(L7&gt;M7,3,IF(L7&lt;M7,0,1))</f>
        <v>3</v>
      </c>
      <c r="AK7" s="3">
        <f t="shared" ref="AK7:AK12" si="2">IF(AJ7=3,0,IF(AJ7=1,1,3))</f>
        <v>0</v>
      </c>
      <c r="AL7" s="3" t="str">
        <f t="shared" ref="AL7:AL12" si="3">IF(AJ7&gt;AK7,K7,IF(AK7&gt;AJ7,N7,"SIN GANADOR"))</f>
        <v>Alemania</v>
      </c>
      <c r="AM7" s="3"/>
      <c r="AN7" s="3">
        <f t="shared" ref="AN7:AN10" si="4">_xlfn.RANK.EQ(BB7,BB$7:BB$11,1)</f>
        <v>1</v>
      </c>
      <c r="AO7" s="3" t="s">
        <v>54</v>
      </c>
      <c r="AP7" s="3">
        <f t="shared" ref="AP7:AP10" si="5">SUMIF($K$7:$K$12,AO7,$AJ$7:$AJ$12) + SUMIF($N$7:$N$12,AO7,$AK$7:$AK$12)</f>
        <v>7</v>
      </c>
      <c r="AQ7" s="3">
        <f t="shared" ref="AQ7:AQ10" si="6">AR7-AS7</f>
        <v>5</v>
      </c>
      <c r="AR7" s="3">
        <f t="shared" ref="AR7:AR10" si="7">SUMIF($K$7:$K$12,AO7,$L$7:$L$12) + SUMIF($N$7:$N$12,AO7,$M$7:$M$12)</f>
        <v>7</v>
      </c>
      <c r="AS7" s="3">
        <f t="shared" ref="AS7:AS10" si="8">SUMIF($K$7:$K$12,AO7,$M$7:$M$12) + SUMIF($N$7:$N$12,AO7,$L$7:$L$12)</f>
        <v>2</v>
      </c>
      <c r="AT7" s="3"/>
      <c r="AU7" s="3"/>
      <c r="AV7" s="3" t="str">
        <f t="shared" ref="AV7:AV10" si="9">AO7</f>
        <v>España</v>
      </c>
      <c r="AW7" s="3" t="str">
        <f>IF(AZ7=AZ8,AV8,IF(AZ7=AZ9,AV9,IF(AZ7=AZ10,AV10,"")))</f>
        <v/>
      </c>
      <c r="AX7" s="3" t="str">
        <f t="shared" ref="AX7:AX10" si="10">IF(AW7="","",IFERROR(VLOOKUP(CONCATENATE(AV7,"_",AW7),$AI$7:$AL$16,4,FALSE),VLOOKUP(CONCATENATE(AW7,"_",AV7),$AI$7:$AL$16,4,FALSE)))</f>
        <v/>
      </c>
      <c r="AY7" s="3">
        <f t="shared" ref="AY7:AY10" si="11">IF(AX7="",1,IF(AX7=AV7,1,0))</f>
        <v>1</v>
      </c>
      <c r="AZ7" s="3">
        <f t="shared" ref="AZ7:AZ10" si="12">-AP7*10000000 - AQ7*10000 - AR7*100</f>
        <v>-70050700</v>
      </c>
      <c r="BA7" s="3">
        <f t="shared" ref="BA7:BA10" si="13">AZ7-AY7*10</f>
        <v>-70050710</v>
      </c>
      <c r="BB7" s="3">
        <f t="shared" ref="BB7:BB10" si="14">BA7+N23</f>
        <v>-70050709</v>
      </c>
    </row>
    <row r="8" spans="2:54" x14ac:dyDescent="0.25">
      <c r="B8" s="16">
        <v>1</v>
      </c>
      <c r="C8" s="17" t="str">
        <f t="shared" ref="C8:G8" si="15">IFERROR(VLOOKUP($B8,$AN$7:$AS$11,C$5,FALSE),"")</f>
        <v>España</v>
      </c>
      <c r="D8" s="18">
        <f t="shared" si="15"/>
        <v>7</v>
      </c>
      <c r="E8" s="18">
        <f t="shared" si="15"/>
        <v>7</v>
      </c>
      <c r="F8" s="18">
        <f t="shared" si="15"/>
        <v>2</v>
      </c>
      <c r="G8" s="19">
        <f t="shared" si="15"/>
        <v>5</v>
      </c>
      <c r="I8" s="20">
        <v>10</v>
      </c>
      <c r="J8" s="21">
        <v>44888</v>
      </c>
      <c r="K8" s="22" t="s">
        <v>54</v>
      </c>
      <c r="L8" s="23">
        <v>3</v>
      </c>
      <c r="M8" s="24">
        <v>0</v>
      </c>
      <c r="N8" s="20" t="s">
        <v>55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5" t="str">
        <f t="shared" si="0"/>
        <v>España_Costa Rica</v>
      </c>
      <c r="AJ8" s="3">
        <f t="shared" si="1"/>
        <v>3</v>
      </c>
      <c r="AK8" s="3">
        <f t="shared" si="2"/>
        <v>0</v>
      </c>
      <c r="AL8" s="3" t="str">
        <f t="shared" si="3"/>
        <v>España</v>
      </c>
      <c r="AM8" s="3"/>
      <c r="AN8" s="3">
        <f t="shared" si="4"/>
        <v>2</v>
      </c>
      <c r="AO8" s="3" t="s">
        <v>52</v>
      </c>
      <c r="AP8" s="3">
        <f t="shared" si="5"/>
        <v>7</v>
      </c>
      <c r="AQ8" s="3">
        <f t="shared" si="6"/>
        <v>4</v>
      </c>
      <c r="AR8" s="3">
        <f t="shared" si="7"/>
        <v>7</v>
      </c>
      <c r="AS8" s="3">
        <f t="shared" si="8"/>
        <v>3</v>
      </c>
      <c r="AT8" s="3"/>
      <c r="AU8" s="3"/>
      <c r="AV8" s="3" t="str">
        <f t="shared" si="9"/>
        <v>Alemania</v>
      </c>
      <c r="AW8" s="3" t="str">
        <f>IF(AZ8=AZ9,AV9,IF(AZ8=AZ10,AV10,IF(AZ8=AZ7,AV7,"")))</f>
        <v/>
      </c>
      <c r="AX8" s="3" t="str">
        <f t="shared" si="10"/>
        <v/>
      </c>
      <c r="AY8" s="3">
        <f t="shared" si="11"/>
        <v>1</v>
      </c>
      <c r="AZ8" s="3">
        <f t="shared" si="12"/>
        <v>-70040700</v>
      </c>
      <c r="BA8" s="3">
        <f t="shared" si="13"/>
        <v>-70040710</v>
      </c>
      <c r="BB8" s="3">
        <f t="shared" si="14"/>
        <v>-70040708</v>
      </c>
    </row>
    <row r="9" spans="2:54" x14ac:dyDescent="0.25">
      <c r="B9" s="25">
        <v>2</v>
      </c>
      <c r="C9" s="26" t="str">
        <f t="shared" ref="C9:G9" si="16">IFERROR(VLOOKUP($B9,$AN$7:$AS$11,C$5,FALSE),"")</f>
        <v>Alemania</v>
      </c>
      <c r="D9" s="27">
        <f t="shared" si="16"/>
        <v>7</v>
      </c>
      <c r="E9" s="27">
        <f t="shared" si="16"/>
        <v>7</v>
      </c>
      <c r="F9" s="27">
        <f t="shared" si="16"/>
        <v>3</v>
      </c>
      <c r="G9" s="28">
        <f t="shared" si="16"/>
        <v>4</v>
      </c>
      <c r="I9" s="29">
        <f t="shared" ref="I9:I12" si="17">I7+16</f>
        <v>25</v>
      </c>
      <c r="J9" s="30">
        <v>44892</v>
      </c>
      <c r="K9" s="31" t="s">
        <v>53</v>
      </c>
      <c r="L9" s="23">
        <v>2</v>
      </c>
      <c r="M9" s="24">
        <v>1</v>
      </c>
      <c r="N9" s="29" t="s">
        <v>55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5" t="str">
        <f t="shared" si="0"/>
        <v>Japon_Costa Rica</v>
      </c>
      <c r="AJ9" s="3">
        <f t="shared" si="1"/>
        <v>3</v>
      </c>
      <c r="AK9" s="3">
        <f t="shared" si="2"/>
        <v>0</v>
      </c>
      <c r="AL9" s="3" t="str">
        <f t="shared" si="3"/>
        <v>Japon</v>
      </c>
      <c r="AM9" s="3"/>
      <c r="AN9" s="3">
        <f t="shared" si="4"/>
        <v>3</v>
      </c>
      <c r="AO9" s="3" t="s">
        <v>53</v>
      </c>
      <c r="AP9" s="3">
        <f t="shared" si="5"/>
        <v>3</v>
      </c>
      <c r="AQ9" s="3">
        <f t="shared" si="6"/>
        <v>-3</v>
      </c>
      <c r="AR9" s="3">
        <f t="shared" si="7"/>
        <v>4</v>
      </c>
      <c r="AS9" s="3">
        <f t="shared" si="8"/>
        <v>7</v>
      </c>
      <c r="AT9" s="3"/>
      <c r="AU9" s="3"/>
      <c r="AV9" s="3" t="str">
        <f t="shared" si="9"/>
        <v>Japon</v>
      </c>
      <c r="AW9" s="3" t="str">
        <f>IF(AZ9=AZ10,AV10,IF(AZ9=AZ7,AV7,IF(AZ9=AZ8,AV8,"")))</f>
        <v/>
      </c>
      <c r="AX9" s="3" t="str">
        <f t="shared" si="10"/>
        <v/>
      </c>
      <c r="AY9" s="3">
        <f t="shared" si="11"/>
        <v>1</v>
      </c>
      <c r="AZ9" s="3">
        <f t="shared" si="12"/>
        <v>-29970400</v>
      </c>
      <c r="BA9" s="3">
        <f t="shared" si="13"/>
        <v>-29970410</v>
      </c>
      <c r="BB9" s="3">
        <f t="shared" si="14"/>
        <v>-29970407</v>
      </c>
    </row>
    <row r="10" spans="2:54" x14ac:dyDescent="0.25">
      <c r="B10" s="32">
        <v>3</v>
      </c>
      <c r="C10" s="33" t="str">
        <f t="shared" ref="C10:G10" si="18">IFERROR(VLOOKUP($B10,$AN$7:$AS$11,C$5,FALSE),"")</f>
        <v>Japon</v>
      </c>
      <c r="D10" s="34">
        <f t="shared" si="18"/>
        <v>3</v>
      </c>
      <c r="E10" s="34">
        <f t="shared" si="18"/>
        <v>4</v>
      </c>
      <c r="F10" s="34">
        <f t="shared" si="18"/>
        <v>7</v>
      </c>
      <c r="G10" s="35">
        <f t="shared" si="18"/>
        <v>-3</v>
      </c>
      <c r="I10" s="20">
        <f t="shared" si="17"/>
        <v>26</v>
      </c>
      <c r="J10" s="21">
        <v>44892</v>
      </c>
      <c r="K10" s="22" t="s">
        <v>54</v>
      </c>
      <c r="L10" s="23">
        <v>1</v>
      </c>
      <c r="M10" s="24">
        <v>1</v>
      </c>
      <c r="N10" s="20" t="s">
        <v>52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5" t="str">
        <f t="shared" si="0"/>
        <v>España_Alemania</v>
      </c>
      <c r="AJ10" s="3">
        <f t="shared" si="1"/>
        <v>1</v>
      </c>
      <c r="AK10" s="3">
        <f t="shared" si="2"/>
        <v>1</v>
      </c>
      <c r="AL10" s="3" t="str">
        <f t="shared" si="3"/>
        <v>SIN GANADOR</v>
      </c>
      <c r="AM10" s="3"/>
      <c r="AN10" s="3">
        <f t="shared" si="4"/>
        <v>4</v>
      </c>
      <c r="AO10" s="3" t="s">
        <v>55</v>
      </c>
      <c r="AP10" s="3">
        <f t="shared" si="5"/>
        <v>0</v>
      </c>
      <c r="AQ10" s="3">
        <f t="shared" si="6"/>
        <v>-6</v>
      </c>
      <c r="AR10" s="3">
        <f t="shared" si="7"/>
        <v>2</v>
      </c>
      <c r="AS10" s="3">
        <f t="shared" si="8"/>
        <v>8</v>
      </c>
      <c r="AT10" s="3"/>
      <c r="AU10" s="3"/>
      <c r="AV10" s="3" t="str">
        <f t="shared" si="9"/>
        <v>Costa Rica</v>
      </c>
      <c r="AW10" s="3" t="str">
        <f>IF(AZ10=AZ7,AV7,IF(AZ10=AZ8,AV8,IF(AZ10=AZ9,AV9,"")))</f>
        <v/>
      </c>
      <c r="AX10" s="3" t="str">
        <f t="shared" si="10"/>
        <v/>
      </c>
      <c r="AY10" s="3">
        <f t="shared" si="11"/>
        <v>1</v>
      </c>
      <c r="AZ10" s="3">
        <f t="shared" si="12"/>
        <v>59800</v>
      </c>
      <c r="BA10" s="3">
        <f t="shared" si="13"/>
        <v>59790</v>
      </c>
      <c r="BB10" s="3">
        <f t="shared" si="14"/>
        <v>59794</v>
      </c>
    </row>
    <row r="11" spans="2:54" x14ac:dyDescent="0.25">
      <c r="B11" s="36">
        <v>4</v>
      </c>
      <c r="C11" s="37" t="str">
        <f t="shared" ref="C11:G11" si="19">IFERROR(VLOOKUP($B11,$AN$7:$AS$11,C$5,FALSE),"")</f>
        <v>Costa Rica</v>
      </c>
      <c r="D11" s="38">
        <f t="shared" si="19"/>
        <v>0</v>
      </c>
      <c r="E11" s="38">
        <f t="shared" si="19"/>
        <v>2</v>
      </c>
      <c r="F11" s="38">
        <f t="shared" si="19"/>
        <v>8</v>
      </c>
      <c r="G11" s="39">
        <f t="shared" si="19"/>
        <v>-6</v>
      </c>
      <c r="I11" s="29">
        <f t="shared" si="17"/>
        <v>41</v>
      </c>
      <c r="J11" s="30">
        <v>44896</v>
      </c>
      <c r="K11" s="31" t="s">
        <v>53</v>
      </c>
      <c r="L11" s="23">
        <v>1</v>
      </c>
      <c r="M11" s="24">
        <v>3</v>
      </c>
      <c r="N11" s="29" t="s">
        <v>54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5" t="str">
        <f t="shared" si="0"/>
        <v>Japon_España</v>
      </c>
      <c r="AJ11" s="3">
        <f t="shared" si="1"/>
        <v>0</v>
      </c>
      <c r="AK11" s="3">
        <f t="shared" si="2"/>
        <v>3</v>
      </c>
      <c r="AL11" s="3" t="str">
        <f t="shared" si="3"/>
        <v>España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</row>
    <row r="12" spans="2:54" x14ac:dyDescent="0.25">
      <c r="I12" s="40">
        <f t="shared" si="17"/>
        <v>42</v>
      </c>
      <c r="J12" s="41">
        <v>44896</v>
      </c>
      <c r="K12" s="42" t="s">
        <v>55</v>
      </c>
      <c r="L12" s="43">
        <v>1</v>
      </c>
      <c r="M12" s="44">
        <v>3</v>
      </c>
      <c r="N12" s="40" t="s">
        <v>52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5" t="str">
        <f t="shared" si="0"/>
        <v>Costa Rica_Alemania</v>
      </c>
      <c r="AJ12" s="3">
        <f t="shared" si="1"/>
        <v>0</v>
      </c>
      <c r="AK12" s="3">
        <f t="shared" si="2"/>
        <v>3</v>
      </c>
      <c r="AL12" s="3" t="str">
        <f t="shared" si="3"/>
        <v>Alemania</v>
      </c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 spans="2:54" x14ac:dyDescent="0.25"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</row>
    <row r="14" spans="2:54" x14ac:dyDescent="0.25"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</row>
    <row r="15" spans="2:54" x14ac:dyDescent="0.25"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</row>
    <row r="16" spans="2:54" x14ac:dyDescent="0.25"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</row>
    <row r="17" spans="2:54" x14ac:dyDescent="0.25"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</row>
    <row r="18" spans="2:54" x14ac:dyDescent="0.25"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</row>
    <row r="19" spans="2:54" x14ac:dyDescent="0.25"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</row>
    <row r="20" spans="2:54" x14ac:dyDescent="0.25"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</row>
    <row r="21" spans="2:54" ht="15.75" customHeight="1" x14ac:dyDescent="0.25"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</row>
    <row r="22" spans="2:54" ht="15.75" customHeight="1" x14ac:dyDescent="0.25">
      <c r="B22" s="45" t="s">
        <v>25</v>
      </c>
      <c r="C22" s="46"/>
      <c r="D22" s="46"/>
      <c r="E22" s="46"/>
      <c r="F22" s="46"/>
      <c r="G22" s="46"/>
      <c r="H22" s="47"/>
      <c r="I22" s="3">
        <v>1</v>
      </c>
      <c r="J22" s="105" t="s">
        <v>56</v>
      </c>
      <c r="K22" s="82"/>
      <c r="L22" s="82"/>
      <c r="M22" s="83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</row>
    <row r="23" spans="2:54" ht="15.75" customHeight="1" x14ac:dyDescent="0.25">
      <c r="B23" s="48" t="s">
        <v>27</v>
      </c>
      <c r="C23" s="49"/>
      <c r="D23" s="49"/>
      <c r="E23" s="49"/>
      <c r="F23" s="49"/>
      <c r="G23" s="49"/>
      <c r="H23" s="50"/>
      <c r="I23" s="3">
        <f t="shared" ref="I23:I26" si="20">IF(J23="",0,1)</f>
        <v>1</v>
      </c>
      <c r="J23" s="98" t="s">
        <v>52</v>
      </c>
      <c r="K23" s="99"/>
      <c r="L23" s="85"/>
      <c r="M23" s="58">
        <v>1</v>
      </c>
      <c r="N23" s="52">
        <f t="shared" ref="N23:N27" si="21">IF(J23="",0,M23)</f>
        <v>1</v>
      </c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</row>
    <row r="24" spans="2:54" ht="15.75" customHeight="1" x14ac:dyDescent="0.25">
      <c r="B24" s="48" t="s">
        <v>28</v>
      </c>
      <c r="C24" s="49"/>
      <c r="D24" s="49"/>
      <c r="E24" s="49"/>
      <c r="F24" s="49"/>
      <c r="G24" s="49"/>
      <c r="H24" s="50"/>
      <c r="I24" s="3">
        <f t="shared" si="20"/>
        <v>1</v>
      </c>
      <c r="J24" s="100" t="s">
        <v>54</v>
      </c>
      <c r="K24" s="101"/>
      <c r="L24" s="102"/>
      <c r="M24" s="53">
        <v>2</v>
      </c>
      <c r="N24" s="52">
        <f t="shared" si="21"/>
        <v>2</v>
      </c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</row>
    <row r="25" spans="2:54" ht="15.75" customHeight="1" x14ac:dyDescent="0.25">
      <c r="B25" s="48" t="s">
        <v>30</v>
      </c>
      <c r="C25" s="49"/>
      <c r="D25" s="49"/>
      <c r="E25" s="49"/>
      <c r="F25" s="49"/>
      <c r="G25" s="49"/>
      <c r="H25" s="50"/>
      <c r="I25" s="3">
        <f t="shared" si="20"/>
        <v>1</v>
      </c>
      <c r="J25" s="100" t="s">
        <v>53</v>
      </c>
      <c r="K25" s="101"/>
      <c r="L25" s="102"/>
      <c r="M25" s="53">
        <v>3</v>
      </c>
      <c r="N25" s="52">
        <f t="shared" si="21"/>
        <v>3</v>
      </c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</row>
    <row r="26" spans="2:54" ht="15.75" customHeight="1" x14ac:dyDescent="0.25">
      <c r="B26" s="48" t="s">
        <v>32</v>
      </c>
      <c r="C26" s="49"/>
      <c r="D26" s="49"/>
      <c r="E26" s="49"/>
      <c r="F26" s="49"/>
      <c r="G26" s="49"/>
      <c r="H26" s="50"/>
      <c r="I26" s="3">
        <f t="shared" si="20"/>
        <v>1</v>
      </c>
      <c r="J26" s="103" t="s">
        <v>55</v>
      </c>
      <c r="K26" s="104"/>
      <c r="L26" s="87"/>
      <c r="M26" s="54">
        <v>4</v>
      </c>
      <c r="N26" s="52">
        <f t="shared" si="21"/>
        <v>4</v>
      </c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</row>
    <row r="27" spans="2:54" ht="15.75" customHeight="1" x14ac:dyDescent="0.25">
      <c r="B27" s="48" t="s">
        <v>34</v>
      </c>
      <c r="C27" s="49"/>
      <c r="D27" s="49"/>
      <c r="E27" s="49"/>
      <c r="F27" s="49"/>
      <c r="G27" s="49"/>
      <c r="H27" s="50"/>
      <c r="I27" s="3"/>
      <c r="N27" s="52">
        <f t="shared" si="21"/>
        <v>0</v>
      </c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</row>
    <row r="28" spans="2:54" ht="15.75" customHeight="1" x14ac:dyDescent="0.25">
      <c r="B28" s="55"/>
      <c r="C28" s="56"/>
      <c r="D28" s="56"/>
      <c r="E28" s="56"/>
      <c r="F28" s="56"/>
      <c r="G28" s="56"/>
      <c r="H28" s="57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</row>
    <row r="29" spans="2:54" ht="15.75" customHeight="1" x14ac:dyDescent="0.25"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</row>
    <row r="30" spans="2:54" ht="15.75" customHeight="1" x14ac:dyDescent="0.25"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</row>
    <row r="31" spans="2:54" ht="15.75" customHeight="1" x14ac:dyDescent="0.25"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</row>
    <row r="32" spans="2:54" ht="15.75" customHeight="1" x14ac:dyDescent="0.25"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</row>
    <row r="33" spans="15:54" ht="15.75" customHeight="1" x14ac:dyDescent="0.25"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</row>
    <row r="34" spans="15:54" ht="15.75" customHeight="1" x14ac:dyDescent="0.25"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</row>
    <row r="35" spans="15:54" ht="15.75" customHeight="1" x14ac:dyDescent="0.25"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</row>
    <row r="36" spans="15:54" ht="15.75" customHeight="1" x14ac:dyDescent="0.25"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</row>
    <row r="37" spans="15:54" ht="15.75" customHeight="1" x14ac:dyDescent="0.25"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</row>
    <row r="38" spans="15:54" ht="15.75" customHeight="1" x14ac:dyDescent="0.25"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</row>
    <row r="39" spans="15:54" ht="15.75" customHeight="1" x14ac:dyDescent="0.25"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</row>
    <row r="40" spans="15:54" ht="15.75" customHeight="1" x14ac:dyDescent="0.25"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</row>
    <row r="41" spans="15:54" ht="15.75" customHeight="1" x14ac:dyDescent="0.25"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</row>
    <row r="42" spans="15:54" ht="15.75" customHeight="1" x14ac:dyDescent="0.25"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</row>
    <row r="43" spans="15:54" ht="15.75" customHeight="1" x14ac:dyDescent="0.25"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</row>
    <row r="44" spans="15:54" ht="15.75" customHeight="1" x14ac:dyDescent="0.25"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</row>
    <row r="45" spans="15:54" ht="15.75" customHeight="1" x14ac:dyDescent="0.25"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</row>
    <row r="46" spans="15:54" ht="15.75" customHeight="1" x14ac:dyDescent="0.25"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</row>
    <row r="47" spans="15:54" ht="15.75" customHeight="1" x14ac:dyDescent="0.25"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15:54" ht="15.75" customHeight="1" x14ac:dyDescent="0.25"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r="49" spans="15:54" ht="15.75" customHeight="1" x14ac:dyDescent="0.25"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r="50" spans="15:54" ht="15.75" customHeight="1" x14ac:dyDescent="0.25"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</row>
    <row r="51" spans="15:54" ht="15.75" customHeight="1" x14ac:dyDescent="0.25"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</row>
    <row r="52" spans="15:54" ht="15.75" customHeight="1" x14ac:dyDescent="0.25"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</row>
    <row r="53" spans="15:54" ht="15.75" customHeight="1" x14ac:dyDescent="0.25"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</row>
    <row r="54" spans="15:54" ht="15.75" customHeight="1" x14ac:dyDescent="0.25"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</row>
    <row r="55" spans="15:54" ht="15.75" customHeight="1" x14ac:dyDescent="0.25"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</row>
    <row r="56" spans="15:54" ht="15.75" customHeight="1" x14ac:dyDescent="0.25"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</row>
    <row r="57" spans="15:54" ht="15.75" customHeight="1" x14ac:dyDescent="0.25"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</row>
    <row r="58" spans="15:54" ht="15.75" customHeight="1" x14ac:dyDescent="0.25"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</row>
    <row r="59" spans="15:54" ht="15.75" customHeight="1" x14ac:dyDescent="0.25"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</row>
    <row r="60" spans="15:54" ht="15.75" customHeight="1" x14ac:dyDescent="0.25"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</row>
    <row r="61" spans="15:54" ht="15.75" customHeight="1" x14ac:dyDescent="0.25"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</row>
    <row r="62" spans="15:54" ht="15.75" customHeight="1" x14ac:dyDescent="0.25"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</row>
    <row r="63" spans="15:54" ht="15.75" customHeight="1" x14ac:dyDescent="0.25"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</row>
    <row r="64" spans="15:54" ht="15.75" customHeight="1" x14ac:dyDescent="0.25"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</row>
    <row r="65" spans="15:54" ht="15.75" customHeight="1" x14ac:dyDescent="0.25"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</row>
    <row r="66" spans="15:54" ht="15.75" customHeight="1" x14ac:dyDescent="0.25"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</row>
    <row r="67" spans="15:54" ht="15.75" customHeight="1" x14ac:dyDescent="0.25"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</row>
    <row r="68" spans="15:54" ht="15.75" customHeight="1" x14ac:dyDescent="0.25"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</row>
    <row r="69" spans="15:54" ht="15.75" customHeight="1" x14ac:dyDescent="0.25"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</row>
    <row r="70" spans="15:54" ht="15.75" customHeight="1" x14ac:dyDescent="0.25"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</row>
    <row r="71" spans="15:54" ht="15.75" customHeight="1" x14ac:dyDescent="0.25"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</row>
    <row r="72" spans="15:54" ht="15.75" customHeight="1" x14ac:dyDescent="0.25"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</row>
    <row r="73" spans="15:54" ht="15.75" customHeight="1" x14ac:dyDescent="0.25"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</row>
    <row r="74" spans="15:54" ht="15.75" customHeight="1" x14ac:dyDescent="0.25"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</row>
    <row r="75" spans="15:54" ht="15.75" customHeight="1" x14ac:dyDescent="0.25"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</row>
    <row r="76" spans="15:54" ht="15.75" customHeight="1" x14ac:dyDescent="0.25"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</row>
    <row r="77" spans="15:54" ht="15.75" customHeight="1" x14ac:dyDescent="0.25"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</row>
    <row r="78" spans="15:54" ht="15.75" customHeight="1" x14ac:dyDescent="0.25"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</row>
    <row r="79" spans="15:54" ht="15.75" customHeight="1" x14ac:dyDescent="0.25"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</row>
    <row r="80" spans="15:54" ht="15.75" customHeight="1" x14ac:dyDescent="0.25"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</row>
    <row r="81" spans="15:54" ht="15.75" customHeight="1" x14ac:dyDescent="0.25"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</row>
    <row r="82" spans="15:54" ht="15.75" customHeight="1" x14ac:dyDescent="0.25"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</row>
    <row r="83" spans="15:54" ht="15.75" customHeight="1" x14ac:dyDescent="0.25"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</row>
    <row r="84" spans="15:54" ht="15.75" customHeight="1" x14ac:dyDescent="0.25"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</row>
    <row r="85" spans="15:54" ht="15.75" customHeight="1" x14ac:dyDescent="0.25"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</row>
    <row r="86" spans="15:54" ht="15.75" customHeight="1" x14ac:dyDescent="0.25"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</row>
    <row r="87" spans="15:54" ht="15.75" customHeight="1" x14ac:dyDescent="0.25"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</row>
    <row r="88" spans="15:54" ht="15.75" customHeight="1" x14ac:dyDescent="0.25"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</row>
    <row r="89" spans="15:54" ht="15.75" customHeight="1" x14ac:dyDescent="0.25"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</row>
    <row r="90" spans="15:54" ht="15.75" customHeight="1" x14ac:dyDescent="0.25"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</row>
    <row r="91" spans="15:54" ht="15.75" customHeight="1" x14ac:dyDescent="0.25"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</row>
    <row r="92" spans="15:54" ht="15.75" customHeight="1" x14ac:dyDescent="0.25"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</row>
    <row r="93" spans="15:54" ht="15.75" customHeight="1" x14ac:dyDescent="0.25"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</row>
    <row r="94" spans="15:54" ht="15.75" customHeight="1" x14ac:dyDescent="0.25"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</row>
    <row r="95" spans="15:54" ht="15.75" customHeight="1" x14ac:dyDescent="0.25"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</row>
    <row r="96" spans="15:54" ht="15.75" customHeight="1" x14ac:dyDescent="0.25"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</row>
    <row r="97" spans="15:54" ht="15.75" customHeight="1" x14ac:dyDescent="0.25"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</row>
    <row r="98" spans="15:54" ht="15.75" customHeight="1" x14ac:dyDescent="0.25"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</row>
    <row r="99" spans="15:54" ht="15.75" customHeight="1" x14ac:dyDescent="0.25"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</row>
    <row r="100" spans="15:54" ht="15.75" customHeight="1" x14ac:dyDescent="0.25"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</row>
    <row r="101" spans="15:54" ht="15.75" customHeight="1" x14ac:dyDescent="0.25"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</row>
    <row r="102" spans="15:54" ht="15.75" customHeight="1" x14ac:dyDescent="0.25"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</row>
    <row r="103" spans="15:54" ht="15.75" customHeight="1" x14ac:dyDescent="0.25"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</row>
    <row r="104" spans="15:54" ht="15.75" customHeight="1" x14ac:dyDescent="0.25"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</row>
    <row r="105" spans="15:54" ht="15.75" customHeight="1" x14ac:dyDescent="0.25"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</row>
    <row r="106" spans="15:54" ht="15.75" customHeight="1" x14ac:dyDescent="0.25"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</row>
    <row r="107" spans="15:54" ht="15.75" customHeight="1" x14ac:dyDescent="0.25"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</row>
    <row r="108" spans="15:54" ht="15.75" customHeight="1" x14ac:dyDescent="0.25"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</row>
    <row r="109" spans="15:54" ht="15.75" customHeight="1" x14ac:dyDescent="0.25"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</row>
    <row r="110" spans="15:54" ht="15.75" customHeight="1" x14ac:dyDescent="0.25"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</row>
    <row r="111" spans="15:54" ht="15.75" customHeight="1" x14ac:dyDescent="0.25"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</row>
    <row r="112" spans="15:54" ht="15.75" customHeight="1" x14ac:dyDescent="0.25"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</row>
    <row r="113" spans="15:54" ht="15.75" customHeight="1" x14ac:dyDescent="0.25"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</row>
    <row r="114" spans="15:54" ht="15.75" customHeight="1" x14ac:dyDescent="0.25"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</row>
    <row r="115" spans="15:54" ht="15.75" customHeight="1" x14ac:dyDescent="0.25"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</row>
    <row r="116" spans="15:54" ht="15.75" customHeight="1" x14ac:dyDescent="0.25"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</row>
    <row r="117" spans="15:54" ht="15.75" customHeight="1" x14ac:dyDescent="0.25"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</row>
    <row r="118" spans="15:54" ht="15.75" customHeight="1" x14ac:dyDescent="0.25"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</row>
    <row r="119" spans="15:54" ht="15.75" customHeight="1" x14ac:dyDescent="0.25"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</row>
    <row r="120" spans="15:54" ht="15.75" customHeight="1" x14ac:dyDescent="0.25"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</row>
    <row r="121" spans="15:54" ht="15.75" customHeight="1" x14ac:dyDescent="0.25"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</row>
    <row r="122" spans="15:54" ht="15.75" customHeight="1" x14ac:dyDescent="0.25"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</row>
    <row r="123" spans="15:54" ht="15.75" customHeight="1" x14ac:dyDescent="0.25"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</row>
    <row r="124" spans="15:54" ht="15.75" customHeight="1" x14ac:dyDescent="0.25"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</row>
    <row r="125" spans="15:54" ht="15.75" customHeight="1" x14ac:dyDescent="0.25"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</row>
    <row r="126" spans="15:54" ht="15.75" customHeight="1" x14ac:dyDescent="0.25"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</row>
    <row r="127" spans="15:54" ht="15.75" customHeight="1" x14ac:dyDescent="0.25"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</row>
    <row r="128" spans="15:54" ht="15.75" customHeight="1" x14ac:dyDescent="0.25"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</row>
    <row r="129" spans="15:54" ht="15.75" customHeight="1" x14ac:dyDescent="0.25"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</row>
    <row r="130" spans="15:54" ht="15.75" customHeight="1" x14ac:dyDescent="0.25"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</row>
    <row r="131" spans="15:54" ht="15.75" customHeight="1" x14ac:dyDescent="0.25"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</row>
    <row r="132" spans="15:54" ht="15.75" customHeight="1" x14ac:dyDescent="0.25"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</row>
    <row r="133" spans="15:54" ht="15.75" customHeight="1" x14ac:dyDescent="0.25"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</row>
    <row r="134" spans="15:54" ht="15.75" customHeight="1" x14ac:dyDescent="0.25"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</row>
    <row r="135" spans="15:54" ht="15.75" customHeight="1" x14ac:dyDescent="0.25"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</row>
    <row r="136" spans="15:54" ht="15.75" customHeight="1" x14ac:dyDescent="0.25"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</row>
    <row r="137" spans="15:54" ht="15.75" customHeight="1" x14ac:dyDescent="0.25"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</row>
    <row r="138" spans="15:54" ht="15.75" customHeight="1" x14ac:dyDescent="0.25"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</row>
    <row r="139" spans="15:54" ht="15.75" customHeight="1" x14ac:dyDescent="0.25"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</row>
    <row r="140" spans="15:54" ht="15.75" customHeight="1" x14ac:dyDescent="0.25"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</row>
    <row r="141" spans="15:54" ht="15.75" customHeight="1" x14ac:dyDescent="0.25"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</row>
    <row r="142" spans="15:54" ht="15.75" customHeight="1" x14ac:dyDescent="0.25"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</row>
    <row r="143" spans="15:54" ht="15.75" customHeight="1" x14ac:dyDescent="0.25"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</row>
    <row r="144" spans="15:54" ht="15.75" customHeight="1" x14ac:dyDescent="0.25"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</row>
    <row r="145" spans="15:54" ht="15.75" customHeight="1" x14ac:dyDescent="0.25"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</row>
    <row r="146" spans="15:54" ht="15.75" customHeight="1" x14ac:dyDescent="0.25"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</row>
    <row r="147" spans="15:54" ht="15.75" customHeight="1" x14ac:dyDescent="0.25"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</row>
    <row r="148" spans="15:54" ht="15.75" customHeight="1" x14ac:dyDescent="0.25"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</row>
    <row r="149" spans="15:54" ht="15.75" customHeight="1" x14ac:dyDescent="0.25"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</row>
    <row r="150" spans="15:54" ht="15.75" customHeight="1" x14ac:dyDescent="0.25"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</row>
    <row r="151" spans="15:54" ht="15.75" customHeight="1" x14ac:dyDescent="0.25"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</row>
    <row r="152" spans="15:54" ht="15.75" customHeight="1" x14ac:dyDescent="0.25"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</row>
    <row r="153" spans="15:54" ht="15.75" customHeight="1" x14ac:dyDescent="0.25"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</row>
    <row r="154" spans="15:54" ht="15.75" customHeight="1" x14ac:dyDescent="0.25"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</row>
    <row r="155" spans="15:54" ht="15.75" customHeight="1" x14ac:dyDescent="0.25"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</row>
    <row r="156" spans="15:54" ht="15.75" customHeight="1" x14ac:dyDescent="0.25"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</row>
    <row r="157" spans="15:54" ht="15.75" customHeight="1" x14ac:dyDescent="0.25"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</row>
    <row r="158" spans="15:54" ht="15.75" customHeight="1" x14ac:dyDescent="0.25"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</row>
    <row r="159" spans="15:54" ht="15.75" customHeight="1" x14ac:dyDescent="0.25"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</row>
    <row r="160" spans="15:54" ht="15.75" customHeight="1" x14ac:dyDescent="0.25"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</row>
    <row r="161" spans="15:54" ht="15.75" customHeight="1" x14ac:dyDescent="0.25"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</row>
    <row r="162" spans="15:54" ht="15.75" customHeight="1" x14ac:dyDescent="0.25"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</row>
    <row r="163" spans="15:54" ht="15.75" customHeight="1" x14ac:dyDescent="0.25"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</row>
    <row r="164" spans="15:54" ht="15.75" customHeight="1" x14ac:dyDescent="0.25"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</row>
    <row r="165" spans="15:54" ht="15.75" customHeight="1" x14ac:dyDescent="0.25"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</row>
    <row r="166" spans="15:54" ht="15.75" customHeight="1" x14ac:dyDescent="0.25"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</row>
    <row r="167" spans="15:54" ht="15.75" customHeight="1" x14ac:dyDescent="0.25"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</row>
    <row r="168" spans="15:54" ht="15.75" customHeight="1" x14ac:dyDescent="0.25"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</row>
    <row r="169" spans="15:54" ht="15.75" customHeight="1" x14ac:dyDescent="0.25"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</row>
    <row r="170" spans="15:54" ht="15.75" customHeight="1" x14ac:dyDescent="0.25"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</row>
    <row r="171" spans="15:54" ht="15.75" customHeight="1" x14ac:dyDescent="0.25"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</row>
    <row r="172" spans="15:54" ht="15.75" customHeight="1" x14ac:dyDescent="0.25"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</row>
    <row r="173" spans="15:54" ht="15.75" customHeight="1" x14ac:dyDescent="0.25"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</row>
    <row r="174" spans="15:54" ht="15.75" customHeight="1" x14ac:dyDescent="0.25"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</row>
    <row r="175" spans="15:54" ht="15.75" customHeight="1" x14ac:dyDescent="0.25"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</row>
    <row r="176" spans="15:54" ht="15.75" customHeight="1" x14ac:dyDescent="0.25"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</row>
    <row r="177" spans="15:54" ht="15.75" customHeight="1" x14ac:dyDescent="0.25"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</row>
    <row r="178" spans="15:54" ht="15.75" customHeight="1" x14ac:dyDescent="0.25"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</row>
    <row r="179" spans="15:54" ht="15.75" customHeight="1" x14ac:dyDescent="0.25"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</row>
    <row r="180" spans="15:54" ht="15.75" customHeight="1" x14ac:dyDescent="0.25"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</row>
    <row r="181" spans="15:54" ht="15.75" customHeight="1" x14ac:dyDescent="0.25"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</row>
    <row r="182" spans="15:54" ht="15.75" customHeight="1" x14ac:dyDescent="0.25"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</row>
    <row r="183" spans="15:54" ht="15.75" customHeight="1" x14ac:dyDescent="0.25"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</row>
    <row r="184" spans="15:54" ht="15.75" customHeight="1" x14ac:dyDescent="0.25"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</row>
    <row r="185" spans="15:54" ht="15.75" customHeight="1" x14ac:dyDescent="0.25"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</row>
    <row r="186" spans="15:54" ht="15.75" customHeight="1" x14ac:dyDescent="0.25"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</row>
    <row r="187" spans="15:54" ht="15.75" customHeight="1" x14ac:dyDescent="0.25"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</row>
    <row r="188" spans="15:54" ht="15.75" customHeight="1" x14ac:dyDescent="0.25"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</row>
    <row r="189" spans="15:54" ht="15.75" customHeight="1" x14ac:dyDescent="0.25"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</row>
    <row r="190" spans="15:54" ht="15.75" customHeight="1" x14ac:dyDescent="0.25"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</row>
    <row r="191" spans="15:54" ht="15.75" customHeight="1" x14ac:dyDescent="0.25"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</row>
    <row r="192" spans="15:54" ht="15.75" customHeight="1" x14ac:dyDescent="0.25"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</row>
    <row r="193" spans="15:54" ht="15.75" customHeight="1" x14ac:dyDescent="0.25"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</row>
    <row r="194" spans="15:54" ht="15.75" customHeight="1" x14ac:dyDescent="0.25"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</row>
    <row r="195" spans="15:54" ht="15.75" customHeight="1" x14ac:dyDescent="0.25"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</row>
    <row r="196" spans="15:54" ht="15.75" customHeight="1" x14ac:dyDescent="0.25"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</row>
    <row r="197" spans="15:54" ht="15.75" customHeight="1" x14ac:dyDescent="0.25"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</row>
    <row r="198" spans="15:54" ht="15.75" customHeight="1" x14ac:dyDescent="0.25"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</row>
    <row r="199" spans="15:54" ht="15.75" customHeight="1" x14ac:dyDescent="0.25"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</row>
    <row r="200" spans="15:54" ht="15.75" customHeight="1" x14ac:dyDescent="0.25"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</row>
    <row r="201" spans="15:54" ht="15.75" customHeight="1" x14ac:dyDescent="0.25"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</row>
    <row r="202" spans="15:54" ht="15.75" customHeight="1" x14ac:dyDescent="0.25"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</row>
    <row r="203" spans="15:54" ht="15.75" customHeight="1" x14ac:dyDescent="0.25"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</row>
    <row r="204" spans="15:54" ht="15.75" customHeight="1" x14ac:dyDescent="0.25"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</row>
    <row r="205" spans="15:54" ht="15.75" customHeight="1" x14ac:dyDescent="0.25"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</row>
    <row r="206" spans="15:54" ht="15.75" customHeight="1" x14ac:dyDescent="0.25"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</row>
    <row r="207" spans="15:54" ht="15.75" customHeight="1" x14ac:dyDescent="0.25"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</row>
    <row r="208" spans="15:54" ht="15.75" customHeight="1" x14ac:dyDescent="0.25"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</row>
    <row r="209" spans="15:54" ht="15.75" customHeight="1" x14ac:dyDescent="0.25"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</row>
    <row r="210" spans="15:54" ht="15.75" customHeight="1" x14ac:dyDescent="0.25"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</row>
    <row r="211" spans="15:54" ht="15.75" customHeight="1" x14ac:dyDescent="0.25"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</row>
    <row r="212" spans="15:54" ht="15.75" customHeight="1" x14ac:dyDescent="0.25"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</row>
    <row r="213" spans="15:54" ht="15.75" customHeight="1" x14ac:dyDescent="0.25"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</row>
    <row r="214" spans="15:54" ht="15.75" customHeight="1" x14ac:dyDescent="0.25"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</row>
    <row r="215" spans="15:54" ht="15.75" customHeight="1" x14ac:dyDescent="0.25"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</row>
    <row r="216" spans="15:54" ht="15.75" customHeight="1" x14ac:dyDescent="0.25"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</row>
    <row r="217" spans="15:54" ht="15.75" customHeight="1" x14ac:dyDescent="0.25"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</row>
    <row r="218" spans="15:54" ht="15.75" customHeight="1" x14ac:dyDescent="0.25"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</row>
    <row r="219" spans="15:54" ht="15.75" customHeight="1" x14ac:dyDescent="0.25"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</row>
    <row r="220" spans="15:54" ht="15.75" customHeight="1" x14ac:dyDescent="0.25"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</row>
    <row r="221" spans="15:54" ht="15.75" customHeight="1" x14ac:dyDescent="0.25"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</row>
    <row r="222" spans="15:54" ht="15.75" customHeight="1" x14ac:dyDescent="0.25"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</row>
    <row r="223" spans="15:54" ht="15.75" customHeight="1" x14ac:dyDescent="0.25"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</row>
    <row r="224" spans="15:54" ht="15.75" customHeight="1" x14ac:dyDescent="0.25"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</row>
    <row r="225" spans="15:54" ht="15.75" customHeight="1" x14ac:dyDescent="0.25"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</row>
    <row r="226" spans="15:54" ht="15.75" customHeight="1" x14ac:dyDescent="0.25"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</row>
    <row r="227" spans="15:54" ht="15.75" customHeight="1" x14ac:dyDescent="0.25"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</row>
    <row r="228" spans="15:54" ht="15.75" customHeight="1" x14ac:dyDescent="0.25"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</row>
    <row r="229" spans="15:54" ht="15.75" customHeight="1" x14ac:dyDescent="0.25"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</row>
    <row r="230" spans="15:54" ht="15.75" customHeight="1" x14ac:dyDescent="0.25"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</row>
    <row r="231" spans="15:54" ht="15.75" customHeight="1" x14ac:dyDescent="0.25"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</row>
    <row r="232" spans="15:54" ht="15.75" customHeight="1" x14ac:dyDescent="0.25"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</row>
    <row r="233" spans="15:54" ht="15.75" customHeight="1" x14ac:dyDescent="0.25"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</row>
    <row r="234" spans="15:54" ht="15.75" customHeight="1" x14ac:dyDescent="0.25"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</row>
    <row r="235" spans="15:54" ht="15.75" customHeight="1" x14ac:dyDescent="0.25"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</row>
    <row r="236" spans="15:54" ht="15.75" customHeight="1" x14ac:dyDescent="0.25"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</row>
    <row r="237" spans="15:54" ht="15.75" customHeight="1" x14ac:dyDescent="0.25"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</row>
    <row r="238" spans="15:54" ht="15.75" customHeight="1" x14ac:dyDescent="0.25"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</row>
    <row r="239" spans="15:54" ht="15.75" customHeight="1" x14ac:dyDescent="0.25"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</row>
    <row r="240" spans="15:54" ht="15.75" customHeight="1" x14ac:dyDescent="0.25"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</row>
    <row r="241" spans="15:54" ht="15.75" customHeight="1" x14ac:dyDescent="0.25"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</row>
    <row r="242" spans="15:54" ht="15.75" customHeight="1" x14ac:dyDescent="0.25"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</row>
    <row r="243" spans="15:54" ht="15.75" customHeight="1" x14ac:dyDescent="0.25"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</row>
    <row r="244" spans="15:54" ht="15.75" customHeight="1" x14ac:dyDescent="0.25"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</row>
    <row r="245" spans="15:54" ht="15.75" customHeight="1" x14ac:dyDescent="0.25"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</row>
    <row r="246" spans="15:54" ht="15.75" customHeight="1" x14ac:dyDescent="0.25"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</row>
    <row r="247" spans="15:54" ht="15.75" customHeight="1" x14ac:dyDescent="0.25"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</row>
    <row r="248" spans="15:54" ht="15.75" customHeight="1" x14ac:dyDescent="0.25"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</row>
    <row r="249" spans="15:54" ht="15.75" customHeight="1" x14ac:dyDescent="0.25"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</row>
    <row r="250" spans="15:54" ht="15.75" customHeight="1" x14ac:dyDescent="0.25"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</row>
    <row r="251" spans="15:54" ht="15.75" customHeight="1" x14ac:dyDescent="0.25"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</row>
    <row r="252" spans="15:54" ht="15.75" customHeight="1" x14ac:dyDescent="0.25"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</row>
    <row r="253" spans="15:54" ht="15.75" customHeight="1" x14ac:dyDescent="0.25"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</row>
    <row r="254" spans="15:54" ht="15.75" customHeight="1" x14ac:dyDescent="0.25"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</row>
    <row r="255" spans="15:54" ht="15.75" customHeight="1" x14ac:dyDescent="0.25"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</row>
    <row r="256" spans="15:54" ht="15.75" customHeight="1" x14ac:dyDescent="0.25"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</row>
    <row r="257" spans="15:54" ht="15.75" customHeight="1" x14ac:dyDescent="0.25"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</row>
    <row r="258" spans="15:54" ht="15.75" customHeight="1" x14ac:dyDescent="0.25"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</row>
    <row r="259" spans="15:54" ht="15.75" customHeight="1" x14ac:dyDescent="0.25"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</row>
    <row r="260" spans="15:54" ht="15.75" customHeight="1" x14ac:dyDescent="0.25"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</row>
    <row r="261" spans="15:54" ht="15.75" customHeight="1" x14ac:dyDescent="0.25"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</row>
    <row r="262" spans="15:54" ht="15.75" customHeight="1" x14ac:dyDescent="0.25"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</row>
    <row r="263" spans="15:54" ht="15.75" customHeight="1" x14ac:dyDescent="0.25"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</row>
    <row r="264" spans="15:54" ht="15.75" customHeight="1" x14ac:dyDescent="0.25"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</row>
    <row r="265" spans="15:54" ht="15.75" customHeight="1" x14ac:dyDescent="0.25"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</row>
    <row r="266" spans="15:54" ht="15.75" customHeight="1" x14ac:dyDescent="0.25"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</row>
    <row r="267" spans="15:54" ht="15.75" customHeight="1" x14ac:dyDescent="0.25"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</row>
    <row r="268" spans="15:54" ht="15.75" customHeight="1" x14ac:dyDescent="0.25"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</row>
    <row r="269" spans="15:54" ht="15.75" customHeight="1" x14ac:dyDescent="0.25"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</row>
    <row r="270" spans="15:54" ht="15.75" customHeight="1" x14ac:dyDescent="0.25"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</row>
    <row r="271" spans="15:54" ht="15.75" customHeight="1" x14ac:dyDescent="0.25"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</row>
    <row r="272" spans="15:54" ht="15.75" customHeight="1" x14ac:dyDescent="0.25"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</row>
    <row r="273" spans="15:54" ht="15.75" customHeight="1" x14ac:dyDescent="0.25"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</row>
    <row r="274" spans="15:54" ht="15.75" customHeight="1" x14ac:dyDescent="0.25"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</row>
    <row r="275" spans="15:54" ht="15.75" customHeight="1" x14ac:dyDescent="0.25"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</row>
    <row r="276" spans="15:54" ht="15.75" customHeight="1" x14ac:dyDescent="0.25"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</row>
    <row r="277" spans="15:54" ht="15.75" customHeight="1" x14ac:dyDescent="0.25"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</row>
    <row r="278" spans="15:54" ht="15.75" customHeight="1" x14ac:dyDescent="0.25"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</row>
    <row r="279" spans="15:54" ht="15.75" customHeight="1" x14ac:dyDescent="0.25"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</row>
    <row r="280" spans="15:54" ht="15.75" customHeight="1" x14ac:dyDescent="0.25"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</row>
    <row r="281" spans="15:54" ht="15.75" customHeight="1" x14ac:dyDescent="0.25"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</row>
    <row r="282" spans="15:54" ht="15.75" customHeight="1" x14ac:dyDescent="0.25"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</row>
    <row r="283" spans="15:54" ht="15.75" customHeight="1" x14ac:dyDescent="0.25"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</row>
    <row r="284" spans="15:54" ht="15.75" customHeight="1" x14ac:dyDescent="0.25"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</row>
    <row r="285" spans="15:54" ht="15.75" customHeight="1" x14ac:dyDescent="0.25"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</row>
    <row r="286" spans="15:54" ht="15.75" customHeight="1" x14ac:dyDescent="0.25"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</row>
    <row r="287" spans="15:54" ht="15.75" customHeight="1" x14ac:dyDescent="0.25"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</row>
    <row r="288" spans="15:54" ht="15.75" customHeight="1" x14ac:dyDescent="0.25"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</row>
    <row r="289" spans="15:54" ht="15.75" customHeight="1" x14ac:dyDescent="0.25"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</row>
    <row r="290" spans="15:54" ht="15.75" customHeight="1" x14ac:dyDescent="0.25"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</row>
    <row r="291" spans="15:54" ht="15.75" customHeight="1" x14ac:dyDescent="0.25"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</row>
    <row r="292" spans="15:54" ht="15.75" customHeight="1" x14ac:dyDescent="0.25"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</row>
    <row r="293" spans="15:54" ht="15.75" customHeight="1" x14ac:dyDescent="0.25"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</row>
    <row r="294" spans="15:54" ht="15.75" customHeight="1" x14ac:dyDescent="0.25"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</row>
    <row r="295" spans="15:54" ht="15.75" customHeight="1" x14ac:dyDescent="0.25"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</row>
    <row r="296" spans="15:54" ht="15.75" customHeight="1" x14ac:dyDescent="0.25"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</row>
    <row r="297" spans="15:54" ht="15.75" customHeight="1" x14ac:dyDescent="0.25"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</row>
    <row r="298" spans="15:54" ht="15.75" customHeight="1" x14ac:dyDescent="0.25"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</row>
    <row r="299" spans="15:54" ht="15.75" customHeight="1" x14ac:dyDescent="0.25"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</row>
    <row r="300" spans="15:54" ht="15.75" customHeight="1" x14ac:dyDescent="0.25"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</row>
    <row r="301" spans="15:54" ht="15.75" customHeight="1" x14ac:dyDescent="0.25"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</row>
    <row r="302" spans="15:54" ht="15.75" customHeight="1" x14ac:dyDescent="0.25"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</row>
    <row r="303" spans="15:54" ht="15.75" customHeight="1" x14ac:dyDescent="0.25"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</row>
    <row r="304" spans="15:54" ht="15.75" customHeight="1" x14ac:dyDescent="0.25"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</row>
    <row r="305" spans="15:54" ht="15.75" customHeight="1" x14ac:dyDescent="0.25"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</row>
    <row r="306" spans="15:54" ht="15.75" customHeight="1" x14ac:dyDescent="0.25"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</row>
    <row r="307" spans="15:54" ht="15.75" customHeight="1" x14ac:dyDescent="0.25"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</row>
    <row r="308" spans="15:54" ht="15.75" customHeight="1" x14ac:dyDescent="0.25"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</row>
    <row r="309" spans="15:54" ht="15.75" customHeight="1" x14ac:dyDescent="0.25"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</row>
    <row r="310" spans="15:54" ht="15.75" customHeight="1" x14ac:dyDescent="0.25"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</row>
    <row r="311" spans="15:54" ht="15.75" customHeight="1" x14ac:dyDescent="0.25"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</row>
    <row r="312" spans="15:54" ht="15.75" customHeight="1" x14ac:dyDescent="0.25"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</row>
    <row r="313" spans="15:54" ht="15.75" customHeight="1" x14ac:dyDescent="0.25"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</row>
    <row r="314" spans="15:54" ht="15.75" customHeight="1" x14ac:dyDescent="0.25"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</row>
    <row r="315" spans="15:54" ht="15.75" customHeight="1" x14ac:dyDescent="0.25"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</row>
    <row r="316" spans="15:54" ht="15.75" customHeight="1" x14ac:dyDescent="0.25"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</row>
    <row r="317" spans="15:54" ht="15.75" customHeight="1" x14ac:dyDescent="0.25"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</row>
    <row r="318" spans="15:54" ht="15.75" customHeight="1" x14ac:dyDescent="0.25"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</row>
    <row r="319" spans="15:54" ht="15.75" customHeight="1" x14ac:dyDescent="0.25"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</row>
    <row r="320" spans="15:54" ht="15.75" customHeight="1" x14ac:dyDescent="0.25"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</row>
    <row r="321" spans="15:54" ht="15.75" customHeight="1" x14ac:dyDescent="0.25"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</row>
    <row r="322" spans="15:54" ht="15.75" customHeight="1" x14ac:dyDescent="0.25"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</row>
    <row r="323" spans="15:54" ht="15.75" customHeight="1" x14ac:dyDescent="0.25"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</row>
    <row r="324" spans="15:54" ht="15.75" customHeight="1" x14ac:dyDescent="0.25"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</row>
    <row r="325" spans="15:54" ht="15.75" customHeight="1" x14ac:dyDescent="0.25"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</row>
    <row r="326" spans="15:54" ht="15.75" customHeight="1" x14ac:dyDescent="0.25"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</row>
    <row r="327" spans="15:54" ht="15.75" customHeight="1" x14ac:dyDescent="0.25"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</row>
    <row r="328" spans="15:54" ht="15.75" customHeight="1" x14ac:dyDescent="0.25"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</row>
    <row r="329" spans="15:54" ht="15.75" customHeight="1" x14ac:dyDescent="0.25"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</row>
    <row r="330" spans="15:54" ht="15.75" customHeight="1" x14ac:dyDescent="0.25"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</row>
    <row r="331" spans="15:54" ht="15.75" customHeight="1" x14ac:dyDescent="0.25"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</row>
    <row r="332" spans="15:54" ht="15.75" customHeight="1" x14ac:dyDescent="0.25"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</row>
    <row r="333" spans="15:54" ht="15.75" customHeight="1" x14ac:dyDescent="0.25"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</row>
    <row r="334" spans="15:54" ht="15.75" customHeight="1" x14ac:dyDescent="0.25"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</row>
    <row r="335" spans="15:54" ht="15.75" customHeight="1" x14ac:dyDescent="0.25"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</row>
    <row r="336" spans="15:54" ht="15.75" customHeight="1" x14ac:dyDescent="0.25"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</row>
    <row r="337" spans="15:54" ht="15.75" customHeight="1" x14ac:dyDescent="0.25"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</row>
    <row r="338" spans="15:54" ht="15.75" customHeight="1" x14ac:dyDescent="0.25"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</row>
    <row r="339" spans="15:54" ht="15.75" customHeight="1" x14ac:dyDescent="0.25"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</row>
    <row r="340" spans="15:54" ht="15.75" customHeight="1" x14ac:dyDescent="0.25"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</row>
    <row r="341" spans="15:54" ht="15.75" customHeight="1" x14ac:dyDescent="0.25"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</row>
    <row r="342" spans="15:54" ht="15.75" customHeight="1" x14ac:dyDescent="0.25"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</row>
    <row r="343" spans="15:54" ht="15.75" customHeight="1" x14ac:dyDescent="0.25"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</row>
    <row r="344" spans="15:54" ht="15.75" customHeight="1" x14ac:dyDescent="0.25"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</row>
    <row r="345" spans="15:54" ht="15.75" customHeight="1" x14ac:dyDescent="0.25"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</row>
    <row r="346" spans="15:54" ht="15.75" customHeight="1" x14ac:dyDescent="0.25"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</row>
    <row r="347" spans="15:54" ht="15.75" customHeight="1" x14ac:dyDescent="0.25"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</row>
    <row r="348" spans="15:54" ht="15.75" customHeight="1" x14ac:dyDescent="0.25"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</row>
    <row r="349" spans="15:54" ht="15.75" customHeight="1" x14ac:dyDescent="0.25"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</row>
    <row r="350" spans="15:54" ht="15.75" customHeight="1" x14ac:dyDescent="0.25"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</row>
    <row r="351" spans="15:54" ht="15.75" customHeight="1" x14ac:dyDescent="0.25"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</row>
    <row r="352" spans="15:54" ht="15.75" customHeight="1" x14ac:dyDescent="0.25"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</row>
    <row r="353" spans="15:54" ht="15.75" customHeight="1" x14ac:dyDescent="0.25"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</row>
    <row r="354" spans="15:54" ht="15.75" customHeight="1" x14ac:dyDescent="0.25"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</row>
    <row r="355" spans="15:54" ht="15.75" customHeight="1" x14ac:dyDescent="0.25"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</row>
    <row r="356" spans="15:54" ht="15.75" customHeight="1" x14ac:dyDescent="0.25"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</row>
    <row r="357" spans="15:54" ht="15.75" customHeight="1" x14ac:dyDescent="0.25"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</row>
    <row r="358" spans="15:54" ht="15.75" customHeight="1" x14ac:dyDescent="0.25"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</row>
    <row r="359" spans="15:54" ht="15.75" customHeight="1" x14ac:dyDescent="0.25"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</row>
    <row r="360" spans="15:54" ht="15.75" customHeight="1" x14ac:dyDescent="0.25"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</row>
    <row r="361" spans="15:54" ht="15.75" customHeight="1" x14ac:dyDescent="0.25"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</row>
    <row r="362" spans="15:54" ht="15.75" customHeight="1" x14ac:dyDescent="0.25"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</row>
    <row r="363" spans="15:54" ht="15.75" customHeight="1" x14ac:dyDescent="0.25"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</row>
    <row r="364" spans="15:54" ht="15.75" customHeight="1" x14ac:dyDescent="0.25"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</row>
    <row r="365" spans="15:54" ht="15.75" customHeight="1" x14ac:dyDescent="0.25"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</row>
    <row r="366" spans="15:54" ht="15.75" customHeight="1" x14ac:dyDescent="0.25"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</row>
    <row r="367" spans="15:54" ht="15.75" customHeight="1" x14ac:dyDescent="0.25"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</row>
    <row r="368" spans="15:54" ht="15.75" customHeight="1" x14ac:dyDescent="0.25"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</row>
    <row r="369" spans="15:54" ht="15.75" customHeight="1" x14ac:dyDescent="0.25"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</row>
    <row r="370" spans="15:54" ht="15.75" customHeight="1" x14ac:dyDescent="0.25"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</row>
    <row r="371" spans="15:54" ht="15.75" customHeight="1" x14ac:dyDescent="0.25"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</row>
    <row r="372" spans="15:54" ht="15.75" customHeight="1" x14ac:dyDescent="0.25"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</row>
    <row r="373" spans="15:54" ht="15.75" customHeight="1" x14ac:dyDescent="0.25"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</row>
    <row r="374" spans="15:54" ht="15.75" customHeight="1" x14ac:dyDescent="0.25"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</row>
    <row r="375" spans="15:54" ht="15.75" customHeight="1" x14ac:dyDescent="0.25"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</row>
    <row r="376" spans="15:54" ht="15.75" customHeight="1" x14ac:dyDescent="0.25"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</row>
    <row r="377" spans="15:54" ht="15.75" customHeight="1" x14ac:dyDescent="0.25"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</row>
    <row r="378" spans="15:54" ht="15.75" customHeight="1" x14ac:dyDescent="0.25"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</row>
    <row r="379" spans="15:54" ht="15.75" customHeight="1" x14ac:dyDescent="0.25"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</row>
    <row r="380" spans="15:54" ht="15.75" customHeight="1" x14ac:dyDescent="0.25"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</row>
    <row r="381" spans="15:54" ht="15.75" customHeight="1" x14ac:dyDescent="0.25"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</row>
    <row r="382" spans="15:54" ht="15.75" customHeight="1" x14ac:dyDescent="0.25"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</row>
    <row r="383" spans="15:54" ht="15.75" customHeight="1" x14ac:dyDescent="0.25"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</row>
    <row r="384" spans="15:54" ht="15.75" customHeight="1" x14ac:dyDescent="0.25"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</row>
    <row r="385" spans="15:54" ht="15.75" customHeight="1" x14ac:dyDescent="0.25"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</row>
    <row r="386" spans="15:54" ht="15.75" customHeight="1" x14ac:dyDescent="0.25"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</row>
    <row r="387" spans="15:54" ht="15.75" customHeight="1" x14ac:dyDescent="0.25"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</row>
    <row r="388" spans="15:54" ht="15.75" customHeight="1" x14ac:dyDescent="0.25"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</row>
    <row r="389" spans="15:54" ht="15.75" customHeight="1" x14ac:dyDescent="0.25"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</row>
    <row r="390" spans="15:54" ht="15.75" customHeight="1" x14ac:dyDescent="0.25"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</row>
    <row r="391" spans="15:54" ht="15.75" customHeight="1" x14ac:dyDescent="0.25"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</row>
    <row r="392" spans="15:54" ht="15.75" customHeight="1" x14ac:dyDescent="0.25"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</row>
    <row r="393" spans="15:54" ht="15.75" customHeight="1" x14ac:dyDescent="0.25"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</row>
    <row r="394" spans="15:54" ht="15.75" customHeight="1" x14ac:dyDescent="0.25"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</row>
    <row r="395" spans="15:54" ht="15.75" customHeight="1" x14ac:dyDescent="0.25"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</row>
    <row r="396" spans="15:54" ht="15.75" customHeight="1" x14ac:dyDescent="0.25"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</row>
    <row r="397" spans="15:54" ht="15.75" customHeight="1" x14ac:dyDescent="0.25"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</row>
    <row r="398" spans="15:54" ht="15.75" customHeight="1" x14ac:dyDescent="0.25"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</row>
    <row r="399" spans="15:54" ht="15.75" customHeight="1" x14ac:dyDescent="0.25"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</row>
    <row r="400" spans="15:54" ht="15.75" customHeight="1" x14ac:dyDescent="0.25"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</row>
    <row r="401" spans="15:54" ht="15.75" customHeight="1" x14ac:dyDescent="0.25"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</row>
    <row r="402" spans="15:54" ht="15.75" customHeight="1" x14ac:dyDescent="0.25"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</row>
    <row r="403" spans="15:54" ht="15.75" customHeight="1" x14ac:dyDescent="0.25"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</row>
    <row r="404" spans="15:54" ht="15.75" customHeight="1" x14ac:dyDescent="0.25"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</row>
    <row r="405" spans="15:54" ht="15.75" customHeight="1" x14ac:dyDescent="0.25"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</row>
    <row r="406" spans="15:54" ht="15.75" customHeight="1" x14ac:dyDescent="0.25"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</row>
    <row r="407" spans="15:54" ht="15.75" customHeight="1" x14ac:dyDescent="0.25"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</row>
    <row r="408" spans="15:54" ht="15.75" customHeight="1" x14ac:dyDescent="0.25"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</row>
    <row r="409" spans="15:54" ht="15.75" customHeight="1" x14ac:dyDescent="0.25"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</row>
    <row r="410" spans="15:54" ht="15.75" customHeight="1" x14ac:dyDescent="0.25"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</row>
    <row r="411" spans="15:54" ht="15.75" customHeight="1" x14ac:dyDescent="0.25"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</row>
    <row r="412" spans="15:54" ht="15.75" customHeight="1" x14ac:dyDescent="0.25"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</row>
    <row r="413" spans="15:54" ht="15.75" customHeight="1" x14ac:dyDescent="0.25"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</row>
    <row r="414" spans="15:54" ht="15.75" customHeight="1" x14ac:dyDescent="0.25"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</row>
    <row r="415" spans="15:54" ht="15.75" customHeight="1" x14ac:dyDescent="0.25"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</row>
    <row r="416" spans="15:54" ht="15.75" customHeight="1" x14ac:dyDescent="0.25"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</row>
    <row r="417" spans="15:54" ht="15.75" customHeight="1" x14ac:dyDescent="0.25"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</row>
    <row r="418" spans="15:54" ht="15.75" customHeight="1" x14ac:dyDescent="0.25"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</row>
    <row r="419" spans="15:54" ht="15.75" customHeight="1" x14ac:dyDescent="0.25"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</row>
    <row r="420" spans="15:54" ht="15.75" customHeight="1" x14ac:dyDescent="0.25"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</row>
    <row r="421" spans="15:54" ht="15.75" customHeight="1" x14ac:dyDescent="0.25"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</row>
    <row r="422" spans="15:54" ht="15.75" customHeight="1" x14ac:dyDescent="0.25"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</row>
    <row r="423" spans="15:54" ht="15.75" customHeight="1" x14ac:dyDescent="0.25"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</row>
    <row r="424" spans="15:54" ht="15.75" customHeight="1" x14ac:dyDescent="0.25"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</row>
    <row r="425" spans="15:54" ht="15.75" customHeight="1" x14ac:dyDescent="0.25"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</row>
    <row r="426" spans="15:54" ht="15.75" customHeight="1" x14ac:dyDescent="0.25"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</row>
    <row r="427" spans="15:54" ht="15.75" customHeight="1" x14ac:dyDescent="0.25"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</row>
    <row r="428" spans="15:54" ht="15.75" customHeight="1" x14ac:dyDescent="0.25"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</row>
    <row r="429" spans="15:54" ht="15.75" customHeight="1" x14ac:dyDescent="0.25"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</row>
    <row r="430" spans="15:54" ht="15.75" customHeight="1" x14ac:dyDescent="0.25"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</row>
    <row r="431" spans="15:54" ht="15.75" customHeight="1" x14ac:dyDescent="0.25"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</row>
    <row r="432" spans="15:54" ht="15.75" customHeight="1" x14ac:dyDescent="0.25"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</row>
    <row r="433" spans="15:54" ht="15.75" customHeight="1" x14ac:dyDescent="0.25"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</row>
    <row r="434" spans="15:54" ht="15.75" customHeight="1" x14ac:dyDescent="0.25"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</row>
    <row r="435" spans="15:54" ht="15.75" customHeight="1" x14ac:dyDescent="0.25"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</row>
    <row r="436" spans="15:54" ht="15.75" customHeight="1" x14ac:dyDescent="0.25"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</row>
    <row r="437" spans="15:54" ht="15.75" customHeight="1" x14ac:dyDescent="0.25"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</row>
    <row r="438" spans="15:54" ht="15.75" customHeight="1" x14ac:dyDescent="0.25"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</row>
    <row r="439" spans="15:54" ht="15.75" customHeight="1" x14ac:dyDescent="0.25"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</row>
    <row r="440" spans="15:54" ht="15.75" customHeight="1" x14ac:dyDescent="0.25"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</row>
    <row r="441" spans="15:54" ht="15.75" customHeight="1" x14ac:dyDescent="0.25"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</row>
    <row r="442" spans="15:54" ht="15.75" customHeight="1" x14ac:dyDescent="0.25"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</row>
    <row r="443" spans="15:54" ht="15.75" customHeight="1" x14ac:dyDescent="0.25"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</row>
    <row r="444" spans="15:54" ht="15.75" customHeight="1" x14ac:dyDescent="0.25"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</row>
    <row r="445" spans="15:54" ht="15.75" customHeight="1" x14ac:dyDescent="0.25"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</row>
    <row r="446" spans="15:54" ht="15.75" customHeight="1" x14ac:dyDescent="0.25"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</row>
    <row r="447" spans="15:54" ht="15.75" customHeight="1" x14ac:dyDescent="0.25"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</row>
    <row r="448" spans="15:54" ht="15.75" customHeight="1" x14ac:dyDescent="0.25"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</row>
    <row r="449" spans="15:54" ht="15.75" customHeight="1" x14ac:dyDescent="0.25"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</row>
    <row r="450" spans="15:54" ht="15.75" customHeight="1" x14ac:dyDescent="0.25"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</row>
    <row r="451" spans="15:54" ht="15.75" customHeight="1" x14ac:dyDescent="0.25"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</row>
    <row r="452" spans="15:54" ht="15.75" customHeight="1" x14ac:dyDescent="0.25"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</row>
    <row r="453" spans="15:54" ht="15.75" customHeight="1" x14ac:dyDescent="0.25"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</row>
    <row r="454" spans="15:54" ht="15.75" customHeight="1" x14ac:dyDescent="0.25"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</row>
    <row r="455" spans="15:54" ht="15.75" customHeight="1" x14ac:dyDescent="0.25"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</row>
    <row r="456" spans="15:54" ht="15.75" customHeight="1" x14ac:dyDescent="0.25"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</row>
    <row r="457" spans="15:54" ht="15.75" customHeight="1" x14ac:dyDescent="0.25"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</row>
    <row r="458" spans="15:54" ht="15.75" customHeight="1" x14ac:dyDescent="0.25"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</row>
    <row r="459" spans="15:54" ht="15.75" customHeight="1" x14ac:dyDescent="0.25"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</row>
    <row r="460" spans="15:54" ht="15.75" customHeight="1" x14ac:dyDescent="0.25"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</row>
    <row r="461" spans="15:54" ht="15.75" customHeight="1" x14ac:dyDescent="0.25"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</row>
    <row r="462" spans="15:54" ht="15.75" customHeight="1" x14ac:dyDescent="0.25"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</row>
    <row r="463" spans="15:54" ht="15.75" customHeight="1" x14ac:dyDescent="0.25"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</row>
    <row r="464" spans="15:54" ht="15.75" customHeight="1" x14ac:dyDescent="0.25"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</row>
    <row r="465" spans="15:54" ht="15.75" customHeight="1" x14ac:dyDescent="0.25"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</row>
    <row r="466" spans="15:54" ht="15.75" customHeight="1" x14ac:dyDescent="0.25"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</row>
    <row r="467" spans="15:54" ht="15.75" customHeight="1" x14ac:dyDescent="0.25"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</row>
    <row r="468" spans="15:54" ht="15.75" customHeight="1" x14ac:dyDescent="0.25"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</row>
    <row r="469" spans="15:54" ht="15.75" customHeight="1" x14ac:dyDescent="0.25"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</row>
    <row r="470" spans="15:54" ht="15.75" customHeight="1" x14ac:dyDescent="0.25"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</row>
    <row r="471" spans="15:54" ht="15.75" customHeight="1" x14ac:dyDescent="0.25"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</row>
    <row r="472" spans="15:54" ht="15.75" customHeight="1" x14ac:dyDescent="0.25"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</row>
    <row r="473" spans="15:54" ht="15.75" customHeight="1" x14ac:dyDescent="0.25"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</row>
    <row r="474" spans="15:54" ht="15.75" customHeight="1" x14ac:dyDescent="0.25"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</row>
    <row r="475" spans="15:54" ht="15.75" customHeight="1" x14ac:dyDescent="0.25"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</row>
    <row r="476" spans="15:54" ht="15.75" customHeight="1" x14ac:dyDescent="0.25"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</row>
    <row r="477" spans="15:54" ht="15.75" customHeight="1" x14ac:dyDescent="0.25"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</row>
    <row r="478" spans="15:54" ht="15.75" customHeight="1" x14ac:dyDescent="0.25"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</row>
    <row r="479" spans="15:54" ht="15.75" customHeight="1" x14ac:dyDescent="0.25"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</row>
    <row r="480" spans="15:54" ht="15.75" customHeight="1" x14ac:dyDescent="0.25"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</row>
    <row r="481" spans="15:54" ht="15.75" customHeight="1" x14ac:dyDescent="0.25"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</row>
    <row r="482" spans="15:54" ht="15.75" customHeight="1" x14ac:dyDescent="0.25"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</row>
    <row r="483" spans="15:54" ht="15.75" customHeight="1" x14ac:dyDescent="0.25"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</row>
    <row r="484" spans="15:54" ht="15.75" customHeight="1" x14ac:dyDescent="0.25"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</row>
    <row r="485" spans="15:54" ht="15.75" customHeight="1" x14ac:dyDescent="0.25"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</row>
    <row r="486" spans="15:54" ht="15.75" customHeight="1" x14ac:dyDescent="0.25"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</row>
    <row r="487" spans="15:54" ht="15.75" customHeight="1" x14ac:dyDescent="0.25"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</row>
    <row r="488" spans="15:54" ht="15.75" customHeight="1" x14ac:dyDescent="0.25"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</row>
    <row r="489" spans="15:54" ht="15.75" customHeight="1" x14ac:dyDescent="0.25"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</row>
    <row r="490" spans="15:54" ht="15.75" customHeight="1" x14ac:dyDescent="0.25"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</row>
    <row r="491" spans="15:54" ht="15.75" customHeight="1" x14ac:dyDescent="0.25"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</row>
    <row r="492" spans="15:54" ht="15.75" customHeight="1" x14ac:dyDescent="0.25"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</row>
    <row r="493" spans="15:54" ht="15.75" customHeight="1" x14ac:dyDescent="0.25"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</row>
    <row r="494" spans="15:54" ht="15.75" customHeight="1" x14ac:dyDescent="0.25"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</row>
    <row r="495" spans="15:54" ht="15.75" customHeight="1" x14ac:dyDescent="0.25"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</row>
    <row r="496" spans="15:54" ht="15.75" customHeight="1" x14ac:dyDescent="0.25"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</row>
    <row r="497" spans="15:54" ht="15.75" customHeight="1" x14ac:dyDescent="0.25"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</row>
    <row r="498" spans="15:54" ht="15.75" customHeight="1" x14ac:dyDescent="0.25"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</row>
    <row r="499" spans="15:54" ht="15.75" customHeight="1" x14ac:dyDescent="0.25"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</row>
    <row r="500" spans="15:54" ht="15.75" customHeight="1" x14ac:dyDescent="0.25"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</row>
    <row r="501" spans="15:54" ht="15.75" customHeight="1" x14ac:dyDescent="0.25"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</row>
    <row r="502" spans="15:54" ht="15.75" customHeight="1" x14ac:dyDescent="0.25"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</row>
    <row r="503" spans="15:54" ht="15.75" customHeight="1" x14ac:dyDescent="0.25"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</row>
    <row r="504" spans="15:54" ht="15.75" customHeight="1" x14ac:dyDescent="0.25"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</row>
    <row r="505" spans="15:54" ht="15.75" customHeight="1" x14ac:dyDescent="0.25"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</row>
    <row r="506" spans="15:54" ht="15.75" customHeight="1" x14ac:dyDescent="0.25"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</row>
    <row r="507" spans="15:54" ht="15.75" customHeight="1" x14ac:dyDescent="0.25"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</row>
    <row r="508" spans="15:54" ht="15.75" customHeight="1" x14ac:dyDescent="0.25"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</row>
    <row r="509" spans="15:54" ht="15.75" customHeight="1" x14ac:dyDescent="0.25"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</row>
    <row r="510" spans="15:54" ht="15.75" customHeight="1" x14ac:dyDescent="0.25"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</row>
    <row r="511" spans="15:54" ht="15.75" customHeight="1" x14ac:dyDescent="0.25"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</row>
    <row r="512" spans="15:54" ht="15.75" customHeight="1" x14ac:dyDescent="0.25"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</row>
    <row r="513" spans="15:54" ht="15.75" customHeight="1" x14ac:dyDescent="0.25"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</row>
    <row r="514" spans="15:54" ht="15.75" customHeight="1" x14ac:dyDescent="0.25"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</row>
    <row r="515" spans="15:54" ht="15.75" customHeight="1" x14ac:dyDescent="0.25"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</row>
    <row r="516" spans="15:54" ht="15.75" customHeight="1" x14ac:dyDescent="0.25"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</row>
    <row r="517" spans="15:54" ht="15.75" customHeight="1" x14ac:dyDescent="0.25"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</row>
    <row r="518" spans="15:54" ht="15.75" customHeight="1" x14ac:dyDescent="0.25"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</row>
    <row r="519" spans="15:54" ht="15.75" customHeight="1" x14ac:dyDescent="0.25"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</row>
    <row r="520" spans="15:54" ht="15.75" customHeight="1" x14ac:dyDescent="0.25"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</row>
    <row r="521" spans="15:54" ht="15.75" customHeight="1" x14ac:dyDescent="0.25"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</row>
    <row r="522" spans="15:54" ht="15.75" customHeight="1" x14ac:dyDescent="0.25"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</row>
    <row r="523" spans="15:54" ht="15.75" customHeight="1" x14ac:dyDescent="0.25"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</row>
    <row r="524" spans="15:54" ht="15.75" customHeight="1" x14ac:dyDescent="0.25"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</row>
    <row r="525" spans="15:54" ht="15.75" customHeight="1" x14ac:dyDescent="0.25"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</row>
    <row r="526" spans="15:54" ht="15.75" customHeight="1" x14ac:dyDescent="0.25"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</row>
    <row r="527" spans="15:54" ht="15.75" customHeight="1" x14ac:dyDescent="0.25"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</row>
    <row r="528" spans="15:54" ht="15.75" customHeight="1" x14ac:dyDescent="0.25"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</row>
    <row r="529" spans="15:54" ht="15.75" customHeight="1" x14ac:dyDescent="0.25"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</row>
    <row r="530" spans="15:54" ht="15.75" customHeight="1" x14ac:dyDescent="0.25"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</row>
    <row r="531" spans="15:54" ht="15.75" customHeight="1" x14ac:dyDescent="0.25"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</row>
    <row r="532" spans="15:54" ht="15.75" customHeight="1" x14ac:dyDescent="0.25"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</row>
    <row r="533" spans="15:54" ht="15.75" customHeight="1" x14ac:dyDescent="0.25"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</row>
    <row r="534" spans="15:54" ht="15.75" customHeight="1" x14ac:dyDescent="0.25"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</row>
    <row r="535" spans="15:54" ht="15.75" customHeight="1" x14ac:dyDescent="0.25"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</row>
    <row r="536" spans="15:54" ht="15.75" customHeight="1" x14ac:dyDescent="0.25"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</row>
    <row r="537" spans="15:54" ht="15.75" customHeight="1" x14ac:dyDescent="0.25"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</row>
    <row r="538" spans="15:54" ht="15.75" customHeight="1" x14ac:dyDescent="0.25"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</row>
    <row r="539" spans="15:54" ht="15.75" customHeight="1" x14ac:dyDescent="0.25"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</row>
    <row r="540" spans="15:54" ht="15.75" customHeight="1" x14ac:dyDescent="0.25"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</row>
    <row r="541" spans="15:54" ht="15.75" customHeight="1" x14ac:dyDescent="0.25"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</row>
    <row r="542" spans="15:54" ht="15.75" customHeight="1" x14ac:dyDescent="0.25"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</row>
    <row r="543" spans="15:54" ht="15.75" customHeight="1" x14ac:dyDescent="0.25"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</row>
    <row r="544" spans="15:54" ht="15.75" customHeight="1" x14ac:dyDescent="0.25"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</row>
    <row r="545" spans="15:54" ht="15.75" customHeight="1" x14ac:dyDescent="0.25"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</row>
    <row r="546" spans="15:54" ht="15.75" customHeight="1" x14ac:dyDescent="0.25"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</row>
    <row r="547" spans="15:54" ht="15.75" customHeight="1" x14ac:dyDescent="0.25"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</row>
    <row r="548" spans="15:54" ht="15.75" customHeight="1" x14ac:dyDescent="0.25"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</row>
    <row r="549" spans="15:54" ht="15.75" customHeight="1" x14ac:dyDescent="0.25"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</row>
    <row r="550" spans="15:54" ht="15.75" customHeight="1" x14ac:dyDescent="0.25"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</row>
    <row r="551" spans="15:54" ht="15.75" customHeight="1" x14ac:dyDescent="0.25"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</row>
    <row r="552" spans="15:54" ht="15.75" customHeight="1" x14ac:dyDescent="0.25"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</row>
    <row r="553" spans="15:54" ht="15.75" customHeight="1" x14ac:dyDescent="0.25"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</row>
    <row r="554" spans="15:54" ht="15.75" customHeight="1" x14ac:dyDescent="0.25"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</row>
    <row r="555" spans="15:54" ht="15.75" customHeight="1" x14ac:dyDescent="0.25"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</row>
    <row r="556" spans="15:54" ht="15.75" customHeight="1" x14ac:dyDescent="0.25"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</row>
    <row r="557" spans="15:54" ht="15.75" customHeight="1" x14ac:dyDescent="0.25"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</row>
    <row r="558" spans="15:54" ht="15.75" customHeight="1" x14ac:dyDescent="0.25"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</row>
    <row r="559" spans="15:54" ht="15.75" customHeight="1" x14ac:dyDescent="0.25"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</row>
    <row r="560" spans="15:54" ht="15.75" customHeight="1" x14ac:dyDescent="0.25"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</row>
    <row r="561" spans="15:54" ht="15.75" customHeight="1" x14ac:dyDescent="0.25"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</row>
    <row r="562" spans="15:54" ht="15.75" customHeight="1" x14ac:dyDescent="0.25"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</row>
    <row r="563" spans="15:54" ht="15.75" customHeight="1" x14ac:dyDescent="0.25"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</row>
    <row r="564" spans="15:54" ht="15.75" customHeight="1" x14ac:dyDescent="0.25"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</row>
    <row r="565" spans="15:54" ht="15.75" customHeight="1" x14ac:dyDescent="0.25"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</row>
    <row r="566" spans="15:54" ht="15.75" customHeight="1" x14ac:dyDescent="0.25"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</row>
    <row r="567" spans="15:54" ht="15.75" customHeight="1" x14ac:dyDescent="0.25"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</row>
    <row r="568" spans="15:54" ht="15.75" customHeight="1" x14ac:dyDescent="0.25"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</row>
    <row r="569" spans="15:54" ht="15.75" customHeight="1" x14ac:dyDescent="0.25"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</row>
    <row r="570" spans="15:54" ht="15.75" customHeight="1" x14ac:dyDescent="0.25"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</row>
    <row r="571" spans="15:54" ht="15.75" customHeight="1" x14ac:dyDescent="0.25"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</row>
    <row r="572" spans="15:54" ht="15.75" customHeight="1" x14ac:dyDescent="0.25"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</row>
    <row r="573" spans="15:54" ht="15.75" customHeight="1" x14ac:dyDescent="0.25"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</row>
    <row r="574" spans="15:54" ht="15.75" customHeight="1" x14ac:dyDescent="0.25"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</row>
    <row r="575" spans="15:54" ht="15.75" customHeight="1" x14ac:dyDescent="0.25"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</row>
    <row r="576" spans="15:54" ht="15.75" customHeight="1" x14ac:dyDescent="0.25"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</row>
    <row r="577" spans="15:54" ht="15.75" customHeight="1" x14ac:dyDescent="0.25"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</row>
    <row r="578" spans="15:54" ht="15.75" customHeight="1" x14ac:dyDescent="0.25"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</row>
    <row r="579" spans="15:54" ht="15.75" customHeight="1" x14ac:dyDescent="0.25"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</row>
    <row r="580" spans="15:54" ht="15.75" customHeight="1" x14ac:dyDescent="0.25"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</row>
    <row r="581" spans="15:54" ht="15.75" customHeight="1" x14ac:dyDescent="0.25"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</row>
    <row r="582" spans="15:54" ht="15.75" customHeight="1" x14ac:dyDescent="0.25"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</row>
    <row r="583" spans="15:54" ht="15.75" customHeight="1" x14ac:dyDescent="0.25"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</row>
    <row r="584" spans="15:54" ht="15.75" customHeight="1" x14ac:dyDescent="0.25"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</row>
    <row r="585" spans="15:54" ht="15.75" customHeight="1" x14ac:dyDescent="0.25"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</row>
    <row r="586" spans="15:54" ht="15.75" customHeight="1" x14ac:dyDescent="0.25"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</row>
    <row r="587" spans="15:54" ht="15.75" customHeight="1" x14ac:dyDescent="0.25"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</row>
    <row r="588" spans="15:54" ht="15.75" customHeight="1" x14ac:dyDescent="0.25"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</row>
    <row r="589" spans="15:54" ht="15.75" customHeight="1" x14ac:dyDescent="0.25"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</row>
    <row r="590" spans="15:54" ht="15.75" customHeight="1" x14ac:dyDescent="0.25"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</row>
    <row r="591" spans="15:54" ht="15.75" customHeight="1" x14ac:dyDescent="0.25"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</row>
    <row r="592" spans="15:54" ht="15.75" customHeight="1" x14ac:dyDescent="0.25"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</row>
    <row r="593" spans="15:54" ht="15.75" customHeight="1" x14ac:dyDescent="0.25"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</row>
    <row r="594" spans="15:54" ht="15.75" customHeight="1" x14ac:dyDescent="0.25"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</row>
    <row r="595" spans="15:54" ht="15.75" customHeight="1" x14ac:dyDescent="0.25"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</row>
    <row r="596" spans="15:54" ht="15.75" customHeight="1" x14ac:dyDescent="0.25"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</row>
    <row r="597" spans="15:54" ht="15.75" customHeight="1" x14ac:dyDescent="0.25"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</row>
    <row r="598" spans="15:54" ht="15.75" customHeight="1" x14ac:dyDescent="0.25"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</row>
    <row r="599" spans="15:54" ht="15.75" customHeight="1" x14ac:dyDescent="0.25"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</row>
    <row r="600" spans="15:54" ht="15.75" customHeight="1" x14ac:dyDescent="0.25"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</row>
    <row r="601" spans="15:54" ht="15.75" customHeight="1" x14ac:dyDescent="0.25"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</row>
    <row r="602" spans="15:54" ht="15.75" customHeight="1" x14ac:dyDescent="0.25"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</row>
    <row r="603" spans="15:54" ht="15.75" customHeight="1" x14ac:dyDescent="0.25"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</row>
    <row r="604" spans="15:54" ht="15.75" customHeight="1" x14ac:dyDescent="0.25"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</row>
    <row r="605" spans="15:54" ht="15.75" customHeight="1" x14ac:dyDescent="0.25"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</row>
    <row r="606" spans="15:54" ht="15.75" customHeight="1" x14ac:dyDescent="0.25"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</row>
    <row r="607" spans="15:54" ht="15.75" customHeight="1" x14ac:dyDescent="0.25"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</row>
    <row r="608" spans="15:54" ht="15.75" customHeight="1" x14ac:dyDescent="0.25"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</row>
    <row r="609" spans="15:54" ht="15.75" customHeight="1" x14ac:dyDescent="0.25"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</row>
    <row r="610" spans="15:54" ht="15.75" customHeight="1" x14ac:dyDescent="0.25"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</row>
    <row r="611" spans="15:54" ht="15.75" customHeight="1" x14ac:dyDescent="0.25"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</row>
    <row r="612" spans="15:54" ht="15.75" customHeight="1" x14ac:dyDescent="0.25"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</row>
    <row r="613" spans="15:54" ht="15.75" customHeight="1" x14ac:dyDescent="0.25"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</row>
    <row r="614" spans="15:54" ht="15.75" customHeight="1" x14ac:dyDescent="0.25"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</row>
    <row r="615" spans="15:54" ht="15.75" customHeight="1" x14ac:dyDescent="0.25"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</row>
    <row r="616" spans="15:54" ht="15.75" customHeight="1" x14ac:dyDescent="0.25"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</row>
    <row r="617" spans="15:54" ht="15.75" customHeight="1" x14ac:dyDescent="0.25"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</row>
    <row r="618" spans="15:54" ht="15.75" customHeight="1" x14ac:dyDescent="0.25"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</row>
    <row r="619" spans="15:54" ht="15.75" customHeight="1" x14ac:dyDescent="0.25"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</row>
    <row r="620" spans="15:54" ht="15.75" customHeight="1" x14ac:dyDescent="0.25"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</row>
    <row r="621" spans="15:54" ht="15.75" customHeight="1" x14ac:dyDescent="0.25"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</row>
    <row r="622" spans="15:54" ht="15.75" customHeight="1" x14ac:dyDescent="0.25"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</row>
    <row r="623" spans="15:54" ht="15.75" customHeight="1" x14ac:dyDescent="0.25"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</row>
    <row r="624" spans="15:54" ht="15.75" customHeight="1" x14ac:dyDescent="0.25"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</row>
    <row r="625" spans="15:54" ht="15.75" customHeight="1" x14ac:dyDescent="0.25"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</row>
    <row r="626" spans="15:54" ht="15.75" customHeight="1" x14ac:dyDescent="0.25"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</row>
    <row r="627" spans="15:54" ht="15.75" customHeight="1" x14ac:dyDescent="0.25"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</row>
    <row r="628" spans="15:54" ht="15.75" customHeight="1" x14ac:dyDescent="0.25"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</row>
    <row r="629" spans="15:54" ht="15.75" customHeight="1" x14ac:dyDescent="0.25"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</row>
    <row r="630" spans="15:54" ht="15.75" customHeight="1" x14ac:dyDescent="0.25"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</row>
    <row r="631" spans="15:54" ht="15.75" customHeight="1" x14ac:dyDescent="0.25"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</row>
    <row r="632" spans="15:54" ht="15.75" customHeight="1" x14ac:dyDescent="0.25"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</row>
    <row r="633" spans="15:54" ht="15.75" customHeight="1" x14ac:dyDescent="0.25"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</row>
    <row r="634" spans="15:54" ht="15.75" customHeight="1" x14ac:dyDescent="0.25"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</row>
    <row r="635" spans="15:54" ht="15.75" customHeight="1" x14ac:dyDescent="0.25"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</row>
    <row r="636" spans="15:54" ht="15.75" customHeight="1" x14ac:dyDescent="0.25"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</row>
    <row r="637" spans="15:54" ht="15.75" customHeight="1" x14ac:dyDescent="0.25"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</row>
    <row r="638" spans="15:54" ht="15.75" customHeight="1" x14ac:dyDescent="0.25"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</row>
    <row r="639" spans="15:54" ht="15.75" customHeight="1" x14ac:dyDescent="0.25"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</row>
    <row r="640" spans="15:54" ht="15.75" customHeight="1" x14ac:dyDescent="0.25"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</row>
    <row r="641" spans="15:54" ht="15.75" customHeight="1" x14ac:dyDescent="0.25"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</row>
    <row r="642" spans="15:54" ht="15.75" customHeight="1" x14ac:dyDescent="0.25"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</row>
    <row r="643" spans="15:54" ht="15.75" customHeight="1" x14ac:dyDescent="0.25"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</row>
    <row r="644" spans="15:54" ht="15.75" customHeight="1" x14ac:dyDescent="0.25"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</row>
    <row r="645" spans="15:54" ht="15.75" customHeight="1" x14ac:dyDescent="0.25"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</row>
    <row r="646" spans="15:54" ht="15.75" customHeight="1" x14ac:dyDescent="0.25"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</row>
    <row r="647" spans="15:54" ht="15.75" customHeight="1" x14ac:dyDescent="0.25"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</row>
    <row r="648" spans="15:54" ht="15.75" customHeight="1" x14ac:dyDescent="0.25"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</row>
    <row r="649" spans="15:54" ht="15.75" customHeight="1" x14ac:dyDescent="0.25"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</row>
    <row r="650" spans="15:54" ht="15.75" customHeight="1" x14ac:dyDescent="0.25"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</row>
    <row r="651" spans="15:54" ht="15.75" customHeight="1" x14ac:dyDescent="0.25"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</row>
    <row r="652" spans="15:54" ht="15.75" customHeight="1" x14ac:dyDescent="0.25"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</row>
    <row r="653" spans="15:54" ht="15.75" customHeight="1" x14ac:dyDescent="0.25"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</row>
    <row r="654" spans="15:54" ht="15.75" customHeight="1" x14ac:dyDescent="0.25"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</row>
    <row r="655" spans="15:54" ht="15.75" customHeight="1" x14ac:dyDescent="0.25"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</row>
    <row r="656" spans="15:54" ht="15.75" customHeight="1" x14ac:dyDescent="0.25"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</row>
    <row r="657" spans="15:54" ht="15.75" customHeight="1" x14ac:dyDescent="0.25"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</row>
    <row r="658" spans="15:54" ht="15.75" customHeight="1" x14ac:dyDescent="0.25"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</row>
    <row r="659" spans="15:54" ht="15.75" customHeight="1" x14ac:dyDescent="0.25"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</row>
    <row r="660" spans="15:54" ht="15.75" customHeight="1" x14ac:dyDescent="0.25"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</row>
    <row r="661" spans="15:54" ht="15.75" customHeight="1" x14ac:dyDescent="0.25"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</row>
    <row r="662" spans="15:54" ht="15.75" customHeight="1" x14ac:dyDescent="0.25"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</row>
    <row r="663" spans="15:54" ht="15.75" customHeight="1" x14ac:dyDescent="0.25"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</row>
    <row r="664" spans="15:54" ht="15.75" customHeight="1" x14ac:dyDescent="0.25"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</row>
    <row r="665" spans="15:54" ht="15.75" customHeight="1" x14ac:dyDescent="0.25"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</row>
    <row r="666" spans="15:54" ht="15.75" customHeight="1" x14ac:dyDescent="0.25"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</row>
    <row r="667" spans="15:54" ht="15.75" customHeight="1" x14ac:dyDescent="0.25"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</row>
    <row r="668" spans="15:54" ht="15.75" customHeight="1" x14ac:dyDescent="0.25"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</row>
    <row r="669" spans="15:54" ht="15.75" customHeight="1" x14ac:dyDescent="0.25"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</row>
    <row r="670" spans="15:54" ht="15.75" customHeight="1" x14ac:dyDescent="0.25"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</row>
    <row r="671" spans="15:54" ht="15.75" customHeight="1" x14ac:dyDescent="0.25"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</row>
    <row r="672" spans="15:54" ht="15.75" customHeight="1" x14ac:dyDescent="0.25"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</row>
    <row r="673" spans="15:54" ht="15.75" customHeight="1" x14ac:dyDescent="0.25"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</row>
    <row r="674" spans="15:54" ht="15.75" customHeight="1" x14ac:dyDescent="0.25"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</row>
    <row r="675" spans="15:54" ht="15.75" customHeight="1" x14ac:dyDescent="0.25"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</row>
    <row r="676" spans="15:54" ht="15.75" customHeight="1" x14ac:dyDescent="0.25"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</row>
    <row r="677" spans="15:54" ht="15.75" customHeight="1" x14ac:dyDescent="0.25"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</row>
    <row r="678" spans="15:54" ht="15.75" customHeight="1" x14ac:dyDescent="0.25"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</row>
    <row r="679" spans="15:54" ht="15.75" customHeight="1" x14ac:dyDescent="0.25"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</row>
    <row r="680" spans="15:54" ht="15.75" customHeight="1" x14ac:dyDescent="0.25"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</row>
    <row r="681" spans="15:54" ht="15.75" customHeight="1" x14ac:dyDescent="0.25"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</row>
    <row r="682" spans="15:54" ht="15.75" customHeight="1" x14ac:dyDescent="0.25"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</row>
    <row r="683" spans="15:54" ht="15.75" customHeight="1" x14ac:dyDescent="0.25"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</row>
    <row r="684" spans="15:54" ht="15.75" customHeight="1" x14ac:dyDescent="0.25"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</row>
    <row r="685" spans="15:54" ht="15.75" customHeight="1" x14ac:dyDescent="0.25"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</row>
    <row r="686" spans="15:54" ht="15.75" customHeight="1" x14ac:dyDescent="0.25"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</row>
    <row r="687" spans="15:54" ht="15.75" customHeight="1" x14ac:dyDescent="0.25"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</row>
    <row r="688" spans="15:54" ht="15.75" customHeight="1" x14ac:dyDescent="0.25"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</row>
    <row r="689" spans="15:54" ht="15.75" customHeight="1" x14ac:dyDescent="0.25"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</row>
    <row r="690" spans="15:54" ht="15.75" customHeight="1" x14ac:dyDescent="0.25"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</row>
    <row r="691" spans="15:54" ht="15.75" customHeight="1" x14ac:dyDescent="0.25"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</row>
    <row r="692" spans="15:54" ht="15.75" customHeight="1" x14ac:dyDescent="0.25"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</row>
    <row r="693" spans="15:54" ht="15.75" customHeight="1" x14ac:dyDescent="0.25"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</row>
    <row r="694" spans="15:54" ht="15.75" customHeight="1" x14ac:dyDescent="0.25"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</row>
    <row r="695" spans="15:54" ht="15.75" customHeight="1" x14ac:dyDescent="0.25"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</row>
    <row r="696" spans="15:54" ht="15.75" customHeight="1" x14ac:dyDescent="0.25"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</row>
    <row r="697" spans="15:54" ht="15.75" customHeight="1" x14ac:dyDescent="0.25"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</row>
    <row r="698" spans="15:54" ht="15.75" customHeight="1" x14ac:dyDescent="0.25"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</row>
    <row r="699" spans="15:54" ht="15.75" customHeight="1" x14ac:dyDescent="0.25"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</row>
    <row r="700" spans="15:54" ht="15.75" customHeight="1" x14ac:dyDescent="0.25"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</row>
    <row r="701" spans="15:54" ht="15.75" customHeight="1" x14ac:dyDescent="0.25"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</row>
    <row r="702" spans="15:54" ht="15.75" customHeight="1" x14ac:dyDescent="0.25"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</row>
    <row r="703" spans="15:54" ht="15.75" customHeight="1" x14ac:dyDescent="0.25"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</row>
    <row r="704" spans="15:54" ht="15.75" customHeight="1" x14ac:dyDescent="0.25"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</row>
    <row r="705" spans="15:54" ht="15.75" customHeight="1" x14ac:dyDescent="0.25"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</row>
    <row r="706" spans="15:54" ht="15.75" customHeight="1" x14ac:dyDescent="0.25"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</row>
    <row r="707" spans="15:54" ht="15.75" customHeight="1" x14ac:dyDescent="0.25"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</row>
    <row r="708" spans="15:54" ht="15.75" customHeight="1" x14ac:dyDescent="0.25"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</row>
    <row r="709" spans="15:54" ht="15.75" customHeight="1" x14ac:dyDescent="0.25"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</row>
    <row r="710" spans="15:54" ht="15.75" customHeight="1" x14ac:dyDescent="0.25"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</row>
    <row r="711" spans="15:54" ht="15.75" customHeight="1" x14ac:dyDescent="0.25"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</row>
    <row r="712" spans="15:54" ht="15.75" customHeight="1" x14ac:dyDescent="0.25"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</row>
    <row r="713" spans="15:54" ht="15.75" customHeight="1" x14ac:dyDescent="0.25"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</row>
    <row r="714" spans="15:54" ht="15.75" customHeight="1" x14ac:dyDescent="0.25"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</row>
    <row r="715" spans="15:54" ht="15.75" customHeight="1" x14ac:dyDescent="0.25"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</row>
    <row r="716" spans="15:54" ht="15.75" customHeight="1" x14ac:dyDescent="0.25"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</row>
    <row r="717" spans="15:54" ht="15.75" customHeight="1" x14ac:dyDescent="0.25"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</row>
    <row r="718" spans="15:54" ht="15.75" customHeight="1" x14ac:dyDescent="0.25"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</row>
    <row r="719" spans="15:54" ht="15.75" customHeight="1" x14ac:dyDescent="0.25"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</row>
    <row r="720" spans="15:54" ht="15.75" customHeight="1" x14ac:dyDescent="0.25"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</row>
    <row r="721" spans="15:54" ht="15.75" customHeight="1" x14ac:dyDescent="0.25"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</row>
    <row r="722" spans="15:54" ht="15.75" customHeight="1" x14ac:dyDescent="0.25"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</row>
    <row r="723" spans="15:54" ht="15.75" customHeight="1" x14ac:dyDescent="0.25"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</row>
    <row r="724" spans="15:54" ht="15.75" customHeight="1" x14ac:dyDescent="0.25"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</row>
    <row r="725" spans="15:54" ht="15.75" customHeight="1" x14ac:dyDescent="0.25"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</row>
    <row r="726" spans="15:54" ht="15.75" customHeight="1" x14ac:dyDescent="0.25"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</row>
    <row r="727" spans="15:54" ht="15.75" customHeight="1" x14ac:dyDescent="0.25"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</row>
    <row r="728" spans="15:54" ht="15.75" customHeight="1" x14ac:dyDescent="0.25"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</row>
    <row r="729" spans="15:54" ht="15.75" customHeight="1" x14ac:dyDescent="0.25"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</row>
    <row r="730" spans="15:54" ht="15.75" customHeight="1" x14ac:dyDescent="0.25"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</row>
    <row r="731" spans="15:54" ht="15.75" customHeight="1" x14ac:dyDescent="0.25"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</row>
    <row r="732" spans="15:54" ht="15.75" customHeight="1" x14ac:dyDescent="0.25"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</row>
    <row r="733" spans="15:54" ht="15.75" customHeight="1" x14ac:dyDescent="0.25"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</row>
    <row r="734" spans="15:54" ht="15.75" customHeight="1" x14ac:dyDescent="0.25"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</row>
    <row r="735" spans="15:54" ht="15.75" customHeight="1" x14ac:dyDescent="0.25"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</row>
    <row r="736" spans="15:54" ht="15.75" customHeight="1" x14ac:dyDescent="0.25"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</row>
    <row r="737" spans="15:54" ht="15.75" customHeight="1" x14ac:dyDescent="0.25"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</row>
    <row r="738" spans="15:54" ht="15.75" customHeight="1" x14ac:dyDescent="0.25"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</row>
    <row r="739" spans="15:54" ht="15.75" customHeight="1" x14ac:dyDescent="0.25"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</row>
    <row r="740" spans="15:54" ht="15.75" customHeight="1" x14ac:dyDescent="0.25"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</row>
    <row r="741" spans="15:54" ht="15.75" customHeight="1" x14ac:dyDescent="0.25"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</row>
    <row r="742" spans="15:54" ht="15.75" customHeight="1" x14ac:dyDescent="0.25"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</row>
    <row r="743" spans="15:54" ht="15.75" customHeight="1" x14ac:dyDescent="0.25"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</row>
    <row r="744" spans="15:54" ht="15.75" customHeight="1" x14ac:dyDescent="0.25"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</row>
    <row r="745" spans="15:54" ht="15.75" customHeight="1" x14ac:dyDescent="0.25"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</row>
    <row r="746" spans="15:54" ht="15.75" customHeight="1" x14ac:dyDescent="0.25"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</row>
    <row r="747" spans="15:54" ht="15.75" customHeight="1" x14ac:dyDescent="0.25"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</row>
    <row r="748" spans="15:54" ht="15.75" customHeight="1" x14ac:dyDescent="0.25"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</row>
    <row r="749" spans="15:54" ht="15.75" customHeight="1" x14ac:dyDescent="0.25"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</row>
    <row r="750" spans="15:54" ht="15.75" customHeight="1" x14ac:dyDescent="0.25"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</row>
    <row r="751" spans="15:54" ht="15.75" customHeight="1" x14ac:dyDescent="0.25"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</row>
    <row r="752" spans="15:54" ht="15.75" customHeight="1" x14ac:dyDescent="0.25"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</row>
    <row r="753" spans="15:54" ht="15.75" customHeight="1" x14ac:dyDescent="0.25"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</row>
    <row r="754" spans="15:54" ht="15.75" customHeight="1" x14ac:dyDescent="0.25"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</row>
    <row r="755" spans="15:54" ht="15.75" customHeight="1" x14ac:dyDescent="0.25"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</row>
    <row r="756" spans="15:54" ht="15.75" customHeight="1" x14ac:dyDescent="0.25"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</row>
    <row r="757" spans="15:54" ht="15.75" customHeight="1" x14ac:dyDescent="0.25"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</row>
    <row r="758" spans="15:54" ht="15.75" customHeight="1" x14ac:dyDescent="0.25"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</row>
    <row r="759" spans="15:54" ht="15.75" customHeight="1" x14ac:dyDescent="0.25"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</row>
    <row r="760" spans="15:54" ht="15.75" customHeight="1" x14ac:dyDescent="0.25"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</row>
    <row r="761" spans="15:54" ht="15.75" customHeight="1" x14ac:dyDescent="0.25"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</row>
    <row r="762" spans="15:54" ht="15.75" customHeight="1" x14ac:dyDescent="0.25"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</row>
    <row r="763" spans="15:54" ht="15.75" customHeight="1" x14ac:dyDescent="0.25"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</row>
    <row r="764" spans="15:54" ht="15.75" customHeight="1" x14ac:dyDescent="0.25"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</row>
    <row r="765" spans="15:54" ht="15.75" customHeight="1" x14ac:dyDescent="0.25"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</row>
    <row r="766" spans="15:54" ht="15.75" customHeight="1" x14ac:dyDescent="0.25"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</row>
    <row r="767" spans="15:54" ht="15.75" customHeight="1" x14ac:dyDescent="0.25"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</row>
    <row r="768" spans="15:54" ht="15.75" customHeight="1" x14ac:dyDescent="0.25"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</row>
    <row r="769" spans="15:54" ht="15.75" customHeight="1" x14ac:dyDescent="0.25"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</row>
    <row r="770" spans="15:54" ht="15.75" customHeight="1" x14ac:dyDescent="0.25"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</row>
    <row r="771" spans="15:54" ht="15.75" customHeight="1" x14ac:dyDescent="0.25"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</row>
    <row r="772" spans="15:54" ht="15.75" customHeight="1" x14ac:dyDescent="0.25"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</row>
    <row r="773" spans="15:54" ht="15.75" customHeight="1" x14ac:dyDescent="0.25"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</row>
    <row r="774" spans="15:54" ht="15.75" customHeight="1" x14ac:dyDescent="0.25"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</row>
    <row r="775" spans="15:54" ht="15.75" customHeight="1" x14ac:dyDescent="0.25"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</row>
    <row r="776" spans="15:54" ht="15.75" customHeight="1" x14ac:dyDescent="0.25"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</row>
    <row r="777" spans="15:54" ht="15.75" customHeight="1" x14ac:dyDescent="0.25"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</row>
    <row r="778" spans="15:54" ht="15.75" customHeight="1" x14ac:dyDescent="0.25"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</row>
    <row r="779" spans="15:54" ht="15.75" customHeight="1" x14ac:dyDescent="0.25"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</row>
    <row r="780" spans="15:54" ht="15.75" customHeight="1" x14ac:dyDescent="0.25"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</row>
    <row r="781" spans="15:54" ht="15.75" customHeight="1" x14ac:dyDescent="0.25"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</row>
    <row r="782" spans="15:54" ht="15.75" customHeight="1" x14ac:dyDescent="0.25"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</row>
    <row r="783" spans="15:54" ht="15.75" customHeight="1" x14ac:dyDescent="0.25"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</row>
    <row r="784" spans="15:54" ht="15.75" customHeight="1" x14ac:dyDescent="0.25"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</row>
    <row r="785" spans="15:54" ht="15.75" customHeight="1" x14ac:dyDescent="0.25"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</row>
    <row r="786" spans="15:54" ht="15.75" customHeight="1" x14ac:dyDescent="0.25"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</row>
    <row r="787" spans="15:54" ht="15.75" customHeight="1" x14ac:dyDescent="0.25"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</row>
    <row r="788" spans="15:54" ht="15.75" customHeight="1" x14ac:dyDescent="0.25"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</row>
    <row r="789" spans="15:54" ht="15.75" customHeight="1" x14ac:dyDescent="0.25"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</row>
    <row r="790" spans="15:54" ht="15.75" customHeight="1" x14ac:dyDescent="0.25"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</row>
    <row r="791" spans="15:54" ht="15.75" customHeight="1" x14ac:dyDescent="0.25"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</row>
    <row r="792" spans="15:54" ht="15.75" customHeight="1" x14ac:dyDescent="0.25"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</row>
    <row r="793" spans="15:54" ht="15.75" customHeight="1" x14ac:dyDescent="0.25"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</row>
    <row r="794" spans="15:54" ht="15.75" customHeight="1" x14ac:dyDescent="0.25"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</row>
    <row r="795" spans="15:54" ht="15.75" customHeight="1" x14ac:dyDescent="0.25"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</row>
    <row r="796" spans="15:54" ht="15.75" customHeight="1" x14ac:dyDescent="0.25"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</row>
    <row r="797" spans="15:54" ht="15.75" customHeight="1" x14ac:dyDescent="0.25"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</row>
    <row r="798" spans="15:54" ht="15.75" customHeight="1" x14ac:dyDescent="0.25"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</row>
    <row r="799" spans="15:54" ht="15.75" customHeight="1" x14ac:dyDescent="0.25"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</row>
    <row r="800" spans="15:54" ht="15.75" customHeight="1" x14ac:dyDescent="0.25"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</row>
    <row r="801" spans="15:54" ht="15.75" customHeight="1" x14ac:dyDescent="0.25"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</row>
    <row r="802" spans="15:54" ht="15.75" customHeight="1" x14ac:dyDescent="0.25"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</row>
    <row r="803" spans="15:54" ht="15.75" customHeight="1" x14ac:dyDescent="0.25"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</row>
    <row r="804" spans="15:54" ht="15.75" customHeight="1" x14ac:dyDescent="0.25"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</row>
    <row r="805" spans="15:54" ht="15.75" customHeight="1" x14ac:dyDescent="0.25"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</row>
    <row r="806" spans="15:54" ht="15.75" customHeight="1" x14ac:dyDescent="0.25"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</row>
    <row r="807" spans="15:54" ht="15.75" customHeight="1" x14ac:dyDescent="0.25"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</row>
    <row r="808" spans="15:54" ht="15.75" customHeight="1" x14ac:dyDescent="0.25"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</row>
    <row r="809" spans="15:54" ht="15.75" customHeight="1" x14ac:dyDescent="0.25"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</row>
    <row r="810" spans="15:54" ht="15.75" customHeight="1" x14ac:dyDescent="0.25"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</row>
    <row r="811" spans="15:54" ht="15.75" customHeight="1" x14ac:dyDescent="0.25"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</row>
    <row r="812" spans="15:54" ht="15.75" customHeight="1" x14ac:dyDescent="0.25"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</row>
    <row r="813" spans="15:54" ht="15.75" customHeight="1" x14ac:dyDescent="0.25"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</row>
    <row r="814" spans="15:54" ht="15.75" customHeight="1" x14ac:dyDescent="0.25"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</row>
    <row r="815" spans="15:54" ht="15.75" customHeight="1" x14ac:dyDescent="0.25"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</row>
    <row r="816" spans="15:54" ht="15.75" customHeight="1" x14ac:dyDescent="0.25"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</row>
    <row r="817" spans="15:54" ht="15.75" customHeight="1" x14ac:dyDescent="0.25"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</row>
    <row r="818" spans="15:54" ht="15.75" customHeight="1" x14ac:dyDescent="0.25"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</row>
    <row r="819" spans="15:54" ht="15.75" customHeight="1" x14ac:dyDescent="0.25"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</row>
    <row r="820" spans="15:54" ht="15.75" customHeight="1" x14ac:dyDescent="0.25"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</row>
    <row r="821" spans="15:54" ht="15.75" customHeight="1" x14ac:dyDescent="0.25"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</row>
    <row r="822" spans="15:54" ht="15.75" customHeight="1" x14ac:dyDescent="0.25"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</row>
    <row r="823" spans="15:54" ht="15.75" customHeight="1" x14ac:dyDescent="0.25"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</row>
    <row r="824" spans="15:54" ht="15.75" customHeight="1" x14ac:dyDescent="0.25"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</row>
    <row r="825" spans="15:54" ht="15.75" customHeight="1" x14ac:dyDescent="0.25"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</row>
    <row r="826" spans="15:54" ht="15.75" customHeight="1" x14ac:dyDescent="0.25"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</row>
    <row r="827" spans="15:54" ht="15.75" customHeight="1" x14ac:dyDescent="0.25"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</row>
    <row r="828" spans="15:54" ht="15.75" customHeight="1" x14ac:dyDescent="0.25"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</row>
    <row r="829" spans="15:54" ht="15.75" customHeight="1" x14ac:dyDescent="0.25"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</row>
    <row r="830" spans="15:54" ht="15.75" customHeight="1" x14ac:dyDescent="0.25"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</row>
    <row r="831" spans="15:54" ht="15.75" customHeight="1" x14ac:dyDescent="0.25"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</row>
    <row r="832" spans="15:54" ht="15.75" customHeight="1" x14ac:dyDescent="0.25"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</row>
    <row r="833" spans="15:54" ht="15.75" customHeight="1" x14ac:dyDescent="0.25"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</row>
    <row r="834" spans="15:54" ht="15.75" customHeight="1" x14ac:dyDescent="0.25"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</row>
    <row r="835" spans="15:54" ht="15.75" customHeight="1" x14ac:dyDescent="0.25"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</row>
    <row r="836" spans="15:54" ht="15.75" customHeight="1" x14ac:dyDescent="0.25"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</row>
    <row r="837" spans="15:54" ht="15.75" customHeight="1" x14ac:dyDescent="0.25"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</row>
    <row r="838" spans="15:54" ht="15.75" customHeight="1" x14ac:dyDescent="0.25"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</row>
    <row r="839" spans="15:54" ht="15.75" customHeight="1" x14ac:dyDescent="0.25"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</row>
    <row r="840" spans="15:54" ht="15.75" customHeight="1" x14ac:dyDescent="0.25"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</row>
    <row r="841" spans="15:54" ht="15.75" customHeight="1" x14ac:dyDescent="0.25"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</row>
    <row r="842" spans="15:54" ht="15.75" customHeight="1" x14ac:dyDescent="0.25"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</row>
    <row r="843" spans="15:54" ht="15.75" customHeight="1" x14ac:dyDescent="0.25"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</row>
    <row r="844" spans="15:54" ht="15.75" customHeight="1" x14ac:dyDescent="0.25"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</row>
    <row r="845" spans="15:54" ht="15.75" customHeight="1" x14ac:dyDescent="0.25"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</row>
    <row r="846" spans="15:54" ht="15.75" customHeight="1" x14ac:dyDescent="0.25"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</row>
    <row r="847" spans="15:54" ht="15.75" customHeight="1" x14ac:dyDescent="0.25"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</row>
    <row r="848" spans="15:54" ht="15.75" customHeight="1" x14ac:dyDescent="0.25"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</row>
    <row r="849" spans="15:54" ht="15.75" customHeight="1" x14ac:dyDescent="0.25"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</row>
    <row r="850" spans="15:54" ht="15.75" customHeight="1" x14ac:dyDescent="0.25"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</row>
    <row r="851" spans="15:54" ht="15.75" customHeight="1" x14ac:dyDescent="0.25"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</row>
    <row r="852" spans="15:54" ht="15.75" customHeight="1" x14ac:dyDescent="0.25"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</row>
    <row r="853" spans="15:54" ht="15.75" customHeight="1" x14ac:dyDescent="0.25"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</row>
    <row r="854" spans="15:54" ht="15.75" customHeight="1" x14ac:dyDescent="0.25"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</row>
    <row r="855" spans="15:54" ht="15.75" customHeight="1" x14ac:dyDescent="0.25"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</row>
    <row r="856" spans="15:54" ht="15.75" customHeight="1" x14ac:dyDescent="0.25"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</row>
    <row r="857" spans="15:54" ht="15.75" customHeight="1" x14ac:dyDescent="0.25"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</row>
    <row r="858" spans="15:54" ht="15.75" customHeight="1" x14ac:dyDescent="0.25"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</row>
    <row r="859" spans="15:54" ht="15.75" customHeight="1" x14ac:dyDescent="0.25"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</row>
    <row r="860" spans="15:54" ht="15.75" customHeight="1" x14ac:dyDescent="0.25"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</row>
    <row r="861" spans="15:54" ht="15.75" customHeight="1" x14ac:dyDescent="0.25"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</row>
    <row r="862" spans="15:54" ht="15.75" customHeight="1" x14ac:dyDescent="0.25"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</row>
    <row r="863" spans="15:54" ht="15.75" customHeight="1" x14ac:dyDescent="0.25"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</row>
    <row r="864" spans="15:54" ht="15.75" customHeight="1" x14ac:dyDescent="0.25"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</row>
    <row r="865" spans="15:54" ht="15.75" customHeight="1" x14ac:dyDescent="0.25"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</row>
    <row r="866" spans="15:54" ht="15.75" customHeight="1" x14ac:dyDescent="0.25"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</row>
    <row r="867" spans="15:54" ht="15.75" customHeight="1" x14ac:dyDescent="0.25"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</row>
    <row r="868" spans="15:54" ht="15.75" customHeight="1" x14ac:dyDescent="0.25"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</row>
    <row r="869" spans="15:54" ht="15.75" customHeight="1" x14ac:dyDescent="0.25"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</row>
    <row r="870" spans="15:54" ht="15.75" customHeight="1" x14ac:dyDescent="0.25"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</row>
    <row r="871" spans="15:54" ht="15.75" customHeight="1" x14ac:dyDescent="0.25"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</row>
    <row r="872" spans="15:54" ht="15.75" customHeight="1" x14ac:dyDescent="0.25"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</row>
    <row r="873" spans="15:54" ht="15.75" customHeight="1" x14ac:dyDescent="0.25"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</row>
    <row r="874" spans="15:54" ht="15.75" customHeight="1" x14ac:dyDescent="0.25"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</row>
    <row r="875" spans="15:54" ht="15.75" customHeight="1" x14ac:dyDescent="0.25"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</row>
    <row r="876" spans="15:54" ht="15.75" customHeight="1" x14ac:dyDescent="0.25"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</row>
    <row r="877" spans="15:54" ht="15.75" customHeight="1" x14ac:dyDescent="0.25"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</row>
    <row r="878" spans="15:54" ht="15.75" customHeight="1" x14ac:dyDescent="0.25"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</row>
    <row r="879" spans="15:54" ht="15.75" customHeight="1" x14ac:dyDescent="0.25"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</row>
    <row r="880" spans="15:54" ht="15.75" customHeight="1" x14ac:dyDescent="0.25"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</row>
    <row r="881" spans="15:54" ht="15.75" customHeight="1" x14ac:dyDescent="0.25"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</row>
    <row r="882" spans="15:54" ht="15.75" customHeight="1" x14ac:dyDescent="0.25"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</row>
    <row r="883" spans="15:54" ht="15.75" customHeight="1" x14ac:dyDescent="0.25"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</row>
    <row r="884" spans="15:54" ht="15.75" customHeight="1" x14ac:dyDescent="0.25"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</row>
    <row r="885" spans="15:54" ht="15.75" customHeight="1" x14ac:dyDescent="0.25"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</row>
    <row r="886" spans="15:54" ht="15.75" customHeight="1" x14ac:dyDescent="0.25"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</row>
    <row r="887" spans="15:54" ht="15.75" customHeight="1" x14ac:dyDescent="0.25"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</row>
    <row r="888" spans="15:54" ht="15.75" customHeight="1" x14ac:dyDescent="0.25"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</row>
    <row r="889" spans="15:54" ht="15.75" customHeight="1" x14ac:dyDescent="0.25"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</row>
    <row r="890" spans="15:54" ht="15.75" customHeight="1" x14ac:dyDescent="0.25"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</row>
    <row r="891" spans="15:54" ht="15.75" customHeight="1" x14ac:dyDescent="0.25"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</row>
    <row r="892" spans="15:54" ht="15.75" customHeight="1" x14ac:dyDescent="0.25"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</row>
    <row r="893" spans="15:54" ht="15.75" customHeight="1" x14ac:dyDescent="0.25"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</row>
    <row r="894" spans="15:54" ht="15.75" customHeight="1" x14ac:dyDescent="0.25"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</row>
    <row r="895" spans="15:54" ht="15.75" customHeight="1" x14ac:dyDescent="0.25"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</row>
    <row r="896" spans="15:54" ht="15.75" customHeight="1" x14ac:dyDescent="0.25"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</row>
    <row r="897" spans="15:54" ht="15.75" customHeight="1" x14ac:dyDescent="0.25"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</row>
    <row r="898" spans="15:54" ht="15.75" customHeight="1" x14ac:dyDescent="0.25"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</row>
    <row r="899" spans="15:54" ht="15.75" customHeight="1" x14ac:dyDescent="0.25"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</row>
    <row r="900" spans="15:54" ht="15.75" customHeight="1" x14ac:dyDescent="0.25"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</row>
    <row r="901" spans="15:54" ht="15.75" customHeight="1" x14ac:dyDescent="0.25"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</row>
    <row r="902" spans="15:54" ht="15.75" customHeight="1" x14ac:dyDescent="0.25"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</row>
    <row r="903" spans="15:54" ht="15.75" customHeight="1" x14ac:dyDescent="0.25"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</row>
    <row r="904" spans="15:54" ht="15.75" customHeight="1" x14ac:dyDescent="0.25"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</row>
    <row r="905" spans="15:54" ht="15.75" customHeight="1" x14ac:dyDescent="0.25"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</row>
    <row r="906" spans="15:54" ht="15.75" customHeight="1" x14ac:dyDescent="0.25"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</row>
    <row r="907" spans="15:54" ht="15.75" customHeight="1" x14ac:dyDescent="0.25"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</row>
    <row r="908" spans="15:54" ht="15.75" customHeight="1" x14ac:dyDescent="0.25"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</row>
    <row r="909" spans="15:54" ht="15.75" customHeight="1" x14ac:dyDescent="0.25"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</row>
    <row r="910" spans="15:54" ht="15.75" customHeight="1" x14ac:dyDescent="0.25"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</row>
    <row r="911" spans="15:54" ht="15.75" customHeight="1" x14ac:dyDescent="0.25"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</row>
    <row r="912" spans="15:54" ht="15.75" customHeight="1" x14ac:dyDescent="0.25"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</row>
    <row r="913" spans="15:54" ht="15.75" customHeight="1" x14ac:dyDescent="0.25"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</row>
    <row r="914" spans="15:54" ht="15.75" customHeight="1" x14ac:dyDescent="0.25"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</row>
    <row r="915" spans="15:54" ht="15.75" customHeight="1" x14ac:dyDescent="0.25"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</row>
    <row r="916" spans="15:54" ht="15.75" customHeight="1" x14ac:dyDescent="0.25"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</row>
    <row r="917" spans="15:54" ht="15.75" customHeight="1" x14ac:dyDescent="0.25"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</row>
    <row r="918" spans="15:54" ht="15.75" customHeight="1" x14ac:dyDescent="0.25"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</row>
    <row r="919" spans="15:54" ht="15.75" customHeight="1" x14ac:dyDescent="0.25"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</row>
    <row r="920" spans="15:54" ht="15.75" customHeight="1" x14ac:dyDescent="0.25"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</row>
    <row r="921" spans="15:54" ht="15.75" customHeight="1" x14ac:dyDescent="0.25"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</row>
    <row r="922" spans="15:54" ht="15.75" customHeight="1" x14ac:dyDescent="0.25"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</row>
    <row r="923" spans="15:54" ht="15.75" customHeight="1" x14ac:dyDescent="0.25"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</row>
    <row r="924" spans="15:54" ht="15.75" customHeight="1" x14ac:dyDescent="0.25"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</row>
    <row r="925" spans="15:54" ht="15.75" customHeight="1" x14ac:dyDescent="0.25"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</row>
    <row r="926" spans="15:54" ht="15.75" customHeight="1" x14ac:dyDescent="0.25"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</row>
    <row r="927" spans="15:54" ht="15.75" customHeight="1" x14ac:dyDescent="0.25"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</row>
    <row r="928" spans="15:54" ht="15.75" customHeight="1" x14ac:dyDescent="0.25"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</row>
    <row r="929" spans="15:54" ht="15.75" customHeight="1" x14ac:dyDescent="0.25"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</row>
    <row r="930" spans="15:54" ht="15.75" customHeight="1" x14ac:dyDescent="0.25"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</row>
    <row r="931" spans="15:54" ht="15.75" customHeight="1" x14ac:dyDescent="0.25"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</row>
    <row r="932" spans="15:54" ht="15.75" customHeight="1" x14ac:dyDescent="0.25"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</row>
    <row r="933" spans="15:54" ht="15.75" customHeight="1" x14ac:dyDescent="0.25"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</row>
    <row r="934" spans="15:54" ht="15.75" customHeight="1" x14ac:dyDescent="0.25"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</row>
    <row r="935" spans="15:54" ht="15.75" customHeight="1" x14ac:dyDescent="0.25"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</row>
    <row r="936" spans="15:54" ht="15.75" customHeight="1" x14ac:dyDescent="0.25"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</row>
    <row r="937" spans="15:54" ht="15.75" customHeight="1" x14ac:dyDescent="0.25"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</row>
    <row r="938" spans="15:54" ht="15.75" customHeight="1" x14ac:dyDescent="0.25"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</row>
    <row r="939" spans="15:54" ht="15.75" customHeight="1" x14ac:dyDescent="0.25"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</row>
    <row r="940" spans="15:54" ht="15.75" customHeight="1" x14ac:dyDescent="0.25"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</row>
    <row r="941" spans="15:54" ht="15.75" customHeight="1" x14ac:dyDescent="0.25"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</row>
    <row r="942" spans="15:54" ht="15.75" customHeight="1" x14ac:dyDescent="0.25"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</row>
    <row r="943" spans="15:54" ht="15.75" customHeight="1" x14ac:dyDescent="0.25"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</row>
    <row r="944" spans="15:54" ht="15.75" customHeight="1" x14ac:dyDescent="0.25"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</row>
    <row r="945" spans="15:54" ht="15.75" customHeight="1" x14ac:dyDescent="0.25"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</row>
    <row r="946" spans="15:54" ht="15.75" customHeight="1" x14ac:dyDescent="0.25"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</row>
    <row r="947" spans="15:54" ht="15.75" customHeight="1" x14ac:dyDescent="0.25"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</row>
    <row r="948" spans="15:54" ht="15.75" customHeight="1" x14ac:dyDescent="0.25"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</row>
    <row r="949" spans="15:54" ht="15.75" customHeight="1" x14ac:dyDescent="0.25"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</row>
    <row r="950" spans="15:54" ht="15.75" customHeight="1" x14ac:dyDescent="0.25"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</row>
    <row r="951" spans="15:54" ht="15.75" customHeight="1" x14ac:dyDescent="0.25"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</row>
    <row r="952" spans="15:54" ht="15.75" customHeight="1" x14ac:dyDescent="0.25"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</row>
    <row r="953" spans="15:54" ht="15.75" customHeight="1" x14ac:dyDescent="0.25"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</row>
    <row r="954" spans="15:54" ht="15.75" customHeight="1" x14ac:dyDescent="0.25"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</row>
    <row r="955" spans="15:54" ht="15.75" customHeight="1" x14ac:dyDescent="0.25"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</row>
    <row r="956" spans="15:54" ht="15.75" customHeight="1" x14ac:dyDescent="0.25"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</row>
    <row r="957" spans="15:54" ht="15.75" customHeight="1" x14ac:dyDescent="0.25"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</row>
    <row r="958" spans="15:54" ht="15.75" customHeight="1" x14ac:dyDescent="0.25"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</row>
    <row r="959" spans="15:54" ht="15.75" customHeight="1" x14ac:dyDescent="0.25"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</row>
    <row r="960" spans="15:54" ht="15.75" customHeight="1" x14ac:dyDescent="0.25"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</row>
    <row r="961" spans="15:54" ht="15.75" customHeight="1" x14ac:dyDescent="0.25"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</row>
    <row r="962" spans="15:54" ht="15.75" customHeight="1" x14ac:dyDescent="0.25"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</row>
    <row r="963" spans="15:54" ht="15.75" customHeight="1" x14ac:dyDescent="0.25"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</row>
    <row r="964" spans="15:54" ht="15.75" customHeight="1" x14ac:dyDescent="0.25"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</row>
    <row r="965" spans="15:54" ht="15.75" customHeight="1" x14ac:dyDescent="0.25"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</row>
    <row r="966" spans="15:54" ht="15.75" customHeight="1" x14ac:dyDescent="0.25"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</row>
    <row r="967" spans="15:54" ht="15.75" customHeight="1" x14ac:dyDescent="0.25"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</row>
    <row r="968" spans="15:54" ht="15.75" customHeight="1" x14ac:dyDescent="0.25"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</row>
    <row r="969" spans="15:54" ht="15.75" customHeight="1" x14ac:dyDescent="0.25"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</row>
    <row r="970" spans="15:54" ht="15.75" customHeight="1" x14ac:dyDescent="0.25"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</row>
    <row r="971" spans="15:54" ht="15.75" customHeight="1" x14ac:dyDescent="0.25"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</row>
    <row r="972" spans="15:54" ht="15.75" customHeight="1" x14ac:dyDescent="0.25"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</row>
    <row r="973" spans="15:54" ht="15.75" customHeight="1" x14ac:dyDescent="0.25"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</row>
    <row r="974" spans="15:54" ht="15.75" customHeight="1" x14ac:dyDescent="0.25"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</row>
    <row r="975" spans="15:54" ht="15.75" customHeight="1" x14ac:dyDescent="0.25"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</row>
    <row r="976" spans="15:54" ht="15.75" customHeight="1" x14ac:dyDescent="0.25"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</row>
    <row r="977" spans="15:54" ht="15.75" customHeight="1" x14ac:dyDescent="0.25"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</row>
    <row r="978" spans="15:54" ht="15.75" customHeight="1" x14ac:dyDescent="0.25"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</row>
    <row r="979" spans="15:54" ht="15.75" customHeight="1" x14ac:dyDescent="0.25"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</row>
    <row r="980" spans="15:54" ht="15.75" customHeight="1" x14ac:dyDescent="0.25"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</row>
    <row r="981" spans="15:54" ht="15.75" customHeight="1" x14ac:dyDescent="0.25"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  <c r="AH981" s="52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</row>
    <row r="982" spans="15:54" ht="15.75" customHeight="1" x14ac:dyDescent="0.25"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</row>
    <row r="983" spans="15:54" ht="15.75" customHeight="1" x14ac:dyDescent="0.25"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</row>
    <row r="984" spans="15:54" ht="15.75" customHeight="1" x14ac:dyDescent="0.25"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  <c r="AH984" s="52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</row>
    <row r="985" spans="15:54" ht="15.75" customHeight="1" x14ac:dyDescent="0.25"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  <c r="AG985" s="52"/>
      <c r="AH985" s="52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</row>
    <row r="986" spans="15:54" ht="15.75" customHeight="1" x14ac:dyDescent="0.25"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  <c r="AH986" s="52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</row>
    <row r="987" spans="15:54" ht="15.75" customHeight="1" x14ac:dyDescent="0.25"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  <c r="AH987" s="52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</row>
    <row r="988" spans="15:54" ht="15.75" customHeight="1" x14ac:dyDescent="0.25"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  <c r="AH988" s="52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</row>
    <row r="989" spans="15:54" ht="15.75" customHeight="1" x14ac:dyDescent="0.25"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  <c r="AH989" s="52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</row>
    <row r="990" spans="15:54" ht="15.75" customHeight="1" x14ac:dyDescent="0.25"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52"/>
      <c r="AG990" s="52"/>
      <c r="AH990" s="52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</row>
    <row r="991" spans="15:54" ht="15.75" customHeight="1" x14ac:dyDescent="0.25"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52"/>
      <c r="AG991" s="52"/>
      <c r="AH991" s="52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</row>
    <row r="992" spans="15:54" ht="15.75" customHeight="1" x14ac:dyDescent="0.25"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52"/>
      <c r="AG992" s="52"/>
      <c r="AH992" s="52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</row>
    <row r="993" spans="15:54" ht="15.75" customHeight="1" x14ac:dyDescent="0.25"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52"/>
      <c r="AG993" s="52"/>
      <c r="AH993" s="52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</row>
    <row r="994" spans="15:54" ht="15.75" customHeight="1" x14ac:dyDescent="0.25"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52"/>
      <c r="AG994" s="52"/>
      <c r="AH994" s="52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</row>
    <row r="995" spans="15:54" ht="15.75" customHeight="1" x14ac:dyDescent="0.25"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52"/>
      <c r="AG995" s="52"/>
      <c r="AH995" s="52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</row>
    <row r="996" spans="15:54" ht="15.75" customHeight="1" x14ac:dyDescent="0.25"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52"/>
      <c r="AG996" s="52"/>
      <c r="AH996" s="52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</row>
    <row r="997" spans="15:54" ht="15.75" customHeight="1" x14ac:dyDescent="0.25"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52"/>
      <c r="AG997" s="52"/>
      <c r="AH997" s="52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</row>
    <row r="998" spans="15:54" ht="15.75" customHeight="1" x14ac:dyDescent="0.25"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  <c r="AH998" s="52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</row>
    <row r="999" spans="15:54" ht="15.75" customHeight="1" x14ac:dyDescent="0.25"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52"/>
      <c r="AG999" s="52"/>
      <c r="AH999" s="52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</row>
    <row r="1000" spans="15:54" ht="15.75" customHeight="1" x14ac:dyDescent="0.25"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52"/>
      <c r="AG1000" s="52"/>
      <c r="AH1000" s="52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</row>
  </sheetData>
  <mergeCells count="8">
    <mergeCell ref="J24:L24"/>
    <mergeCell ref="J25:L25"/>
    <mergeCell ref="J26:L26"/>
    <mergeCell ref="B3:G4"/>
    <mergeCell ref="B6:G6"/>
    <mergeCell ref="K6:N6"/>
    <mergeCell ref="J22:M22"/>
    <mergeCell ref="J23:L23"/>
  </mergeCells>
  <conditionalFormatting sqref="M23:M26">
    <cfRule type="expression" dxfId="67" priority="1">
      <formula>J23=""</formula>
    </cfRule>
  </conditionalFormatting>
  <conditionalFormatting sqref="M24:M26">
    <cfRule type="expression" dxfId="66" priority="2">
      <formula>J24=""</formula>
    </cfRule>
  </conditionalFormatting>
  <conditionalFormatting sqref="M25">
    <cfRule type="expression" dxfId="65" priority="3">
      <formula>J25=""</formula>
    </cfRule>
  </conditionalFormatting>
  <conditionalFormatting sqref="B22:H28 J22:M26">
    <cfRule type="expression" dxfId="64" priority="4">
      <formula>OR($I$22=0,AND($J$20="",$J$21="",$J$22="",$J$23=""))</formula>
    </cfRule>
  </conditionalFormatting>
  <conditionalFormatting sqref="N23:AH27">
    <cfRule type="expression" dxfId="63" priority="5">
      <formula>K23=""</formula>
    </cfRule>
  </conditionalFormatting>
  <conditionalFormatting sqref="N24:AH26">
    <cfRule type="expression" dxfId="62" priority="6">
      <formula>K24=""</formula>
    </cfRule>
  </conditionalFormatting>
  <conditionalFormatting sqref="N25:AH25">
    <cfRule type="expression" dxfId="61" priority="7">
      <formula>K25=""</formula>
    </cfRule>
  </conditionalFormatting>
  <conditionalFormatting sqref="N27:AH27">
    <cfRule type="expression" dxfId="60" priority="8">
      <formula>K27=""</formula>
    </cfRule>
  </conditionalFormatting>
  <conditionalFormatting sqref="N23:AH27">
    <cfRule type="expression" dxfId="59" priority="9">
      <formula>OR($I$22=0,AND($J$20="",$J$21="",$J$22="",$J$23=""))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BB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3.7109375" customWidth="1"/>
    <col min="4" max="10" width="10.7109375" customWidth="1"/>
    <col min="11" max="11" width="13.7109375" customWidth="1"/>
    <col min="12" max="13" width="10.7109375" customWidth="1"/>
    <col min="14" max="34" width="13.7109375" customWidth="1"/>
    <col min="35" max="35" width="20" customWidth="1"/>
    <col min="36" max="46" width="11.42578125" customWidth="1"/>
    <col min="47" max="47" width="10.42578125" customWidth="1"/>
    <col min="48" max="48" width="13.7109375" customWidth="1"/>
    <col min="49" max="49" width="10.42578125" customWidth="1"/>
    <col min="50" max="50" width="9.85546875" customWidth="1"/>
    <col min="51" max="51" width="13" customWidth="1"/>
    <col min="52" max="52" width="29.85546875" customWidth="1"/>
    <col min="53" max="53" width="25.7109375" customWidth="1"/>
    <col min="54" max="54" width="11.42578125" customWidth="1"/>
  </cols>
  <sheetData>
    <row r="1" spans="2:54" x14ac:dyDescent="0.25"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spans="2:54" x14ac:dyDescent="0.25"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2:54" x14ac:dyDescent="0.25">
      <c r="B3" s="88" t="s">
        <v>57</v>
      </c>
      <c r="C3" s="89"/>
      <c r="D3" s="89"/>
      <c r="E3" s="89"/>
      <c r="F3" s="89"/>
      <c r="G3" s="90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spans="2:54" x14ac:dyDescent="0.25">
      <c r="B4" s="91"/>
      <c r="C4" s="92"/>
      <c r="D4" s="92"/>
      <c r="E4" s="92"/>
      <c r="F4" s="92"/>
      <c r="G4" s="93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  <row r="5" spans="2:54" x14ac:dyDescent="0.25">
      <c r="B5" s="4"/>
      <c r="C5" s="5">
        <v>2</v>
      </c>
      <c r="D5" s="5">
        <v>3</v>
      </c>
      <c r="E5" s="5">
        <v>5</v>
      </c>
      <c r="F5" s="5">
        <v>6</v>
      </c>
      <c r="G5" s="5">
        <v>4</v>
      </c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spans="2:54" x14ac:dyDescent="0.25">
      <c r="B6" s="94" t="s">
        <v>5</v>
      </c>
      <c r="C6" s="95"/>
      <c r="D6" s="95"/>
      <c r="E6" s="95"/>
      <c r="F6" s="95"/>
      <c r="G6" s="96"/>
      <c r="J6" s="6" t="s">
        <v>6</v>
      </c>
      <c r="K6" s="97" t="s">
        <v>7</v>
      </c>
      <c r="L6" s="95"/>
      <c r="M6" s="95"/>
      <c r="N6" s="96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5"/>
      <c r="AJ6" s="3">
        <v>1</v>
      </c>
      <c r="AK6" s="3">
        <v>2</v>
      </c>
      <c r="AL6" s="3" t="s">
        <v>8</v>
      </c>
      <c r="AM6" s="3"/>
      <c r="AN6" s="3" t="s">
        <v>9</v>
      </c>
      <c r="AO6" s="3" t="s">
        <v>10</v>
      </c>
      <c r="AP6" s="3" t="s">
        <v>11</v>
      </c>
      <c r="AQ6" s="3" t="s">
        <v>12</v>
      </c>
      <c r="AR6" s="3" t="s">
        <v>13</v>
      </c>
      <c r="AS6" s="3" t="s">
        <v>14</v>
      </c>
      <c r="AT6" s="3"/>
      <c r="AU6" s="3"/>
      <c r="AV6" s="3" t="s">
        <v>10</v>
      </c>
      <c r="AW6" s="3" t="s">
        <v>15</v>
      </c>
      <c r="AX6" s="3" t="s">
        <v>8</v>
      </c>
      <c r="AY6" s="3" t="s">
        <v>16</v>
      </c>
      <c r="AZ6" s="3" t="s">
        <v>17</v>
      </c>
      <c r="BA6" s="3" t="s">
        <v>18</v>
      </c>
      <c r="BB6" s="3" t="s">
        <v>19</v>
      </c>
    </row>
    <row r="7" spans="2:54" x14ac:dyDescent="0.25">
      <c r="B7" s="7" t="s">
        <v>20</v>
      </c>
      <c r="C7" s="8" t="s">
        <v>10</v>
      </c>
      <c r="D7" s="9" t="s">
        <v>11</v>
      </c>
      <c r="E7" s="9" t="s">
        <v>13</v>
      </c>
      <c r="F7" s="9" t="s">
        <v>14</v>
      </c>
      <c r="G7" s="10" t="s">
        <v>12</v>
      </c>
      <c r="I7" s="11">
        <v>11</v>
      </c>
      <c r="J7" s="12">
        <v>44888</v>
      </c>
      <c r="K7" s="13" t="s">
        <v>58</v>
      </c>
      <c r="L7" s="14">
        <v>1</v>
      </c>
      <c r="M7" s="15">
        <v>2</v>
      </c>
      <c r="N7" s="11" t="s">
        <v>59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5" t="str">
        <f t="shared" ref="AI7:AI12" si="0">CONCATENATE(K7,"_",N7)</f>
        <v>Marruecos_Croacia</v>
      </c>
      <c r="AJ7" s="3">
        <f t="shared" ref="AJ7:AJ12" si="1">IF(L7&gt;M7,3,IF(L7&lt;M7,0,1))</f>
        <v>0</v>
      </c>
      <c r="AK7" s="3">
        <f t="shared" ref="AK7:AK12" si="2">IF(AJ7=3,0,IF(AJ7=1,1,3))</f>
        <v>3</v>
      </c>
      <c r="AL7" s="3" t="str">
        <f t="shared" ref="AL7:AL12" si="3">IF(AJ7&gt;AK7,K7,IF(AK7&gt;AJ7,N7,"SIN GANADOR"))</f>
        <v>Croacia</v>
      </c>
      <c r="AM7" s="3"/>
      <c r="AN7" s="3">
        <f t="shared" ref="AN7:AN10" si="4">_xlfn.RANK.EQ(BB7,BB$7:BB$11,1)</f>
        <v>1</v>
      </c>
      <c r="AO7" s="3" t="s">
        <v>60</v>
      </c>
      <c r="AP7" s="3">
        <f t="shared" ref="AP7:AP10" si="5">SUMIF($K$7:$K$12,AO7,$AJ$7:$AJ$12) + SUMIF($N$7:$N$12,AO7,$AK$7:$AK$12)</f>
        <v>9</v>
      </c>
      <c r="AQ7" s="3">
        <f t="shared" ref="AQ7:AQ10" si="6">AR7-AS7</f>
        <v>5</v>
      </c>
      <c r="AR7" s="3">
        <f t="shared" ref="AR7:AR10" si="7">SUMIF($K$7:$K$12,AO7,$L$7:$L$12) + SUMIF($N$7:$N$12,AO7,$M$7:$M$12)</f>
        <v>5</v>
      </c>
      <c r="AS7" s="3">
        <f t="shared" ref="AS7:AS10" si="8">SUMIF($K$7:$K$12,AO7,$M$7:$M$12) + SUMIF($N$7:$N$12,AO7,$L$7:$L$12)</f>
        <v>0</v>
      </c>
      <c r="AT7" s="3"/>
      <c r="AU7" s="3"/>
      <c r="AV7" s="3" t="str">
        <f t="shared" ref="AV7:AV10" si="9">AO7</f>
        <v>Belgica</v>
      </c>
      <c r="AW7" s="3" t="str">
        <f>IF(AZ7=AZ8,AV8,IF(AZ7=AZ9,AV9,IF(AZ7=AZ10,AV10,"")))</f>
        <v/>
      </c>
      <c r="AX7" s="3" t="str">
        <f t="shared" ref="AX7:AX10" si="10">IF(AW7="","",IFERROR(VLOOKUP(CONCATENATE(AV7,"_",AW7),$AI$7:$AL$16,4,FALSE),VLOOKUP(CONCATENATE(AW7,"_",AV7),$AI$7:$AL$16,4,FALSE)))</f>
        <v/>
      </c>
      <c r="AY7" s="3">
        <f t="shared" ref="AY7:AY10" si="11">IF(AX7="",1,IF(AX7=AV7,1,0))</f>
        <v>1</v>
      </c>
      <c r="AZ7" s="3">
        <f t="shared" ref="AZ7:AZ10" si="12">-AP7*10000000 - AQ7*10000 - AR7*100</f>
        <v>-90050500</v>
      </c>
      <c r="BA7" s="3">
        <f t="shared" ref="BA7:BA10" si="13">AZ7-AY7*10</f>
        <v>-90050510</v>
      </c>
      <c r="BB7" s="3">
        <f t="shared" ref="BB7:BB10" si="14">BA7+N23</f>
        <v>-90050509</v>
      </c>
    </row>
    <row r="8" spans="2:54" x14ac:dyDescent="0.25">
      <c r="B8" s="16">
        <v>1</v>
      </c>
      <c r="C8" s="17" t="str">
        <f t="shared" ref="C8:G8" si="15">IFERROR(VLOOKUP($B8,$AN$7:$AS$11,C$5,FALSE),"")</f>
        <v>Belgica</v>
      </c>
      <c r="D8" s="18">
        <f t="shared" si="15"/>
        <v>9</v>
      </c>
      <c r="E8" s="18">
        <f t="shared" si="15"/>
        <v>5</v>
      </c>
      <c r="F8" s="18">
        <f t="shared" si="15"/>
        <v>0</v>
      </c>
      <c r="G8" s="19">
        <f t="shared" si="15"/>
        <v>5</v>
      </c>
      <c r="I8" s="20">
        <v>12</v>
      </c>
      <c r="J8" s="21">
        <v>44888</v>
      </c>
      <c r="K8" s="22" t="s">
        <v>60</v>
      </c>
      <c r="L8" s="23">
        <v>2</v>
      </c>
      <c r="M8" s="24">
        <v>0</v>
      </c>
      <c r="N8" s="20" t="s">
        <v>61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5" t="str">
        <f t="shared" si="0"/>
        <v>Belgica_Canada</v>
      </c>
      <c r="AJ8" s="3">
        <f t="shared" si="1"/>
        <v>3</v>
      </c>
      <c r="AK8" s="3">
        <f t="shared" si="2"/>
        <v>0</v>
      </c>
      <c r="AL8" s="3" t="str">
        <f t="shared" si="3"/>
        <v>Belgica</v>
      </c>
      <c r="AM8" s="3"/>
      <c r="AN8" s="3">
        <f t="shared" si="4"/>
        <v>2</v>
      </c>
      <c r="AO8" s="3" t="s">
        <v>59</v>
      </c>
      <c r="AP8" s="3">
        <f t="shared" si="5"/>
        <v>6</v>
      </c>
      <c r="AQ8" s="3">
        <f t="shared" si="6"/>
        <v>2</v>
      </c>
      <c r="AR8" s="3">
        <f t="shared" si="7"/>
        <v>5</v>
      </c>
      <c r="AS8" s="3">
        <f t="shared" si="8"/>
        <v>3</v>
      </c>
      <c r="AT8" s="3"/>
      <c r="AU8" s="3"/>
      <c r="AV8" s="3" t="str">
        <f t="shared" si="9"/>
        <v>Croacia</v>
      </c>
      <c r="AW8" s="3" t="str">
        <f>IF(AZ8=AZ9,AV9,IF(AZ8=AZ10,AV10,IF(AZ8=AZ7,AV7,"")))</f>
        <v/>
      </c>
      <c r="AX8" s="3" t="str">
        <f t="shared" si="10"/>
        <v/>
      </c>
      <c r="AY8" s="3">
        <f t="shared" si="11"/>
        <v>1</v>
      </c>
      <c r="AZ8" s="3">
        <f t="shared" si="12"/>
        <v>-60020500</v>
      </c>
      <c r="BA8" s="3">
        <f t="shared" si="13"/>
        <v>-60020510</v>
      </c>
      <c r="BB8" s="3">
        <f t="shared" si="14"/>
        <v>-60020508</v>
      </c>
    </row>
    <row r="9" spans="2:54" x14ac:dyDescent="0.25">
      <c r="B9" s="25">
        <v>2</v>
      </c>
      <c r="C9" s="26" t="str">
        <f t="shared" ref="C9:G9" si="16">IFERROR(VLOOKUP($B9,$AN$7:$AS$11,C$5,FALSE),"")</f>
        <v>Croacia</v>
      </c>
      <c r="D9" s="27">
        <f t="shared" si="16"/>
        <v>6</v>
      </c>
      <c r="E9" s="27">
        <f t="shared" si="16"/>
        <v>5</v>
      </c>
      <c r="F9" s="27">
        <f t="shared" si="16"/>
        <v>3</v>
      </c>
      <c r="G9" s="28">
        <f t="shared" si="16"/>
        <v>2</v>
      </c>
      <c r="I9" s="29">
        <f t="shared" ref="I9:I12" si="17">I7+16</f>
        <v>27</v>
      </c>
      <c r="J9" s="30">
        <v>44892</v>
      </c>
      <c r="K9" s="31" t="s">
        <v>60</v>
      </c>
      <c r="L9" s="23">
        <v>2</v>
      </c>
      <c r="M9" s="24">
        <v>0</v>
      </c>
      <c r="N9" s="29" t="s">
        <v>58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5" t="str">
        <f t="shared" si="0"/>
        <v>Belgica_Marruecos</v>
      </c>
      <c r="AJ9" s="3">
        <f t="shared" si="1"/>
        <v>3</v>
      </c>
      <c r="AK9" s="3">
        <f t="shared" si="2"/>
        <v>0</v>
      </c>
      <c r="AL9" s="3" t="str">
        <f t="shared" si="3"/>
        <v>Belgica</v>
      </c>
      <c r="AM9" s="3"/>
      <c r="AN9" s="3">
        <f t="shared" si="4"/>
        <v>3</v>
      </c>
      <c r="AO9" s="3" t="s">
        <v>58</v>
      </c>
      <c r="AP9" s="3">
        <f t="shared" si="5"/>
        <v>3</v>
      </c>
      <c r="AQ9" s="3">
        <f t="shared" si="6"/>
        <v>-1</v>
      </c>
      <c r="AR9" s="3">
        <f t="shared" si="7"/>
        <v>3</v>
      </c>
      <c r="AS9" s="3">
        <f t="shared" si="8"/>
        <v>4</v>
      </c>
      <c r="AT9" s="3"/>
      <c r="AU9" s="3"/>
      <c r="AV9" s="3" t="str">
        <f t="shared" si="9"/>
        <v>Marruecos</v>
      </c>
      <c r="AW9" s="3" t="str">
        <f>IF(AZ9=AZ10,AV10,IF(AZ9=AZ7,AV7,IF(AZ9=AZ8,AV8,"")))</f>
        <v/>
      </c>
      <c r="AX9" s="3" t="str">
        <f t="shared" si="10"/>
        <v/>
      </c>
      <c r="AY9" s="3">
        <f t="shared" si="11"/>
        <v>1</v>
      </c>
      <c r="AZ9" s="3">
        <f t="shared" si="12"/>
        <v>-29990300</v>
      </c>
      <c r="BA9" s="3">
        <f t="shared" si="13"/>
        <v>-29990310</v>
      </c>
      <c r="BB9" s="3">
        <f t="shared" si="14"/>
        <v>-29990307</v>
      </c>
    </row>
    <row r="10" spans="2:54" x14ac:dyDescent="0.25">
      <c r="B10" s="32">
        <v>3</v>
      </c>
      <c r="C10" s="33" t="str">
        <f t="shared" ref="C10:G10" si="18">IFERROR(VLOOKUP($B10,$AN$7:$AS$11,C$5,FALSE),"")</f>
        <v>Marruecos</v>
      </c>
      <c r="D10" s="34">
        <f t="shared" si="18"/>
        <v>3</v>
      </c>
      <c r="E10" s="34">
        <f t="shared" si="18"/>
        <v>3</v>
      </c>
      <c r="F10" s="34">
        <f t="shared" si="18"/>
        <v>4</v>
      </c>
      <c r="G10" s="35">
        <f t="shared" si="18"/>
        <v>-1</v>
      </c>
      <c r="I10" s="20">
        <f t="shared" si="17"/>
        <v>28</v>
      </c>
      <c r="J10" s="21">
        <v>44892</v>
      </c>
      <c r="K10" s="22" t="s">
        <v>59</v>
      </c>
      <c r="L10" s="23">
        <v>3</v>
      </c>
      <c r="M10" s="24">
        <v>1</v>
      </c>
      <c r="N10" s="20" t="s">
        <v>61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5" t="str">
        <f t="shared" si="0"/>
        <v>Croacia_Canada</v>
      </c>
      <c r="AJ10" s="3">
        <f t="shared" si="1"/>
        <v>3</v>
      </c>
      <c r="AK10" s="3">
        <f t="shared" si="2"/>
        <v>0</v>
      </c>
      <c r="AL10" s="3" t="str">
        <f t="shared" si="3"/>
        <v>Croacia</v>
      </c>
      <c r="AM10" s="3"/>
      <c r="AN10" s="3">
        <f t="shared" si="4"/>
        <v>4</v>
      </c>
      <c r="AO10" s="3" t="s">
        <v>61</v>
      </c>
      <c r="AP10" s="3">
        <f t="shared" si="5"/>
        <v>0</v>
      </c>
      <c r="AQ10" s="3">
        <f t="shared" si="6"/>
        <v>-6</v>
      </c>
      <c r="AR10" s="3">
        <f t="shared" si="7"/>
        <v>1</v>
      </c>
      <c r="AS10" s="3">
        <f t="shared" si="8"/>
        <v>7</v>
      </c>
      <c r="AT10" s="3"/>
      <c r="AU10" s="3"/>
      <c r="AV10" s="3" t="str">
        <f t="shared" si="9"/>
        <v>Canada</v>
      </c>
      <c r="AW10" s="3" t="str">
        <f>IF(AZ10=AZ7,AV7,IF(AZ10=AZ8,AV8,IF(AZ10=AZ9,AV9,"")))</f>
        <v/>
      </c>
      <c r="AX10" s="3" t="str">
        <f t="shared" si="10"/>
        <v/>
      </c>
      <c r="AY10" s="3">
        <f t="shared" si="11"/>
        <v>1</v>
      </c>
      <c r="AZ10" s="3">
        <f t="shared" si="12"/>
        <v>59900</v>
      </c>
      <c r="BA10" s="3">
        <f t="shared" si="13"/>
        <v>59890</v>
      </c>
      <c r="BB10" s="3">
        <f t="shared" si="14"/>
        <v>59894</v>
      </c>
    </row>
    <row r="11" spans="2:54" x14ac:dyDescent="0.25">
      <c r="B11" s="36">
        <v>4</v>
      </c>
      <c r="C11" s="37" t="str">
        <f t="shared" ref="C11:G11" si="19">IFERROR(VLOOKUP($B11,$AN$7:$AS$11,C$5,FALSE),"")</f>
        <v>Canada</v>
      </c>
      <c r="D11" s="38">
        <f t="shared" si="19"/>
        <v>0</v>
      </c>
      <c r="E11" s="38">
        <f t="shared" si="19"/>
        <v>1</v>
      </c>
      <c r="F11" s="38">
        <f t="shared" si="19"/>
        <v>7</v>
      </c>
      <c r="G11" s="39">
        <f t="shared" si="19"/>
        <v>-6</v>
      </c>
      <c r="I11" s="29">
        <f t="shared" si="17"/>
        <v>43</v>
      </c>
      <c r="J11" s="30">
        <v>44896</v>
      </c>
      <c r="K11" s="31" t="s">
        <v>59</v>
      </c>
      <c r="L11" s="23">
        <v>0</v>
      </c>
      <c r="M11" s="24">
        <v>1</v>
      </c>
      <c r="N11" s="29" t="s">
        <v>60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5" t="str">
        <f t="shared" si="0"/>
        <v>Croacia_Belgica</v>
      </c>
      <c r="AJ11" s="3">
        <f t="shared" si="1"/>
        <v>0</v>
      </c>
      <c r="AK11" s="3">
        <f t="shared" si="2"/>
        <v>3</v>
      </c>
      <c r="AL11" s="3" t="str">
        <f t="shared" si="3"/>
        <v>Belgica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</row>
    <row r="12" spans="2:54" x14ac:dyDescent="0.25">
      <c r="I12" s="40">
        <f t="shared" si="17"/>
        <v>44</v>
      </c>
      <c r="J12" s="41">
        <v>44896</v>
      </c>
      <c r="K12" s="42" t="s">
        <v>61</v>
      </c>
      <c r="L12" s="43">
        <v>0</v>
      </c>
      <c r="M12" s="44">
        <v>2</v>
      </c>
      <c r="N12" s="40" t="s">
        <v>58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5" t="str">
        <f t="shared" si="0"/>
        <v>Canada_Marruecos</v>
      </c>
      <c r="AJ12" s="3">
        <f t="shared" si="1"/>
        <v>0</v>
      </c>
      <c r="AK12" s="3">
        <f t="shared" si="2"/>
        <v>3</v>
      </c>
      <c r="AL12" s="3" t="str">
        <f t="shared" si="3"/>
        <v>Marruecos</v>
      </c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 spans="2:54" x14ac:dyDescent="0.25"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</row>
    <row r="14" spans="2:54" x14ac:dyDescent="0.25"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</row>
    <row r="15" spans="2:54" x14ac:dyDescent="0.25"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</row>
    <row r="16" spans="2:54" x14ac:dyDescent="0.25"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</row>
    <row r="17" spans="2:54" x14ac:dyDescent="0.25"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</row>
    <row r="18" spans="2:54" x14ac:dyDescent="0.25"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</row>
    <row r="19" spans="2:54" x14ac:dyDescent="0.25"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</row>
    <row r="20" spans="2:54" x14ac:dyDescent="0.25"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</row>
    <row r="21" spans="2:54" ht="15.75" customHeight="1" x14ac:dyDescent="0.25"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</row>
    <row r="22" spans="2:54" ht="15.75" customHeight="1" x14ac:dyDescent="0.25">
      <c r="B22" s="45" t="s">
        <v>25</v>
      </c>
      <c r="C22" s="46"/>
      <c r="D22" s="46"/>
      <c r="E22" s="46"/>
      <c r="F22" s="46"/>
      <c r="G22" s="46"/>
      <c r="H22" s="47"/>
      <c r="I22" s="3">
        <v>1</v>
      </c>
      <c r="J22" s="81" t="s">
        <v>40</v>
      </c>
      <c r="K22" s="82"/>
      <c r="L22" s="82"/>
      <c r="M22" s="83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</row>
    <row r="23" spans="2:54" ht="15.75" customHeight="1" x14ac:dyDescent="0.25">
      <c r="B23" s="48" t="s">
        <v>27</v>
      </c>
      <c r="C23" s="49"/>
      <c r="D23" s="49"/>
      <c r="E23" s="49"/>
      <c r="F23" s="49"/>
      <c r="G23" s="49"/>
      <c r="H23" s="50"/>
      <c r="I23" s="3">
        <f t="shared" ref="I23:I26" si="20">IF(J23="",0,1)</f>
        <v>1</v>
      </c>
      <c r="J23" s="98" t="s">
        <v>60</v>
      </c>
      <c r="K23" s="99"/>
      <c r="L23" s="85"/>
      <c r="M23" s="58">
        <v>1</v>
      </c>
      <c r="N23" s="52">
        <f t="shared" ref="N23:N27" si="21">IF(J23="",0,M23)</f>
        <v>1</v>
      </c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</row>
    <row r="24" spans="2:54" ht="15.75" customHeight="1" x14ac:dyDescent="0.25">
      <c r="B24" s="48" t="s">
        <v>28</v>
      </c>
      <c r="C24" s="49"/>
      <c r="D24" s="49"/>
      <c r="E24" s="49"/>
      <c r="F24" s="49"/>
      <c r="G24" s="49"/>
      <c r="H24" s="50"/>
      <c r="I24" s="3">
        <f t="shared" si="20"/>
        <v>1</v>
      </c>
      <c r="J24" s="100" t="s">
        <v>59</v>
      </c>
      <c r="K24" s="101"/>
      <c r="L24" s="102"/>
      <c r="M24" s="53">
        <v>2</v>
      </c>
      <c r="N24" s="52">
        <f t="shared" si="21"/>
        <v>2</v>
      </c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</row>
    <row r="25" spans="2:54" ht="15.75" customHeight="1" x14ac:dyDescent="0.25">
      <c r="B25" s="48" t="s">
        <v>30</v>
      </c>
      <c r="C25" s="49"/>
      <c r="D25" s="49"/>
      <c r="E25" s="49"/>
      <c r="F25" s="49"/>
      <c r="G25" s="49"/>
      <c r="H25" s="50"/>
      <c r="I25" s="3">
        <f t="shared" si="20"/>
        <v>1</v>
      </c>
      <c r="J25" s="100" t="s">
        <v>58</v>
      </c>
      <c r="K25" s="101"/>
      <c r="L25" s="102"/>
      <c r="M25" s="53">
        <v>3</v>
      </c>
      <c r="N25" s="52">
        <f t="shared" si="21"/>
        <v>3</v>
      </c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</row>
    <row r="26" spans="2:54" ht="15.75" customHeight="1" x14ac:dyDescent="0.25">
      <c r="B26" s="48" t="s">
        <v>32</v>
      </c>
      <c r="C26" s="49"/>
      <c r="D26" s="49"/>
      <c r="E26" s="49"/>
      <c r="F26" s="49"/>
      <c r="G26" s="49"/>
      <c r="H26" s="50"/>
      <c r="I26" s="3">
        <f t="shared" si="20"/>
        <v>1</v>
      </c>
      <c r="J26" s="103" t="s">
        <v>61</v>
      </c>
      <c r="K26" s="104"/>
      <c r="L26" s="87"/>
      <c r="M26" s="54">
        <v>4</v>
      </c>
      <c r="N26" s="52">
        <f t="shared" si="21"/>
        <v>4</v>
      </c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</row>
    <row r="27" spans="2:54" ht="15.75" customHeight="1" x14ac:dyDescent="0.25">
      <c r="B27" s="48" t="s">
        <v>34</v>
      </c>
      <c r="C27" s="49"/>
      <c r="D27" s="49"/>
      <c r="E27" s="49"/>
      <c r="F27" s="49"/>
      <c r="G27" s="49"/>
      <c r="H27" s="50"/>
      <c r="I27" s="3"/>
      <c r="N27" s="52">
        <f t="shared" si="21"/>
        <v>0</v>
      </c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</row>
    <row r="28" spans="2:54" ht="15.75" customHeight="1" x14ac:dyDescent="0.25">
      <c r="B28" s="55"/>
      <c r="C28" s="56"/>
      <c r="D28" s="56"/>
      <c r="E28" s="56"/>
      <c r="F28" s="56"/>
      <c r="G28" s="56"/>
      <c r="H28" s="57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</row>
    <row r="29" spans="2:54" ht="15.75" customHeight="1" x14ac:dyDescent="0.25"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</row>
    <row r="30" spans="2:54" ht="15.75" customHeight="1" x14ac:dyDescent="0.25"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</row>
    <row r="31" spans="2:54" ht="15.75" customHeight="1" x14ac:dyDescent="0.25"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</row>
    <row r="32" spans="2:54" ht="15.75" customHeight="1" x14ac:dyDescent="0.25"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</row>
    <row r="33" spans="15:54" ht="15.75" customHeight="1" x14ac:dyDescent="0.25"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</row>
    <row r="34" spans="15:54" ht="15.75" customHeight="1" x14ac:dyDescent="0.25"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</row>
    <row r="35" spans="15:54" ht="15.75" customHeight="1" x14ac:dyDescent="0.25"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</row>
    <row r="36" spans="15:54" ht="15.75" customHeight="1" x14ac:dyDescent="0.25"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</row>
    <row r="37" spans="15:54" ht="15.75" customHeight="1" x14ac:dyDescent="0.25"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</row>
    <row r="38" spans="15:54" ht="15.75" customHeight="1" x14ac:dyDescent="0.25"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</row>
    <row r="39" spans="15:54" ht="15.75" customHeight="1" x14ac:dyDescent="0.25"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</row>
    <row r="40" spans="15:54" ht="15.75" customHeight="1" x14ac:dyDescent="0.25"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</row>
    <row r="41" spans="15:54" ht="15.75" customHeight="1" x14ac:dyDescent="0.25"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</row>
    <row r="42" spans="15:54" ht="15.75" customHeight="1" x14ac:dyDescent="0.25"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</row>
    <row r="43" spans="15:54" ht="15.75" customHeight="1" x14ac:dyDescent="0.25"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</row>
    <row r="44" spans="15:54" ht="15.75" customHeight="1" x14ac:dyDescent="0.25"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</row>
    <row r="45" spans="15:54" ht="15.75" customHeight="1" x14ac:dyDescent="0.25"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</row>
    <row r="46" spans="15:54" ht="15.75" customHeight="1" x14ac:dyDescent="0.25"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</row>
    <row r="47" spans="15:54" ht="15.75" customHeight="1" x14ac:dyDescent="0.25"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15:54" ht="15.75" customHeight="1" x14ac:dyDescent="0.25"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r="49" spans="15:54" ht="15.75" customHeight="1" x14ac:dyDescent="0.25"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r="50" spans="15:54" ht="15.75" customHeight="1" x14ac:dyDescent="0.25"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</row>
    <row r="51" spans="15:54" ht="15.75" customHeight="1" x14ac:dyDescent="0.25"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</row>
    <row r="52" spans="15:54" ht="15.75" customHeight="1" x14ac:dyDescent="0.25"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</row>
    <row r="53" spans="15:54" ht="15.75" customHeight="1" x14ac:dyDescent="0.25"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</row>
    <row r="54" spans="15:54" ht="15.75" customHeight="1" x14ac:dyDescent="0.25"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</row>
    <row r="55" spans="15:54" ht="15.75" customHeight="1" x14ac:dyDescent="0.25"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</row>
    <row r="56" spans="15:54" ht="15.75" customHeight="1" x14ac:dyDescent="0.25"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</row>
    <row r="57" spans="15:54" ht="15.75" customHeight="1" x14ac:dyDescent="0.25"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</row>
    <row r="58" spans="15:54" ht="15.75" customHeight="1" x14ac:dyDescent="0.25"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</row>
    <row r="59" spans="15:54" ht="15.75" customHeight="1" x14ac:dyDescent="0.25"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</row>
    <row r="60" spans="15:54" ht="15.75" customHeight="1" x14ac:dyDescent="0.25"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</row>
    <row r="61" spans="15:54" ht="15.75" customHeight="1" x14ac:dyDescent="0.25"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</row>
    <row r="62" spans="15:54" ht="15.75" customHeight="1" x14ac:dyDescent="0.25"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</row>
    <row r="63" spans="15:54" ht="15.75" customHeight="1" x14ac:dyDescent="0.25"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</row>
    <row r="64" spans="15:54" ht="15.75" customHeight="1" x14ac:dyDescent="0.25"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</row>
    <row r="65" spans="15:54" ht="15.75" customHeight="1" x14ac:dyDescent="0.25"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</row>
    <row r="66" spans="15:54" ht="15.75" customHeight="1" x14ac:dyDescent="0.25"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</row>
    <row r="67" spans="15:54" ht="15.75" customHeight="1" x14ac:dyDescent="0.25"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</row>
    <row r="68" spans="15:54" ht="15.75" customHeight="1" x14ac:dyDescent="0.25"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</row>
    <row r="69" spans="15:54" ht="15.75" customHeight="1" x14ac:dyDescent="0.25"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</row>
    <row r="70" spans="15:54" ht="15.75" customHeight="1" x14ac:dyDescent="0.25"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</row>
    <row r="71" spans="15:54" ht="15.75" customHeight="1" x14ac:dyDescent="0.25"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</row>
    <row r="72" spans="15:54" ht="15.75" customHeight="1" x14ac:dyDescent="0.25"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</row>
    <row r="73" spans="15:54" ht="15.75" customHeight="1" x14ac:dyDescent="0.25"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</row>
    <row r="74" spans="15:54" ht="15.75" customHeight="1" x14ac:dyDescent="0.25"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</row>
    <row r="75" spans="15:54" ht="15.75" customHeight="1" x14ac:dyDescent="0.25"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</row>
    <row r="76" spans="15:54" ht="15.75" customHeight="1" x14ac:dyDescent="0.25"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</row>
    <row r="77" spans="15:54" ht="15.75" customHeight="1" x14ac:dyDescent="0.25"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</row>
    <row r="78" spans="15:54" ht="15.75" customHeight="1" x14ac:dyDescent="0.25"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</row>
    <row r="79" spans="15:54" ht="15.75" customHeight="1" x14ac:dyDescent="0.25"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</row>
    <row r="80" spans="15:54" ht="15.75" customHeight="1" x14ac:dyDescent="0.25"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</row>
    <row r="81" spans="15:54" ht="15.75" customHeight="1" x14ac:dyDescent="0.25"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</row>
    <row r="82" spans="15:54" ht="15.75" customHeight="1" x14ac:dyDescent="0.25"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</row>
    <row r="83" spans="15:54" ht="15.75" customHeight="1" x14ac:dyDescent="0.25"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</row>
    <row r="84" spans="15:54" ht="15.75" customHeight="1" x14ac:dyDescent="0.25"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</row>
    <row r="85" spans="15:54" ht="15.75" customHeight="1" x14ac:dyDescent="0.25"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</row>
    <row r="86" spans="15:54" ht="15.75" customHeight="1" x14ac:dyDescent="0.25"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</row>
    <row r="87" spans="15:54" ht="15.75" customHeight="1" x14ac:dyDescent="0.25"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</row>
    <row r="88" spans="15:54" ht="15.75" customHeight="1" x14ac:dyDescent="0.25"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</row>
    <row r="89" spans="15:54" ht="15.75" customHeight="1" x14ac:dyDescent="0.25"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</row>
    <row r="90" spans="15:54" ht="15.75" customHeight="1" x14ac:dyDescent="0.25"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</row>
    <row r="91" spans="15:54" ht="15.75" customHeight="1" x14ac:dyDescent="0.25"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</row>
    <row r="92" spans="15:54" ht="15.75" customHeight="1" x14ac:dyDescent="0.25"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</row>
    <row r="93" spans="15:54" ht="15.75" customHeight="1" x14ac:dyDescent="0.25"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</row>
    <row r="94" spans="15:54" ht="15.75" customHeight="1" x14ac:dyDescent="0.25"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</row>
    <row r="95" spans="15:54" ht="15.75" customHeight="1" x14ac:dyDescent="0.25"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</row>
    <row r="96" spans="15:54" ht="15.75" customHeight="1" x14ac:dyDescent="0.25"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</row>
    <row r="97" spans="15:54" ht="15.75" customHeight="1" x14ac:dyDescent="0.25"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</row>
    <row r="98" spans="15:54" ht="15.75" customHeight="1" x14ac:dyDescent="0.25"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</row>
    <row r="99" spans="15:54" ht="15.75" customHeight="1" x14ac:dyDescent="0.25"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</row>
    <row r="100" spans="15:54" ht="15.75" customHeight="1" x14ac:dyDescent="0.25"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</row>
    <row r="101" spans="15:54" ht="15.75" customHeight="1" x14ac:dyDescent="0.25"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</row>
    <row r="102" spans="15:54" ht="15.75" customHeight="1" x14ac:dyDescent="0.25"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</row>
    <row r="103" spans="15:54" ht="15.75" customHeight="1" x14ac:dyDescent="0.25"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</row>
    <row r="104" spans="15:54" ht="15.75" customHeight="1" x14ac:dyDescent="0.25"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</row>
    <row r="105" spans="15:54" ht="15.75" customHeight="1" x14ac:dyDescent="0.25"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</row>
    <row r="106" spans="15:54" ht="15.75" customHeight="1" x14ac:dyDescent="0.25"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</row>
    <row r="107" spans="15:54" ht="15.75" customHeight="1" x14ac:dyDescent="0.25"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</row>
    <row r="108" spans="15:54" ht="15.75" customHeight="1" x14ac:dyDescent="0.25"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</row>
    <row r="109" spans="15:54" ht="15.75" customHeight="1" x14ac:dyDescent="0.25"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</row>
    <row r="110" spans="15:54" ht="15.75" customHeight="1" x14ac:dyDescent="0.25"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</row>
    <row r="111" spans="15:54" ht="15.75" customHeight="1" x14ac:dyDescent="0.25"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</row>
    <row r="112" spans="15:54" ht="15.75" customHeight="1" x14ac:dyDescent="0.25"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</row>
    <row r="113" spans="15:54" ht="15.75" customHeight="1" x14ac:dyDescent="0.25"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</row>
    <row r="114" spans="15:54" ht="15.75" customHeight="1" x14ac:dyDescent="0.25"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</row>
    <row r="115" spans="15:54" ht="15.75" customHeight="1" x14ac:dyDescent="0.25"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</row>
    <row r="116" spans="15:54" ht="15.75" customHeight="1" x14ac:dyDescent="0.25"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</row>
    <row r="117" spans="15:54" ht="15.75" customHeight="1" x14ac:dyDescent="0.25"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</row>
    <row r="118" spans="15:54" ht="15.75" customHeight="1" x14ac:dyDescent="0.25"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</row>
    <row r="119" spans="15:54" ht="15.75" customHeight="1" x14ac:dyDescent="0.25"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</row>
    <row r="120" spans="15:54" ht="15.75" customHeight="1" x14ac:dyDescent="0.25"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</row>
    <row r="121" spans="15:54" ht="15.75" customHeight="1" x14ac:dyDescent="0.25"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</row>
    <row r="122" spans="15:54" ht="15.75" customHeight="1" x14ac:dyDescent="0.25"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</row>
    <row r="123" spans="15:54" ht="15.75" customHeight="1" x14ac:dyDescent="0.25"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</row>
    <row r="124" spans="15:54" ht="15.75" customHeight="1" x14ac:dyDescent="0.25"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</row>
    <row r="125" spans="15:54" ht="15.75" customHeight="1" x14ac:dyDescent="0.25"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</row>
    <row r="126" spans="15:54" ht="15.75" customHeight="1" x14ac:dyDescent="0.25"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</row>
    <row r="127" spans="15:54" ht="15.75" customHeight="1" x14ac:dyDescent="0.25"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</row>
    <row r="128" spans="15:54" ht="15.75" customHeight="1" x14ac:dyDescent="0.25"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</row>
    <row r="129" spans="15:54" ht="15.75" customHeight="1" x14ac:dyDescent="0.25"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</row>
    <row r="130" spans="15:54" ht="15.75" customHeight="1" x14ac:dyDescent="0.25"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</row>
    <row r="131" spans="15:54" ht="15.75" customHeight="1" x14ac:dyDescent="0.25"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</row>
    <row r="132" spans="15:54" ht="15.75" customHeight="1" x14ac:dyDescent="0.25"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</row>
    <row r="133" spans="15:54" ht="15.75" customHeight="1" x14ac:dyDescent="0.25"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</row>
    <row r="134" spans="15:54" ht="15.75" customHeight="1" x14ac:dyDescent="0.25"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</row>
    <row r="135" spans="15:54" ht="15.75" customHeight="1" x14ac:dyDescent="0.25"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</row>
    <row r="136" spans="15:54" ht="15.75" customHeight="1" x14ac:dyDescent="0.25"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</row>
    <row r="137" spans="15:54" ht="15.75" customHeight="1" x14ac:dyDescent="0.25"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</row>
    <row r="138" spans="15:54" ht="15.75" customHeight="1" x14ac:dyDescent="0.25"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</row>
    <row r="139" spans="15:54" ht="15.75" customHeight="1" x14ac:dyDescent="0.25"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</row>
    <row r="140" spans="15:54" ht="15.75" customHeight="1" x14ac:dyDescent="0.25"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</row>
    <row r="141" spans="15:54" ht="15.75" customHeight="1" x14ac:dyDescent="0.25"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</row>
    <row r="142" spans="15:54" ht="15.75" customHeight="1" x14ac:dyDescent="0.25"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</row>
    <row r="143" spans="15:54" ht="15.75" customHeight="1" x14ac:dyDescent="0.25"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</row>
    <row r="144" spans="15:54" ht="15.75" customHeight="1" x14ac:dyDescent="0.25"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</row>
    <row r="145" spans="15:54" ht="15.75" customHeight="1" x14ac:dyDescent="0.25"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</row>
    <row r="146" spans="15:54" ht="15.75" customHeight="1" x14ac:dyDescent="0.25"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</row>
    <row r="147" spans="15:54" ht="15.75" customHeight="1" x14ac:dyDescent="0.25"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</row>
    <row r="148" spans="15:54" ht="15.75" customHeight="1" x14ac:dyDescent="0.25"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</row>
    <row r="149" spans="15:54" ht="15.75" customHeight="1" x14ac:dyDescent="0.25"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</row>
    <row r="150" spans="15:54" ht="15.75" customHeight="1" x14ac:dyDescent="0.25"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</row>
    <row r="151" spans="15:54" ht="15.75" customHeight="1" x14ac:dyDescent="0.25"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</row>
    <row r="152" spans="15:54" ht="15.75" customHeight="1" x14ac:dyDescent="0.25"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</row>
    <row r="153" spans="15:54" ht="15.75" customHeight="1" x14ac:dyDescent="0.25"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</row>
    <row r="154" spans="15:54" ht="15.75" customHeight="1" x14ac:dyDescent="0.25"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</row>
    <row r="155" spans="15:54" ht="15.75" customHeight="1" x14ac:dyDescent="0.25"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</row>
    <row r="156" spans="15:54" ht="15.75" customHeight="1" x14ac:dyDescent="0.25"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</row>
    <row r="157" spans="15:54" ht="15.75" customHeight="1" x14ac:dyDescent="0.25"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</row>
    <row r="158" spans="15:54" ht="15.75" customHeight="1" x14ac:dyDescent="0.25"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</row>
    <row r="159" spans="15:54" ht="15.75" customHeight="1" x14ac:dyDescent="0.25"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</row>
    <row r="160" spans="15:54" ht="15.75" customHeight="1" x14ac:dyDescent="0.25"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</row>
    <row r="161" spans="15:54" ht="15.75" customHeight="1" x14ac:dyDescent="0.25"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</row>
    <row r="162" spans="15:54" ht="15.75" customHeight="1" x14ac:dyDescent="0.25"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</row>
    <row r="163" spans="15:54" ht="15.75" customHeight="1" x14ac:dyDescent="0.25"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</row>
    <row r="164" spans="15:54" ht="15.75" customHeight="1" x14ac:dyDescent="0.25"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</row>
    <row r="165" spans="15:54" ht="15.75" customHeight="1" x14ac:dyDescent="0.25"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</row>
    <row r="166" spans="15:54" ht="15.75" customHeight="1" x14ac:dyDescent="0.25"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</row>
    <row r="167" spans="15:54" ht="15.75" customHeight="1" x14ac:dyDescent="0.25"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</row>
    <row r="168" spans="15:54" ht="15.75" customHeight="1" x14ac:dyDescent="0.25"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</row>
    <row r="169" spans="15:54" ht="15.75" customHeight="1" x14ac:dyDescent="0.25"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</row>
    <row r="170" spans="15:54" ht="15.75" customHeight="1" x14ac:dyDescent="0.25"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</row>
    <row r="171" spans="15:54" ht="15.75" customHeight="1" x14ac:dyDescent="0.25"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</row>
    <row r="172" spans="15:54" ht="15.75" customHeight="1" x14ac:dyDescent="0.25"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</row>
    <row r="173" spans="15:54" ht="15.75" customHeight="1" x14ac:dyDescent="0.25"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</row>
    <row r="174" spans="15:54" ht="15.75" customHeight="1" x14ac:dyDescent="0.25"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</row>
    <row r="175" spans="15:54" ht="15.75" customHeight="1" x14ac:dyDescent="0.25"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</row>
    <row r="176" spans="15:54" ht="15.75" customHeight="1" x14ac:dyDescent="0.25"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</row>
    <row r="177" spans="15:54" ht="15.75" customHeight="1" x14ac:dyDescent="0.25"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</row>
    <row r="178" spans="15:54" ht="15.75" customHeight="1" x14ac:dyDescent="0.25"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</row>
    <row r="179" spans="15:54" ht="15.75" customHeight="1" x14ac:dyDescent="0.25"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</row>
    <row r="180" spans="15:54" ht="15.75" customHeight="1" x14ac:dyDescent="0.25"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</row>
    <row r="181" spans="15:54" ht="15.75" customHeight="1" x14ac:dyDescent="0.25"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</row>
    <row r="182" spans="15:54" ht="15.75" customHeight="1" x14ac:dyDescent="0.25"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</row>
    <row r="183" spans="15:54" ht="15.75" customHeight="1" x14ac:dyDescent="0.25"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</row>
    <row r="184" spans="15:54" ht="15.75" customHeight="1" x14ac:dyDescent="0.25"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</row>
    <row r="185" spans="15:54" ht="15.75" customHeight="1" x14ac:dyDescent="0.25"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</row>
    <row r="186" spans="15:54" ht="15.75" customHeight="1" x14ac:dyDescent="0.25"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</row>
    <row r="187" spans="15:54" ht="15.75" customHeight="1" x14ac:dyDescent="0.25"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</row>
    <row r="188" spans="15:54" ht="15.75" customHeight="1" x14ac:dyDescent="0.25"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</row>
    <row r="189" spans="15:54" ht="15.75" customHeight="1" x14ac:dyDescent="0.25"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</row>
    <row r="190" spans="15:54" ht="15.75" customHeight="1" x14ac:dyDescent="0.25"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</row>
    <row r="191" spans="15:54" ht="15.75" customHeight="1" x14ac:dyDescent="0.25"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</row>
    <row r="192" spans="15:54" ht="15.75" customHeight="1" x14ac:dyDescent="0.25"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</row>
    <row r="193" spans="15:54" ht="15.75" customHeight="1" x14ac:dyDescent="0.25"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</row>
    <row r="194" spans="15:54" ht="15.75" customHeight="1" x14ac:dyDescent="0.25"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</row>
    <row r="195" spans="15:54" ht="15.75" customHeight="1" x14ac:dyDescent="0.25"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</row>
    <row r="196" spans="15:54" ht="15.75" customHeight="1" x14ac:dyDescent="0.25"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</row>
    <row r="197" spans="15:54" ht="15.75" customHeight="1" x14ac:dyDescent="0.25"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</row>
    <row r="198" spans="15:54" ht="15.75" customHeight="1" x14ac:dyDescent="0.25"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</row>
    <row r="199" spans="15:54" ht="15.75" customHeight="1" x14ac:dyDescent="0.25"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</row>
    <row r="200" spans="15:54" ht="15.75" customHeight="1" x14ac:dyDescent="0.25"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</row>
    <row r="201" spans="15:54" ht="15.75" customHeight="1" x14ac:dyDescent="0.25"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</row>
    <row r="202" spans="15:54" ht="15.75" customHeight="1" x14ac:dyDescent="0.25"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</row>
    <row r="203" spans="15:54" ht="15.75" customHeight="1" x14ac:dyDescent="0.25"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</row>
    <row r="204" spans="15:54" ht="15.75" customHeight="1" x14ac:dyDescent="0.25"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</row>
    <row r="205" spans="15:54" ht="15.75" customHeight="1" x14ac:dyDescent="0.25"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</row>
    <row r="206" spans="15:54" ht="15.75" customHeight="1" x14ac:dyDescent="0.25"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</row>
    <row r="207" spans="15:54" ht="15.75" customHeight="1" x14ac:dyDescent="0.25"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</row>
    <row r="208" spans="15:54" ht="15.75" customHeight="1" x14ac:dyDescent="0.25"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</row>
    <row r="209" spans="15:54" ht="15.75" customHeight="1" x14ac:dyDescent="0.25"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</row>
    <row r="210" spans="15:54" ht="15.75" customHeight="1" x14ac:dyDescent="0.25"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</row>
    <row r="211" spans="15:54" ht="15.75" customHeight="1" x14ac:dyDescent="0.25"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</row>
    <row r="212" spans="15:54" ht="15.75" customHeight="1" x14ac:dyDescent="0.25"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</row>
    <row r="213" spans="15:54" ht="15.75" customHeight="1" x14ac:dyDescent="0.25"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</row>
    <row r="214" spans="15:54" ht="15.75" customHeight="1" x14ac:dyDescent="0.25"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</row>
    <row r="215" spans="15:54" ht="15.75" customHeight="1" x14ac:dyDescent="0.25"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</row>
    <row r="216" spans="15:54" ht="15.75" customHeight="1" x14ac:dyDescent="0.25"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</row>
    <row r="217" spans="15:54" ht="15.75" customHeight="1" x14ac:dyDescent="0.25"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</row>
    <row r="218" spans="15:54" ht="15.75" customHeight="1" x14ac:dyDescent="0.25"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</row>
    <row r="219" spans="15:54" ht="15.75" customHeight="1" x14ac:dyDescent="0.25"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</row>
    <row r="220" spans="15:54" ht="15.75" customHeight="1" x14ac:dyDescent="0.25"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</row>
    <row r="221" spans="15:54" ht="15.75" customHeight="1" x14ac:dyDescent="0.25"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</row>
    <row r="222" spans="15:54" ht="15.75" customHeight="1" x14ac:dyDescent="0.25"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</row>
    <row r="223" spans="15:54" ht="15.75" customHeight="1" x14ac:dyDescent="0.25"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</row>
    <row r="224" spans="15:54" ht="15.75" customHeight="1" x14ac:dyDescent="0.25"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</row>
    <row r="225" spans="15:54" ht="15.75" customHeight="1" x14ac:dyDescent="0.25"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</row>
    <row r="226" spans="15:54" ht="15.75" customHeight="1" x14ac:dyDescent="0.25"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</row>
    <row r="227" spans="15:54" ht="15.75" customHeight="1" x14ac:dyDescent="0.25"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</row>
    <row r="228" spans="15:54" ht="15.75" customHeight="1" x14ac:dyDescent="0.25"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</row>
    <row r="229" spans="15:54" ht="15.75" customHeight="1" x14ac:dyDescent="0.25"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</row>
    <row r="230" spans="15:54" ht="15.75" customHeight="1" x14ac:dyDescent="0.25"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</row>
    <row r="231" spans="15:54" ht="15.75" customHeight="1" x14ac:dyDescent="0.25"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</row>
    <row r="232" spans="15:54" ht="15.75" customHeight="1" x14ac:dyDescent="0.25"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</row>
    <row r="233" spans="15:54" ht="15.75" customHeight="1" x14ac:dyDescent="0.25"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</row>
    <row r="234" spans="15:54" ht="15.75" customHeight="1" x14ac:dyDescent="0.25"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</row>
    <row r="235" spans="15:54" ht="15.75" customHeight="1" x14ac:dyDescent="0.25"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</row>
    <row r="236" spans="15:54" ht="15.75" customHeight="1" x14ac:dyDescent="0.25"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</row>
    <row r="237" spans="15:54" ht="15.75" customHeight="1" x14ac:dyDescent="0.25"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</row>
    <row r="238" spans="15:54" ht="15.75" customHeight="1" x14ac:dyDescent="0.25"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</row>
    <row r="239" spans="15:54" ht="15.75" customHeight="1" x14ac:dyDescent="0.25"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</row>
    <row r="240" spans="15:54" ht="15.75" customHeight="1" x14ac:dyDescent="0.25"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</row>
    <row r="241" spans="15:54" ht="15.75" customHeight="1" x14ac:dyDescent="0.25"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</row>
    <row r="242" spans="15:54" ht="15.75" customHeight="1" x14ac:dyDescent="0.25"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</row>
    <row r="243" spans="15:54" ht="15.75" customHeight="1" x14ac:dyDescent="0.25"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</row>
    <row r="244" spans="15:54" ht="15.75" customHeight="1" x14ac:dyDescent="0.25"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</row>
    <row r="245" spans="15:54" ht="15.75" customHeight="1" x14ac:dyDescent="0.25"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</row>
    <row r="246" spans="15:54" ht="15.75" customHeight="1" x14ac:dyDescent="0.25"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</row>
    <row r="247" spans="15:54" ht="15.75" customHeight="1" x14ac:dyDescent="0.25"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</row>
    <row r="248" spans="15:54" ht="15.75" customHeight="1" x14ac:dyDescent="0.25"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</row>
    <row r="249" spans="15:54" ht="15.75" customHeight="1" x14ac:dyDescent="0.25"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</row>
    <row r="250" spans="15:54" ht="15.75" customHeight="1" x14ac:dyDescent="0.25"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</row>
    <row r="251" spans="15:54" ht="15.75" customHeight="1" x14ac:dyDescent="0.25"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</row>
    <row r="252" spans="15:54" ht="15.75" customHeight="1" x14ac:dyDescent="0.25"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</row>
    <row r="253" spans="15:54" ht="15.75" customHeight="1" x14ac:dyDescent="0.25"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</row>
    <row r="254" spans="15:54" ht="15.75" customHeight="1" x14ac:dyDescent="0.25"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</row>
    <row r="255" spans="15:54" ht="15.75" customHeight="1" x14ac:dyDescent="0.25"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</row>
    <row r="256" spans="15:54" ht="15.75" customHeight="1" x14ac:dyDescent="0.25"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</row>
    <row r="257" spans="15:54" ht="15.75" customHeight="1" x14ac:dyDescent="0.25"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</row>
    <row r="258" spans="15:54" ht="15.75" customHeight="1" x14ac:dyDescent="0.25"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</row>
    <row r="259" spans="15:54" ht="15.75" customHeight="1" x14ac:dyDescent="0.25"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</row>
    <row r="260" spans="15:54" ht="15.75" customHeight="1" x14ac:dyDescent="0.25"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</row>
    <row r="261" spans="15:54" ht="15.75" customHeight="1" x14ac:dyDescent="0.25"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</row>
    <row r="262" spans="15:54" ht="15.75" customHeight="1" x14ac:dyDescent="0.25"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</row>
    <row r="263" spans="15:54" ht="15.75" customHeight="1" x14ac:dyDescent="0.25"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</row>
    <row r="264" spans="15:54" ht="15.75" customHeight="1" x14ac:dyDescent="0.25"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</row>
    <row r="265" spans="15:54" ht="15.75" customHeight="1" x14ac:dyDescent="0.25"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</row>
    <row r="266" spans="15:54" ht="15.75" customHeight="1" x14ac:dyDescent="0.25"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</row>
    <row r="267" spans="15:54" ht="15.75" customHeight="1" x14ac:dyDescent="0.25"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</row>
    <row r="268" spans="15:54" ht="15.75" customHeight="1" x14ac:dyDescent="0.25"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</row>
    <row r="269" spans="15:54" ht="15.75" customHeight="1" x14ac:dyDescent="0.25"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</row>
    <row r="270" spans="15:54" ht="15.75" customHeight="1" x14ac:dyDescent="0.25"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</row>
    <row r="271" spans="15:54" ht="15.75" customHeight="1" x14ac:dyDescent="0.25"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</row>
    <row r="272" spans="15:54" ht="15.75" customHeight="1" x14ac:dyDescent="0.25"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</row>
    <row r="273" spans="15:54" ht="15.75" customHeight="1" x14ac:dyDescent="0.25"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</row>
    <row r="274" spans="15:54" ht="15.75" customHeight="1" x14ac:dyDescent="0.25"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</row>
    <row r="275" spans="15:54" ht="15.75" customHeight="1" x14ac:dyDescent="0.25"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</row>
    <row r="276" spans="15:54" ht="15.75" customHeight="1" x14ac:dyDescent="0.25"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</row>
    <row r="277" spans="15:54" ht="15.75" customHeight="1" x14ac:dyDescent="0.25"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</row>
    <row r="278" spans="15:54" ht="15.75" customHeight="1" x14ac:dyDescent="0.25"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</row>
    <row r="279" spans="15:54" ht="15.75" customHeight="1" x14ac:dyDescent="0.25"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</row>
    <row r="280" spans="15:54" ht="15.75" customHeight="1" x14ac:dyDescent="0.25"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</row>
    <row r="281" spans="15:54" ht="15.75" customHeight="1" x14ac:dyDescent="0.25"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</row>
    <row r="282" spans="15:54" ht="15.75" customHeight="1" x14ac:dyDescent="0.25"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</row>
    <row r="283" spans="15:54" ht="15.75" customHeight="1" x14ac:dyDescent="0.25"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</row>
    <row r="284" spans="15:54" ht="15.75" customHeight="1" x14ac:dyDescent="0.25"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</row>
    <row r="285" spans="15:54" ht="15.75" customHeight="1" x14ac:dyDescent="0.25"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</row>
    <row r="286" spans="15:54" ht="15.75" customHeight="1" x14ac:dyDescent="0.25"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</row>
    <row r="287" spans="15:54" ht="15.75" customHeight="1" x14ac:dyDescent="0.25"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</row>
    <row r="288" spans="15:54" ht="15.75" customHeight="1" x14ac:dyDescent="0.25"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</row>
    <row r="289" spans="15:54" ht="15.75" customHeight="1" x14ac:dyDescent="0.25"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</row>
    <row r="290" spans="15:54" ht="15.75" customHeight="1" x14ac:dyDescent="0.25"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</row>
    <row r="291" spans="15:54" ht="15.75" customHeight="1" x14ac:dyDescent="0.25"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</row>
    <row r="292" spans="15:54" ht="15.75" customHeight="1" x14ac:dyDescent="0.25"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</row>
    <row r="293" spans="15:54" ht="15.75" customHeight="1" x14ac:dyDescent="0.25"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</row>
    <row r="294" spans="15:54" ht="15.75" customHeight="1" x14ac:dyDescent="0.25"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</row>
    <row r="295" spans="15:54" ht="15.75" customHeight="1" x14ac:dyDescent="0.25"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</row>
    <row r="296" spans="15:54" ht="15.75" customHeight="1" x14ac:dyDescent="0.25"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</row>
    <row r="297" spans="15:54" ht="15.75" customHeight="1" x14ac:dyDescent="0.25"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</row>
    <row r="298" spans="15:54" ht="15.75" customHeight="1" x14ac:dyDescent="0.25"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</row>
    <row r="299" spans="15:54" ht="15.75" customHeight="1" x14ac:dyDescent="0.25"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</row>
    <row r="300" spans="15:54" ht="15.75" customHeight="1" x14ac:dyDescent="0.25"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</row>
    <row r="301" spans="15:54" ht="15.75" customHeight="1" x14ac:dyDescent="0.25"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</row>
    <row r="302" spans="15:54" ht="15.75" customHeight="1" x14ac:dyDescent="0.25"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</row>
    <row r="303" spans="15:54" ht="15.75" customHeight="1" x14ac:dyDescent="0.25"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</row>
    <row r="304" spans="15:54" ht="15.75" customHeight="1" x14ac:dyDescent="0.25"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</row>
    <row r="305" spans="15:54" ht="15.75" customHeight="1" x14ac:dyDescent="0.25"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</row>
    <row r="306" spans="15:54" ht="15.75" customHeight="1" x14ac:dyDescent="0.25"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</row>
    <row r="307" spans="15:54" ht="15.75" customHeight="1" x14ac:dyDescent="0.25"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</row>
    <row r="308" spans="15:54" ht="15.75" customHeight="1" x14ac:dyDescent="0.25"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</row>
    <row r="309" spans="15:54" ht="15.75" customHeight="1" x14ac:dyDescent="0.25"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</row>
    <row r="310" spans="15:54" ht="15.75" customHeight="1" x14ac:dyDescent="0.25"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</row>
    <row r="311" spans="15:54" ht="15.75" customHeight="1" x14ac:dyDescent="0.25"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</row>
    <row r="312" spans="15:54" ht="15.75" customHeight="1" x14ac:dyDescent="0.25"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</row>
    <row r="313" spans="15:54" ht="15.75" customHeight="1" x14ac:dyDescent="0.25"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</row>
    <row r="314" spans="15:54" ht="15.75" customHeight="1" x14ac:dyDescent="0.25"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</row>
    <row r="315" spans="15:54" ht="15.75" customHeight="1" x14ac:dyDescent="0.25"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</row>
    <row r="316" spans="15:54" ht="15.75" customHeight="1" x14ac:dyDescent="0.25"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</row>
    <row r="317" spans="15:54" ht="15.75" customHeight="1" x14ac:dyDescent="0.25"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</row>
    <row r="318" spans="15:54" ht="15.75" customHeight="1" x14ac:dyDescent="0.25"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</row>
    <row r="319" spans="15:54" ht="15.75" customHeight="1" x14ac:dyDescent="0.25"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</row>
    <row r="320" spans="15:54" ht="15.75" customHeight="1" x14ac:dyDescent="0.25"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</row>
    <row r="321" spans="15:54" ht="15.75" customHeight="1" x14ac:dyDescent="0.25"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</row>
    <row r="322" spans="15:54" ht="15.75" customHeight="1" x14ac:dyDescent="0.25"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</row>
    <row r="323" spans="15:54" ht="15.75" customHeight="1" x14ac:dyDescent="0.25"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</row>
    <row r="324" spans="15:54" ht="15.75" customHeight="1" x14ac:dyDescent="0.25"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</row>
    <row r="325" spans="15:54" ht="15.75" customHeight="1" x14ac:dyDescent="0.25"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</row>
    <row r="326" spans="15:54" ht="15.75" customHeight="1" x14ac:dyDescent="0.25"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</row>
    <row r="327" spans="15:54" ht="15.75" customHeight="1" x14ac:dyDescent="0.25"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</row>
    <row r="328" spans="15:54" ht="15.75" customHeight="1" x14ac:dyDescent="0.25"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</row>
    <row r="329" spans="15:54" ht="15.75" customHeight="1" x14ac:dyDescent="0.25"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</row>
    <row r="330" spans="15:54" ht="15.75" customHeight="1" x14ac:dyDescent="0.25"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</row>
    <row r="331" spans="15:54" ht="15.75" customHeight="1" x14ac:dyDescent="0.25"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</row>
    <row r="332" spans="15:54" ht="15.75" customHeight="1" x14ac:dyDescent="0.25"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</row>
    <row r="333" spans="15:54" ht="15.75" customHeight="1" x14ac:dyDescent="0.25"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</row>
    <row r="334" spans="15:54" ht="15.75" customHeight="1" x14ac:dyDescent="0.25"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</row>
    <row r="335" spans="15:54" ht="15.75" customHeight="1" x14ac:dyDescent="0.25"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</row>
    <row r="336" spans="15:54" ht="15.75" customHeight="1" x14ac:dyDescent="0.25"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</row>
    <row r="337" spans="15:54" ht="15.75" customHeight="1" x14ac:dyDescent="0.25"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</row>
    <row r="338" spans="15:54" ht="15.75" customHeight="1" x14ac:dyDescent="0.25"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</row>
    <row r="339" spans="15:54" ht="15.75" customHeight="1" x14ac:dyDescent="0.25"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</row>
    <row r="340" spans="15:54" ht="15.75" customHeight="1" x14ac:dyDescent="0.25"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</row>
    <row r="341" spans="15:54" ht="15.75" customHeight="1" x14ac:dyDescent="0.25"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</row>
    <row r="342" spans="15:54" ht="15.75" customHeight="1" x14ac:dyDescent="0.25"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</row>
    <row r="343" spans="15:54" ht="15.75" customHeight="1" x14ac:dyDescent="0.25"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</row>
    <row r="344" spans="15:54" ht="15.75" customHeight="1" x14ac:dyDescent="0.25"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</row>
    <row r="345" spans="15:54" ht="15.75" customHeight="1" x14ac:dyDescent="0.25"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</row>
    <row r="346" spans="15:54" ht="15.75" customHeight="1" x14ac:dyDescent="0.25"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</row>
    <row r="347" spans="15:54" ht="15.75" customHeight="1" x14ac:dyDescent="0.25"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</row>
    <row r="348" spans="15:54" ht="15.75" customHeight="1" x14ac:dyDescent="0.25"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</row>
    <row r="349" spans="15:54" ht="15.75" customHeight="1" x14ac:dyDescent="0.25"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</row>
    <row r="350" spans="15:54" ht="15.75" customHeight="1" x14ac:dyDescent="0.25"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</row>
    <row r="351" spans="15:54" ht="15.75" customHeight="1" x14ac:dyDescent="0.25"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</row>
    <row r="352" spans="15:54" ht="15.75" customHeight="1" x14ac:dyDescent="0.25"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</row>
    <row r="353" spans="15:54" ht="15.75" customHeight="1" x14ac:dyDescent="0.25"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</row>
    <row r="354" spans="15:54" ht="15.75" customHeight="1" x14ac:dyDescent="0.25"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</row>
    <row r="355" spans="15:54" ht="15.75" customHeight="1" x14ac:dyDescent="0.25"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</row>
    <row r="356" spans="15:54" ht="15.75" customHeight="1" x14ac:dyDescent="0.25"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</row>
    <row r="357" spans="15:54" ht="15.75" customHeight="1" x14ac:dyDescent="0.25"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</row>
    <row r="358" spans="15:54" ht="15.75" customHeight="1" x14ac:dyDescent="0.25"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</row>
    <row r="359" spans="15:54" ht="15.75" customHeight="1" x14ac:dyDescent="0.25"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</row>
    <row r="360" spans="15:54" ht="15.75" customHeight="1" x14ac:dyDescent="0.25"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</row>
    <row r="361" spans="15:54" ht="15.75" customHeight="1" x14ac:dyDescent="0.25"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</row>
    <row r="362" spans="15:54" ht="15.75" customHeight="1" x14ac:dyDescent="0.25"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</row>
    <row r="363" spans="15:54" ht="15.75" customHeight="1" x14ac:dyDescent="0.25"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</row>
    <row r="364" spans="15:54" ht="15.75" customHeight="1" x14ac:dyDescent="0.25"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</row>
    <row r="365" spans="15:54" ht="15.75" customHeight="1" x14ac:dyDescent="0.25"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</row>
    <row r="366" spans="15:54" ht="15.75" customHeight="1" x14ac:dyDescent="0.25"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</row>
    <row r="367" spans="15:54" ht="15.75" customHeight="1" x14ac:dyDescent="0.25"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</row>
    <row r="368" spans="15:54" ht="15.75" customHeight="1" x14ac:dyDescent="0.25"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</row>
    <row r="369" spans="15:54" ht="15.75" customHeight="1" x14ac:dyDescent="0.25"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</row>
    <row r="370" spans="15:54" ht="15.75" customHeight="1" x14ac:dyDescent="0.25"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</row>
    <row r="371" spans="15:54" ht="15.75" customHeight="1" x14ac:dyDescent="0.25"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</row>
    <row r="372" spans="15:54" ht="15.75" customHeight="1" x14ac:dyDescent="0.25"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</row>
    <row r="373" spans="15:54" ht="15.75" customHeight="1" x14ac:dyDescent="0.25"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</row>
    <row r="374" spans="15:54" ht="15.75" customHeight="1" x14ac:dyDescent="0.25"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</row>
    <row r="375" spans="15:54" ht="15.75" customHeight="1" x14ac:dyDescent="0.25"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</row>
    <row r="376" spans="15:54" ht="15.75" customHeight="1" x14ac:dyDescent="0.25"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</row>
    <row r="377" spans="15:54" ht="15.75" customHeight="1" x14ac:dyDescent="0.25"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</row>
    <row r="378" spans="15:54" ht="15.75" customHeight="1" x14ac:dyDescent="0.25"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</row>
    <row r="379" spans="15:54" ht="15.75" customHeight="1" x14ac:dyDescent="0.25"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</row>
    <row r="380" spans="15:54" ht="15.75" customHeight="1" x14ac:dyDescent="0.25"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</row>
    <row r="381" spans="15:54" ht="15.75" customHeight="1" x14ac:dyDescent="0.25"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</row>
    <row r="382" spans="15:54" ht="15.75" customHeight="1" x14ac:dyDescent="0.25"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</row>
    <row r="383" spans="15:54" ht="15.75" customHeight="1" x14ac:dyDescent="0.25"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</row>
    <row r="384" spans="15:54" ht="15.75" customHeight="1" x14ac:dyDescent="0.25"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</row>
    <row r="385" spans="15:54" ht="15.75" customHeight="1" x14ac:dyDescent="0.25"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</row>
    <row r="386" spans="15:54" ht="15.75" customHeight="1" x14ac:dyDescent="0.25"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</row>
    <row r="387" spans="15:54" ht="15.75" customHeight="1" x14ac:dyDescent="0.25"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</row>
    <row r="388" spans="15:54" ht="15.75" customHeight="1" x14ac:dyDescent="0.25"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</row>
    <row r="389" spans="15:54" ht="15.75" customHeight="1" x14ac:dyDescent="0.25"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</row>
    <row r="390" spans="15:54" ht="15.75" customHeight="1" x14ac:dyDescent="0.25"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</row>
    <row r="391" spans="15:54" ht="15.75" customHeight="1" x14ac:dyDescent="0.25"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</row>
    <row r="392" spans="15:54" ht="15.75" customHeight="1" x14ac:dyDescent="0.25"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</row>
    <row r="393" spans="15:54" ht="15.75" customHeight="1" x14ac:dyDescent="0.25"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</row>
    <row r="394" spans="15:54" ht="15.75" customHeight="1" x14ac:dyDescent="0.25"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</row>
    <row r="395" spans="15:54" ht="15.75" customHeight="1" x14ac:dyDescent="0.25"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</row>
    <row r="396" spans="15:54" ht="15.75" customHeight="1" x14ac:dyDescent="0.25"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</row>
    <row r="397" spans="15:54" ht="15.75" customHeight="1" x14ac:dyDescent="0.25"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</row>
    <row r="398" spans="15:54" ht="15.75" customHeight="1" x14ac:dyDescent="0.25"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</row>
    <row r="399" spans="15:54" ht="15.75" customHeight="1" x14ac:dyDescent="0.25"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</row>
    <row r="400" spans="15:54" ht="15.75" customHeight="1" x14ac:dyDescent="0.25"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</row>
    <row r="401" spans="15:54" ht="15.75" customHeight="1" x14ac:dyDescent="0.25"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</row>
    <row r="402" spans="15:54" ht="15.75" customHeight="1" x14ac:dyDescent="0.25"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</row>
    <row r="403" spans="15:54" ht="15.75" customHeight="1" x14ac:dyDescent="0.25"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</row>
    <row r="404" spans="15:54" ht="15.75" customHeight="1" x14ac:dyDescent="0.25"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</row>
    <row r="405" spans="15:54" ht="15.75" customHeight="1" x14ac:dyDescent="0.25"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</row>
    <row r="406" spans="15:54" ht="15.75" customHeight="1" x14ac:dyDescent="0.25"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</row>
    <row r="407" spans="15:54" ht="15.75" customHeight="1" x14ac:dyDescent="0.25"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</row>
    <row r="408" spans="15:54" ht="15.75" customHeight="1" x14ac:dyDescent="0.25"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</row>
    <row r="409" spans="15:54" ht="15.75" customHeight="1" x14ac:dyDescent="0.25"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</row>
    <row r="410" spans="15:54" ht="15.75" customHeight="1" x14ac:dyDescent="0.25"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</row>
    <row r="411" spans="15:54" ht="15.75" customHeight="1" x14ac:dyDescent="0.25"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</row>
    <row r="412" spans="15:54" ht="15.75" customHeight="1" x14ac:dyDescent="0.25"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</row>
    <row r="413" spans="15:54" ht="15.75" customHeight="1" x14ac:dyDescent="0.25"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</row>
    <row r="414" spans="15:54" ht="15.75" customHeight="1" x14ac:dyDescent="0.25"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</row>
    <row r="415" spans="15:54" ht="15.75" customHeight="1" x14ac:dyDescent="0.25"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</row>
    <row r="416" spans="15:54" ht="15.75" customHeight="1" x14ac:dyDescent="0.25"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</row>
    <row r="417" spans="15:54" ht="15.75" customHeight="1" x14ac:dyDescent="0.25"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</row>
    <row r="418" spans="15:54" ht="15.75" customHeight="1" x14ac:dyDescent="0.25"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</row>
    <row r="419" spans="15:54" ht="15.75" customHeight="1" x14ac:dyDescent="0.25"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</row>
    <row r="420" spans="15:54" ht="15.75" customHeight="1" x14ac:dyDescent="0.25"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</row>
    <row r="421" spans="15:54" ht="15.75" customHeight="1" x14ac:dyDescent="0.25"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</row>
    <row r="422" spans="15:54" ht="15.75" customHeight="1" x14ac:dyDescent="0.25"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</row>
    <row r="423" spans="15:54" ht="15.75" customHeight="1" x14ac:dyDescent="0.25"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</row>
    <row r="424" spans="15:54" ht="15.75" customHeight="1" x14ac:dyDescent="0.25"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</row>
    <row r="425" spans="15:54" ht="15.75" customHeight="1" x14ac:dyDescent="0.25"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</row>
    <row r="426" spans="15:54" ht="15.75" customHeight="1" x14ac:dyDescent="0.25"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</row>
    <row r="427" spans="15:54" ht="15.75" customHeight="1" x14ac:dyDescent="0.25"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</row>
    <row r="428" spans="15:54" ht="15.75" customHeight="1" x14ac:dyDescent="0.25"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</row>
    <row r="429" spans="15:54" ht="15.75" customHeight="1" x14ac:dyDescent="0.25"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</row>
    <row r="430" spans="15:54" ht="15.75" customHeight="1" x14ac:dyDescent="0.25"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</row>
    <row r="431" spans="15:54" ht="15.75" customHeight="1" x14ac:dyDescent="0.25"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</row>
    <row r="432" spans="15:54" ht="15.75" customHeight="1" x14ac:dyDescent="0.25"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</row>
    <row r="433" spans="15:54" ht="15.75" customHeight="1" x14ac:dyDescent="0.25"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</row>
    <row r="434" spans="15:54" ht="15.75" customHeight="1" x14ac:dyDescent="0.25"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</row>
    <row r="435" spans="15:54" ht="15.75" customHeight="1" x14ac:dyDescent="0.25"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</row>
    <row r="436" spans="15:54" ht="15.75" customHeight="1" x14ac:dyDescent="0.25"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</row>
    <row r="437" spans="15:54" ht="15.75" customHeight="1" x14ac:dyDescent="0.25"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</row>
    <row r="438" spans="15:54" ht="15.75" customHeight="1" x14ac:dyDescent="0.25"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</row>
    <row r="439" spans="15:54" ht="15.75" customHeight="1" x14ac:dyDescent="0.25"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</row>
    <row r="440" spans="15:54" ht="15.75" customHeight="1" x14ac:dyDescent="0.25"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</row>
    <row r="441" spans="15:54" ht="15.75" customHeight="1" x14ac:dyDescent="0.25"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</row>
    <row r="442" spans="15:54" ht="15.75" customHeight="1" x14ac:dyDescent="0.25"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</row>
    <row r="443" spans="15:54" ht="15.75" customHeight="1" x14ac:dyDescent="0.25"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</row>
    <row r="444" spans="15:54" ht="15.75" customHeight="1" x14ac:dyDescent="0.25"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</row>
    <row r="445" spans="15:54" ht="15.75" customHeight="1" x14ac:dyDescent="0.25"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</row>
    <row r="446" spans="15:54" ht="15.75" customHeight="1" x14ac:dyDescent="0.25"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</row>
    <row r="447" spans="15:54" ht="15.75" customHeight="1" x14ac:dyDescent="0.25"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</row>
    <row r="448" spans="15:54" ht="15.75" customHeight="1" x14ac:dyDescent="0.25"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</row>
    <row r="449" spans="15:54" ht="15.75" customHeight="1" x14ac:dyDescent="0.25"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</row>
    <row r="450" spans="15:54" ht="15.75" customHeight="1" x14ac:dyDescent="0.25"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</row>
    <row r="451" spans="15:54" ht="15.75" customHeight="1" x14ac:dyDescent="0.25"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</row>
    <row r="452" spans="15:54" ht="15.75" customHeight="1" x14ac:dyDescent="0.25"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</row>
    <row r="453" spans="15:54" ht="15.75" customHeight="1" x14ac:dyDescent="0.25"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</row>
    <row r="454" spans="15:54" ht="15.75" customHeight="1" x14ac:dyDescent="0.25"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</row>
    <row r="455" spans="15:54" ht="15.75" customHeight="1" x14ac:dyDescent="0.25"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</row>
    <row r="456" spans="15:54" ht="15.75" customHeight="1" x14ac:dyDescent="0.25"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</row>
    <row r="457" spans="15:54" ht="15.75" customHeight="1" x14ac:dyDescent="0.25"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</row>
    <row r="458" spans="15:54" ht="15.75" customHeight="1" x14ac:dyDescent="0.25"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</row>
    <row r="459" spans="15:54" ht="15.75" customHeight="1" x14ac:dyDescent="0.25"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</row>
    <row r="460" spans="15:54" ht="15.75" customHeight="1" x14ac:dyDescent="0.25"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</row>
    <row r="461" spans="15:54" ht="15.75" customHeight="1" x14ac:dyDescent="0.25"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</row>
    <row r="462" spans="15:54" ht="15.75" customHeight="1" x14ac:dyDescent="0.25"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</row>
    <row r="463" spans="15:54" ht="15.75" customHeight="1" x14ac:dyDescent="0.25"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</row>
    <row r="464" spans="15:54" ht="15.75" customHeight="1" x14ac:dyDescent="0.25"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</row>
    <row r="465" spans="15:54" ht="15.75" customHeight="1" x14ac:dyDescent="0.25"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</row>
    <row r="466" spans="15:54" ht="15.75" customHeight="1" x14ac:dyDescent="0.25"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</row>
    <row r="467" spans="15:54" ht="15.75" customHeight="1" x14ac:dyDescent="0.25"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</row>
    <row r="468" spans="15:54" ht="15.75" customHeight="1" x14ac:dyDescent="0.25"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</row>
    <row r="469" spans="15:54" ht="15.75" customHeight="1" x14ac:dyDescent="0.25"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</row>
    <row r="470" spans="15:54" ht="15.75" customHeight="1" x14ac:dyDescent="0.25"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</row>
    <row r="471" spans="15:54" ht="15.75" customHeight="1" x14ac:dyDescent="0.25"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</row>
    <row r="472" spans="15:54" ht="15.75" customHeight="1" x14ac:dyDescent="0.25"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</row>
    <row r="473" spans="15:54" ht="15.75" customHeight="1" x14ac:dyDescent="0.25"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</row>
    <row r="474" spans="15:54" ht="15.75" customHeight="1" x14ac:dyDescent="0.25"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</row>
    <row r="475" spans="15:54" ht="15.75" customHeight="1" x14ac:dyDescent="0.25"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</row>
    <row r="476" spans="15:54" ht="15.75" customHeight="1" x14ac:dyDescent="0.25"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</row>
    <row r="477" spans="15:54" ht="15.75" customHeight="1" x14ac:dyDescent="0.25"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</row>
    <row r="478" spans="15:54" ht="15.75" customHeight="1" x14ac:dyDescent="0.25"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</row>
    <row r="479" spans="15:54" ht="15.75" customHeight="1" x14ac:dyDescent="0.25"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</row>
    <row r="480" spans="15:54" ht="15.75" customHeight="1" x14ac:dyDescent="0.25"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</row>
    <row r="481" spans="15:54" ht="15.75" customHeight="1" x14ac:dyDescent="0.25"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</row>
    <row r="482" spans="15:54" ht="15.75" customHeight="1" x14ac:dyDescent="0.25"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</row>
    <row r="483" spans="15:54" ht="15.75" customHeight="1" x14ac:dyDescent="0.25"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</row>
    <row r="484" spans="15:54" ht="15.75" customHeight="1" x14ac:dyDescent="0.25"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</row>
    <row r="485" spans="15:54" ht="15.75" customHeight="1" x14ac:dyDescent="0.25"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</row>
    <row r="486" spans="15:54" ht="15.75" customHeight="1" x14ac:dyDescent="0.25"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</row>
    <row r="487" spans="15:54" ht="15.75" customHeight="1" x14ac:dyDescent="0.25"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</row>
    <row r="488" spans="15:54" ht="15.75" customHeight="1" x14ac:dyDescent="0.25"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</row>
    <row r="489" spans="15:54" ht="15.75" customHeight="1" x14ac:dyDescent="0.25"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</row>
    <row r="490" spans="15:54" ht="15.75" customHeight="1" x14ac:dyDescent="0.25"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</row>
    <row r="491" spans="15:54" ht="15.75" customHeight="1" x14ac:dyDescent="0.25"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</row>
    <row r="492" spans="15:54" ht="15.75" customHeight="1" x14ac:dyDescent="0.25"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</row>
    <row r="493" spans="15:54" ht="15.75" customHeight="1" x14ac:dyDescent="0.25"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</row>
    <row r="494" spans="15:54" ht="15.75" customHeight="1" x14ac:dyDescent="0.25"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</row>
    <row r="495" spans="15:54" ht="15.75" customHeight="1" x14ac:dyDescent="0.25"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</row>
    <row r="496" spans="15:54" ht="15.75" customHeight="1" x14ac:dyDescent="0.25"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</row>
    <row r="497" spans="15:54" ht="15.75" customHeight="1" x14ac:dyDescent="0.25"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</row>
    <row r="498" spans="15:54" ht="15.75" customHeight="1" x14ac:dyDescent="0.25"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</row>
    <row r="499" spans="15:54" ht="15.75" customHeight="1" x14ac:dyDescent="0.25"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</row>
    <row r="500" spans="15:54" ht="15.75" customHeight="1" x14ac:dyDescent="0.25"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</row>
    <row r="501" spans="15:54" ht="15.75" customHeight="1" x14ac:dyDescent="0.25"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</row>
    <row r="502" spans="15:54" ht="15.75" customHeight="1" x14ac:dyDescent="0.25"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</row>
    <row r="503" spans="15:54" ht="15.75" customHeight="1" x14ac:dyDescent="0.25"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</row>
    <row r="504" spans="15:54" ht="15.75" customHeight="1" x14ac:dyDescent="0.25"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</row>
    <row r="505" spans="15:54" ht="15.75" customHeight="1" x14ac:dyDescent="0.25"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</row>
    <row r="506" spans="15:54" ht="15.75" customHeight="1" x14ac:dyDescent="0.25"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</row>
    <row r="507" spans="15:54" ht="15.75" customHeight="1" x14ac:dyDescent="0.25"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</row>
    <row r="508" spans="15:54" ht="15.75" customHeight="1" x14ac:dyDescent="0.25"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</row>
    <row r="509" spans="15:54" ht="15.75" customHeight="1" x14ac:dyDescent="0.25"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</row>
    <row r="510" spans="15:54" ht="15.75" customHeight="1" x14ac:dyDescent="0.25"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</row>
    <row r="511" spans="15:54" ht="15.75" customHeight="1" x14ac:dyDescent="0.25"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</row>
    <row r="512" spans="15:54" ht="15.75" customHeight="1" x14ac:dyDescent="0.25"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</row>
    <row r="513" spans="15:54" ht="15.75" customHeight="1" x14ac:dyDescent="0.25"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</row>
    <row r="514" spans="15:54" ht="15.75" customHeight="1" x14ac:dyDescent="0.25"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</row>
    <row r="515" spans="15:54" ht="15.75" customHeight="1" x14ac:dyDescent="0.25"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</row>
    <row r="516" spans="15:54" ht="15.75" customHeight="1" x14ac:dyDescent="0.25"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</row>
    <row r="517" spans="15:54" ht="15.75" customHeight="1" x14ac:dyDescent="0.25"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</row>
    <row r="518" spans="15:54" ht="15.75" customHeight="1" x14ac:dyDescent="0.25"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</row>
    <row r="519" spans="15:54" ht="15.75" customHeight="1" x14ac:dyDescent="0.25"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</row>
    <row r="520" spans="15:54" ht="15.75" customHeight="1" x14ac:dyDescent="0.25"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</row>
    <row r="521" spans="15:54" ht="15.75" customHeight="1" x14ac:dyDescent="0.25"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</row>
    <row r="522" spans="15:54" ht="15.75" customHeight="1" x14ac:dyDescent="0.25"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</row>
    <row r="523" spans="15:54" ht="15.75" customHeight="1" x14ac:dyDescent="0.25"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</row>
    <row r="524" spans="15:54" ht="15.75" customHeight="1" x14ac:dyDescent="0.25"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</row>
    <row r="525" spans="15:54" ht="15.75" customHeight="1" x14ac:dyDescent="0.25"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</row>
    <row r="526" spans="15:54" ht="15.75" customHeight="1" x14ac:dyDescent="0.25"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</row>
    <row r="527" spans="15:54" ht="15.75" customHeight="1" x14ac:dyDescent="0.25"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</row>
    <row r="528" spans="15:54" ht="15.75" customHeight="1" x14ac:dyDescent="0.25"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</row>
    <row r="529" spans="15:54" ht="15.75" customHeight="1" x14ac:dyDescent="0.25"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</row>
    <row r="530" spans="15:54" ht="15.75" customHeight="1" x14ac:dyDescent="0.25"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</row>
    <row r="531" spans="15:54" ht="15.75" customHeight="1" x14ac:dyDescent="0.25"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</row>
    <row r="532" spans="15:54" ht="15.75" customHeight="1" x14ac:dyDescent="0.25"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</row>
    <row r="533" spans="15:54" ht="15.75" customHeight="1" x14ac:dyDescent="0.25"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</row>
    <row r="534" spans="15:54" ht="15.75" customHeight="1" x14ac:dyDescent="0.25"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</row>
    <row r="535" spans="15:54" ht="15.75" customHeight="1" x14ac:dyDescent="0.25"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</row>
    <row r="536" spans="15:54" ht="15.75" customHeight="1" x14ac:dyDescent="0.25"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</row>
    <row r="537" spans="15:54" ht="15.75" customHeight="1" x14ac:dyDescent="0.25"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</row>
    <row r="538" spans="15:54" ht="15.75" customHeight="1" x14ac:dyDescent="0.25"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</row>
    <row r="539" spans="15:54" ht="15.75" customHeight="1" x14ac:dyDescent="0.25"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</row>
    <row r="540" spans="15:54" ht="15.75" customHeight="1" x14ac:dyDescent="0.25"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</row>
    <row r="541" spans="15:54" ht="15.75" customHeight="1" x14ac:dyDescent="0.25"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</row>
    <row r="542" spans="15:54" ht="15.75" customHeight="1" x14ac:dyDescent="0.25"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</row>
    <row r="543" spans="15:54" ht="15.75" customHeight="1" x14ac:dyDescent="0.25"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</row>
    <row r="544" spans="15:54" ht="15.75" customHeight="1" x14ac:dyDescent="0.25"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</row>
    <row r="545" spans="15:54" ht="15.75" customHeight="1" x14ac:dyDescent="0.25"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</row>
    <row r="546" spans="15:54" ht="15.75" customHeight="1" x14ac:dyDescent="0.25"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</row>
    <row r="547" spans="15:54" ht="15.75" customHeight="1" x14ac:dyDescent="0.25"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</row>
    <row r="548" spans="15:54" ht="15.75" customHeight="1" x14ac:dyDescent="0.25"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</row>
    <row r="549" spans="15:54" ht="15.75" customHeight="1" x14ac:dyDescent="0.25"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</row>
    <row r="550" spans="15:54" ht="15.75" customHeight="1" x14ac:dyDescent="0.25"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</row>
    <row r="551" spans="15:54" ht="15.75" customHeight="1" x14ac:dyDescent="0.25"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</row>
    <row r="552" spans="15:54" ht="15.75" customHeight="1" x14ac:dyDescent="0.25"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</row>
    <row r="553" spans="15:54" ht="15.75" customHeight="1" x14ac:dyDescent="0.25"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</row>
    <row r="554" spans="15:54" ht="15.75" customHeight="1" x14ac:dyDescent="0.25"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</row>
    <row r="555" spans="15:54" ht="15.75" customHeight="1" x14ac:dyDescent="0.25"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</row>
    <row r="556" spans="15:54" ht="15.75" customHeight="1" x14ac:dyDescent="0.25"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</row>
    <row r="557" spans="15:54" ht="15.75" customHeight="1" x14ac:dyDescent="0.25"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</row>
    <row r="558" spans="15:54" ht="15.75" customHeight="1" x14ac:dyDescent="0.25"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</row>
    <row r="559" spans="15:54" ht="15.75" customHeight="1" x14ac:dyDescent="0.25"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</row>
    <row r="560" spans="15:54" ht="15.75" customHeight="1" x14ac:dyDescent="0.25"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</row>
    <row r="561" spans="15:54" ht="15.75" customHeight="1" x14ac:dyDescent="0.25"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</row>
    <row r="562" spans="15:54" ht="15.75" customHeight="1" x14ac:dyDescent="0.25"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</row>
    <row r="563" spans="15:54" ht="15.75" customHeight="1" x14ac:dyDescent="0.25"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</row>
    <row r="564" spans="15:54" ht="15.75" customHeight="1" x14ac:dyDescent="0.25"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</row>
    <row r="565" spans="15:54" ht="15.75" customHeight="1" x14ac:dyDescent="0.25"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</row>
    <row r="566" spans="15:54" ht="15.75" customHeight="1" x14ac:dyDescent="0.25"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</row>
    <row r="567" spans="15:54" ht="15.75" customHeight="1" x14ac:dyDescent="0.25"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</row>
    <row r="568" spans="15:54" ht="15.75" customHeight="1" x14ac:dyDescent="0.25"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</row>
    <row r="569" spans="15:54" ht="15.75" customHeight="1" x14ac:dyDescent="0.25"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</row>
    <row r="570" spans="15:54" ht="15.75" customHeight="1" x14ac:dyDescent="0.25"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</row>
    <row r="571" spans="15:54" ht="15.75" customHeight="1" x14ac:dyDescent="0.25"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</row>
    <row r="572" spans="15:54" ht="15.75" customHeight="1" x14ac:dyDescent="0.25"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</row>
    <row r="573" spans="15:54" ht="15.75" customHeight="1" x14ac:dyDescent="0.25"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</row>
    <row r="574" spans="15:54" ht="15.75" customHeight="1" x14ac:dyDescent="0.25"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</row>
    <row r="575" spans="15:54" ht="15.75" customHeight="1" x14ac:dyDescent="0.25"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</row>
    <row r="576" spans="15:54" ht="15.75" customHeight="1" x14ac:dyDescent="0.25"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</row>
    <row r="577" spans="15:54" ht="15.75" customHeight="1" x14ac:dyDescent="0.25"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</row>
    <row r="578" spans="15:54" ht="15.75" customHeight="1" x14ac:dyDescent="0.25"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</row>
    <row r="579" spans="15:54" ht="15.75" customHeight="1" x14ac:dyDescent="0.25"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</row>
    <row r="580" spans="15:54" ht="15.75" customHeight="1" x14ac:dyDescent="0.25"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</row>
    <row r="581" spans="15:54" ht="15.75" customHeight="1" x14ac:dyDescent="0.25"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</row>
    <row r="582" spans="15:54" ht="15.75" customHeight="1" x14ac:dyDescent="0.25"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</row>
    <row r="583" spans="15:54" ht="15.75" customHeight="1" x14ac:dyDescent="0.25"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</row>
    <row r="584" spans="15:54" ht="15.75" customHeight="1" x14ac:dyDescent="0.25"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</row>
    <row r="585" spans="15:54" ht="15.75" customHeight="1" x14ac:dyDescent="0.25"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</row>
    <row r="586" spans="15:54" ht="15.75" customHeight="1" x14ac:dyDescent="0.25"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</row>
    <row r="587" spans="15:54" ht="15.75" customHeight="1" x14ac:dyDescent="0.25"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</row>
    <row r="588" spans="15:54" ht="15.75" customHeight="1" x14ac:dyDescent="0.25"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</row>
    <row r="589" spans="15:54" ht="15.75" customHeight="1" x14ac:dyDescent="0.25"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</row>
    <row r="590" spans="15:54" ht="15.75" customHeight="1" x14ac:dyDescent="0.25"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</row>
    <row r="591" spans="15:54" ht="15.75" customHeight="1" x14ac:dyDescent="0.25"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</row>
    <row r="592" spans="15:54" ht="15.75" customHeight="1" x14ac:dyDescent="0.25"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</row>
    <row r="593" spans="15:54" ht="15.75" customHeight="1" x14ac:dyDescent="0.25"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</row>
    <row r="594" spans="15:54" ht="15.75" customHeight="1" x14ac:dyDescent="0.25"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</row>
    <row r="595" spans="15:54" ht="15.75" customHeight="1" x14ac:dyDescent="0.25"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</row>
    <row r="596" spans="15:54" ht="15.75" customHeight="1" x14ac:dyDescent="0.25"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</row>
    <row r="597" spans="15:54" ht="15.75" customHeight="1" x14ac:dyDescent="0.25"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</row>
    <row r="598" spans="15:54" ht="15.75" customHeight="1" x14ac:dyDescent="0.25"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</row>
    <row r="599" spans="15:54" ht="15.75" customHeight="1" x14ac:dyDescent="0.25"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</row>
    <row r="600" spans="15:54" ht="15.75" customHeight="1" x14ac:dyDescent="0.25"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</row>
    <row r="601" spans="15:54" ht="15.75" customHeight="1" x14ac:dyDescent="0.25"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</row>
    <row r="602" spans="15:54" ht="15.75" customHeight="1" x14ac:dyDescent="0.25"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</row>
    <row r="603" spans="15:54" ht="15.75" customHeight="1" x14ac:dyDescent="0.25"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</row>
    <row r="604" spans="15:54" ht="15.75" customHeight="1" x14ac:dyDescent="0.25"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</row>
    <row r="605" spans="15:54" ht="15.75" customHeight="1" x14ac:dyDescent="0.25"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</row>
    <row r="606" spans="15:54" ht="15.75" customHeight="1" x14ac:dyDescent="0.25"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</row>
    <row r="607" spans="15:54" ht="15.75" customHeight="1" x14ac:dyDescent="0.25"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</row>
    <row r="608" spans="15:54" ht="15.75" customHeight="1" x14ac:dyDescent="0.25"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</row>
    <row r="609" spans="15:54" ht="15.75" customHeight="1" x14ac:dyDescent="0.25"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</row>
    <row r="610" spans="15:54" ht="15.75" customHeight="1" x14ac:dyDescent="0.25"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</row>
    <row r="611" spans="15:54" ht="15.75" customHeight="1" x14ac:dyDescent="0.25"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</row>
    <row r="612" spans="15:54" ht="15.75" customHeight="1" x14ac:dyDescent="0.25"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</row>
    <row r="613" spans="15:54" ht="15.75" customHeight="1" x14ac:dyDescent="0.25"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</row>
    <row r="614" spans="15:54" ht="15.75" customHeight="1" x14ac:dyDescent="0.25"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</row>
    <row r="615" spans="15:54" ht="15.75" customHeight="1" x14ac:dyDescent="0.25"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</row>
    <row r="616" spans="15:54" ht="15.75" customHeight="1" x14ac:dyDescent="0.25"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</row>
    <row r="617" spans="15:54" ht="15.75" customHeight="1" x14ac:dyDescent="0.25"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</row>
    <row r="618" spans="15:54" ht="15.75" customHeight="1" x14ac:dyDescent="0.25"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</row>
    <row r="619" spans="15:54" ht="15.75" customHeight="1" x14ac:dyDescent="0.25"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</row>
    <row r="620" spans="15:54" ht="15.75" customHeight="1" x14ac:dyDescent="0.25"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</row>
    <row r="621" spans="15:54" ht="15.75" customHeight="1" x14ac:dyDescent="0.25"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</row>
    <row r="622" spans="15:54" ht="15.75" customHeight="1" x14ac:dyDescent="0.25"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</row>
    <row r="623" spans="15:54" ht="15.75" customHeight="1" x14ac:dyDescent="0.25"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</row>
    <row r="624" spans="15:54" ht="15.75" customHeight="1" x14ac:dyDescent="0.25"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</row>
    <row r="625" spans="15:54" ht="15.75" customHeight="1" x14ac:dyDescent="0.25"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</row>
    <row r="626" spans="15:54" ht="15.75" customHeight="1" x14ac:dyDescent="0.25"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</row>
    <row r="627" spans="15:54" ht="15.75" customHeight="1" x14ac:dyDescent="0.25"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</row>
    <row r="628" spans="15:54" ht="15.75" customHeight="1" x14ac:dyDescent="0.25"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</row>
    <row r="629" spans="15:54" ht="15.75" customHeight="1" x14ac:dyDescent="0.25"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</row>
    <row r="630" spans="15:54" ht="15.75" customHeight="1" x14ac:dyDescent="0.25"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</row>
    <row r="631" spans="15:54" ht="15.75" customHeight="1" x14ac:dyDescent="0.25"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</row>
    <row r="632" spans="15:54" ht="15.75" customHeight="1" x14ac:dyDescent="0.25"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</row>
    <row r="633" spans="15:54" ht="15.75" customHeight="1" x14ac:dyDescent="0.25"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</row>
    <row r="634" spans="15:54" ht="15.75" customHeight="1" x14ac:dyDescent="0.25"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</row>
    <row r="635" spans="15:54" ht="15.75" customHeight="1" x14ac:dyDescent="0.25"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</row>
    <row r="636" spans="15:54" ht="15.75" customHeight="1" x14ac:dyDescent="0.25"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</row>
    <row r="637" spans="15:54" ht="15.75" customHeight="1" x14ac:dyDescent="0.25"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</row>
    <row r="638" spans="15:54" ht="15.75" customHeight="1" x14ac:dyDescent="0.25"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</row>
    <row r="639" spans="15:54" ht="15.75" customHeight="1" x14ac:dyDescent="0.25"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</row>
    <row r="640" spans="15:54" ht="15.75" customHeight="1" x14ac:dyDescent="0.25"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</row>
    <row r="641" spans="15:54" ht="15.75" customHeight="1" x14ac:dyDescent="0.25"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</row>
    <row r="642" spans="15:54" ht="15.75" customHeight="1" x14ac:dyDescent="0.25"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</row>
    <row r="643" spans="15:54" ht="15.75" customHeight="1" x14ac:dyDescent="0.25"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</row>
    <row r="644" spans="15:54" ht="15.75" customHeight="1" x14ac:dyDescent="0.25"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</row>
    <row r="645" spans="15:54" ht="15.75" customHeight="1" x14ac:dyDescent="0.25"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</row>
    <row r="646" spans="15:54" ht="15.75" customHeight="1" x14ac:dyDescent="0.25"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</row>
    <row r="647" spans="15:54" ht="15.75" customHeight="1" x14ac:dyDescent="0.25"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</row>
    <row r="648" spans="15:54" ht="15.75" customHeight="1" x14ac:dyDescent="0.25"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</row>
    <row r="649" spans="15:54" ht="15.75" customHeight="1" x14ac:dyDescent="0.25"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</row>
    <row r="650" spans="15:54" ht="15.75" customHeight="1" x14ac:dyDescent="0.25"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</row>
    <row r="651" spans="15:54" ht="15.75" customHeight="1" x14ac:dyDescent="0.25"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</row>
    <row r="652" spans="15:54" ht="15.75" customHeight="1" x14ac:dyDescent="0.25"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</row>
    <row r="653" spans="15:54" ht="15.75" customHeight="1" x14ac:dyDescent="0.25"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</row>
    <row r="654" spans="15:54" ht="15.75" customHeight="1" x14ac:dyDescent="0.25"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</row>
    <row r="655" spans="15:54" ht="15.75" customHeight="1" x14ac:dyDescent="0.25"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</row>
    <row r="656" spans="15:54" ht="15.75" customHeight="1" x14ac:dyDescent="0.25"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</row>
    <row r="657" spans="15:54" ht="15.75" customHeight="1" x14ac:dyDescent="0.25"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</row>
    <row r="658" spans="15:54" ht="15.75" customHeight="1" x14ac:dyDescent="0.25"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</row>
    <row r="659" spans="15:54" ht="15.75" customHeight="1" x14ac:dyDescent="0.25"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</row>
    <row r="660" spans="15:54" ht="15.75" customHeight="1" x14ac:dyDescent="0.25"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</row>
    <row r="661" spans="15:54" ht="15.75" customHeight="1" x14ac:dyDescent="0.25"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</row>
    <row r="662" spans="15:54" ht="15.75" customHeight="1" x14ac:dyDescent="0.25"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</row>
    <row r="663" spans="15:54" ht="15.75" customHeight="1" x14ac:dyDescent="0.25"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</row>
    <row r="664" spans="15:54" ht="15.75" customHeight="1" x14ac:dyDescent="0.25"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</row>
    <row r="665" spans="15:54" ht="15.75" customHeight="1" x14ac:dyDescent="0.25"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</row>
    <row r="666" spans="15:54" ht="15.75" customHeight="1" x14ac:dyDescent="0.25"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</row>
    <row r="667" spans="15:54" ht="15.75" customHeight="1" x14ac:dyDescent="0.25"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</row>
    <row r="668" spans="15:54" ht="15.75" customHeight="1" x14ac:dyDescent="0.25"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</row>
    <row r="669" spans="15:54" ht="15.75" customHeight="1" x14ac:dyDescent="0.25"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</row>
    <row r="670" spans="15:54" ht="15.75" customHeight="1" x14ac:dyDescent="0.25"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</row>
    <row r="671" spans="15:54" ht="15.75" customHeight="1" x14ac:dyDescent="0.25"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</row>
    <row r="672" spans="15:54" ht="15.75" customHeight="1" x14ac:dyDescent="0.25"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</row>
    <row r="673" spans="15:54" ht="15.75" customHeight="1" x14ac:dyDescent="0.25"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</row>
    <row r="674" spans="15:54" ht="15.75" customHeight="1" x14ac:dyDescent="0.25"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</row>
    <row r="675" spans="15:54" ht="15.75" customHeight="1" x14ac:dyDescent="0.25"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</row>
    <row r="676" spans="15:54" ht="15.75" customHeight="1" x14ac:dyDescent="0.25"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</row>
    <row r="677" spans="15:54" ht="15.75" customHeight="1" x14ac:dyDescent="0.25"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</row>
    <row r="678" spans="15:54" ht="15.75" customHeight="1" x14ac:dyDescent="0.25"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</row>
    <row r="679" spans="15:54" ht="15.75" customHeight="1" x14ac:dyDescent="0.25"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</row>
    <row r="680" spans="15:54" ht="15.75" customHeight="1" x14ac:dyDescent="0.25"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</row>
    <row r="681" spans="15:54" ht="15.75" customHeight="1" x14ac:dyDescent="0.25"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</row>
    <row r="682" spans="15:54" ht="15.75" customHeight="1" x14ac:dyDescent="0.25"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</row>
    <row r="683" spans="15:54" ht="15.75" customHeight="1" x14ac:dyDescent="0.25"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</row>
    <row r="684" spans="15:54" ht="15.75" customHeight="1" x14ac:dyDescent="0.25"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</row>
    <row r="685" spans="15:54" ht="15.75" customHeight="1" x14ac:dyDescent="0.25"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</row>
    <row r="686" spans="15:54" ht="15.75" customHeight="1" x14ac:dyDescent="0.25"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</row>
    <row r="687" spans="15:54" ht="15.75" customHeight="1" x14ac:dyDescent="0.25"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</row>
    <row r="688" spans="15:54" ht="15.75" customHeight="1" x14ac:dyDescent="0.25"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</row>
    <row r="689" spans="15:54" ht="15.75" customHeight="1" x14ac:dyDescent="0.25"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</row>
    <row r="690" spans="15:54" ht="15.75" customHeight="1" x14ac:dyDescent="0.25"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</row>
    <row r="691" spans="15:54" ht="15.75" customHeight="1" x14ac:dyDescent="0.25"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</row>
    <row r="692" spans="15:54" ht="15.75" customHeight="1" x14ac:dyDescent="0.25"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</row>
    <row r="693" spans="15:54" ht="15.75" customHeight="1" x14ac:dyDescent="0.25"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</row>
    <row r="694" spans="15:54" ht="15.75" customHeight="1" x14ac:dyDescent="0.25"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</row>
    <row r="695" spans="15:54" ht="15.75" customHeight="1" x14ac:dyDescent="0.25"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</row>
    <row r="696" spans="15:54" ht="15.75" customHeight="1" x14ac:dyDescent="0.25"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</row>
    <row r="697" spans="15:54" ht="15.75" customHeight="1" x14ac:dyDescent="0.25"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</row>
    <row r="698" spans="15:54" ht="15.75" customHeight="1" x14ac:dyDescent="0.25"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</row>
    <row r="699" spans="15:54" ht="15.75" customHeight="1" x14ac:dyDescent="0.25"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</row>
    <row r="700" spans="15:54" ht="15.75" customHeight="1" x14ac:dyDescent="0.25"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</row>
    <row r="701" spans="15:54" ht="15.75" customHeight="1" x14ac:dyDescent="0.25"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</row>
    <row r="702" spans="15:54" ht="15.75" customHeight="1" x14ac:dyDescent="0.25"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</row>
    <row r="703" spans="15:54" ht="15.75" customHeight="1" x14ac:dyDescent="0.25"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</row>
    <row r="704" spans="15:54" ht="15.75" customHeight="1" x14ac:dyDescent="0.25"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</row>
    <row r="705" spans="15:54" ht="15.75" customHeight="1" x14ac:dyDescent="0.25"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</row>
    <row r="706" spans="15:54" ht="15.75" customHeight="1" x14ac:dyDescent="0.25"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</row>
    <row r="707" spans="15:54" ht="15.75" customHeight="1" x14ac:dyDescent="0.25"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</row>
    <row r="708" spans="15:54" ht="15.75" customHeight="1" x14ac:dyDescent="0.25"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</row>
    <row r="709" spans="15:54" ht="15.75" customHeight="1" x14ac:dyDescent="0.25"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</row>
    <row r="710" spans="15:54" ht="15.75" customHeight="1" x14ac:dyDescent="0.25"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</row>
    <row r="711" spans="15:54" ht="15.75" customHeight="1" x14ac:dyDescent="0.25"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</row>
    <row r="712" spans="15:54" ht="15.75" customHeight="1" x14ac:dyDescent="0.25"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</row>
    <row r="713" spans="15:54" ht="15.75" customHeight="1" x14ac:dyDescent="0.25"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</row>
    <row r="714" spans="15:54" ht="15.75" customHeight="1" x14ac:dyDescent="0.25"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</row>
    <row r="715" spans="15:54" ht="15.75" customHeight="1" x14ac:dyDescent="0.25"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</row>
    <row r="716" spans="15:54" ht="15.75" customHeight="1" x14ac:dyDescent="0.25"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</row>
    <row r="717" spans="15:54" ht="15.75" customHeight="1" x14ac:dyDescent="0.25"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</row>
    <row r="718" spans="15:54" ht="15.75" customHeight="1" x14ac:dyDescent="0.25"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</row>
    <row r="719" spans="15:54" ht="15.75" customHeight="1" x14ac:dyDescent="0.25"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</row>
    <row r="720" spans="15:54" ht="15.75" customHeight="1" x14ac:dyDescent="0.25"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</row>
    <row r="721" spans="15:54" ht="15.75" customHeight="1" x14ac:dyDescent="0.25"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</row>
    <row r="722" spans="15:54" ht="15.75" customHeight="1" x14ac:dyDescent="0.25"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</row>
    <row r="723" spans="15:54" ht="15.75" customHeight="1" x14ac:dyDescent="0.25"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</row>
    <row r="724" spans="15:54" ht="15.75" customHeight="1" x14ac:dyDescent="0.25"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</row>
    <row r="725" spans="15:54" ht="15.75" customHeight="1" x14ac:dyDescent="0.25"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</row>
    <row r="726" spans="15:54" ht="15.75" customHeight="1" x14ac:dyDescent="0.25"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</row>
    <row r="727" spans="15:54" ht="15.75" customHeight="1" x14ac:dyDescent="0.25"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</row>
    <row r="728" spans="15:54" ht="15.75" customHeight="1" x14ac:dyDescent="0.25"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</row>
    <row r="729" spans="15:54" ht="15.75" customHeight="1" x14ac:dyDescent="0.25"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</row>
    <row r="730" spans="15:54" ht="15.75" customHeight="1" x14ac:dyDescent="0.25"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</row>
    <row r="731" spans="15:54" ht="15.75" customHeight="1" x14ac:dyDescent="0.25"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</row>
    <row r="732" spans="15:54" ht="15.75" customHeight="1" x14ac:dyDescent="0.25"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</row>
    <row r="733" spans="15:54" ht="15.75" customHeight="1" x14ac:dyDescent="0.25"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</row>
    <row r="734" spans="15:54" ht="15.75" customHeight="1" x14ac:dyDescent="0.25"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</row>
    <row r="735" spans="15:54" ht="15.75" customHeight="1" x14ac:dyDescent="0.25"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</row>
    <row r="736" spans="15:54" ht="15.75" customHeight="1" x14ac:dyDescent="0.25"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</row>
    <row r="737" spans="15:54" ht="15.75" customHeight="1" x14ac:dyDescent="0.25"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</row>
    <row r="738" spans="15:54" ht="15.75" customHeight="1" x14ac:dyDescent="0.25"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</row>
    <row r="739" spans="15:54" ht="15.75" customHeight="1" x14ac:dyDescent="0.25"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</row>
    <row r="740" spans="15:54" ht="15.75" customHeight="1" x14ac:dyDescent="0.25"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</row>
    <row r="741" spans="15:54" ht="15.75" customHeight="1" x14ac:dyDescent="0.25"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</row>
    <row r="742" spans="15:54" ht="15.75" customHeight="1" x14ac:dyDescent="0.25"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</row>
    <row r="743" spans="15:54" ht="15.75" customHeight="1" x14ac:dyDescent="0.25"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</row>
    <row r="744" spans="15:54" ht="15.75" customHeight="1" x14ac:dyDescent="0.25"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</row>
    <row r="745" spans="15:54" ht="15.75" customHeight="1" x14ac:dyDescent="0.25"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</row>
    <row r="746" spans="15:54" ht="15.75" customHeight="1" x14ac:dyDescent="0.25"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</row>
    <row r="747" spans="15:54" ht="15.75" customHeight="1" x14ac:dyDescent="0.25"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</row>
    <row r="748" spans="15:54" ht="15.75" customHeight="1" x14ac:dyDescent="0.25"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</row>
    <row r="749" spans="15:54" ht="15.75" customHeight="1" x14ac:dyDescent="0.25"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</row>
    <row r="750" spans="15:54" ht="15.75" customHeight="1" x14ac:dyDescent="0.25"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</row>
    <row r="751" spans="15:54" ht="15.75" customHeight="1" x14ac:dyDescent="0.25"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</row>
    <row r="752" spans="15:54" ht="15.75" customHeight="1" x14ac:dyDescent="0.25"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</row>
    <row r="753" spans="15:54" ht="15.75" customHeight="1" x14ac:dyDescent="0.25"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</row>
    <row r="754" spans="15:54" ht="15.75" customHeight="1" x14ac:dyDescent="0.25"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</row>
    <row r="755" spans="15:54" ht="15.75" customHeight="1" x14ac:dyDescent="0.25"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</row>
    <row r="756" spans="15:54" ht="15.75" customHeight="1" x14ac:dyDescent="0.25"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</row>
    <row r="757" spans="15:54" ht="15.75" customHeight="1" x14ac:dyDescent="0.25"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</row>
    <row r="758" spans="15:54" ht="15.75" customHeight="1" x14ac:dyDescent="0.25"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</row>
    <row r="759" spans="15:54" ht="15.75" customHeight="1" x14ac:dyDescent="0.25"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</row>
    <row r="760" spans="15:54" ht="15.75" customHeight="1" x14ac:dyDescent="0.25"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</row>
    <row r="761" spans="15:54" ht="15.75" customHeight="1" x14ac:dyDescent="0.25"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</row>
    <row r="762" spans="15:54" ht="15.75" customHeight="1" x14ac:dyDescent="0.25"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</row>
    <row r="763" spans="15:54" ht="15.75" customHeight="1" x14ac:dyDescent="0.25"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</row>
    <row r="764" spans="15:54" ht="15.75" customHeight="1" x14ac:dyDescent="0.25"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</row>
    <row r="765" spans="15:54" ht="15.75" customHeight="1" x14ac:dyDescent="0.25"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</row>
    <row r="766" spans="15:54" ht="15.75" customHeight="1" x14ac:dyDescent="0.25"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</row>
    <row r="767" spans="15:54" ht="15.75" customHeight="1" x14ac:dyDescent="0.25"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</row>
    <row r="768" spans="15:54" ht="15.75" customHeight="1" x14ac:dyDescent="0.25"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</row>
    <row r="769" spans="15:54" ht="15.75" customHeight="1" x14ac:dyDescent="0.25"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</row>
    <row r="770" spans="15:54" ht="15.75" customHeight="1" x14ac:dyDescent="0.25"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</row>
    <row r="771" spans="15:54" ht="15.75" customHeight="1" x14ac:dyDescent="0.25"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</row>
    <row r="772" spans="15:54" ht="15.75" customHeight="1" x14ac:dyDescent="0.25"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</row>
    <row r="773" spans="15:54" ht="15.75" customHeight="1" x14ac:dyDescent="0.25"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</row>
    <row r="774" spans="15:54" ht="15.75" customHeight="1" x14ac:dyDescent="0.25"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</row>
    <row r="775" spans="15:54" ht="15.75" customHeight="1" x14ac:dyDescent="0.25"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</row>
    <row r="776" spans="15:54" ht="15.75" customHeight="1" x14ac:dyDescent="0.25"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</row>
    <row r="777" spans="15:54" ht="15.75" customHeight="1" x14ac:dyDescent="0.25"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</row>
    <row r="778" spans="15:54" ht="15.75" customHeight="1" x14ac:dyDescent="0.25"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</row>
    <row r="779" spans="15:54" ht="15.75" customHeight="1" x14ac:dyDescent="0.25"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</row>
    <row r="780" spans="15:54" ht="15.75" customHeight="1" x14ac:dyDescent="0.25"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</row>
    <row r="781" spans="15:54" ht="15.75" customHeight="1" x14ac:dyDescent="0.25"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</row>
    <row r="782" spans="15:54" ht="15.75" customHeight="1" x14ac:dyDescent="0.25"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</row>
    <row r="783" spans="15:54" ht="15.75" customHeight="1" x14ac:dyDescent="0.25"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</row>
    <row r="784" spans="15:54" ht="15.75" customHeight="1" x14ac:dyDescent="0.25"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</row>
    <row r="785" spans="15:54" ht="15.75" customHeight="1" x14ac:dyDescent="0.25"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</row>
    <row r="786" spans="15:54" ht="15.75" customHeight="1" x14ac:dyDescent="0.25"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</row>
    <row r="787" spans="15:54" ht="15.75" customHeight="1" x14ac:dyDescent="0.25"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</row>
    <row r="788" spans="15:54" ht="15.75" customHeight="1" x14ac:dyDescent="0.25"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</row>
    <row r="789" spans="15:54" ht="15.75" customHeight="1" x14ac:dyDescent="0.25"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</row>
    <row r="790" spans="15:54" ht="15.75" customHeight="1" x14ac:dyDescent="0.25"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</row>
    <row r="791" spans="15:54" ht="15.75" customHeight="1" x14ac:dyDescent="0.25"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</row>
    <row r="792" spans="15:54" ht="15.75" customHeight="1" x14ac:dyDescent="0.25"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</row>
    <row r="793" spans="15:54" ht="15.75" customHeight="1" x14ac:dyDescent="0.25"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</row>
    <row r="794" spans="15:54" ht="15.75" customHeight="1" x14ac:dyDescent="0.25"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</row>
    <row r="795" spans="15:54" ht="15.75" customHeight="1" x14ac:dyDescent="0.25"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</row>
    <row r="796" spans="15:54" ht="15.75" customHeight="1" x14ac:dyDescent="0.25"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</row>
    <row r="797" spans="15:54" ht="15.75" customHeight="1" x14ac:dyDescent="0.25"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</row>
    <row r="798" spans="15:54" ht="15.75" customHeight="1" x14ac:dyDescent="0.25"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</row>
    <row r="799" spans="15:54" ht="15.75" customHeight="1" x14ac:dyDescent="0.25"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</row>
    <row r="800" spans="15:54" ht="15.75" customHeight="1" x14ac:dyDescent="0.25"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</row>
    <row r="801" spans="15:54" ht="15.75" customHeight="1" x14ac:dyDescent="0.25"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</row>
    <row r="802" spans="15:54" ht="15.75" customHeight="1" x14ac:dyDescent="0.25"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</row>
    <row r="803" spans="15:54" ht="15.75" customHeight="1" x14ac:dyDescent="0.25"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</row>
    <row r="804" spans="15:54" ht="15.75" customHeight="1" x14ac:dyDescent="0.25"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</row>
    <row r="805" spans="15:54" ht="15.75" customHeight="1" x14ac:dyDescent="0.25"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</row>
    <row r="806" spans="15:54" ht="15.75" customHeight="1" x14ac:dyDescent="0.25"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</row>
    <row r="807" spans="15:54" ht="15.75" customHeight="1" x14ac:dyDescent="0.25"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</row>
    <row r="808" spans="15:54" ht="15.75" customHeight="1" x14ac:dyDescent="0.25"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</row>
    <row r="809" spans="15:54" ht="15.75" customHeight="1" x14ac:dyDescent="0.25"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</row>
    <row r="810" spans="15:54" ht="15.75" customHeight="1" x14ac:dyDescent="0.25"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</row>
    <row r="811" spans="15:54" ht="15.75" customHeight="1" x14ac:dyDescent="0.25"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</row>
    <row r="812" spans="15:54" ht="15.75" customHeight="1" x14ac:dyDescent="0.25"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</row>
    <row r="813" spans="15:54" ht="15.75" customHeight="1" x14ac:dyDescent="0.25"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</row>
    <row r="814" spans="15:54" ht="15.75" customHeight="1" x14ac:dyDescent="0.25"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</row>
    <row r="815" spans="15:54" ht="15.75" customHeight="1" x14ac:dyDescent="0.25"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</row>
    <row r="816" spans="15:54" ht="15.75" customHeight="1" x14ac:dyDescent="0.25"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</row>
    <row r="817" spans="15:54" ht="15.75" customHeight="1" x14ac:dyDescent="0.25"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</row>
    <row r="818" spans="15:54" ht="15.75" customHeight="1" x14ac:dyDescent="0.25"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</row>
    <row r="819" spans="15:54" ht="15.75" customHeight="1" x14ac:dyDescent="0.25"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</row>
    <row r="820" spans="15:54" ht="15.75" customHeight="1" x14ac:dyDescent="0.25"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</row>
    <row r="821" spans="15:54" ht="15.75" customHeight="1" x14ac:dyDescent="0.25"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</row>
    <row r="822" spans="15:54" ht="15.75" customHeight="1" x14ac:dyDescent="0.25"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</row>
    <row r="823" spans="15:54" ht="15.75" customHeight="1" x14ac:dyDescent="0.25"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</row>
    <row r="824" spans="15:54" ht="15.75" customHeight="1" x14ac:dyDescent="0.25"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</row>
    <row r="825" spans="15:54" ht="15.75" customHeight="1" x14ac:dyDescent="0.25"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</row>
    <row r="826" spans="15:54" ht="15.75" customHeight="1" x14ac:dyDescent="0.25"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</row>
    <row r="827" spans="15:54" ht="15.75" customHeight="1" x14ac:dyDescent="0.25"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</row>
    <row r="828" spans="15:54" ht="15.75" customHeight="1" x14ac:dyDescent="0.25"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</row>
    <row r="829" spans="15:54" ht="15.75" customHeight="1" x14ac:dyDescent="0.25"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</row>
    <row r="830" spans="15:54" ht="15.75" customHeight="1" x14ac:dyDescent="0.25"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</row>
    <row r="831" spans="15:54" ht="15.75" customHeight="1" x14ac:dyDescent="0.25"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</row>
    <row r="832" spans="15:54" ht="15.75" customHeight="1" x14ac:dyDescent="0.25"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</row>
    <row r="833" spans="15:54" ht="15.75" customHeight="1" x14ac:dyDescent="0.25"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</row>
    <row r="834" spans="15:54" ht="15.75" customHeight="1" x14ac:dyDescent="0.25"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</row>
    <row r="835" spans="15:54" ht="15.75" customHeight="1" x14ac:dyDescent="0.25"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</row>
    <row r="836" spans="15:54" ht="15.75" customHeight="1" x14ac:dyDescent="0.25"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</row>
    <row r="837" spans="15:54" ht="15.75" customHeight="1" x14ac:dyDescent="0.25"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</row>
    <row r="838" spans="15:54" ht="15.75" customHeight="1" x14ac:dyDescent="0.25"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</row>
    <row r="839" spans="15:54" ht="15.75" customHeight="1" x14ac:dyDescent="0.25"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</row>
    <row r="840" spans="15:54" ht="15.75" customHeight="1" x14ac:dyDescent="0.25"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</row>
    <row r="841" spans="15:54" ht="15.75" customHeight="1" x14ac:dyDescent="0.25"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</row>
    <row r="842" spans="15:54" ht="15.75" customHeight="1" x14ac:dyDescent="0.25"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</row>
    <row r="843" spans="15:54" ht="15.75" customHeight="1" x14ac:dyDescent="0.25"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</row>
    <row r="844" spans="15:54" ht="15.75" customHeight="1" x14ac:dyDescent="0.25"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</row>
    <row r="845" spans="15:54" ht="15.75" customHeight="1" x14ac:dyDescent="0.25"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</row>
    <row r="846" spans="15:54" ht="15.75" customHeight="1" x14ac:dyDescent="0.25"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</row>
    <row r="847" spans="15:54" ht="15.75" customHeight="1" x14ac:dyDescent="0.25"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</row>
    <row r="848" spans="15:54" ht="15.75" customHeight="1" x14ac:dyDescent="0.25"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</row>
    <row r="849" spans="15:54" ht="15.75" customHeight="1" x14ac:dyDescent="0.25"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</row>
    <row r="850" spans="15:54" ht="15.75" customHeight="1" x14ac:dyDescent="0.25"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</row>
    <row r="851" spans="15:54" ht="15.75" customHeight="1" x14ac:dyDescent="0.25"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</row>
    <row r="852" spans="15:54" ht="15.75" customHeight="1" x14ac:dyDescent="0.25"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</row>
    <row r="853" spans="15:54" ht="15.75" customHeight="1" x14ac:dyDescent="0.25"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</row>
    <row r="854" spans="15:54" ht="15.75" customHeight="1" x14ac:dyDescent="0.25"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</row>
    <row r="855" spans="15:54" ht="15.75" customHeight="1" x14ac:dyDescent="0.25"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</row>
    <row r="856" spans="15:54" ht="15.75" customHeight="1" x14ac:dyDescent="0.25"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</row>
    <row r="857" spans="15:54" ht="15.75" customHeight="1" x14ac:dyDescent="0.25"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</row>
    <row r="858" spans="15:54" ht="15.75" customHeight="1" x14ac:dyDescent="0.25"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</row>
    <row r="859" spans="15:54" ht="15.75" customHeight="1" x14ac:dyDescent="0.25"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</row>
    <row r="860" spans="15:54" ht="15.75" customHeight="1" x14ac:dyDescent="0.25"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</row>
    <row r="861" spans="15:54" ht="15.75" customHeight="1" x14ac:dyDescent="0.25"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</row>
    <row r="862" spans="15:54" ht="15.75" customHeight="1" x14ac:dyDescent="0.25"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</row>
    <row r="863" spans="15:54" ht="15.75" customHeight="1" x14ac:dyDescent="0.25"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</row>
    <row r="864" spans="15:54" ht="15.75" customHeight="1" x14ac:dyDescent="0.25"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</row>
    <row r="865" spans="15:54" ht="15.75" customHeight="1" x14ac:dyDescent="0.25"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</row>
    <row r="866" spans="15:54" ht="15.75" customHeight="1" x14ac:dyDescent="0.25"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</row>
    <row r="867" spans="15:54" ht="15.75" customHeight="1" x14ac:dyDescent="0.25"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</row>
    <row r="868" spans="15:54" ht="15.75" customHeight="1" x14ac:dyDescent="0.25"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</row>
    <row r="869" spans="15:54" ht="15.75" customHeight="1" x14ac:dyDescent="0.25"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</row>
    <row r="870" spans="15:54" ht="15.75" customHeight="1" x14ac:dyDescent="0.25"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</row>
    <row r="871" spans="15:54" ht="15.75" customHeight="1" x14ac:dyDescent="0.25"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</row>
    <row r="872" spans="15:54" ht="15.75" customHeight="1" x14ac:dyDescent="0.25"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</row>
    <row r="873" spans="15:54" ht="15.75" customHeight="1" x14ac:dyDescent="0.25"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</row>
    <row r="874" spans="15:54" ht="15.75" customHeight="1" x14ac:dyDescent="0.25"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</row>
    <row r="875" spans="15:54" ht="15.75" customHeight="1" x14ac:dyDescent="0.25"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</row>
    <row r="876" spans="15:54" ht="15.75" customHeight="1" x14ac:dyDescent="0.25"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</row>
    <row r="877" spans="15:54" ht="15.75" customHeight="1" x14ac:dyDescent="0.25"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</row>
    <row r="878" spans="15:54" ht="15.75" customHeight="1" x14ac:dyDescent="0.25"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</row>
    <row r="879" spans="15:54" ht="15.75" customHeight="1" x14ac:dyDescent="0.25"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</row>
    <row r="880" spans="15:54" ht="15.75" customHeight="1" x14ac:dyDescent="0.25"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</row>
    <row r="881" spans="15:54" ht="15.75" customHeight="1" x14ac:dyDescent="0.25"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</row>
    <row r="882" spans="15:54" ht="15.75" customHeight="1" x14ac:dyDescent="0.25"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</row>
    <row r="883" spans="15:54" ht="15.75" customHeight="1" x14ac:dyDescent="0.25"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</row>
    <row r="884" spans="15:54" ht="15.75" customHeight="1" x14ac:dyDescent="0.25"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</row>
    <row r="885" spans="15:54" ht="15.75" customHeight="1" x14ac:dyDescent="0.25"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</row>
    <row r="886" spans="15:54" ht="15.75" customHeight="1" x14ac:dyDescent="0.25"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</row>
    <row r="887" spans="15:54" ht="15.75" customHeight="1" x14ac:dyDescent="0.25"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</row>
    <row r="888" spans="15:54" ht="15.75" customHeight="1" x14ac:dyDescent="0.25"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</row>
    <row r="889" spans="15:54" ht="15.75" customHeight="1" x14ac:dyDescent="0.25"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</row>
    <row r="890" spans="15:54" ht="15.75" customHeight="1" x14ac:dyDescent="0.25"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</row>
    <row r="891" spans="15:54" ht="15.75" customHeight="1" x14ac:dyDescent="0.25"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</row>
    <row r="892" spans="15:54" ht="15.75" customHeight="1" x14ac:dyDescent="0.25"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</row>
    <row r="893" spans="15:54" ht="15.75" customHeight="1" x14ac:dyDescent="0.25"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</row>
    <row r="894" spans="15:54" ht="15.75" customHeight="1" x14ac:dyDescent="0.25"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</row>
    <row r="895" spans="15:54" ht="15.75" customHeight="1" x14ac:dyDescent="0.25"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</row>
    <row r="896" spans="15:54" ht="15.75" customHeight="1" x14ac:dyDescent="0.25"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</row>
    <row r="897" spans="15:54" ht="15.75" customHeight="1" x14ac:dyDescent="0.25"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</row>
    <row r="898" spans="15:54" ht="15.75" customHeight="1" x14ac:dyDescent="0.25"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</row>
    <row r="899" spans="15:54" ht="15.75" customHeight="1" x14ac:dyDescent="0.25"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</row>
    <row r="900" spans="15:54" ht="15.75" customHeight="1" x14ac:dyDescent="0.25"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</row>
    <row r="901" spans="15:54" ht="15.75" customHeight="1" x14ac:dyDescent="0.25"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</row>
    <row r="902" spans="15:54" ht="15.75" customHeight="1" x14ac:dyDescent="0.25"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</row>
    <row r="903" spans="15:54" ht="15.75" customHeight="1" x14ac:dyDescent="0.25"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</row>
    <row r="904" spans="15:54" ht="15.75" customHeight="1" x14ac:dyDescent="0.25"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</row>
    <row r="905" spans="15:54" ht="15.75" customHeight="1" x14ac:dyDescent="0.25"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</row>
    <row r="906" spans="15:54" ht="15.75" customHeight="1" x14ac:dyDescent="0.25"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</row>
    <row r="907" spans="15:54" ht="15.75" customHeight="1" x14ac:dyDescent="0.25"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</row>
    <row r="908" spans="15:54" ht="15.75" customHeight="1" x14ac:dyDescent="0.25"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</row>
    <row r="909" spans="15:54" ht="15.75" customHeight="1" x14ac:dyDescent="0.25"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</row>
    <row r="910" spans="15:54" ht="15.75" customHeight="1" x14ac:dyDescent="0.25"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</row>
    <row r="911" spans="15:54" ht="15.75" customHeight="1" x14ac:dyDescent="0.25"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</row>
    <row r="912" spans="15:54" ht="15.75" customHeight="1" x14ac:dyDescent="0.25"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</row>
    <row r="913" spans="15:54" ht="15.75" customHeight="1" x14ac:dyDescent="0.25"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</row>
    <row r="914" spans="15:54" ht="15.75" customHeight="1" x14ac:dyDescent="0.25"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</row>
    <row r="915" spans="15:54" ht="15.75" customHeight="1" x14ac:dyDescent="0.25"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</row>
    <row r="916" spans="15:54" ht="15.75" customHeight="1" x14ac:dyDescent="0.25"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</row>
    <row r="917" spans="15:54" ht="15.75" customHeight="1" x14ac:dyDescent="0.25"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</row>
    <row r="918" spans="15:54" ht="15.75" customHeight="1" x14ac:dyDescent="0.25"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</row>
    <row r="919" spans="15:54" ht="15.75" customHeight="1" x14ac:dyDescent="0.25"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</row>
    <row r="920" spans="15:54" ht="15.75" customHeight="1" x14ac:dyDescent="0.25"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</row>
    <row r="921" spans="15:54" ht="15.75" customHeight="1" x14ac:dyDescent="0.25"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</row>
    <row r="922" spans="15:54" ht="15.75" customHeight="1" x14ac:dyDescent="0.25"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</row>
    <row r="923" spans="15:54" ht="15.75" customHeight="1" x14ac:dyDescent="0.25"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</row>
    <row r="924" spans="15:54" ht="15.75" customHeight="1" x14ac:dyDescent="0.25"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</row>
    <row r="925" spans="15:54" ht="15.75" customHeight="1" x14ac:dyDescent="0.25"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</row>
    <row r="926" spans="15:54" ht="15.75" customHeight="1" x14ac:dyDescent="0.25"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</row>
    <row r="927" spans="15:54" ht="15.75" customHeight="1" x14ac:dyDescent="0.25"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</row>
    <row r="928" spans="15:54" ht="15.75" customHeight="1" x14ac:dyDescent="0.25"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</row>
    <row r="929" spans="15:54" ht="15.75" customHeight="1" x14ac:dyDescent="0.25"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</row>
    <row r="930" spans="15:54" ht="15.75" customHeight="1" x14ac:dyDescent="0.25"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</row>
    <row r="931" spans="15:54" ht="15.75" customHeight="1" x14ac:dyDescent="0.25"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</row>
    <row r="932" spans="15:54" ht="15.75" customHeight="1" x14ac:dyDescent="0.25"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</row>
    <row r="933" spans="15:54" ht="15.75" customHeight="1" x14ac:dyDescent="0.25"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</row>
    <row r="934" spans="15:54" ht="15.75" customHeight="1" x14ac:dyDescent="0.25"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</row>
    <row r="935" spans="15:54" ht="15.75" customHeight="1" x14ac:dyDescent="0.25"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</row>
    <row r="936" spans="15:54" ht="15.75" customHeight="1" x14ac:dyDescent="0.25"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</row>
    <row r="937" spans="15:54" ht="15.75" customHeight="1" x14ac:dyDescent="0.25"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</row>
    <row r="938" spans="15:54" ht="15.75" customHeight="1" x14ac:dyDescent="0.25"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</row>
    <row r="939" spans="15:54" ht="15.75" customHeight="1" x14ac:dyDescent="0.25"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</row>
    <row r="940" spans="15:54" ht="15.75" customHeight="1" x14ac:dyDescent="0.25"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</row>
    <row r="941" spans="15:54" ht="15.75" customHeight="1" x14ac:dyDescent="0.25"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</row>
    <row r="942" spans="15:54" ht="15.75" customHeight="1" x14ac:dyDescent="0.25"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</row>
    <row r="943" spans="15:54" ht="15.75" customHeight="1" x14ac:dyDescent="0.25"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</row>
    <row r="944" spans="15:54" ht="15.75" customHeight="1" x14ac:dyDescent="0.25"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</row>
    <row r="945" spans="15:54" ht="15.75" customHeight="1" x14ac:dyDescent="0.25"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</row>
    <row r="946" spans="15:54" ht="15.75" customHeight="1" x14ac:dyDescent="0.25"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</row>
    <row r="947" spans="15:54" ht="15.75" customHeight="1" x14ac:dyDescent="0.25"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</row>
    <row r="948" spans="15:54" ht="15.75" customHeight="1" x14ac:dyDescent="0.25"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</row>
    <row r="949" spans="15:54" ht="15.75" customHeight="1" x14ac:dyDescent="0.25"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</row>
    <row r="950" spans="15:54" ht="15.75" customHeight="1" x14ac:dyDescent="0.25"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</row>
    <row r="951" spans="15:54" ht="15.75" customHeight="1" x14ac:dyDescent="0.25"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</row>
    <row r="952" spans="15:54" ht="15.75" customHeight="1" x14ac:dyDescent="0.25"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</row>
    <row r="953" spans="15:54" ht="15.75" customHeight="1" x14ac:dyDescent="0.25"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</row>
    <row r="954" spans="15:54" ht="15.75" customHeight="1" x14ac:dyDescent="0.25"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</row>
    <row r="955" spans="15:54" ht="15.75" customHeight="1" x14ac:dyDescent="0.25"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</row>
    <row r="956" spans="15:54" ht="15.75" customHeight="1" x14ac:dyDescent="0.25"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</row>
    <row r="957" spans="15:54" ht="15.75" customHeight="1" x14ac:dyDescent="0.25"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</row>
    <row r="958" spans="15:54" ht="15.75" customHeight="1" x14ac:dyDescent="0.25"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</row>
    <row r="959" spans="15:54" ht="15.75" customHeight="1" x14ac:dyDescent="0.25"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</row>
    <row r="960" spans="15:54" ht="15.75" customHeight="1" x14ac:dyDescent="0.25"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</row>
    <row r="961" spans="15:54" ht="15.75" customHeight="1" x14ac:dyDescent="0.25"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</row>
    <row r="962" spans="15:54" ht="15.75" customHeight="1" x14ac:dyDescent="0.25"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</row>
    <row r="963" spans="15:54" ht="15.75" customHeight="1" x14ac:dyDescent="0.25"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</row>
    <row r="964" spans="15:54" ht="15.75" customHeight="1" x14ac:dyDescent="0.25"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</row>
    <row r="965" spans="15:54" ht="15.75" customHeight="1" x14ac:dyDescent="0.25"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</row>
    <row r="966" spans="15:54" ht="15.75" customHeight="1" x14ac:dyDescent="0.25"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</row>
    <row r="967" spans="15:54" ht="15.75" customHeight="1" x14ac:dyDescent="0.25"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</row>
    <row r="968" spans="15:54" ht="15.75" customHeight="1" x14ac:dyDescent="0.25"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</row>
    <row r="969" spans="15:54" ht="15.75" customHeight="1" x14ac:dyDescent="0.25"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</row>
    <row r="970" spans="15:54" ht="15.75" customHeight="1" x14ac:dyDescent="0.25"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</row>
    <row r="971" spans="15:54" ht="15.75" customHeight="1" x14ac:dyDescent="0.25"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</row>
    <row r="972" spans="15:54" ht="15.75" customHeight="1" x14ac:dyDescent="0.25"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</row>
    <row r="973" spans="15:54" ht="15.75" customHeight="1" x14ac:dyDescent="0.25"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</row>
    <row r="974" spans="15:54" ht="15.75" customHeight="1" x14ac:dyDescent="0.25"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</row>
    <row r="975" spans="15:54" ht="15.75" customHeight="1" x14ac:dyDescent="0.25"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</row>
    <row r="976" spans="15:54" ht="15.75" customHeight="1" x14ac:dyDescent="0.25"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</row>
    <row r="977" spans="15:54" ht="15.75" customHeight="1" x14ac:dyDescent="0.25"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</row>
    <row r="978" spans="15:54" ht="15.75" customHeight="1" x14ac:dyDescent="0.25"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</row>
    <row r="979" spans="15:54" ht="15.75" customHeight="1" x14ac:dyDescent="0.25"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</row>
    <row r="980" spans="15:54" ht="15.75" customHeight="1" x14ac:dyDescent="0.25"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</row>
    <row r="981" spans="15:54" ht="15.75" customHeight="1" x14ac:dyDescent="0.25"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  <c r="AH981" s="52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</row>
    <row r="982" spans="15:54" ht="15.75" customHeight="1" x14ac:dyDescent="0.25"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</row>
    <row r="983" spans="15:54" ht="15.75" customHeight="1" x14ac:dyDescent="0.25"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</row>
    <row r="984" spans="15:54" ht="15.75" customHeight="1" x14ac:dyDescent="0.25"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  <c r="AH984" s="52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</row>
    <row r="985" spans="15:54" ht="15.75" customHeight="1" x14ac:dyDescent="0.25"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  <c r="AG985" s="52"/>
      <c r="AH985" s="52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</row>
    <row r="986" spans="15:54" ht="15.75" customHeight="1" x14ac:dyDescent="0.25"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  <c r="AH986" s="52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</row>
    <row r="987" spans="15:54" ht="15.75" customHeight="1" x14ac:dyDescent="0.25"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  <c r="AH987" s="52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</row>
    <row r="988" spans="15:54" ht="15.75" customHeight="1" x14ac:dyDescent="0.25"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  <c r="AH988" s="52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</row>
    <row r="989" spans="15:54" ht="15.75" customHeight="1" x14ac:dyDescent="0.25"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  <c r="AH989" s="52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</row>
    <row r="990" spans="15:54" ht="15.75" customHeight="1" x14ac:dyDescent="0.25"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52"/>
      <c r="AG990" s="52"/>
      <c r="AH990" s="52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</row>
    <row r="991" spans="15:54" ht="15.75" customHeight="1" x14ac:dyDescent="0.25"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52"/>
      <c r="AG991" s="52"/>
      <c r="AH991" s="52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</row>
    <row r="992" spans="15:54" ht="15.75" customHeight="1" x14ac:dyDescent="0.25"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52"/>
      <c r="AG992" s="52"/>
      <c r="AH992" s="52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</row>
    <row r="993" spans="15:54" ht="15.75" customHeight="1" x14ac:dyDescent="0.25"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52"/>
      <c r="AG993" s="52"/>
      <c r="AH993" s="52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</row>
    <row r="994" spans="15:54" ht="15.75" customHeight="1" x14ac:dyDescent="0.25"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52"/>
      <c r="AG994" s="52"/>
      <c r="AH994" s="52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</row>
    <row r="995" spans="15:54" ht="15.75" customHeight="1" x14ac:dyDescent="0.25"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52"/>
      <c r="AG995" s="52"/>
      <c r="AH995" s="52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</row>
    <row r="996" spans="15:54" ht="15.75" customHeight="1" x14ac:dyDescent="0.25"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52"/>
      <c r="AG996" s="52"/>
      <c r="AH996" s="52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</row>
    <row r="997" spans="15:54" ht="15.75" customHeight="1" x14ac:dyDescent="0.25"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52"/>
      <c r="AG997" s="52"/>
      <c r="AH997" s="52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</row>
    <row r="998" spans="15:54" ht="15.75" customHeight="1" x14ac:dyDescent="0.25"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  <c r="AH998" s="52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</row>
    <row r="999" spans="15:54" ht="15.75" customHeight="1" x14ac:dyDescent="0.25"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52"/>
      <c r="AG999" s="52"/>
      <c r="AH999" s="52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</row>
    <row r="1000" spans="15:54" ht="15.75" customHeight="1" x14ac:dyDescent="0.25"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52"/>
      <c r="AG1000" s="52"/>
      <c r="AH1000" s="52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</row>
  </sheetData>
  <mergeCells count="8">
    <mergeCell ref="J24:L24"/>
    <mergeCell ref="J25:L25"/>
    <mergeCell ref="J26:L26"/>
    <mergeCell ref="B3:G4"/>
    <mergeCell ref="B6:G6"/>
    <mergeCell ref="K6:N6"/>
    <mergeCell ref="J22:M22"/>
    <mergeCell ref="J23:L23"/>
  </mergeCells>
  <conditionalFormatting sqref="M23:M26">
    <cfRule type="expression" dxfId="58" priority="1">
      <formula>J23=""</formula>
    </cfRule>
  </conditionalFormatting>
  <conditionalFormatting sqref="M24:M26">
    <cfRule type="expression" dxfId="57" priority="2">
      <formula>J24=""</formula>
    </cfRule>
  </conditionalFormatting>
  <conditionalFormatting sqref="M25">
    <cfRule type="expression" dxfId="56" priority="3">
      <formula>J25=""</formula>
    </cfRule>
  </conditionalFormatting>
  <conditionalFormatting sqref="B22:H28 J22:M26">
    <cfRule type="expression" dxfId="55" priority="4">
      <formula>OR($I$22=0,AND($J$20="",$J$21="",$J$22="",$J$23=""))</formula>
    </cfRule>
  </conditionalFormatting>
  <conditionalFormatting sqref="N23:AH27">
    <cfRule type="expression" dxfId="54" priority="5">
      <formula>K23=""</formula>
    </cfRule>
  </conditionalFormatting>
  <conditionalFormatting sqref="N24:AH26">
    <cfRule type="expression" dxfId="53" priority="6">
      <formula>K24=""</formula>
    </cfRule>
  </conditionalFormatting>
  <conditionalFormatting sqref="N25:AH25">
    <cfRule type="expression" dxfId="52" priority="7">
      <formula>K25=""</formula>
    </cfRule>
  </conditionalFormatting>
  <conditionalFormatting sqref="N27:AH27">
    <cfRule type="expression" dxfId="51" priority="8">
      <formula>K27=""</formula>
    </cfRule>
  </conditionalFormatting>
  <conditionalFormatting sqref="N23:AH27">
    <cfRule type="expression" dxfId="50" priority="9">
      <formula>OR($I$22=0,AND($J$20="",$J$21="",$J$22="",$J$23=""))</formula>
    </cfRule>
  </conditionalFormatting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BB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3.7109375" customWidth="1"/>
    <col min="4" max="10" width="10.7109375" customWidth="1"/>
    <col min="11" max="11" width="13.7109375" customWidth="1"/>
    <col min="12" max="13" width="10.7109375" customWidth="1"/>
    <col min="14" max="34" width="13.7109375" customWidth="1"/>
    <col min="35" max="35" width="20" customWidth="1"/>
    <col min="36" max="46" width="11.42578125" customWidth="1"/>
    <col min="47" max="47" width="10.42578125" customWidth="1"/>
    <col min="48" max="48" width="13.7109375" customWidth="1"/>
    <col min="49" max="49" width="10.42578125" customWidth="1"/>
    <col min="50" max="50" width="9.85546875" customWidth="1"/>
    <col min="51" max="51" width="13" customWidth="1"/>
    <col min="52" max="52" width="29.85546875" customWidth="1"/>
    <col min="53" max="53" width="25.7109375" customWidth="1"/>
    <col min="54" max="54" width="11.42578125" customWidth="1"/>
  </cols>
  <sheetData>
    <row r="1" spans="2:54" x14ac:dyDescent="0.25"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spans="2:54" x14ac:dyDescent="0.25"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2:54" x14ac:dyDescent="0.25">
      <c r="B3" s="88" t="s">
        <v>62</v>
      </c>
      <c r="C3" s="89"/>
      <c r="D3" s="89"/>
      <c r="E3" s="89"/>
      <c r="F3" s="89"/>
      <c r="G3" s="90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spans="2:54" x14ac:dyDescent="0.25">
      <c r="B4" s="91"/>
      <c r="C4" s="92"/>
      <c r="D4" s="92"/>
      <c r="E4" s="92"/>
      <c r="F4" s="92"/>
      <c r="G4" s="93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  <row r="5" spans="2:54" x14ac:dyDescent="0.25">
      <c r="B5" s="4"/>
      <c r="C5" s="5">
        <v>2</v>
      </c>
      <c r="D5" s="5">
        <v>3</v>
      </c>
      <c r="E5" s="5">
        <v>5</v>
      </c>
      <c r="F5" s="5">
        <v>6</v>
      </c>
      <c r="G5" s="5">
        <v>4</v>
      </c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spans="2:54" x14ac:dyDescent="0.25">
      <c r="B6" s="94" t="s">
        <v>5</v>
      </c>
      <c r="C6" s="95"/>
      <c r="D6" s="95"/>
      <c r="E6" s="95"/>
      <c r="F6" s="95"/>
      <c r="G6" s="96"/>
      <c r="J6" s="6" t="s">
        <v>6</v>
      </c>
      <c r="K6" s="97" t="s">
        <v>7</v>
      </c>
      <c r="L6" s="95"/>
      <c r="M6" s="95"/>
      <c r="N6" s="96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5"/>
      <c r="AJ6" s="3">
        <v>1</v>
      </c>
      <c r="AK6" s="3">
        <v>2</v>
      </c>
      <c r="AL6" s="3" t="s">
        <v>8</v>
      </c>
      <c r="AM6" s="3"/>
      <c r="AN6" s="3" t="s">
        <v>9</v>
      </c>
      <c r="AO6" s="3" t="s">
        <v>10</v>
      </c>
      <c r="AP6" s="3" t="s">
        <v>11</v>
      </c>
      <c r="AQ6" s="3" t="s">
        <v>12</v>
      </c>
      <c r="AR6" s="3" t="s">
        <v>13</v>
      </c>
      <c r="AS6" s="3" t="s">
        <v>14</v>
      </c>
      <c r="AT6" s="3"/>
      <c r="AU6" s="3"/>
      <c r="AV6" s="3" t="s">
        <v>10</v>
      </c>
      <c r="AW6" s="3" t="s">
        <v>15</v>
      </c>
      <c r="AX6" s="3" t="s">
        <v>8</v>
      </c>
      <c r="AY6" s="3" t="s">
        <v>16</v>
      </c>
      <c r="AZ6" s="3" t="s">
        <v>17</v>
      </c>
      <c r="BA6" s="3" t="s">
        <v>18</v>
      </c>
      <c r="BB6" s="3" t="s">
        <v>19</v>
      </c>
    </row>
    <row r="7" spans="2:54" x14ac:dyDescent="0.25">
      <c r="B7" s="7" t="s">
        <v>20</v>
      </c>
      <c r="C7" s="8" t="s">
        <v>10</v>
      </c>
      <c r="D7" s="9" t="s">
        <v>11</v>
      </c>
      <c r="E7" s="9" t="s">
        <v>13</v>
      </c>
      <c r="F7" s="9" t="s">
        <v>14</v>
      </c>
      <c r="G7" s="10" t="s">
        <v>12</v>
      </c>
      <c r="I7" s="11">
        <v>13</v>
      </c>
      <c r="J7" s="12">
        <v>44889</v>
      </c>
      <c r="K7" s="13" t="s">
        <v>63</v>
      </c>
      <c r="L7" s="14">
        <v>1</v>
      </c>
      <c r="M7" s="15">
        <v>0</v>
      </c>
      <c r="N7" s="11" t="s">
        <v>64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5" t="str">
        <f t="shared" ref="AI7:AI12" si="0">CONCATENATE(K7,"_",N7)</f>
        <v>Suiza_Camerun</v>
      </c>
      <c r="AJ7" s="3">
        <f t="shared" ref="AJ7:AJ12" si="1">IF(L7&gt;M7,3,IF(L7&lt;M7,0,1))</f>
        <v>3</v>
      </c>
      <c r="AK7" s="3">
        <f t="shared" ref="AK7:AK12" si="2">IF(AJ7=3,0,IF(AJ7=1,1,3))</f>
        <v>0</v>
      </c>
      <c r="AL7" s="3" t="str">
        <f t="shared" ref="AL7:AL12" si="3">IF(AJ7&gt;AK7,K7,IF(AK7&gt;AJ7,N7,"SIN GANADOR"))</f>
        <v>Suiza</v>
      </c>
      <c r="AM7" s="3"/>
      <c r="AN7" s="3">
        <f t="shared" ref="AN7:AN10" si="4">_xlfn.RANK.EQ(BB7,BB$7:BB$11,1)</f>
        <v>1</v>
      </c>
      <c r="AO7" s="3" t="s">
        <v>65</v>
      </c>
      <c r="AP7" s="3">
        <f t="shared" ref="AP7:AP10" si="5">SUMIF($K$7:$K$12,AO7,$AJ$7:$AJ$12) + SUMIF($N$7:$N$12,AO7,$AK$7:$AK$12)</f>
        <v>9</v>
      </c>
      <c r="AQ7" s="3">
        <f t="shared" ref="AQ7:AQ10" si="6">AR7-AS7</f>
        <v>7</v>
      </c>
      <c r="AR7" s="3">
        <f t="shared" ref="AR7:AR10" si="7">SUMIF($K$7:$K$12,AO7,$L$7:$L$12) + SUMIF($N$7:$N$12,AO7,$M$7:$M$12)</f>
        <v>8</v>
      </c>
      <c r="AS7" s="3">
        <f t="shared" ref="AS7:AS10" si="8">SUMIF($K$7:$K$12,AO7,$M$7:$M$12) + SUMIF($N$7:$N$12,AO7,$L$7:$L$12)</f>
        <v>1</v>
      </c>
      <c r="AT7" s="3"/>
      <c r="AU7" s="3"/>
      <c r="AV7" s="3" t="str">
        <f t="shared" ref="AV7:AV10" si="9">AO7</f>
        <v>Brasil</v>
      </c>
      <c r="AW7" s="3" t="str">
        <f>IF(AZ7=AZ8,AV8,IF(AZ7=AZ9,AV9,IF(AZ7=AZ10,AV10,"")))</f>
        <v/>
      </c>
      <c r="AX7" s="3" t="str">
        <f t="shared" ref="AX7:AX10" si="10">IF(AW7="","",IFERROR(VLOOKUP(CONCATENATE(AV7,"_",AW7),$AI$7:$AL$16,4,FALSE),VLOOKUP(CONCATENATE(AW7,"_",AV7),$AI$7:$AL$16,4,FALSE)))</f>
        <v/>
      </c>
      <c r="AY7" s="3">
        <f t="shared" ref="AY7:AY10" si="11">IF(AX7="",1,IF(AX7=AV7,1,0))</f>
        <v>1</v>
      </c>
      <c r="AZ7" s="3">
        <f t="shared" ref="AZ7:AZ10" si="12">-AP7*10000000 - AQ7*10000 - AR7*100</f>
        <v>-90070800</v>
      </c>
      <c r="BA7" s="3">
        <f t="shared" ref="BA7:BA10" si="13">AZ7-AY7*10</f>
        <v>-90070810</v>
      </c>
      <c r="BB7" s="3">
        <f t="shared" ref="BB7:BB10" si="14">BA7+N23</f>
        <v>-90070809</v>
      </c>
    </row>
    <row r="8" spans="2:54" x14ac:dyDescent="0.25">
      <c r="B8" s="16">
        <v>1</v>
      </c>
      <c r="C8" s="17" t="str">
        <f t="shared" ref="C8:G8" si="15">IFERROR(VLOOKUP($B8,$AN$7:$AS$11,C$5,FALSE),"")</f>
        <v>Brasil</v>
      </c>
      <c r="D8" s="18">
        <f t="shared" si="15"/>
        <v>9</v>
      </c>
      <c r="E8" s="18">
        <f t="shared" si="15"/>
        <v>8</v>
      </c>
      <c r="F8" s="18">
        <f t="shared" si="15"/>
        <v>1</v>
      </c>
      <c r="G8" s="19">
        <f t="shared" si="15"/>
        <v>7</v>
      </c>
      <c r="I8" s="20">
        <v>14</v>
      </c>
      <c r="J8" s="21">
        <v>44889</v>
      </c>
      <c r="K8" s="22" t="s">
        <v>65</v>
      </c>
      <c r="L8" s="23">
        <v>2</v>
      </c>
      <c r="M8" s="24">
        <v>0</v>
      </c>
      <c r="N8" s="20" t="s">
        <v>66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5" t="str">
        <f t="shared" si="0"/>
        <v>Brasil_Serbia</v>
      </c>
      <c r="AJ8" s="3">
        <f t="shared" si="1"/>
        <v>3</v>
      </c>
      <c r="AK8" s="3">
        <f t="shared" si="2"/>
        <v>0</v>
      </c>
      <c r="AL8" s="3" t="str">
        <f t="shared" si="3"/>
        <v>Brasil</v>
      </c>
      <c r="AM8" s="3"/>
      <c r="AN8" s="3">
        <f t="shared" si="4"/>
        <v>3</v>
      </c>
      <c r="AO8" s="3" t="s">
        <v>63</v>
      </c>
      <c r="AP8" s="3">
        <f t="shared" si="5"/>
        <v>4</v>
      </c>
      <c r="AQ8" s="3">
        <f t="shared" si="6"/>
        <v>-2</v>
      </c>
      <c r="AR8" s="3">
        <f t="shared" si="7"/>
        <v>2</v>
      </c>
      <c r="AS8" s="3">
        <f t="shared" si="8"/>
        <v>4</v>
      </c>
      <c r="AT8" s="3"/>
      <c r="AU8" s="3"/>
      <c r="AV8" s="3" t="str">
        <f t="shared" si="9"/>
        <v>Suiza</v>
      </c>
      <c r="AW8" s="3" t="str">
        <f>IF(AZ8=AZ9,AV9,IF(AZ8=AZ10,AV10,IF(AZ8=AZ7,AV7,"")))</f>
        <v/>
      </c>
      <c r="AX8" s="3" t="str">
        <f t="shared" si="10"/>
        <v/>
      </c>
      <c r="AY8" s="3">
        <f t="shared" si="11"/>
        <v>1</v>
      </c>
      <c r="AZ8" s="3">
        <f t="shared" si="12"/>
        <v>-39980200</v>
      </c>
      <c r="BA8" s="3">
        <f t="shared" si="13"/>
        <v>-39980210</v>
      </c>
      <c r="BB8" s="3">
        <f t="shared" si="14"/>
        <v>-39980208</v>
      </c>
    </row>
    <row r="9" spans="2:54" x14ac:dyDescent="0.25">
      <c r="B9" s="25">
        <v>2</v>
      </c>
      <c r="C9" s="26" t="str">
        <f t="shared" ref="C9:G9" si="16">IFERROR(VLOOKUP($B9,$AN$7:$AS$11,C$5,FALSE),"")</f>
        <v>Serbia</v>
      </c>
      <c r="D9" s="27">
        <f t="shared" si="16"/>
        <v>4</v>
      </c>
      <c r="E9" s="27">
        <f t="shared" si="16"/>
        <v>3</v>
      </c>
      <c r="F9" s="27">
        <f t="shared" si="16"/>
        <v>4</v>
      </c>
      <c r="G9" s="28">
        <f t="shared" si="16"/>
        <v>-1</v>
      </c>
      <c r="I9" s="29">
        <f t="shared" ref="I9:I12" si="17">I7+16</f>
        <v>29</v>
      </c>
      <c r="J9" s="30">
        <v>44893</v>
      </c>
      <c r="K9" s="31" t="s">
        <v>64</v>
      </c>
      <c r="L9" s="23">
        <v>1</v>
      </c>
      <c r="M9" s="24">
        <v>2</v>
      </c>
      <c r="N9" s="29" t="s">
        <v>66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5" t="str">
        <f t="shared" si="0"/>
        <v>Camerun_Serbia</v>
      </c>
      <c r="AJ9" s="3">
        <f t="shared" si="1"/>
        <v>0</v>
      </c>
      <c r="AK9" s="3">
        <f t="shared" si="2"/>
        <v>3</v>
      </c>
      <c r="AL9" s="3" t="str">
        <f t="shared" si="3"/>
        <v>Serbia</v>
      </c>
      <c r="AM9" s="3"/>
      <c r="AN9" s="3">
        <f t="shared" si="4"/>
        <v>2</v>
      </c>
      <c r="AO9" s="3" t="s">
        <v>66</v>
      </c>
      <c r="AP9" s="3">
        <f t="shared" si="5"/>
        <v>4</v>
      </c>
      <c r="AQ9" s="3">
        <f t="shared" si="6"/>
        <v>-1</v>
      </c>
      <c r="AR9" s="3">
        <f t="shared" si="7"/>
        <v>3</v>
      </c>
      <c r="AS9" s="3">
        <f t="shared" si="8"/>
        <v>4</v>
      </c>
      <c r="AT9" s="3"/>
      <c r="AU9" s="3"/>
      <c r="AV9" s="3" t="str">
        <f t="shared" si="9"/>
        <v>Serbia</v>
      </c>
      <c r="AW9" s="3" t="str">
        <f>IF(AZ9=AZ10,AV10,IF(AZ9=AZ7,AV7,IF(AZ9=AZ8,AV8,"")))</f>
        <v/>
      </c>
      <c r="AX9" s="3" t="str">
        <f t="shared" si="10"/>
        <v/>
      </c>
      <c r="AY9" s="3">
        <f t="shared" si="11"/>
        <v>1</v>
      </c>
      <c r="AZ9" s="3">
        <f t="shared" si="12"/>
        <v>-39990300</v>
      </c>
      <c r="BA9" s="3">
        <f t="shared" si="13"/>
        <v>-39990310</v>
      </c>
      <c r="BB9" s="3">
        <f t="shared" si="14"/>
        <v>-39990307</v>
      </c>
    </row>
    <row r="10" spans="2:54" x14ac:dyDescent="0.25">
      <c r="B10" s="32">
        <v>3</v>
      </c>
      <c r="C10" s="33" t="str">
        <f t="shared" ref="C10:G10" si="18">IFERROR(VLOOKUP($B10,$AN$7:$AS$11,C$5,FALSE),"")</f>
        <v>Suiza</v>
      </c>
      <c r="D10" s="34">
        <f t="shared" si="18"/>
        <v>4</v>
      </c>
      <c r="E10" s="34">
        <f t="shared" si="18"/>
        <v>2</v>
      </c>
      <c r="F10" s="34">
        <f t="shared" si="18"/>
        <v>4</v>
      </c>
      <c r="G10" s="35">
        <f t="shared" si="18"/>
        <v>-2</v>
      </c>
      <c r="I10" s="20">
        <f t="shared" si="17"/>
        <v>30</v>
      </c>
      <c r="J10" s="21">
        <v>44893</v>
      </c>
      <c r="K10" s="22" t="s">
        <v>65</v>
      </c>
      <c r="L10" s="23">
        <v>3</v>
      </c>
      <c r="M10" s="24">
        <v>0</v>
      </c>
      <c r="N10" s="20" t="s">
        <v>63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5" t="str">
        <f t="shared" si="0"/>
        <v>Brasil_Suiza</v>
      </c>
      <c r="AJ10" s="3">
        <f t="shared" si="1"/>
        <v>3</v>
      </c>
      <c r="AK10" s="3">
        <f t="shared" si="2"/>
        <v>0</v>
      </c>
      <c r="AL10" s="3" t="str">
        <f t="shared" si="3"/>
        <v>Brasil</v>
      </c>
      <c r="AM10" s="3"/>
      <c r="AN10" s="3">
        <f t="shared" si="4"/>
        <v>4</v>
      </c>
      <c r="AO10" s="3" t="s">
        <v>64</v>
      </c>
      <c r="AP10" s="3">
        <f t="shared" si="5"/>
        <v>0</v>
      </c>
      <c r="AQ10" s="3">
        <f t="shared" si="6"/>
        <v>-4</v>
      </c>
      <c r="AR10" s="3">
        <f t="shared" si="7"/>
        <v>2</v>
      </c>
      <c r="AS10" s="3">
        <f t="shared" si="8"/>
        <v>6</v>
      </c>
      <c r="AT10" s="3"/>
      <c r="AU10" s="3"/>
      <c r="AV10" s="3" t="str">
        <f t="shared" si="9"/>
        <v>Camerun</v>
      </c>
      <c r="AW10" s="3" t="str">
        <f>IF(AZ10=AZ7,AV7,IF(AZ10=AZ8,AV8,IF(AZ10=AZ9,AV9,"")))</f>
        <v/>
      </c>
      <c r="AX10" s="3" t="str">
        <f t="shared" si="10"/>
        <v/>
      </c>
      <c r="AY10" s="3">
        <f t="shared" si="11"/>
        <v>1</v>
      </c>
      <c r="AZ10" s="3">
        <f t="shared" si="12"/>
        <v>39800</v>
      </c>
      <c r="BA10" s="3">
        <f t="shared" si="13"/>
        <v>39790</v>
      </c>
      <c r="BB10" s="3">
        <f t="shared" si="14"/>
        <v>39794</v>
      </c>
    </row>
    <row r="11" spans="2:54" x14ac:dyDescent="0.25">
      <c r="B11" s="36">
        <v>4</v>
      </c>
      <c r="C11" s="37" t="str">
        <f t="shared" ref="C11:G11" si="19">IFERROR(VLOOKUP($B11,$AN$7:$AS$11,C$5,FALSE),"")</f>
        <v>Camerun</v>
      </c>
      <c r="D11" s="38">
        <f t="shared" si="19"/>
        <v>0</v>
      </c>
      <c r="E11" s="38">
        <f t="shared" si="19"/>
        <v>2</v>
      </c>
      <c r="F11" s="38">
        <f t="shared" si="19"/>
        <v>6</v>
      </c>
      <c r="G11" s="39">
        <f t="shared" si="19"/>
        <v>-4</v>
      </c>
      <c r="I11" s="29">
        <f t="shared" si="17"/>
        <v>45</v>
      </c>
      <c r="J11" s="30">
        <v>44897</v>
      </c>
      <c r="K11" s="31" t="s">
        <v>66</v>
      </c>
      <c r="L11" s="23">
        <v>1</v>
      </c>
      <c r="M11" s="24">
        <v>1</v>
      </c>
      <c r="N11" s="29" t="s">
        <v>63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5" t="str">
        <f t="shared" si="0"/>
        <v>Serbia_Suiza</v>
      </c>
      <c r="AJ11" s="3">
        <f t="shared" si="1"/>
        <v>1</v>
      </c>
      <c r="AK11" s="3">
        <f t="shared" si="2"/>
        <v>1</v>
      </c>
      <c r="AL11" s="3" t="str">
        <f t="shared" si="3"/>
        <v>SIN GANADOR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</row>
    <row r="12" spans="2:54" x14ac:dyDescent="0.25">
      <c r="I12" s="40">
        <f t="shared" si="17"/>
        <v>46</v>
      </c>
      <c r="J12" s="41">
        <v>44897</v>
      </c>
      <c r="K12" s="42" t="s">
        <v>64</v>
      </c>
      <c r="L12" s="43">
        <v>1</v>
      </c>
      <c r="M12" s="44">
        <v>3</v>
      </c>
      <c r="N12" s="40" t="s">
        <v>65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5" t="str">
        <f t="shared" si="0"/>
        <v>Camerun_Brasil</v>
      </c>
      <c r="AJ12" s="3">
        <f t="shared" si="1"/>
        <v>0</v>
      </c>
      <c r="AK12" s="3">
        <f t="shared" si="2"/>
        <v>3</v>
      </c>
      <c r="AL12" s="3" t="str">
        <f t="shared" si="3"/>
        <v>Brasil</v>
      </c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 spans="2:54" x14ac:dyDescent="0.25"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</row>
    <row r="14" spans="2:54" x14ac:dyDescent="0.25"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</row>
    <row r="15" spans="2:54" x14ac:dyDescent="0.25"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</row>
    <row r="16" spans="2:54" x14ac:dyDescent="0.25"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</row>
    <row r="17" spans="2:54" x14ac:dyDescent="0.25"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</row>
    <row r="18" spans="2:54" x14ac:dyDescent="0.25"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</row>
    <row r="19" spans="2:54" x14ac:dyDescent="0.25"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</row>
    <row r="20" spans="2:54" x14ac:dyDescent="0.25"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</row>
    <row r="21" spans="2:54" ht="15.75" customHeight="1" x14ac:dyDescent="0.25"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</row>
    <row r="22" spans="2:54" ht="15.75" customHeight="1" x14ac:dyDescent="0.25">
      <c r="B22" s="45" t="s">
        <v>25</v>
      </c>
      <c r="C22" s="46"/>
      <c r="D22" s="46"/>
      <c r="E22" s="46"/>
      <c r="F22" s="46"/>
      <c r="G22" s="46"/>
      <c r="H22" s="47"/>
      <c r="I22" s="3">
        <v>1</v>
      </c>
      <c r="J22" s="81" t="s">
        <v>40</v>
      </c>
      <c r="K22" s="82"/>
      <c r="L22" s="82"/>
      <c r="M22" s="83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</row>
    <row r="23" spans="2:54" ht="15.75" customHeight="1" x14ac:dyDescent="0.25">
      <c r="B23" s="48" t="s">
        <v>27</v>
      </c>
      <c r="C23" s="49"/>
      <c r="D23" s="49"/>
      <c r="E23" s="49"/>
      <c r="F23" s="49"/>
      <c r="G23" s="49"/>
      <c r="H23" s="50"/>
      <c r="I23" s="3">
        <f t="shared" ref="I23:I26" si="20">IF(J23="",0,1)</f>
        <v>1</v>
      </c>
      <c r="J23" s="98" t="s">
        <v>65</v>
      </c>
      <c r="K23" s="99"/>
      <c r="L23" s="85"/>
      <c r="M23" s="58">
        <v>1</v>
      </c>
      <c r="N23" s="52">
        <f t="shared" ref="N23:N27" si="21">IF(J23="",0,M23)</f>
        <v>1</v>
      </c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</row>
    <row r="24" spans="2:54" ht="15.75" customHeight="1" x14ac:dyDescent="0.25">
      <c r="B24" s="48" t="s">
        <v>28</v>
      </c>
      <c r="C24" s="49"/>
      <c r="D24" s="49"/>
      <c r="E24" s="49"/>
      <c r="F24" s="49"/>
      <c r="G24" s="49"/>
      <c r="H24" s="50"/>
      <c r="I24" s="3">
        <f t="shared" si="20"/>
        <v>1</v>
      </c>
      <c r="J24" s="100" t="s">
        <v>63</v>
      </c>
      <c r="K24" s="101"/>
      <c r="L24" s="102"/>
      <c r="M24" s="53">
        <v>2</v>
      </c>
      <c r="N24" s="52">
        <f t="shared" si="21"/>
        <v>2</v>
      </c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</row>
    <row r="25" spans="2:54" ht="15.75" customHeight="1" x14ac:dyDescent="0.25">
      <c r="B25" s="48" t="s">
        <v>30</v>
      </c>
      <c r="C25" s="49"/>
      <c r="D25" s="49"/>
      <c r="E25" s="49"/>
      <c r="F25" s="49"/>
      <c r="G25" s="49"/>
      <c r="H25" s="50"/>
      <c r="I25" s="3">
        <f t="shared" si="20"/>
        <v>1</v>
      </c>
      <c r="J25" s="100" t="s">
        <v>66</v>
      </c>
      <c r="K25" s="101"/>
      <c r="L25" s="102"/>
      <c r="M25" s="53">
        <v>3</v>
      </c>
      <c r="N25" s="52">
        <f t="shared" si="21"/>
        <v>3</v>
      </c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</row>
    <row r="26" spans="2:54" ht="15.75" customHeight="1" x14ac:dyDescent="0.25">
      <c r="B26" s="48" t="s">
        <v>32</v>
      </c>
      <c r="C26" s="49"/>
      <c r="D26" s="49"/>
      <c r="E26" s="49"/>
      <c r="F26" s="49"/>
      <c r="G26" s="49"/>
      <c r="H26" s="50"/>
      <c r="I26" s="3">
        <f t="shared" si="20"/>
        <v>1</v>
      </c>
      <c r="J26" s="103" t="s">
        <v>64</v>
      </c>
      <c r="K26" s="104"/>
      <c r="L26" s="87"/>
      <c r="M26" s="54">
        <v>4</v>
      </c>
      <c r="N26" s="52">
        <f t="shared" si="21"/>
        <v>4</v>
      </c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</row>
    <row r="27" spans="2:54" ht="15.75" customHeight="1" x14ac:dyDescent="0.25">
      <c r="B27" s="48" t="s">
        <v>34</v>
      </c>
      <c r="C27" s="49"/>
      <c r="D27" s="49"/>
      <c r="E27" s="49"/>
      <c r="F27" s="49"/>
      <c r="G27" s="49"/>
      <c r="H27" s="50"/>
      <c r="I27" s="3"/>
      <c r="N27" s="52">
        <f t="shared" si="21"/>
        <v>0</v>
      </c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</row>
    <row r="28" spans="2:54" ht="15.75" customHeight="1" x14ac:dyDescent="0.25">
      <c r="B28" s="55"/>
      <c r="C28" s="56"/>
      <c r="D28" s="56"/>
      <c r="E28" s="56"/>
      <c r="F28" s="56"/>
      <c r="G28" s="56"/>
      <c r="H28" s="57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</row>
    <row r="29" spans="2:54" ht="15.75" customHeight="1" x14ac:dyDescent="0.25"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</row>
    <row r="30" spans="2:54" ht="15.75" customHeight="1" x14ac:dyDescent="0.25"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</row>
    <row r="31" spans="2:54" ht="15.75" customHeight="1" x14ac:dyDescent="0.25"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</row>
    <row r="32" spans="2:54" ht="15.75" customHeight="1" x14ac:dyDescent="0.25"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</row>
    <row r="33" spans="15:54" ht="15.75" customHeight="1" x14ac:dyDescent="0.25"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</row>
    <row r="34" spans="15:54" ht="15.75" customHeight="1" x14ac:dyDescent="0.25"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</row>
    <row r="35" spans="15:54" ht="15.75" customHeight="1" x14ac:dyDescent="0.25"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</row>
    <row r="36" spans="15:54" ht="15.75" customHeight="1" x14ac:dyDescent="0.25"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</row>
    <row r="37" spans="15:54" ht="15.75" customHeight="1" x14ac:dyDescent="0.25"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</row>
    <row r="38" spans="15:54" ht="15.75" customHeight="1" x14ac:dyDescent="0.25"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</row>
    <row r="39" spans="15:54" ht="15.75" customHeight="1" x14ac:dyDescent="0.25"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</row>
    <row r="40" spans="15:54" ht="15.75" customHeight="1" x14ac:dyDescent="0.25"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</row>
    <row r="41" spans="15:54" ht="15.75" customHeight="1" x14ac:dyDescent="0.25"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</row>
    <row r="42" spans="15:54" ht="15.75" customHeight="1" x14ac:dyDescent="0.25"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</row>
    <row r="43" spans="15:54" ht="15.75" customHeight="1" x14ac:dyDescent="0.25"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</row>
    <row r="44" spans="15:54" ht="15.75" customHeight="1" x14ac:dyDescent="0.25"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</row>
    <row r="45" spans="15:54" ht="15.75" customHeight="1" x14ac:dyDescent="0.25"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</row>
    <row r="46" spans="15:54" ht="15.75" customHeight="1" x14ac:dyDescent="0.25"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</row>
    <row r="47" spans="15:54" ht="15.75" customHeight="1" x14ac:dyDescent="0.25"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15:54" ht="15.75" customHeight="1" x14ac:dyDescent="0.25"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r="49" spans="15:54" ht="15.75" customHeight="1" x14ac:dyDescent="0.25"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r="50" spans="15:54" ht="15.75" customHeight="1" x14ac:dyDescent="0.25"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</row>
    <row r="51" spans="15:54" ht="15.75" customHeight="1" x14ac:dyDescent="0.25"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</row>
    <row r="52" spans="15:54" ht="15.75" customHeight="1" x14ac:dyDescent="0.25"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</row>
    <row r="53" spans="15:54" ht="15.75" customHeight="1" x14ac:dyDescent="0.25"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</row>
    <row r="54" spans="15:54" ht="15.75" customHeight="1" x14ac:dyDescent="0.25"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</row>
    <row r="55" spans="15:54" ht="15.75" customHeight="1" x14ac:dyDescent="0.25"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</row>
    <row r="56" spans="15:54" ht="15.75" customHeight="1" x14ac:dyDescent="0.25"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</row>
    <row r="57" spans="15:54" ht="15.75" customHeight="1" x14ac:dyDescent="0.25"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</row>
    <row r="58" spans="15:54" ht="15.75" customHeight="1" x14ac:dyDescent="0.25"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</row>
    <row r="59" spans="15:54" ht="15.75" customHeight="1" x14ac:dyDescent="0.25"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</row>
    <row r="60" spans="15:54" ht="15.75" customHeight="1" x14ac:dyDescent="0.25"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</row>
    <row r="61" spans="15:54" ht="15.75" customHeight="1" x14ac:dyDescent="0.25"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</row>
    <row r="62" spans="15:54" ht="15.75" customHeight="1" x14ac:dyDescent="0.25"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</row>
    <row r="63" spans="15:54" ht="15.75" customHeight="1" x14ac:dyDescent="0.25"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</row>
    <row r="64" spans="15:54" ht="15.75" customHeight="1" x14ac:dyDescent="0.25"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</row>
    <row r="65" spans="15:54" ht="15.75" customHeight="1" x14ac:dyDescent="0.25"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</row>
    <row r="66" spans="15:54" ht="15.75" customHeight="1" x14ac:dyDescent="0.25"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</row>
    <row r="67" spans="15:54" ht="15.75" customHeight="1" x14ac:dyDescent="0.25"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</row>
    <row r="68" spans="15:54" ht="15.75" customHeight="1" x14ac:dyDescent="0.25"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</row>
    <row r="69" spans="15:54" ht="15.75" customHeight="1" x14ac:dyDescent="0.25"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</row>
    <row r="70" spans="15:54" ht="15.75" customHeight="1" x14ac:dyDescent="0.25"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</row>
    <row r="71" spans="15:54" ht="15.75" customHeight="1" x14ac:dyDescent="0.25"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</row>
    <row r="72" spans="15:54" ht="15.75" customHeight="1" x14ac:dyDescent="0.25"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</row>
    <row r="73" spans="15:54" ht="15.75" customHeight="1" x14ac:dyDescent="0.25"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</row>
    <row r="74" spans="15:54" ht="15.75" customHeight="1" x14ac:dyDescent="0.25"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</row>
    <row r="75" spans="15:54" ht="15.75" customHeight="1" x14ac:dyDescent="0.25"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</row>
    <row r="76" spans="15:54" ht="15.75" customHeight="1" x14ac:dyDescent="0.25"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</row>
    <row r="77" spans="15:54" ht="15.75" customHeight="1" x14ac:dyDescent="0.25"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</row>
    <row r="78" spans="15:54" ht="15.75" customHeight="1" x14ac:dyDescent="0.25"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</row>
    <row r="79" spans="15:54" ht="15.75" customHeight="1" x14ac:dyDescent="0.25"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</row>
    <row r="80" spans="15:54" ht="15.75" customHeight="1" x14ac:dyDescent="0.25"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</row>
    <row r="81" spans="15:54" ht="15.75" customHeight="1" x14ac:dyDescent="0.25"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</row>
    <row r="82" spans="15:54" ht="15.75" customHeight="1" x14ac:dyDescent="0.25"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</row>
    <row r="83" spans="15:54" ht="15.75" customHeight="1" x14ac:dyDescent="0.25"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</row>
    <row r="84" spans="15:54" ht="15.75" customHeight="1" x14ac:dyDescent="0.25"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</row>
    <row r="85" spans="15:54" ht="15.75" customHeight="1" x14ac:dyDescent="0.25"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</row>
    <row r="86" spans="15:54" ht="15.75" customHeight="1" x14ac:dyDescent="0.25"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</row>
    <row r="87" spans="15:54" ht="15.75" customHeight="1" x14ac:dyDescent="0.25"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</row>
    <row r="88" spans="15:54" ht="15.75" customHeight="1" x14ac:dyDescent="0.25"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</row>
    <row r="89" spans="15:54" ht="15.75" customHeight="1" x14ac:dyDescent="0.25"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</row>
    <row r="90" spans="15:54" ht="15.75" customHeight="1" x14ac:dyDescent="0.25"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</row>
    <row r="91" spans="15:54" ht="15.75" customHeight="1" x14ac:dyDescent="0.25"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</row>
    <row r="92" spans="15:54" ht="15.75" customHeight="1" x14ac:dyDescent="0.25"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</row>
    <row r="93" spans="15:54" ht="15.75" customHeight="1" x14ac:dyDescent="0.25"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</row>
    <row r="94" spans="15:54" ht="15.75" customHeight="1" x14ac:dyDescent="0.25"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</row>
    <row r="95" spans="15:54" ht="15.75" customHeight="1" x14ac:dyDescent="0.25"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</row>
    <row r="96" spans="15:54" ht="15.75" customHeight="1" x14ac:dyDescent="0.25"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</row>
    <row r="97" spans="15:54" ht="15.75" customHeight="1" x14ac:dyDescent="0.25"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</row>
    <row r="98" spans="15:54" ht="15.75" customHeight="1" x14ac:dyDescent="0.25"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</row>
    <row r="99" spans="15:54" ht="15.75" customHeight="1" x14ac:dyDescent="0.25"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</row>
    <row r="100" spans="15:54" ht="15.75" customHeight="1" x14ac:dyDescent="0.25"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</row>
    <row r="101" spans="15:54" ht="15.75" customHeight="1" x14ac:dyDescent="0.25"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</row>
    <row r="102" spans="15:54" ht="15.75" customHeight="1" x14ac:dyDescent="0.25"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</row>
    <row r="103" spans="15:54" ht="15.75" customHeight="1" x14ac:dyDescent="0.25"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</row>
    <row r="104" spans="15:54" ht="15.75" customHeight="1" x14ac:dyDescent="0.25"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</row>
    <row r="105" spans="15:54" ht="15.75" customHeight="1" x14ac:dyDescent="0.25"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</row>
    <row r="106" spans="15:54" ht="15.75" customHeight="1" x14ac:dyDescent="0.25"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</row>
    <row r="107" spans="15:54" ht="15.75" customHeight="1" x14ac:dyDescent="0.25"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</row>
    <row r="108" spans="15:54" ht="15.75" customHeight="1" x14ac:dyDescent="0.25"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</row>
    <row r="109" spans="15:54" ht="15.75" customHeight="1" x14ac:dyDescent="0.25"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</row>
    <row r="110" spans="15:54" ht="15.75" customHeight="1" x14ac:dyDescent="0.25"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</row>
    <row r="111" spans="15:54" ht="15.75" customHeight="1" x14ac:dyDescent="0.25"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</row>
    <row r="112" spans="15:54" ht="15.75" customHeight="1" x14ac:dyDescent="0.25"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</row>
    <row r="113" spans="15:54" ht="15.75" customHeight="1" x14ac:dyDescent="0.25"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</row>
    <row r="114" spans="15:54" ht="15.75" customHeight="1" x14ac:dyDescent="0.25"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</row>
    <row r="115" spans="15:54" ht="15.75" customHeight="1" x14ac:dyDescent="0.25"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</row>
    <row r="116" spans="15:54" ht="15.75" customHeight="1" x14ac:dyDescent="0.25"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</row>
    <row r="117" spans="15:54" ht="15.75" customHeight="1" x14ac:dyDescent="0.25"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</row>
    <row r="118" spans="15:54" ht="15.75" customHeight="1" x14ac:dyDescent="0.25"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</row>
    <row r="119" spans="15:54" ht="15.75" customHeight="1" x14ac:dyDescent="0.25"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</row>
    <row r="120" spans="15:54" ht="15.75" customHeight="1" x14ac:dyDescent="0.25"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</row>
    <row r="121" spans="15:54" ht="15.75" customHeight="1" x14ac:dyDescent="0.25"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</row>
    <row r="122" spans="15:54" ht="15.75" customHeight="1" x14ac:dyDescent="0.25"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</row>
    <row r="123" spans="15:54" ht="15.75" customHeight="1" x14ac:dyDescent="0.25"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</row>
    <row r="124" spans="15:54" ht="15.75" customHeight="1" x14ac:dyDescent="0.25"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</row>
    <row r="125" spans="15:54" ht="15.75" customHeight="1" x14ac:dyDescent="0.25"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</row>
    <row r="126" spans="15:54" ht="15.75" customHeight="1" x14ac:dyDescent="0.25"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</row>
    <row r="127" spans="15:54" ht="15.75" customHeight="1" x14ac:dyDescent="0.25"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</row>
    <row r="128" spans="15:54" ht="15.75" customHeight="1" x14ac:dyDescent="0.25"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</row>
    <row r="129" spans="15:54" ht="15.75" customHeight="1" x14ac:dyDescent="0.25"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</row>
    <row r="130" spans="15:54" ht="15.75" customHeight="1" x14ac:dyDescent="0.25"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</row>
    <row r="131" spans="15:54" ht="15.75" customHeight="1" x14ac:dyDescent="0.25"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</row>
    <row r="132" spans="15:54" ht="15.75" customHeight="1" x14ac:dyDescent="0.25"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</row>
    <row r="133" spans="15:54" ht="15.75" customHeight="1" x14ac:dyDescent="0.25"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</row>
    <row r="134" spans="15:54" ht="15.75" customHeight="1" x14ac:dyDescent="0.25"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</row>
    <row r="135" spans="15:54" ht="15.75" customHeight="1" x14ac:dyDescent="0.25"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</row>
    <row r="136" spans="15:54" ht="15.75" customHeight="1" x14ac:dyDescent="0.25"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</row>
    <row r="137" spans="15:54" ht="15.75" customHeight="1" x14ac:dyDescent="0.25"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</row>
    <row r="138" spans="15:54" ht="15.75" customHeight="1" x14ac:dyDescent="0.25"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</row>
    <row r="139" spans="15:54" ht="15.75" customHeight="1" x14ac:dyDescent="0.25"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</row>
    <row r="140" spans="15:54" ht="15.75" customHeight="1" x14ac:dyDescent="0.25"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</row>
    <row r="141" spans="15:54" ht="15.75" customHeight="1" x14ac:dyDescent="0.25"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</row>
    <row r="142" spans="15:54" ht="15.75" customHeight="1" x14ac:dyDescent="0.25"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</row>
    <row r="143" spans="15:54" ht="15.75" customHeight="1" x14ac:dyDescent="0.25"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</row>
    <row r="144" spans="15:54" ht="15.75" customHeight="1" x14ac:dyDescent="0.25"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</row>
    <row r="145" spans="15:54" ht="15.75" customHeight="1" x14ac:dyDescent="0.25"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</row>
    <row r="146" spans="15:54" ht="15.75" customHeight="1" x14ac:dyDescent="0.25"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</row>
    <row r="147" spans="15:54" ht="15.75" customHeight="1" x14ac:dyDescent="0.25"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</row>
    <row r="148" spans="15:54" ht="15.75" customHeight="1" x14ac:dyDescent="0.25"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</row>
    <row r="149" spans="15:54" ht="15.75" customHeight="1" x14ac:dyDescent="0.25"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</row>
    <row r="150" spans="15:54" ht="15.75" customHeight="1" x14ac:dyDescent="0.25"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</row>
    <row r="151" spans="15:54" ht="15.75" customHeight="1" x14ac:dyDescent="0.25"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</row>
    <row r="152" spans="15:54" ht="15.75" customHeight="1" x14ac:dyDescent="0.25"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</row>
    <row r="153" spans="15:54" ht="15.75" customHeight="1" x14ac:dyDescent="0.25"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</row>
    <row r="154" spans="15:54" ht="15.75" customHeight="1" x14ac:dyDescent="0.25"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</row>
    <row r="155" spans="15:54" ht="15.75" customHeight="1" x14ac:dyDescent="0.25"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</row>
    <row r="156" spans="15:54" ht="15.75" customHeight="1" x14ac:dyDescent="0.25"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</row>
    <row r="157" spans="15:54" ht="15.75" customHeight="1" x14ac:dyDescent="0.25"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</row>
    <row r="158" spans="15:54" ht="15.75" customHeight="1" x14ac:dyDescent="0.25"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</row>
    <row r="159" spans="15:54" ht="15.75" customHeight="1" x14ac:dyDescent="0.25"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</row>
    <row r="160" spans="15:54" ht="15.75" customHeight="1" x14ac:dyDescent="0.25"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</row>
    <row r="161" spans="15:54" ht="15.75" customHeight="1" x14ac:dyDescent="0.25"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</row>
    <row r="162" spans="15:54" ht="15.75" customHeight="1" x14ac:dyDescent="0.25"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</row>
    <row r="163" spans="15:54" ht="15.75" customHeight="1" x14ac:dyDescent="0.25"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</row>
    <row r="164" spans="15:54" ht="15.75" customHeight="1" x14ac:dyDescent="0.25"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</row>
    <row r="165" spans="15:54" ht="15.75" customHeight="1" x14ac:dyDescent="0.25"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</row>
    <row r="166" spans="15:54" ht="15.75" customHeight="1" x14ac:dyDescent="0.25"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</row>
    <row r="167" spans="15:54" ht="15.75" customHeight="1" x14ac:dyDescent="0.25"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</row>
    <row r="168" spans="15:54" ht="15.75" customHeight="1" x14ac:dyDescent="0.25"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</row>
    <row r="169" spans="15:54" ht="15.75" customHeight="1" x14ac:dyDescent="0.25"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</row>
    <row r="170" spans="15:54" ht="15.75" customHeight="1" x14ac:dyDescent="0.25"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</row>
    <row r="171" spans="15:54" ht="15.75" customHeight="1" x14ac:dyDescent="0.25"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</row>
    <row r="172" spans="15:54" ht="15.75" customHeight="1" x14ac:dyDescent="0.25"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</row>
    <row r="173" spans="15:54" ht="15.75" customHeight="1" x14ac:dyDescent="0.25"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</row>
    <row r="174" spans="15:54" ht="15.75" customHeight="1" x14ac:dyDescent="0.25"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</row>
    <row r="175" spans="15:54" ht="15.75" customHeight="1" x14ac:dyDescent="0.25"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</row>
    <row r="176" spans="15:54" ht="15.75" customHeight="1" x14ac:dyDescent="0.25"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</row>
    <row r="177" spans="15:54" ht="15.75" customHeight="1" x14ac:dyDescent="0.25"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</row>
    <row r="178" spans="15:54" ht="15.75" customHeight="1" x14ac:dyDescent="0.25"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</row>
    <row r="179" spans="15:54" ht="15.75" customHeight="1" x14ac:dyDescent="0.25"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</row>
    <row r="180" spans="15:54" ht="15.75" customHeight="1" x14ac:dyDescent="0.25"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</row>
    <row r="181" spans="15:54" ht="15.75" customHeight="1" x14ac:dyDescent="0.25"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</row>
    <row r="182" spans="15:54" ht="15.75" customHeight="1" x14ac:dyDescent="0.25"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</row>
    <row r="183" spans="15:54" ht="15.75" customHeight="1" x14ac:dyDescent="0.25"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</row>
    <row r="184" spans="15:54" ht="15.75" customHeight="1" x14ac:dyDescent="0.25"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</row>
    <row r="185" spans="15:54" ht="15.75" customHeight="1" x14ac:dyDescent="0.25"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</row>
    <row r="186" spans="15:54" ht="15.75" customHeight="1" x14ac:dyDescent="0.25"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</row>
    <row r="187" spans="15:54" ht="15.75" customHeight="1" x14ac:dyDescent="0.25"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</row>
    <row r="188" spans="15:54" ht="15.75" customHeight="1" x14ac:dyDescent="0.25"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</row>
    <row r="189" spans="15:54" ht="15.75" customHeight="1" x14ac:dyDescent="0.25"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</row>
    <row r="190" spans="15:54" ht="15.75" customHeight="1" x14ac:dyDescent="0.25"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</row>
    <row r="191" spans="15:54" ht="15.75" customHeight="1" x14ac:dyDescent="0.25"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</row>
    <row r="192" spans="15:54" ht="15.75" customHeight="1" x14ac:dyDescent="0.25"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</row>
    <row r="193" spans="15:54" ht="15.75" customHeight="1" x14ac:dyDescent="0.25"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</row>
    <row r="194" spans="15:54" ht="15.75" customHeight="1" x14ac:dyDescent="0.25"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</row>
    <row r="195" spans="15:54" ht="15.75" customHeight="1" x14ac:dyDescent="0.25"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</row>
    <row r="196" spans="15:54" ht="15.75" customHeight="1" x14ac:dyDescent="0.25"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</row>
    <row r="197" spans="15:54" ht="15.75" customHeight="1" x14ac:dyDescent="0.25"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</row>
    <row r="198" spans="15:54" ht="15.75" customHeight="1" x14ac:dyDescent="0.25"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</row>
    <row r="199" spans="15:54" ht="15.75" customHeight="1" x14ac:dyDescent="0.25"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</row>
    <row r="200" spans="15:54" ht="15.75" customHeight="1" x14ac:dyDescent="0.25"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</row>
    <row r="201" spans="15:54" ht="15.75" customHeight="1" x14ac:dyDescent="0.25"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</row>
    <row r="202" spans="15:54" ht="15.75" customHeight="1" x14ac:dyDescent="0.25"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</row>
    <row r="203" spans="15:54" ht="15.75" customHeight="1" x14ac:dyDescent="0.25"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</row>
    <row r="204" spans="15:54" ht="15.75" customHeight="1" x14ac:dyDescent="0.25"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</row>
    <row r="205" spans="15:54" ht="15.75" customHeight="1" x14ac:dyDescent="0.25"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</row>
    <row r="206" spans="15:54" ht="15.75" customHeight="1" x14ac:dyDescent="0.25"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</row>
    <row r="207" spans="15:54" ht="15.75" customHeight="1" x14ac:dyDescent="0.25"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</row>
    <row r="208" spans="15:54" ht="15.75" customHeight="1" x14ac:dyDescent="0.25"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</row>
    <row r="209" spans="15:54" ht="15.75" customHeight="1" x14ac:dyDescent="0.25"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</row>
    <row r="210" spans="15:54" ht="15.75" customHeight="1" x14ac:dyDescent="0.25"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</row>
    <row r="211" spans="15:54" ht="15.75" customHeight="1" x14ac:dyDescent="0.25"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</row>
    <row r="212" spans="15:54" ht="15.75" customHeight="1" x14ac:dyDescent="0.25"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</row>
    <row r="213" spans="15:54" ht="15.75" customHeight="1" x14ac:dyDescent="0.25"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</row>
    <row r="214" spans="15:54" ht="15.75" customHeight="1" x14ac:dyDescent="0.25"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</row>
    <row r="215" spans="15:54" ht="15.75" customHeight="1" x14ac:dyDescent="0.25"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</row>
    <row r="216" spans="15:54" ht="15.75" customHeight="1" x14ac:dyDescent="0.25"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</row>
    <row r="217" spans="15:54" ht="15.75" customHeight="1" x14ac:dyDescent="0.25"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</row>
    <row r="218" spans="15:54" ht="15.75" customHeight="1" x14ac:dyDescent="0.25"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</row>
    <row r="219" spans="15:54" ht="15.75" customHeight="1" x14ac:dyDescent="0.25"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</row>
    <row r="220" spans="15:54" ht="15.75" customHeight="1" x14ac:dyDescent="0.25"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</row>
    <row r="221" spans="15:54" ht="15.75" customHeight="1" x14ac:dyDescent="0.25"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</row>
    <row r="222" spans="15:54" ht="15.75" customHeight="1" x14ac:dyDescent="0.25"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</row>
    <row r="223" spans="15:54" ht="15.75" customHeight="1" x14ac:dyDescent="0.25"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</row>
    <row r="224" spans="15:54" ht="15.75" customHeight="1" x14ac:dyDescent="0.25"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</row>
    <row r="225" spans="15:54" ht="15.75" customHeight="1" x14ac:dyDescent="0.25"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</row>
    <row r="226" spans="15:54" ht="15.75" customHeight="1" x14ac:dyDescent="0.25"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</row>
    <row r="227" spans="15:54" ht="15.75" customHeight="1" x14ac:dyDescent="0.25"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</row>
    <row r="228" spans="15:54" ht="15.75" customHeight="1" x14ac:dyDescent="0.25"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</row>
    <row r="229" spans="15:54" ht="15.75" customHeight="1" x14ac:dyDescent="0.25"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</row>
    <row r="230" spans="15:54" ht="15.75" customHeight="1" x14ac:dyDescent="0.25"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</row>
    <row r="231" spans="15:54" ht="15.75" customHeight="1" x14ac:dyDescent="0.25"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</row>
    <row r="232" spans="15:54" ht="15.75" customHeight="1" x14ac:dyDescent="0.25"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</row>
    <row r="233" spans="15:54" ht="15.75" customHeight="1" x14ac:dyDescent="0.25"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</row>
    <row r="234" spans="15:54" ht="15.75" customHeight="1" x14ac:dyDescent="0.25"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</row>
    <row r="235" spans="15:54" ht="15.75" customHeight="1" x14ac:dyDescent="0.25"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</row>
    <row r="236" spans="15:54" ht="15.75" customHeight="1" x14ac:dyDescent="0.25"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</row>
    <row r="237" spans="15:54" ht="15.75" customHeight="1" x14ac:dyDescent="0.25"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</row>
    <row r="238" spans="15:54" ht="15.75" customHeight="1" x14ac:dyDescent="0.25"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</row>
    <row r="239" spans="15:54" ht="15.75" customHeight="1" x14ac:dyDescent="0.25"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</row>
    <row r="240" spans="15:54" ht="15.75" customHeight="1" x14ac:dyDescent="0.25"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</row>
    <row r="241" spans="15:54" ht="15.75" customHeight="1" x14ac:dyDescent="0.25"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</row>
    <row r="242" spans="15:54" ht="15.75" customHeight="1" x14ac:dyDescent="0.25"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</row>
    <row r="243" spans="15:54" ht="15.75" customHeight="1" x14ac:dyDescent="0.25"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</row>
    <row r="244" spans="15:54" ht="15.75" customHeight="1" x14ac:dyDescent="0.25"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</row>
    <row r="245" spans="15:54" ht="15.75" customHeight="1" x14ac:dyDescent="0.25"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</row>
    <row r="246" spans="15:54" ht="15.75" customHeight="1" x14ac:dyDescent="0.25"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</row>
    <row r="247" spans="15:54" ht="15.75" customHeight="1" x14ac:dyDescent="0.25"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</row>
    <row r="248" spans="15:54" ht="15.75" customHeight="1" x14ac:dyDescent="0.25"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</row>
    <row r="249" spans="15:54" ht="15.75" customHeight="1" x14ac:dyDescent="0.25"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</row>
    <row r="250" spans="15:54" ht="15.75" customHeight="1" x14ac:dyDescent="0.25"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</row>
    <row r="251" spans="15:54" ht="15.75" customHeight="1" x14ac:dyDescent="0.25"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</row>
    <row r="252" spans="15:54" ht="15.75" customHeight="1" x14ac:dyDescent="0.25"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</row>
    <row r="253" spans="15:54" ht="15.75" customHeight="1" x14ac:dyDescent="0.25"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</row>
    <row r="254" spans="15:54" ht="15.75" customHeight="1" x14ac:dyDescent="0.25"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</row>
    <row r="255" spans="15:54" ht="15.75" customHeight="1" x14ac:dyDescent="0.25"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</row>
    <row r="256" spans="15:54" ht="15.75" customHeight="1" x14ac:dyDescent="0.25"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</row>
    <row r="257" spans="15:54" ht="15.75" customHeight="1" x14ac:dyDescent="0.25"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</row>
    <row r="258" spans="15:54" ht="15.75" customHeight="1" x14ac:dyDescent="0.25"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</row>
    <row r="259" spans="15:54" ht="15.75" customHeight="1" x14ac:dyDescent="0.25"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</row>
    <row r="260" spans="15:54" ht="15.75" customHeight="1" x14ac:dyDescent="0.25"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</row>
    <row r="261" spans="15:54" ht="15.75" customHeight="1" x14ac:dyDescent="0.25"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</row>
    <row r="262" spans="15:54" ht="15.75" customHeight="1" x14ac:dyDescent="0.25"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</row>
    <row r="263" spans="15:54" ht="15.75" customHeight="1" x14ac:dyDescent="0.25"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</row>
    <row r="264" spans="15:54" ht="15.75" customHeight="1" x14ac:dyDescent="0.25"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</row>
    <row r="265" spans="15:54" ht="15.75" customHeight="1" x14ac:dyDescent="0.25"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</row>
    <row r="266" spans="15:54" ht="15.75" customHeight="1" x14ac:dyDescent="0.25"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</row>
    <row r="267" spans="15:54" ht="15.75" customHeight="1" x14ac:dyDescent="0.25"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</row>
    <row r="268" spans="15:54" ht="15.75" customHeight="1" x14ac:dyDescent="0.25"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</row>
    <row r="269" spans="15:54" ht="15.75" customHeight="1" x14ac:dyDescent="0.25"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</row>
    <row r="270" spans="15:54" ht="15.75" customHeight="1" x14ac:dyDescent="0.25"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</row>
    <row r="271" spans="15:54" ht="15.75" customHeight="1" x14ac:dyDescent="0.25"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</row>
    <row r="272" spans="15:54" ht="15.75" customHeight="1" x14ac:dyDescent="0.25"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</row>
    <row r="273" spans="15:54" ht="15.75" customHeight="1" x14ac:dyDescent="0.25"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</row>
    <row r="274" spans="15:54" ht="15.75" customHeight="1" x14ac:dyDescent="0.25"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</row>
    <row r="275" spans="15:54" ht="15.75" customHeight="1" x14ac:dyDescent="0.25"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</row>
    <row r="276" spans="15:54" ht="15.75" customHeight="1" x14ac:dyDescent="0.25"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</row>
    <row r="277" spans="15:54" ht="15.75" customHeight="1" x14ac:dyDescent="0.25"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</row>
    <row r="278" spans="15:54" ht="15.75" customHeight="1" x14ac:dyDescent="0.25"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</row>
    <row r="279" spans="15:54" ht="15.75" customHeight="1" x14ac:dyDescent="0.25"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</row>
    <row r="280" spans="15:54" ht="15.75" customHeight="1" x14ac:dyDescent="0.25"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</row>
    <row r="281" spans="15:54" ht="15.75" customHeight="1" x14ac:dyDescent="0.25"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</row>
    <row r="282" spans="15:54" ht="15.75" customHeight="1" x14ac:dyDescent="0.25"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</row>
    <row r="283" spans="15:54" ht="15.75" customHeight="1" x14ac:dyDescent="0.25"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</row>
    <row r="284" spans="15:54" ht="15.75" customHeight="1" x14ac:dyDescent="0.25"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</row>
    <row r="285" spans="15:54" ht="15.75" customHeight="1" x14ac:dyDescent="0.25"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</row>
    <row r="286" spans="15:54" ht="15.75" customHeight="1" x14ac:dyDescent="0.25"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</row>
    <row r="287" spans="15:54" ht="15.75" customHeight="1" x14ac:dyDescent="0.25"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</row>
    <row r="288" spans="15:54" ht="15.75" customHeight="1" x14ac:dyDescent="0.25"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</row>
    <row r="289" spans="15:54" ht="15.75" customHeight="1" x14ac:dyDescent="0.25"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</row>
    <row r="290" spans="15:54" ht="15.75" customHeight="1" x14ac:dyDescent="0.25"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</row>
    <row r="291" spans="15:54" ht="15.75" customHeight="1" x14ac:dyDescent="0.25"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</row>
    <row r="292" spans="15:54" ht="15.75" customHeight="1" x14ac:dyDescent="0.25"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</row>
    <row r="293" spans="15:54" ht="15.75" customHeight="1" x14ac:dyDescent="0.25"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</row>
    <row r="294" spans="15:54" ht="15.75" customHeight="1" x14ac:dyDescent="0.25"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</row>
    <row r="295" spans="15:54" ht="15.75" customHeight="1" x14ac:dyDescent="0.25"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</row>
    <row r="296" spans="15:54" ht="15.75" customHeight="1" x14ac:dyDescent="0.25"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</row>
    <row r="297" spans="15:54" ht="15.75" customHeight="1" x14ac:dyDescent="0.25"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</row>
    <row r="298" spans="15:54" ht="15.75" customHeight="1" x14ac:dyDescent="0.25"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</row>
    <row r="299" spans="15:54" ht="15.75" customHeight="1" x14ac:dyDescent="0.25"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</row>
    <row r="300" spans="15:54" ht="15.75" customHeight="1" x14ac:dyDescent="0.25"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</row>
    <row r="301" spans="15:54" ht="15.75" customHeight="1" x14ac:dyDescent="0.25"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</row>
    <row r="302" spans="15:54" ht="15.75" customHeight="1" x14ac:dyDescent="0.25"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</row>
    <row r="303" spans="15:54" ht="15.75" customHeight="1" x14ac:dyDescent="0.25"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</row>
    <row r="304" spans="15:54" ht="15.75" customHeight="1" x14ac:dyDescent="0.25"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</row>
    <row r="305" spans="15:54" ht="15.75" customHeight="1" x14ac:dyDescent="0.25"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</row>
    <row r="306" spans="15:54" ht="15.75" customHeight="1" x14ac:dyDescent="0.25"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</row>
    <row r="307" spans="15:54" ht="15.75" customHeight="1" x14ac:dyDescent="0.25"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</row>
    <row r="308" spans="15:54" ht="15.75" customHeight="1" x14ac:dyDescent="0.25"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</row>
    <row r="309" spans="15:54" ht="15.75" customHeight="1" x14ac:dyDescent="0.25"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</row>
    <row r="310" spans="15:54" ht="15.75" customHeight="1" x14ac:dyDescent="0.25"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</row>
    <row r="311" spans="15:54" ht="15.75" customHeight="1" x14ac:dyDescent="0.25"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</row>
    <row r="312" spans="15:54" ht="15.75" customHeight="1" x14ac:dyDescent="0.25"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</row>
    <row r="313" spans="15:54" ht="15.75" customHeight="1" x14ac:dyDescent="0.25"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</row>
    <row r="314" spans="15:54" ht="15.75" customHeight="1" x14ac:dyDescent="0.25"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</row>
    <row r="315" spans="15:54" ht="15.75" customHeight="1" x14ac:dyDescent="0.25"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</row>
    <row r="316" spans="15:54" ht="15.75" customHeight="1" x14ac:dyDescent="0.25"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</row>
    <row r="317" spans="15:54" ht="15.75" customHeight="1" x14ac:dyDescent="0.25"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</row>
    <row r="318" spans="15:54" ht="15.75" customHeight="1" x14ac:dyDescent="0.25"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</row>
    <row r="319" spans="15:54" ht="15.75" customHeight="1" x14ac:dyDescent="0.25"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</row>
    <row r="320" spans="15:54" ht="15.75" customHeight="1" x14ac:dyDescent="0.25"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</row>
    <row r="321" spans="15:54" ht="15.75" customHeight="1" x14ac:dyDescent="0.25"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</row>
    <row r="322" spans="15:54" ht="15.75" customHeight="1" x14ac:dyDescent="0.25"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</row>
    <row r="323" spans="15:54" ht="15.75" customHeight="1" x14ac:dyDescent="0.25"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</row>
    <row r="324" spans="15:54" ht="15.75" customHeight="1" x14ac:dyDescent="0.25"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</row>
    <row r="325" spans="15:54" ht="15.75" customHeight="1" x14ac:dyDescent="0.25"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</row>
    <row r="326" spans="15:54" ht="15.75" customHeight="1" x14ac:dyDescent="0.25"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</row>
    <row r="327" spans="15:54" ht="15.75" customHeight="1" x14ac:dyDescent="0.25"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</row>
    <row r="328" spans="15:54" ht="15.75" customHeight="1" x14ac:dyDescent="0.25"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</row>
    <row r="329" spans="15:54" ht="15.75" customHeight="1" x14ac:dyDescent="0.25"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</row>
    <row r="330" spans="15:54" ht="15.75" customHeight="1" x14ac:dyDescent="0.25"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</row>
    <row r="331" spans="15:54" ht="15.75" customHeight="1" x14ac:dyDescent="0.25"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</row>
    <row r="332" spans="15:54" ht="15.75" customHeight="1" x14ac:dyDescent="0.25"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</row>
    <row r="333" spans="15:54" ht="15.75" customHeight="1" x14ac:dyDescent="0.25"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</row>
    <row r="334" spans="15:54" ht="15.75" customHeight="1" x14ac:dyDescent="0.25"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</row>
    <row r="335" spans="15:54" ht="15.75" customHeight="1" x14ac:dyDescent="0.25"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</row>
    <row r="336" spans="15:54" ht="15.75" customHeight="1" x14ac:dyDescent="0.25"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</row>
    <row r="337" spans="15:54" ht="15.75" customHeight="1" x14ac:dyDescent="0.25"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</row>
    <row r="338" spans="15:54" ht="15.75" customHeight="1" x14ac:dyDescent="0.25"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</row>
    <row r="339" spans="15:54" ht="15.75" customHeight="1" x14ac:dyDescent="0.25"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</row>
    <row r="340" spans="15:54" ht="15.75" customHeight="1" x14ac:dyDescent="0.25"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</row>
    <row r="341" spans="15:54" ht="15.75" customHeight="1" x14ac:dyDescent="0.25"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</row>
    <row r="342" spans="15:54" ht="15.75" customHeight="1" x14ac:dyDescent="0.25"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</row>
    <row r="343" spans="15:54" ht="15.75" customHeight="1" x14ac:dyDescent="0.25"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</row>
    <row r="344" spans="15:54" ht="15.75" customHeight="1" x14ac:dyDescent="0.25"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</row>
    <row r="345" spans="15:54" ht="15.75" customHeight="1" x14ac:dyDescent="0.25"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</row>
    <row r="346" spans="15:54" ht="15.75" customHeight="1" x14ac:dyDescent="0.25"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</row>
    <row r="347" spans="15:54" ht="15.75" customHeight="1" x14ac:dyDescent="0.25"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</row>
    <row r="348" spans="15:54" ht="15.75" customHeight="1" x14ac:dyDescent="0.25"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</row>
    <row r="349" spans="15:54" ht="15.75" customHeight="1" x14ac:dyDescent="0.25"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</row>
    <row r="350" spans="15:54" ht="15.75" customHeight="1" x14ac:dyDescent="0.25"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</row>
    <row r="351" spans="15:54" ht="15.75" customHeight="1" x14ac:dyDescent="0.25"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</row>
    <row r="352" spans="15:54" ht="15.75" customHeight="1" x14ac:dyDescent="0.25"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</row>
    <row r="353" spans="15:54" ht="15.75" customHeight="1" x14ac:dyDescent="0.25"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</row>
    <row r="354" spans="15:54" ht="15.75" customHeight="1" x14ac:dyDescent="0.25"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</row>
    <row r="355" spans="15:54" ht="15.75" customHeight="1" x14ac:dyDescent="0.25"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</row>
    <row r="356" spans="15:54" ht="15.75" customHeight="1" x14ac:dyDescent="0.25"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</row>
    <row r="357" spans="15:54" ht="15.75" customHeight="1" x14ac:dyDescent="0.25"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</row>
    <row r="358" spans="15:54" ht="15.75" customHeight="1" x14ac:dyDescent="0.25"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</row>
    <row r="359" spans="15:54" ht="15.75" customHeight="1" x14ac:dyDescent="0.25"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</row>
    <row r="360" spans="15:54" ht="15.75" customHeight="1" x14ac:dyDescent="0.25"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</row>
    <row r="361" spans="15:54" ht="15.75" customHeight="1" x14ac:dyDescent="0.25"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</row>
    <row r="362" spans="15:54" ht="15.75" customHeight="1" x14ac:dyDescent="0.25"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</row>
    <row r="363" spans="15:54" ht="15.75" customHeight="1" x14ac:dyDescent="0.25"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</row>
    <row r="364" spans="15:54" ht="15.75" customHeight="1" x14ac:dyDescent="0.25"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</row>
    <row r="365" spans="15:54" ht="15.75" customHeight="1" x14ac:dyDescent="0.25"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</row>
    <row r="366" spans="15:54" ht="15.75" customHeight="1" x14ac:dyDescent="0.25"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</row>
    <row r="367" spans="15:54" ht="15.75" customHeight="1" x14ac:dyDescent="0.25"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</row>
    <row r="368" spans="15:54" ht="15.75" customHeight="1" x14ac:dyDescent="0.25"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</row>
    <row r="369" spans="15:54" ht="15.75" customHeight="1" x14ac:dyDescent="0.25"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</row>
    <row r="370" spans="15:54" ht="15.75" customHeight="1" x14ac:dyDescent="0.25"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</row>
    <row r="371" spans="15:54" ht="15.75" customHeight="1" x14ac:dyDescent="0.25"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</row>
    <row r="372" spans="15:54" ht="15.75" customHeight="1" x14ac:dyDescent="0.25"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</row>
    <row r="373" spans="15:54" ht="15.75" customHeight="1" x14ac:dyDescent="0.25"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</row>
    <row r="374" spans="15:54" ht="15.75" customHeight="1" x14ac:dyDescent="0.25"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</row>
    <row r="375" spans="15:54" ht="15.75" customHeight="1" x14ac:dyDescent="0.25"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</row>
    <row r="376" spans="15:54" ht="15.75" customHeight="1" x14ac:dyDescent="0.25"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</row>
    <row r="377" spans="15:54" ht="15.75" customHeight="1" x14ac:dyDescent="0.25"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</row>
    <row r="378" spans="15:54" ht="15.75" customHeight="1" x14ac:dyDescent="0.25"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</row>
    <row r="379" spans="15:54" ht="15.75" customHeight="1" x14ac:dyDescent="0.25"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</row>
    <row r="380" spans="15:54" ht="15.75" customHeight="1" x14ac:dyDescent="0.25"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</row>
    <row r="381" spans="15:54" ht="15.75" customHeight="1" x14ac:dyDescent="0.25"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</row>
    <row r="382" spans="15:54" ht="15.75" customHeight="1" x14ac:dyDescent="0.25"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</row>
    <row r="383" spans="15:54" ht="15.75" customHeight="1" x14ac:dyDescent="0.25"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</row>
    <row r="384" spans="15:54" ht="15.75" customHeight="1" x14ac:dyDescent="0.25"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</row>
    <row r="385" spans="15:54" ht="15.75" customHeight="1" x14ac:dyDescent="0.25"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</row>
    <row r="386" spans="15:54" ht="15.75" customHeight="1" x14ac:dyDescent="0.25"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</row>
    <row r="387" spans="15:54" ht="15.75" customHeight="1" x14ac:dyDescent="0.25"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</row>
    <row r="388" spans="15:54" ht="15.75" customHeight="1" x14ac:dyDescent="0.25"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</row>
    <row r="389" spans="15:54" ht="15.75" customHeight="1" x14ac:dyDescent="0.25"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</row>
    <row r="390" spans="15:54" ht="15.75" customHeight="1" x14ac:dyDescent="0.25"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</row>
    <row r="391" spans="15:54" ht="15.75" customHeight="1" x14ac:dyDescent="0.25"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</row>
    <row r="392" spans="15:54" ht="15.75" customHeight="1" x14ac:dyDescent="0.25"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</row>
    <row r="393" spans="15:54" ht="15.75" customHeight="1" x14ac:dyDescent="0.25"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</row>
    <row r="394" spans="15:54" ht="15.75" customHeight="1" x14ac:dyDescent="0.25"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</row>
    <row r="395" spans="15:54" ht="15.75" customHeight="1" x14ac:dyDescent="0.25"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</row>
    <row r="396" spans="15:54" ht="15.75" customHeight="1" x14ac:dyDescent="0.25"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</row>
    <row r="397" spans="15:54" ht="15.75" customHeight="1" x14ac:dyDescent="0.25"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</row>
    <row r="398" spans="15:54" ht="15.75" customHeight="1" x14ac:dyDescent="0.25"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</row>
    <row r="399" spans="15:54" ht="15.75" customHeight="1" x14ac:dyDescent="0.25"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</row>
    <row r="400" spans="15:54" ht="15.75" customHeight="1" x14ac:dyDescent="0.25"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</row>
    <row r="401" spans="15:54" ht="15.75" customHeight="1" x14ac:dyDescent="0.25"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</row>
    <row r="402" spans="15:54" ht="15.75" customHeight="1" x14ac:dyDescent="0.25"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</row>
    <row r="403" spans="15:54" ht="15.75" customHeight="1" x14ac:dyDescent="0.25"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</row>
    <row r="404" spans="15:54" ht="15.75" customHeight="1" x14ac:dyDescent="0.25"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</row>
    <row r="405" spans="15:54" ht="15.75" customHeight="1" x14ac:dyDescent="0.25"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</row>
    <row r="406" spans="15:54" ht="15.75" customHeight="1" x14ac:dyDescent="0.25"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</row>
    <row r="407" spans="15:54" ht="15.75" customHeight="1" x14ac:dyDescent="0.25"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</row>
    <row r="408" spans="15:54" ht="15.75" customHeight="1" x14ac:dyDescent="0.25"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</row>
    <row r="409" spans="15:54" ht="15.75" customHeight="1" x14ac:dyDescent="0.25"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</row>
    <row r="410" spans="15:54" ht="15.75" customHeight="1" x14ac:dyDescent="0.25"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</row>
    <row r="411" spans="15:54" ht="15.75" customHeight="1" x14ac:dyDescent="0.25"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</row>
    <row r="412" spans="15:54" ht="15.75" customHeight="1" x14ac:dyDescent="0.25"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</row>
    <row r="413" spans="15:54" ht="15.75" customHeight="1" x14ac:dyDescent="0.25"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</row>
    <row r="414" spans="15:54" ht="15.75" customHeight="1" x14ac:dyDescent="0.25"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</row>
    <row r="415" spans="15:54" ht="15.75" customHeight="1" x14ac:dyDescent="0.25"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</row>
    <row r="416" spans="15:54" ht="15.75" customHeight="1" x14ac:dyDescent="0.25"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</row>
    <row r="417" spans="15:54" ht="15.75" customHeight="1" x14ac:dyDescent="0.25"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</row>
    <row r="418" spans="15:54" ht="15.75" customHeight="1" x14ac:dyDescent="0.25"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</row>
    <row r="419" spans="15:54" ht="15.75" customHeight="1" x14ac:dyDescent="0.25"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</row>
    <row r="420" spans="15:54" ht="15.75" customHeight="1" x14ac:dyDescent="0.25"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</row>
    <row r="421" spans="15:54" ht="15.75" customHeight="1" x14ac:dyDescent="0.25"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</row>
    <row r="422" spans="15:54" ht="15.75" customHeight="1" x14ac:dyDescent="0.25"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</row>
    <row r="423" spans="15:54" ht="15.75" customHeight="1" x14ac:dyDescent="0.25"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</row>
    <row r="424" spans="15:54" ht="15.75" customHeight="1" x14ac:dyDescent="0.25"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</row>
    <row r="425" spans="15:54" ht="15.75" customHeight="1" x14ac:dyDescent="0.25"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</row>
    <row r="426" spans="15:54" ht="15.75" customHeight="1" x14ac:dyDescent="0.25"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</row>
    <row r="427" spans="15:54" ht="15.75" customHeight="1" x14ac:dyDescent="0.25"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</row>
    <row r="428" spans="15:54" ht="15.75" customHeight="1" x14ac:dyDescent="0.25"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</row>
    <row r="429" spans="15:54" ht="15.75" customHeight="1" x14ac:dyDescent="0.25"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</row>
    <row r="430" spans="15:54" ht="15.75" customHeight="1" x14ac:dyDescent="0.25"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</row>
    <row r="431" spans="15:54" ht="15.75" customHeight="1" x14ac:dyDescent="0.25"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</row>
    <row r="432" spans="15:54" ht="15.75" customHeight="1" x14ac:dyDescent="0.25"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</row>
    <row r="433" spans="15:54" ht="15.75" customHeight="1" x14ac:dyDescent="0.25"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</row>
    <row r="434" spans="15:54" ht="15.75" customHeight="1" x14ac:dyDescent="0.25"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</row>
    <row r="435" spans="15:54" ht="15.75" customHeight="1" x14ac:dyDescent="0.25"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</row>
    <row r="436" spans="15:54" ht="15.75" customHeight="1" x14ac:dyDescent="0.25"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</row>
    <row r="437" spans="15:54" ht="15.75" customHeight="1" x14ac:dyDescent="0.25"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</row>
    <row r="438" spans="15:54" ht="15.75" customHeight="1" x14ac:dyDescent="0.25"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</row>
    <row r="439" spans="15:54" ht="15.75" customHeight="1" x14ac:dyDescent="0.25"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</row>
    <row r="440" spans="15:54" ht="15.75" customHeight="1" x14ac:dyDescent="0.25"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</row>
    <row r="441" spans="15:54" ht="15.75" customHeight="1" x14ac:dyDescent="0.25"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</row>
    <row r="442" spans="15:54" ht="15.75" customHeight="1" x14ac:dyDescent="0.25"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</row>
    <row r="443" spans="15:54" ht="15.75" customHeight="1" x14ac:dyDescent="0.25"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</row>
    <row r="444" spans="15:54" ht="15.75" customHeight="1" x14ac:dyDescent="0.25"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</row>
    <row r="445" spans="15:54" ht="15.75" customHeight="1" x14ac:dyDescent="0.25"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</row>
    <row r="446" spans="15:54" ht="15.75" customHeight="1" x14ac:dyDescent="0.25"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</row>
    <row r="447" spans="15:54" ht="15.75" customHeight="1" x14ac:dyDescent="0.25"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</row>
    <row r="448" spans="15:54" ht="15.75" customHeight="1" x14ac:dyDescent="0.25"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</row>
    <row r="449" spans="15:54" ht="15.75" customHeight="1" x14ac:dyDescent="0.25"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</row>
    <row r="450" spans="15:54" ht="15.75" customHeight="1" x14ac:dyDescent="0.25"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</row>
    <row r="451" spans="15:54" ht="15.75" customHeight="1" x14ac:dyDescent="0.25"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</row>
    <row r="452" spans="15:54" ht="15.75" customHeight="1" x14ac:dyDescent="0.25"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</row>
    <row r="453" spans="15:54" ht="15.75" customHeight="1" x14ac:dyDescent="0.25"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</row>
    <row r="454" spans="15:54" ht="15.75" customHeight="1" x14ac:dyDescent="0.25"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</row>
    <row r="455" spans="15:54" ht="15.75" customHeight="1" x14ac:dyDescent="0.25"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</row>
    <row r="456" spans="15:54" ht="15.75" customHeight="1" x14ac:dyDescent="0.25"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</row>
    <row r="457" spans="15:54" ht="15.75" customHeight="1" x14ac:dyDescent="0.25"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</row>
    <row r="458" spans="15:54" ht="15.75" customHeight="1" x14ac:dyDescent="0.25"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</row>
    <row r="459" spans="15:54" ht="15.75" customHeight="1" x14ac:dyDescent="0.25"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</row>
    <row r="460" spans="15:54" ht="15.75" customHeight="1" x14ac:dyDescent="0.25"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</row>
    <row r="461" spans="15:54" ht="15.75" customHeight="1" x14ac:dyDescent="0.25"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</row>
    <row r="462" spans="15:54" ht="15.75" customHeight="1" x14ac:dyDescent="0.25"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</row>
    <row r="463" spans="15:54" ht="15.75" customHeight="1" x14ac:dyDescent="0.25"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</row>
    <row r="464" spans="15:54" ht="15.75" customHeight="1" x14ac:dyDescent="0.25"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</row>
    <row r="465" spans="15:54" ht="15.75" customHeight="1" x14ac:dyDescent="0.25"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</row>
    <row r="466" spans="15:54" ht="15.75" customHeight="1" x14ac:dyDescent="0.25"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</row>
    <row r="467" spans="15:54" ht="15.75" customHeight="1" x14ac:dyDescent="0.25"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</row>
    <row r="468" spans="15:54" ht="15.75" customHeight="1" x14ac:dyDescent="0.25"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</row>
    <row r="469" spans="15:54" ht="15.75" customHeight="1" x14ac:dyDescent="0.25"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</row>
    <row r="470" spans="15:54" ht="15.75" customHeight="1" x14ac:dyDescent="0.25"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</row>
    <row r="471" spans="15:54" ht="15.75" customHeight="1" x14ac:dyDescent="0.25"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</row>
    <row r="472" spans="15:54" ht="15.75" customHeight="1" x14ac:dyDescent="0.25"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</row>
    <row r="473" spans="15:54" ht="15.75" customHeight="1" x14ac:dyDescent="0.25"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</row>
    <row r="474" spans="15:54" ht="15.75" customHeight="1" x14ac:dyDescent="0.25"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</row>
    <row r="475" spans="15:54" ht="15.75" customHeight="1" x14ac:dyDescent="0.25"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</row>
    <row r="476" spans="15:54" ht="15.75" customHeight="1" x14ac:dyDescent="0.25"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</row>
    <row r="477" spans="15:54" ht="15.75" customHeight="1" x14ac:dyDescent="0.25"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</row>
    <row r="478" spans="15:54" ht="15.75" customHeight="1" x14ac:dyDescent="0.25"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</row>
    <row r="479" spans="15:54" ht="15.75" customHeight="1" x14ac:dyDescent="0.25"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</row>
    <row r="480" spans="15:54" ht="15.75" customHeight="1" x14ac:dyDescent="0.25"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</row>
    <row r="481" spans="15:54" ht="15.75" customHeight="1" x14ac:dyDescent="0.25"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</row>
    <row r="482" spans="15:54" ht="15.75" customHeight="1" x14ac:dyDescent="0.25"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</row>
    <row r="483" spans="15:54" ht="15.75" customHeight="1" x14ac:dyDescent="0.25"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</row>
    <row r="484" spans="15:54" ht="15.75" customHeight="1" x14ac:dyDescent="0.25"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</row>
    <row r="485" spans="15:54" ht="15.75" customHeight="1" x14ac:dyDescent="0.25"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</row>
    <row r="486" spans="15:54" ht="15.75" customHeight="1" x14ac:dyDescent="0.25"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</row>
    <row r="487" spans="15:54" ht="15.75" customHeight="1" x14ac:dyDescent="0.25"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</row>
    <row r="488" spans="15:54" ht="15.75" customHeight="1" x14ac:dyDescent="0.25"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</row>
    <row r="489" spans="15:54" ht="15.75" customHeight="1" x14ac:dyDescent="0.25"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</row>
    <row r="490" spans="15:54" ht="15.75" customHeight="1" x14ac:dyDescent="0.25"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</row>
    <row r="491" spans="15:54" ht="15.75" customHeight="1" x14ac:dyDescent="0.25"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</row>
    <row r="492" spans="15:54" ht="15.75" customHeight="1" x14ac:dyDescent="0.25"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</row>
    <row r="493" spans="15:54" ht="15.75" customHeight="1" x14ac:dyDescent="0.25"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</row>
    <row r="494" spans="15:54" ht="15.75" customHeight="1" x14ac:dyDescent="0.25"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</row>
    <row r="495" spans="15:54" ht="15.75" customHeight="1" x14ac:dyDescent="0.25"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</row>
    <row r="496" spans="15:54" ht="15.75" customHeight="1" x14ac:dyDescent="0.25"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</row>
    <row r="497" spans="15:54" ht="15.75" customHeight="1" x14ac:dyDescent="0.25"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</row>
    <row r="498" spans="15:54" ht="15.75" customHeight="1" x14ac:dyDescent="0.25"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</row>
    <row r="499" spans="15:54" ht="15.75" customHeight="1" x14ac:dyDescent="0.25"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</row>
    <row r="500" spans="15:54" ht="15.75" customHeight="1" x14ac:dyDescent="0.25"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</row>
    <row r="501" spans="15:54" ht="15.75" customHeight="1" x14ac:dyDescent="0.25"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</row>
    <row r="502" spans="15:54" ht="15.75" customHeight="1" x14ac:dyDescent="0.25"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</row>
    <row r="503" spans="15:54" ht="15.75" customHeight="1" x14ac:dyDescent="0.25"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</row>
    <row r="504" spans="15:54" ht="15.75" customHeight="1" x14ac:dyDescent="0.25"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</row>
    <row r="505" spans="15:54" ht="15.75" customHeight="1" x14ac:dyDescent="0.25"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</row>
    <row r="506" spans="15:54" ht="15.75" customHeight="1" x14ac:dyDescent="0.25"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</row>
    <row r="507" spans="15:54" ht="15.75" customHeight="1" x14ac:dyDescent="0.25"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</row>
    <row r="508" spans="15:54" ht="15.75" customHeight="1" x14ac:dyDescent="0.25"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</row>
    <row r="509" spans="15:54" ht="15.75" customHeight="1" x14ac:dyDescent="0.25"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</row>
    <row r="510" spans="15:54" ht="15.75" customHeight="1" x14ac:dyDescent="0.25"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</row>
    <row r="511" spans="15:54" ht="15.75" customHeight="1" x14ac:dyDescent="0.25"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</row>
    <row r="512" spans="15:54" ht="15.75" customHeight="1" x14ac:dyDescent="0.25"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</row>
    <row r="513" spans="15:54" ht="15.75" customHeight="1" x14ac:dyDescent="0.25"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</row>
    <row r="514" spans="15:54" ht="15.75" customHeight="1" x14ac:dyDescent="0.25"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</row>
    <row r="515" spans="15:54" ht="15.75" customHeight="1" x14ac:dyDescent="0.25"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</row>
    <row r="516" spans="15:54" ht="15.75" customHeight="1" x14ac:dyDescent="0.25"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</row>
    <row r="517" spans="15:54" ht="15.75" customHeight="1" x14ac:dyDescent="0.25"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</row>
    <row r="518" spans="15:54" ht="15.75" customHeight="1" x14ac:dyDescent="0.25"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</row>
    <row r="519" spans="15:54" ht="15.75" customHeight="1" x14ac:dyDescent="0.25"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</row>
    <row r="520" spans="15:54" ht="15.75" customHeight="1" x14ac:dyDescent="0.25"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</row>
    <row r="521" spans="15:54" ht="15.75" customHeight="1" x14ac:dyDescent="0.25"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</row>
    <row r="522" spans="15:54" ht="15.75" customHeight="1" x14ac:dyDescent="0.25"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</row>
    <row r="523" spans="15:54" ht="15.75" customHeight="1" x14ac:dyDescent="0.25"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</row>
    <row r="524" spans="15:54" ht="15.75" customHeight="1" x14ac:dyDescent="0.25"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</row>
    <row r="525" spans="15:54" ht="15.75" customHeight="1" x14ac:dyDescent="0.25"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</row>
    <row r="526" spans="15:54" ht="15.75" customHeight="1" x14ac:dyDescent="0.25"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</row>
    <row r="527" spans="15:54" ht="15.75" customHeight="1" x14ac:dyDescent="0.25"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</row>
    <row r="528" spans="15:54" ht="15.75" customHeight="1" x14ac:dyDescent="0.25"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</row>
    <row r="529" spans="15:54" ht="15.75" customHeight="1" x14ac:dyDescent="0.25"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</row>
    <row r="530" spans="15:54" ht="15.75" customHeight="1" x14ac:dyDescent="0.25"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</row>
    <row r="531" spans="15:54" ht="15.75" customHeight="1" x14ac:dyDescent="0.25"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</row>
    <row r="532" spans="15:54" ht="15.75" customHeight="1" x14ac:dyDescent="0.25"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</row>
    <row r="533" spans="15:54" ht="15.75" customHeight="1" x14ac:dyDescent="0.25"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</row>
    <row r="534" spans="15:54" ht="15.75" customHeight="1" x14ac:dyDescent="0.25"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</row>
    <row r="535" spans="15:54" ht="15.75" customHeight="1" x14ac:dyDescent="0.25"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</row>
    <row r="536" spans="15:54" ht="15.75" customHeight="1" x14ac:dyDescent="0.25"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</row>
    <row r="537" spans="15:54" ht="15.75" customHeight="1" x14ac:dyDescent="0.25"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</row>
    <row r="538" spans="15:54" ht="15.75" customHeight="1" x14ac:dyDescent="0.25"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</row>
    <row r="539" spans="15:54" ht="15.75" customHeight="1" x14ac:dyDescent="0.25"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</row>
    <row r="540" spans="15:54" ht="15.75" customHeight="1" x14ac:dyDescent="0.25"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</row>
    <row r="541" spans="15:54" ht="15.75" customHeight="1" x14ac:dyDescent="0.25"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</row>
    <row r="542" spans="15:54" ht="15.75" customHeight="1" x14ac:dyDescent="0.25"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</row>
    <row r="543" spans="15:54" ht="15.75" customHeight="1" x14ac:dyDescent="0.25"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</row>
    <row r="544" spans="15:54" ht="15.75" customHeight="1" x14ac:dyDescent="0.25"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</row>
    <row r="545" spans="15:54" ht="15.75" customHeight="1" x14ac:dyDescent="0.25"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</row>
    <row r="546" spans="15:54" ht="15.75" customHeight="1" x14ac:dyDescent="0.25"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</row>
    <row r="547" spans="15:54" ht="15.75" customHeight="1" x14ac:dyDescent="0.25"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</row>
    <row r="548" spans="15:54" ht="15.75" customHeight="1" x14ac:dyDescent="0.25"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</row>
    <row r="549" spans="15:54" ht="15.75" customHeight="1" x14ac:dyDescent="0.25"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</row>
    <row r="550" spans="15:54" ht="15.75" customHeight="1" x14ac:dyDescent="0.25"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</row>
    <row r="551" spans="15:54" ht="15.75" customHeight="1" x14ac:dyDescent="0.25"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</row>
    <row r="552" spans="15:54" ht="15.75" customHeight="1" x14ac:dyDescent="0.25"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</row>
    <row r="553" spans="15:54" ht="15.75" customHeight="1" x14ac:dyDescent="0.25"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</row>
    <row r="554" spans="15:54" ht="15.75" customHeight="1" x14ac:dyDescent="0.25"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</row>
    <row r="555" spans="15:54" ht="15.75" customHeight="1" x14ac:dyDescent="0.25"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</row>
    <row r="556" spans="15:54" ht="15.75" customHeight="1" x14ac:dyDescent="0.25"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</row>
    <row r="557" spans="15:54" ht="15.75" customHeight="1" x14ac:dyDescent="0.25"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</row>
    <row r="558" spans="15:54" ht="15.75" customHeight="1" x14ac:dyDescent="0.25"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</row>
    <row r="559" spans="15:54" ht="15.75" customHeight="1" x14ac:dyDescent="0.25"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</row>
    <row r="560" spans="15:54" ht="15.75" customHeight="1" x14ac:dyDescent="0.25"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</row>
    <row r="561" spans="15:54" ht="15.75" customHeight="1" x14ac:dyDescent="0.25"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</row>
    <row r="562" spans="15:54" ht="15.75" customHeight="1" x14ac:dyDescent="0.25"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</row>
    <row r="563" spans="15:54" ht="15.75" customHeight="1" x14ac:dyDescent="0.25"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</row>
    <row r="564" spans="15:54" ht="15.75" customHeight="1" x14ac:dyDescent="0.25"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</row>
    <row r="565" spans="15:54" ht="15.75" customHeight="1" x14ac:dyDescent="0.25"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</row>
    <row r="566" spans="15:54" ht="15.75" customHeight="1" x14ac:dyDescent="0.25"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</row>
    <row r="567" spans="15:54" ht="15.75" customHeight="1" x14ac:dyDescent="0.25"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</row>
    <row r="568" spans="15:54" ht="15.75" customHeight="1" x14ac:dyDescent="0.25"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</row>
    <row r="569" spans="15:54" ht="15.75" customHeight="1" x14ac:dyDescent="0.25"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</row>
    <row r="570" spans="15:54" ht="15.75" customHeight="1" x14ac:dyDescent="0.25"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</row>
    <row r="571" spans="15:54" ht="15.75" customHeight="1" x14ac:dyDescent="0.25"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</row>
    <row r="572" spans="15:54" ht="15.75" customHeight="1" x14ac:dyDescent="0.25"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</row>
    <row r="573" spans="15:54" ht="15.75" customHeight="1" x14ac:dyDescent="0.25"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</row>
    <row r="574" spans="15:54" ht="15.75" customHeight="1" x14ac:dyDescent="0.25"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</row>
    <row r="575" spans="15:54" ht="15.75" customHeight="1" x14ac:dyDescent="0.25"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</row>
    <row r="576" spans="15:54" ht="15.75" customHeight="1" x14ac:dyDescent="0.25"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</row>
    <row r="577" spans="15:54" ht="15.75" customHeight="1" x14ac:dyDescent="0.25"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</row>
    <row r="578" spans="15:54" ht="15.75" customHeight="1" x14ac:dyDescent="0.25"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</row>
    <row r="579" spans="15:54" ht="15.75" customHeight="1" x14ac:dyDescent="0.25"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</row>
    <row r="580" spans="15:54" ht="15.75" customHeight="1" x14ac:dyDescent="0.25"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</row>
    <row r="581" spans="15:54" ht="15.75" customHeight="1" x14ac:dyDescent="0.25"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</row>
    <row r="582" spans="15:54" ht="15.75" customHeight="1" x14ac:dyDescent="0.25"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</row>
    <row r="583" spans="15:54" ht="15.75" customHeight="1" x14ac:dyDescent="0.25"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</row>
    <row r="584" spans="15:54" ht="15.75" customHeight="1" x14ac:dyDescent="0.25"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</row>
    <row r="585" spans="15:54" ht="15.75" customHeight="1" x14ac:dyDescent="0.25"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</row>
    <row r="586" spans="15:54" ht="15.75" customHeight="1" x14ac:dyDescent="0.25"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</row>
    <row r="587" spans="15:54" ht="15.75" customHeight="1" x14ac:dyDescent="0.25"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</row>
    <row r="588" spans="15:54" ht="15.75" customHeight="1" x14ac:dyDescent="0.25"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</row>
    <row r="589" spans="15:54" ht="15.75" customHeight="1" x14ac:dyDescent="0.25"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</row>
    <row r="590" spans="15:54" ht="15.75" customHeight="1" x14ac:dyDescent="0.25"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</row>
    <row r="591" spans="15:54" ht="15.75" customHeight="1" x14ac:dyDescent="0.25"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</row>
    <row r="592" spans="15:54" ht="15.75" customHeight="1" x14ac:dyDescent="0.25"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</row>
    <row r="593" spans="15:54" ht="15.75" customHeight="1" x14ac:dyDescent="0.25"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</row>
    <row r="594" spans="15:54" ht="15.75" customHeight="1" x14ac:dyDescent="0.25"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</row>
    <row r="595" spans="15:54" ht="15.75" customHeight="1" x14ac:dyDescent="0.25"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</row>
    <row r="596" spans="15:54" ht="15.75" customHeight="1" x14ac:dyDescent="0.25"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</row>
    <row r="597" spans="15:54" ht="15.75" customHeight="1" x14ac:dyDescent="0.25"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</row>
    <row r="598" spans="15:54" ht="15.75" customHeight="1" x14ac:dyDescent="0.25"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</row>
    <row r="599" spans="15:54" ht="15.75" customHeight="1" x14ac:dyDescent="0.25"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</row>
    <row r="600" spans="15:54" ht="15.75" customHeight="1" x14ac:dyDescent="0.25"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</row>
    <row r="601" spans="15:54" ht="15.75" customHeight="1" x14ac:dyDescent="0.25"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</row>
    <row r="602" spans="15:54" ht="15.75" customHeight="1" x14ac:dyDescent="0.25"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</row>
    <row r="603" spans="15:54" ht="15.75" customHeight="1" x14ac:dyDescent="0.25"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</row>
    <row r="604" spans="15:54" ht="15.75" customHeight="1" x14ac:dyDescent="0.25"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</row>
    <row r="605" spans="15:54" ht="15.75" customHeight="1" x14ac:dyDescent="0.25"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</row>
    <row r="606" spans="15:54" ht="15.75" customHeight="1" x14ac:dyDescent="0.25"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</row>
    <row r="607" spans="15:54" ht="15.75" customHeight="1" x14ac:dyDescent="0.25"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</row>
    <row r="608" spans="15:54" ht="15.75" customHeight="1" x14ac:dyDescent="0.25"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</row>
    <row r="609" spans="15:54" ht="15.75" customHeight="1" x14ac:dyDescent="0.25"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</row>
    <row r="610" spans="15:54" ht="15.75" customHeight="1" x14ac:dyDescent="0.25"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</row>
    <row r="611" spans="15:54" ht="15.75" customHeight="1" x14ac:dyDescent="0.25"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</row>
    <row r="612" spans="15:54" ht="15.75" customHeight="1" x14ac:dyDescent="0.25"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</row>
    <row r="613" spans="15:54" ht="15.75" customHeight="1" x14ac:dyDescent="0.25"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</row>
    <row r="614" spans="15:54" ht="15.75" customHeight="1" x14ac:dyDescent="0.25"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</row>
    <row r="615" spans="15:54" ht="15.75" customHeight="1" x14ac:dyDescent="0.25"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</row>
    <row r="616" spans="15:54" ht="15.75" customHeight="1" x14ac:dyDescent="0.25"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</row>
    <row r="617" spans="15:54" ht="15.75" customHeight="1" x14ac:dyDescent="0.25"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</row>
    <row r="618" spans="15:54" ht="15.75" customHeight="1" x14ac:dyDescent="0.25"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</row>
    <row r="619" spans="15:54" ht="15.75" customHeight="1" x14ac:dyDescent="0.25"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</row>
    <row r="620" spans="15:54" ht="15.75" customHeight="1" x14ac:dyDescent="0.25"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</row>
    <row r="621" spans="15:54" ht="15.75" customHeight="1" x14ac:dyDescent="0.25"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</row>
    <row r="622" spans="15:54" ht="15.75" customHeight="1" x14ac:dyDescent="0.25"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</row>
    <row r="623" spans="15:54" ht="15.75" customHeight="1" x14ac:dyDescent="0.25"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</row>
    <row r="624" spans="15:54" ht="15.75" customHeight="1" x14ac:dyDescent="0.25"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</row>
    <row r="625" spans="15:54" ht="15.75" customHeight="1" x14ac:dyDescent="0.25"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</row>
    <row r="626" spans="15:54" ht="15.75" customHeight="1" x14ac:dyDescent="0.25"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</row>
    <row r="627" spans="15:54" ht="15.75" customHeight="1" x14ac:dyDescent="0.25"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</row>
    <row r="628" spans="15:54" ht="15.75" customHeight="1" x14ac:dyDescent="0.25"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</row>
    <row r="629" spans="15:54" ht="15.75" customHeight="1" x14ac:dyDescent="0.25"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</row>
    <row r="630" spans="15:54" ht="15.75" customHeight="1" x14ac:dyDescent="0.25"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</row>
    <row r="631" spans="15:54" ht="15.75" customHeight="1" x14ac:dyDescent="0.25"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</row>
    <row r="632" spans="15:54" ht="15.75" customHeight="1" x14ac:dyDescent="0.25"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</row>
    <row r="633" spans="15:54" ht="15.75" customHeight="1" x14ac:dyDescent="0.25"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</row>
    <row r="634" spans="15:54" ht="15.75" customHeight="1" x14ac:dyDescent="0.25"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</row>
    <row r="635" spans="15:54" ht="15.75" customHeight="1" x14ac:dyDescent="0.25"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</row>
    <row r="636" spans="15:54" ht="15.75" customHeight="1" x14ac:dyDescent="0.25"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</row>
    <row r="637" spans="15:54" ht="15.75" customHeight="1" x14ac:dyDescent="0.25"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</row>
    <row r="638" spans="15:54" ht="15.75" customHeight="1" x14ac:dyDescent="0.25"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</row>
    <row r="639" spans="15:54" ht="15.75" customHeight="1" x14ac:dyDescent="0.25"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</row>
    <row r="640" spans="15:54" ht="15.75" customHeight="1" x14ac:dyDescent="0.25"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</row>
    <row r="641" spans="15:54" ht="15.75" customHeight="1" x14ac:dyDescent="0.25"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</row>
    <row r="642" spans="15:54" ht="15.75" customHeight="1" x14ac:dyDescent="0.25"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</row>
    <row r="643" spans="15:54" ht="15.75" customHeight="1" x14ac:dyDescent="0.25"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</row>
    <row r="644" spans="15:54" ht="15.75" customHeight="1" x14ac:dyDescent="0.25"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</row>
    <row r="645" spans="15:54" ht="15.75" customHeight="1" x14ac:dyDescent="0.25"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</row>
    <row r="646" spans="15:54" ht="15.75" customHeight="1" x14ac:dyDescent="0.25"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</row>
    <row r="647" spans="15:54" ht="15.75" customHeight="1" x14ac:dyDescent="0.25"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</row>
    <row r="648" spans="15:54" ht="15.75" customHeight="1" x14ac:dyDescent="0.25"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</row>
    <row r="649" spans="15:54" ht="15.75" customHeight="1" x14ac:dyDescent="0.25"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</row>
    <row r="650" spans="15:54" ht="15.75" customHeight="1" x14ac:dyDescent="0.25"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</row>
    <row r="651" spans="15:54" ht="15.75" customHeight="1" x14ac:dyDescent="0.25"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</row>
    <row r="652" spans="15:54" ht="15.75" customHeight="1" x14ac:dyDescent="0.25"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</row>
    <row r="653" spans="15:54" ht="15.75" customHeight="1" x14ac:dyDescent="0.25"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</row>
    <row r="654" spans="15:54" ht="15.75" customHeight="1" x14ac:dyDescent="0.25"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</row>
    <row r="655" spans="15:54" ht="15.75" customHeight="1" x14ac:dyDescent="0.25"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</row>
    <row r="656" spans="15:54" ht="15.75" customHeight="1" x14ac:dyDescent="0.25"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</row>
    <row r="657" spans="15:54" ht="15.75" customHeight="1" x14ac:dyDescent="0.25"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</row>
    <row r="658" spans="15:54" ht="15.75" customHeight="1" x14ac:dyDescent="0.25"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</row>
    <row r="659" spans="15:54" ht="15.75" customHeight="1" x14ac:dyDescent="0.25"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</row>
    <row r="660" spans="15:54" ht="15.75" customHeight="1" x14ac:dyDescent="0.25"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</row>
    <row r="661" spans="15:54" ht="15.75" customHeight="1" x14ac:dyDescent="0.25"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</row>
    <row r="662" spans="15:54" ht="15.75" customHeight="1" x14ac:dyDescent="0.25"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</row>
    <row r="663" spans="15:54" ht="15.75" customHeight="1" x14ac:dyDescent="0.25"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</row>
    <row r="664" spans="15:54" ht="15.75" customHeight="1" x14ac:dyDescent="0.25"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</row>
    <row r="665" spans="15:54" ht="15.75" customHeight="1" x14ac:dyDescent="0.25"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</row>
    <row r="666" spans="15:54" ht="15.75" customHeight="1" x14ac:dyDescent="0.25"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</row>
    <row r="667" spans="15:54" ht="15.75" customHeight="1" x14ac:dyDescent="0.25"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</row>
    <row r="668" spans="15:54" ht="15.75" customHeight="1" x14ac:dyDescent="0.25"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</row>
    <row r="669" spans="15:54" ht="15.75" customHeight="1" x14ac:dyDescent="0.25"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</row>
    <row r="670" spans="15:54" ht="15.75" customHeight="1" x14ac:dyDescent="0.25"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</row>
    <row r="671" spans="15:54" ht="15.75" customHeight="1" x14ac:dyDescent="0.25"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</row>
    <row r="672" spans="15:54" ht="15.75" customHeight="1" x14ac:dyDescent="0.25"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</row>
    <row r="673" spans="15:54" ht="15.75" customHeight="1" x14ac:dyDescent="0.25"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</row>
    <row r="674" spans="15:54" ht="15.75" customHeight="1" x14ac:dyDescent="0.25"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</row>
    <row r="675" spans="15:54" ht="15.75" customHeight="1" x14ac:dyDescent="0.25"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</row>
    <row r="676" spans="15:54" ht="15.75" customHeight="1" x14ac:dyDescent="0.25"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</row>
    <row r="677" spans="15:54" ht="15.75" customHeight="1" x14ac:dyDescent="0.25"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</row>
    <row r="678" spans="15:54" ht="15.75" customHeight="1" x14ac:dyDescent="0.25"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</row>
    <row r="679" spans="15:54" ht="15.75" customHeight="1" x14ac:dyDescent="0.25"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</row>
    <row r="680" spans="15:54" ht="15.75" customHeight="1" x14ac:dyDescent="0.25"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</row>
    <row r="681" spans="15:54" ht="15.75" customHeight="1" x14ac:dyDescent="0.25"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</row>
    <row r="682" spans="15:54" ht="15.75" customHeight="1" x14ac:dyDescent="0.25"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</row>
    <row r="683" spans="15:54" ht="15.75" customHeight="1" x14ac:dyDescent="0.25"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</row>
    <row r="684" spans="15:54" ht="15.75" customHeight="1" x14ac:dyDescent="0.25"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</row>
    <row r="685" spans="15:54" ht="15.75" customHeight="1" x14ac:dyDescent="0.25"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</row>
    <row r="686" spans="15:54" ht="15.75" customHeight="1" x14ac:dyDescent="0.25"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</row>
    <row r="687" spans="15:54" ht="15.75" customHeight="1" x14ac:dyDescent="0.25"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</row>
    <row r="688" spans="15:54" ht="15.75" customHeight="1" x14ac:dyDescent="0.25"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</row>
    <row r="689" spans="15:54" ht="15.75" customHeight="1" x14ac:dyDescent="0.25"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</row>
    <row r="690" spans="15:54" ht="15.75" customHeight="1" x14ac:dyDescent="0.25"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</row>
    <row r="691" spans="15:54" ht="15.75" customHeight="1" x14ac:dyDescent="0.25"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</row>
    <row r="692" spans="15:54" ht="15.75" customHeight="1" x14ac:dyDescent="0.25"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</row>
    <row r="693" spans="15:54" ht="15.75" customHeight="1" x14ac:dyDescent="0.25"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</row>
    <row r="694" spans="15:54" ht="15.75" customHeight="1" x14ac:dyDescent="0.25"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</row>
    <row r="695" spans="15:54" ht="15.75" customHeight="1" x14ac:dyDescent="0.25"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</row>
    <row r="696" spans="15:54" ht="15.75" customHeight="1" x14ac:dyDescent="0.25"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</row>
    <row r="697" spans="15:54" ht="15.75" customHeight="1" x14ac:dyDescent="0.25"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</row>
    <row r="698" spans="15:54" ht="15.75" customHeight="1" x14ac:dyDescent="0.25"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</row>
    <row r="699" spans="15:54" ht="15.75" customHeight="1" x14ac:dyDescent="0.25"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</row>
    <row r="700" spans="15:54" ht="15.75" customHeight="1" x14ac:dyDescent="0.25"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</row>
    <row r="701" spans="15:54" ht="15.75" customHeight="1" x14ac:dyDescent="0.25"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</row>
    <row r="702" spans="15:54" ht="15.75" customHeight="1" x14ac:dyDescent="0.25"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</row>
    <row r="703" spans="15:54" ht="15.75" customHeight="1" x14ac:dyDescent="0.25"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</row>
    <row r="704" spans="15:54" ht="15.75" customHeight="1" x14ac:dyDescent="0.25"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</row>
    <row r="705" spans="15:54" ht="15.75" customHeight="1" x14ac:dyDescent="0.25"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</row>
    <row r="706" spans="15:54" ht="15.75" customHeight="1" x14ac:dyDescent="0.25"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</row>
    <row r="707" spans="15:54" ht="15.75" customHeight="1" x14ac:dyDescent="0.25"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</row>
    <row r="708" spans="15:54" ht="15.75" customHeight="1" x14ac:dyDescent="0.25"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</row>
    <row r="709" spans="15:54" ht="15.75" customHeight="1" x14ac:dyDescent="0.25"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</row>
    <row r="710" spans="15:54" ht="15.75" customHeight="1" x14ac:dyDescent="0.25"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</row>
    <row r="711" spans="15:54" ht="15.75" customHeight="1" x14ac:dyDescent="0.25"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</row>
    <row r="712" spans="15:54" ht="15.75" customHeight="1" x14ac:dyDescent="0.25"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</row>
    <row r="713" spans="15:54" ht="15.75" customHeight="1" x14ac:dyDescent="0.25"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</row>
    <row r="714" spans="15:54" ht="15.75" customHeight="1" x14ac:dyDescent="0.25"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</row>
    <row r="715" spans="15:54" ht="15.75" customHeight="1" x14ac:dyDescent="0.25"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</row>
    <row r="716" spans="15:54" ht="15.75" customHeight="1" x14ac:dyDescent="0.25"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</row>
    <row r="717" spans="15:54" ht="15.75" customHeight="1" x14ac:dyDescent="0.25"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</row>
    <row r="718" spans="15:54" ht="15.75" customHeight="1" x14ac:dyDescent="0.25"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</row>
    <row r="719" spans="15:54" ht="15.75" customHeight="1" x14ac:dyDescent="0.25"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</row>
    <row r="720" spans="15:54" ht="15.75" customHeight="1" x14ac:dyDescent="0.25"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</row>
    <row r="721" spans="15:54" ht="15.75" customHeight="1" x14ac:dyDescent="0.25"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</row>
    <row r="722" spans="15:54" ht="15.75" customHeight="1" x14ac:dyDescent="0.25"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</row>
    <row r="723" spans="15:54" ht="15.75" customHeight="1" x14ac:dyDescent="0.25"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</row>
    <row r="724" spans="15:54" ht="15.75" customHeight="1" x14ac:dyDescent="0.25"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</row>
    <row r="725" spans="15:54" ht="15.75" customHeight="1" x14ac:dyDescent="0.25"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</row>
    <row r="726" spans="15:54" ht="15.75" customHeight="1" x14ac:dyDescent="0.25"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</row>
    <row r="727" spans="15:54" ht="15.75" customHeight="1" x14ac:dyDescent="0.25"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</row>
    <row r="728" spans="15:54" ht="15.75" customHeight="1" x14ac:dyDescent="0.25"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</row>
    <row r="729" spans="15:54" ht="15.75" customHeight="1" x14ac:dyDescent="0.25"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</row>
    <row r="730" spans="15:54" ht="15.75" customHeight="1" x14ac:dyDescent="0.25"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</row>
    <row r="731" spans="15:54" ht="15.75" customHeight="1" x14ac:dyDescent="0.25"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</row>
    <row r="732" spans="15:54" ht="15.75" customHeight="1" x14ac:dyDescent="0.25"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</row>
    <row r="733" spans="15:54" ht="15.75" customHeight="1" x14ac:dyDescent="0.25"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</row>
    <row r="734" spans="15:54" ht="15.75" customHeight="1" x14ac:dyDescent="0.25"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</row>
    <row r="735" spans="15:54" ht="15.75" customHeight="1" x14ac:dyDescent="0.25"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</row>
    <row r="736" spans="15:54" ht="15.75" customHeight="1" x14ac:dyDescent="0.25"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</row>
    <row r="737" spans="15:54" ht="15.75" customHeight="1" x14ac:dyDescent="0.25"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</row>
    <row r="738" spans="15:54" ht="15.75" customHeight="1" x14ac:dyDescent="0.25"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</row>
    <row r="739" spans="15:54" ht="15.75" customHeight="1" x14ac:dyDescent="0.25"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</row>
    <row r="740" spans="15:54" ht="15.75" customHeight="1" x14ac:dyDescent="0.25"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</row>
    <row r="741" spans="15:54" ht="15.75" customHeight="1" x14ac:dyDescent="0.25"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</row>
    <row r="742" spans="15:54" ht="15.75" customHeight="1" x14ac:dyDescent="0.25"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</row>
    <row r="743" spans="15:54" ht="15.75" customHeight="1" x14ac:dyDescent="0.25"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</row>
    <row r="744" spans="15:54" ht="15.75" customHeight="1" x14ac:dyDescent="0.25"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</row>
    <row r="745" spans="15:54" ht="15.75" customHeight="1" x14ac:dyDescent="0.25"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</row>
    <row r="746" spans="15:54" ht="15.75" customHeight="1" x14ac:dyDescent="0.25"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</row>
    <row r="747" spans="15:54" ht="15.75" customHeight="1" x14ac:dyDescent="0.25"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</row>
    <row r="748" spans="15:54" ht="15.75" customHeight="1" x14ac:dyDescent="0.25"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</row>
    <row r="749" spans="15:54" ht="15.75" customHeight="1" x14ac:dyDescent="0.25"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</row>
    <row r="750" spans="15:54" ht="15.75" customHeight="1" x14ac:dyDescent="0.25"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</row>
    <row r="751" spans="15:54" ht="15.75" customHeight="1" x14ac:dyDescent="0.25"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</row>
    <row r="752" spans="15:54" ht="15.75" customHeight="1" x14ac:dyDescent="0.25"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</row>
    <row r="753" spans="15:54" ht="15.75" customHeight="1" x14ac:dyDescent="0.25"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</row>
    <row r="754" spans="15:54" ht="15.75" customHeight="1" x14ac:dyDescent="0.25"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</row>
    <row r="755" spans="15:54" ht="15.75" customHeight="1" x14ac:dyDescent="0.25"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</row>
    <row r="756" spans="15:54" ht="15.75" customHeight="1" x14ac:dyDescent="0.25"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</row>
    <row r="757" spans="15:54" ht="15.75" customHeight="1" x14ac:dyDescent="0.25"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</row>
    <row r="758" spans="15:54" ht="15.75" customHeight="1" x14ac:dyDescent="0.25"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</row>
    <row r="759" spans="15:54" ht="15.75" customHeight="1" x14ac:dyDescent="0.25"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</row>
    <row r="760" spans="15:54" ht="15.75" customHeight="1" x14ac:dyDescent="0.25"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</row>
    <row r="761" spans="15:54" ht="15.75" customHeight="1" x14ac:dyDescent="0.25"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</row>
    <row r="762" spans="15:54" ht="15.75" customHeight="1" x14ac:dyDescent="0.25"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</row>
    <row r="763" spans="15:54" ht="15.75" customHeight="1" x14ac:dyDescent="0.25"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</row>
    <row r="764" spans="15:54" ht="15.75" customHeight="1" x14ac:dyDescent="0.25"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</row>
    <row r="765" spans="15:54" ht="15.75" customHeight="1" x14ac:dyDescent="0.25"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</row>
    <row r="766" spans="15:54" ht="15.75" customHeight="1" x14ac:dyDescent="0.25"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</row>
    <row r="767" spans="15:54" ht="15.75" customHeight="1" x14ac:dyDescent="0.25"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</row>
    <row r="768" spans="15:54" ht="15.75" customHeight="1" x14ac:dyDescent="0.25"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</row>
    <row r="769" spans="15:54" ht="15.75" customHeight="1" x14ac:dyDescent="0.25"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</row>
    <row r="770" spans="15:54" ht="15.75" customHeight="1" x14ac:dyDescent="0.25"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</row>
    <row r="771" spans="15:54" ht="15.75" customHeight="1" x14ac:dyDescent="0.25"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</row>
    <row r="772" spans="15:54" ht="15.75" customHeight="1" x14ac:dyDescent="0.25"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</row>
    <row r="773" spans="15:54" ht="15.75" customHeight="1" x14ac:dyDescent="0.25"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</row>
    <row r="774" spans="15:54" ht="15.75" customHeight="1" x14ac:dyDescent="0.25"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</row>
    <row r="775" spans="15:54" ht="15.75" customHeight="1" x14ac:dyDescent="0.25"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</row>
    <row r="776" spans="15:54" ht="15.75" customHeight="1" x14ac:dyDescent="0.25"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</row>
    <row r="777" spans="15:54" ht="15.75" customHeight="1" x14ac:dyDescent="0.25"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</row>
    <row r="778" spans="15:54" ht="15.75" customHeight="1" x14ac:dyDescent="0.25"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</row>
    <row r="779" spans="15:54" ht="15.75" customHeight="1" x14ac:dyDescent="0.25"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</row>
    <row r="780" spans="15:54" ht="15.75" customHeight="1" x14ac:dyDescent="0.25"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</row>
    <row r="781" spans="15:54" ht="15.75" customHeight="1" x14ac:dyDescent="0.25"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</row>
    <row r="782" spans="15:54" ht="15.75" customHeight="1" x14ac:dyDescent="0.25"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</row>
    <row r="783" spans="15:54" ht="15.75" customHeight="1" x14ac:dyDescent="0.25"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</row>
    <row r="784" spans="15:54" ht="15.75" customHeight="1" x14ac:dyDescent="0.25"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</row>
    <row r="785" spans="15:54" ht="15.75" customHeight="1" x14ac:dyDescent="0.25"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</row>
    <row r="786" spans="15:54" ht="15.75" customHeight="1" x14ac:dyDescent="0.25"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</row>
    <row r="787" spans="15:54" ht="15.75" customHeight="1" x14ac:dyDescent="0.25"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</row>
    <row r="788" spans="15:54" ht="15.75" customHeight="1" x14ac:dyDescent="0.25"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</row>
    <row r="789" spans="15:54" ht="15.75" customHeight="1" x14ac:dyDescent="0.25"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</row>
    <row r="790" spans="15:54" ht="15.75" customHeight="1" x14ac:dyDescent="0.25"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</row>
    <row r="791" spans="15:54" ht="15.75" customHeight="1" x14ac:dyDescent="0.25"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</row>
    <row r="792" spans="15:54" ht="15.75" customHeight="1" x14ac:dyDescent="0.25"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</row>
    <row r="793" spans="15:54" ht="15.75" customHeight="1" x14ac:dyDescent="0.25"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</row>
    <row r="794" spans="15:54" ht="15.75" customHeight="1" x14ac:dyDescent="0.25"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</row>
    <row r="795" spans="15:54" ht="15.75" customHeight="1" x14ac:dyDescent="0.25"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</row>
    <row r="796" spans="15:54" ht="15.75" customHeight="1" x14ac:dyDescent="0.25"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</row>
    <row r="797" spans="15:54" ht="15.75" customHeight="1" x14ac:dyDescent="0.25"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</row>
    <row r="798" spans="15:54" ht="15.75" customHeight="1" x14ac:dyDescent="0.25"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</row>
    <row r="799" spans="15:54" ht="15.75" customHeight="1" x14ac:dyDescent="0.25"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</row>
    <row r="800" spans="15:54" ht="15.75" customHeight="1" x14ac:dyDescent="0.25"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</row>
    <row r="801" spans="15:54" ht="15.75" customHeight="1" x14ac:dyDescent="0.25"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</row>
    <row r="802" spans="15:54" ht="15.75" customHeight="1" x14ac:dyDescent="0.25"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</row>
    <row r="803" spans="15:54" ht="15.75" customHeight="1" x14ac:dyDescent="0.25"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</row>
    <row r="804" spans="15:54" ht="15.75" customHeight="1" x14ac:dyDescent="0.25"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</row>
    <row r="805" spans="15:54" ht="15.75" customHeight="1" x14ac:dyDescent="0.25"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</row>
    <row r="806" spans="15:54" ht="15.75" customHeight="1" x14ac:dyDescent="0.25"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</row>
    <row r="807" spans="15:54" ht="15.75" customHeight="1" x14ac:dyDescent="0.25"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</row>
    <row r="808" spans="15:54" ht="15.75" customHeight="1" x14ac:dyDescent="0.25"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</row>
    <row r="809" spans="15:54" ht="15.75" customHeight="1" x14ac:dyDescent="0.25"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</row>
    <row r="810" spans="15:54" ht="15.75" customHeight="1" x14ac:dyDescent="0.25"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</row>
    <row r="811" spans="15:54" ht="15.75" customHeight="1" x14ac:dyDescent="0.25"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</row>
    <row r="812" spans="15:54" ht="15.75" customHeight="1" x14ac:dyDescent="0.25"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</row>
    <row r="813" spans="15:54" ht="15.75" customHeight="1" x14ac:dyDescent="0.25"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</row>
    <row r="814" spans="15:54" ht="15.75" customHeight="1" x14ac:dyDescent="0.25"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</row>
    <row r="815" spans="15:54" ht="15.75" customHeight="1" x14ac:dyDescent="0.25"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</row>
    <row r="816" spans="15:54" ht="15.75" customHeight="1" x14ac:dyDescent="0.25"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</row>
    <row r="817" spans="15:54" ht="15.75" customHeight="1" x14ac:dyDescent="0.25"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</row>
    <row r="818" spans="15:54" ht="15.75" customHeight="1" x14ac:dyDescent="0.25"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</row>
    <row r="819" spans="15:54" ht="15.75" customHeight="1" x14ac:dyDescent="0.25"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</row>
    <row r="820" spans="15:54" ht="15.75" customHeight="1" x14ac:dyDescent="0.25"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</row>
    <row r="821" spans="15:54" ht="15.75" customHeight="1" x14ac:dyDescent="0.25"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</row>
    <row r="822" spans="15:54" ht="15.75" customHeight="1" x14ac:dyDescent="0.25"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</row>
    <row r="823" spans="15:54" ht="15.75" customHeight="1" x14ac:dyDescent="0.25"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</row>
    <row r="824" spans="15:54" ht="15.75" customHeight="1" x14ac:dyDescent="0.25"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</row>
    <row r="825" spans="15:54" ht="15.75" customHeight="1" x14ac:dyDescent="0.25"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</row>
    <row r="826" spans="15:54" ht="15.75" customHeight="1" x14ac:dyDescent="0.25"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</row>
    <row r="827" spans="15:54" ht="15.75" customHeight="1" x14ac:dyDescent="0.25"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</row>
    <row r="828" spans="15:54" ht="15.75" customHeight="1" x14ac:dyDescent="0.25"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</row>
    <row r="829" spans="15:54" ht="15.75" customHeight="1" x14ac:dyDescent="0.25"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</row>
    <row r="830" spans="15:54" ht="15.75" customHeight="1" x14ac:dyDescent="0.25"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</row>
    <row r="831" spans="15:54" ht="15.75" customHeight="1" x14ac:dyDescent="0.25"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</row>
    <row r="832" spans="15:54" ht="15.75" customHeight="1" x14ac:dyDescent="0.25"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</row>
    <row r="833" spans="15:54" ht="15.75" customHeight="1" x14ac:dyDescent="0.25"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</row>
    <row r="834" spans="15:54" ht="15.75" customHeight="1" x14ac:dyDescent="0.25"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</row>
    <row r="835" spans="15:54" ht="15.75" customHeight="1" x14ac:dyDescent="0.25"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</row>
    <row r="836" spans="15:54" ht="15.75" customHeight="1" x14ac:dyDescent="0.25"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</row>
    <row r="837" spans="15:54" ht="15.75" customHeight="1" x14ac:dyDescent="0.25"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</row>
    <row r="838" spans="15:54" ht="15.75" customHeight="1" x14ac:dyDescent="0.25"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</row>
    <row r="839" spans="15:54" ht="15.75" customHeight="1" x14ac:dyDescent="0.25"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</row>
    <row r="840" spans="15:54" ht="15.75" customHeight="1" x14ac:dyDescent="0.25"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</row>
    <row r="841" spans="15:54" ht="15.75" customHeight="1" x14ac:dyDescent="0.25"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</row>
    <row r="842" spans="15:54" ht="15.75" customHeight="1" x14ac:dyDescent="0.25"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</row>
    <row r="843" spans="15:54" ht="15.75" customHeight="1" x14ac:dyDescent="0.25"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</row>
    <row r="844" spans="15:54" ht="15.75" customHeight="1" x14ac:dyDescent="0.25"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</row>
    <row r="845" spans="15:54" ht="15.75" customHeight="1" x14ac:dyDescent="0.25"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</row>
    <row r="846" spans="15:54" ht="15.75" customHeight="1" x14ac:dyDescent="0.25"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</row>
    <row r="847" spans="15:54" ht="15.75" customHeight="1" x14ac:dyDescent="0.25"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</row>
    <row r="848" spans="15:54" ht="15.75" customHeight="1" x14ac:dyDescent="0.25"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</row>
    <row r="849" spans="15:54" ht="15.75" customHeight="1" x14ac:dyDescent="0.25"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</row>
    <row r="850" spans="15:54" ht="15.75" customHeight="1" x14ac:dyDescent="0.25"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</row>
    <row r="851" spans="15:54" ht="15.75" customHeight="1" x14ac:dyDescent="0.25"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</row>
    <row r="852" spans="15:54" ht="15.75" customHeight="1" x14ac:dyDescent="0.25"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</row>
    <row r="853" spans="15:54" ht="15.75" customHeight="1" x14ac:dyDescent="0.25"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</row>
    <row r="854" spans="15:54" ht="15.75" customHeight="1" x14ac:dyDescent="0.25"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</row>
    <row r="855" spans="15:54" ht="15.75" customHeight="1" x14ac:dyDescent="0.25"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</row>
    <row r="856" spans="15:54" ht="15.75" customHeight="1" x14ac:dyDescent="0.25"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</row>
    <row r="857" spans="15:54" ht="15.75" customHeight="1" x14ac:dyDescent="0.25"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</row>
    <row r="858" spans="15:54" ht="15.75" customHeight="1" x14ac:dyDescent="0.25"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</row>
    <row r="859" spans="15:54" ht="15.75" customHeight="1" x14ac:dyDescent="0.25"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</row>
    <row r="860" spans="15:54" ht="15.75" customHeight="1" x14ac:dyDescent="0.25"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</row>
    <row r="861" spans="15:54" ht="15.75" customHeight="1" x14ac:dyDescent="0.25"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</row>
    <row r="862" spans="15:54" ht="15.75" customHeight="1" x14ac:dyDescent="0.25"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</row>
    <row r="863" spans="15:54" ht="15.75" customHeight="1" x14ac:dyDescent="0.25"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</row>
    <row r="864" spans="15:54" ht="15.75" customHeight="1" x14ac:dyDescent="0.25"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</row>
    <row r="865" spans="15:54" ht="15.75" customHeight="1" x14ac:dyDescent="0.25"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</row>
    <row r="866" spans="15:54" ht="15.75" customHeight="1" x14ac:dyDescent="0.25"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</row>
    <row r="867" spans="15:54" ht="15.75" customHeight="1" x14ac:dyDescent="0.25"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</row>
    <row r="868" spans="15:54" ht="15.75" customHeight="1" x14ac:dyDescent="0.25"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</row>
    <row r="869" spans="15:54" ht="15.75" customHeight="1" x14ac:dyDescent="0.25"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</row>
    <row r="870" spans="15:54" ht="15.75" customHeight="1" x14ac:dyDescent="0.25"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</row>
    <row r="871" spans="15:54" ht="15.75" customHeight="1" x14ac:dyDescent="0.25"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</row>
    <row r="872" spans="15:54" ht="15.75" customHeight="1" x14ac:dyDescent="0.25"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</row>
    <row r="873" spans="15:54" ht="15.75" customHeight="1" x14ac:dyDescent="0.25"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</row>
    <row r="874" spans="15:54" ht="15.75" customHeight="1" x14ac:dyDescent="0.25"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</row>
    <row r="875" spans="15:54" ht="15.75" customHeight="1" x14ac:dyDescent="0.25"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</row>
    <row r="876" spans="15:54" ht="15.75" customHeight="1" x14ac:dyDescent="0.25"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</row>
    <row r="877" spans="15:54" ht="15.75" customHeight="1" x14ac:dyDescent="0.25"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</row>
    <row r="878" spans="15:54" ht="15.75" customHeight="1" x14ac:dyDescent="0.25"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</row>
    <row r="879" spans="15:54" ht="15.75" customHeight="1" x14ac:dyDescent="0.25"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</row>
    <row r="880" spans="15:54" ht="15.75" customHeight="1" x14ac:dyDescent="0.25"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</row>
    <row r="881" spans="15:54" ht="15.75" customHeight="1" x14ac:dyDescent="0.25"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</row>
    <row r="882" spans="15:54" ht="15.75" customHeight="1" x14ac:dyDescent="0.25"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</row>
    <row r="883" spans="15:54" ht="15.75" customHeight="1" x14ac:dyDescent="0.25"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</row>
    <row r="884" spans="15:54" ht="15.75" customHeight="1" x14ac:dyDescent="0.25"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</row>
    <row r="885" spans="15:54" ht="15.75" customHeight="1" x14ac:dyDescent="0.25"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</row>
    <row r="886" spans="15:54" ht="15.75" customHeight="1" x14ac:dyDescent="0.25"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</row>
    <row r="887" spans="15:54" ht="15.75" customHeight="1" x14ac:dyDescent="0.25"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</row>
    <row r="888" spans="15:54" ht="15.75" customHeight="1" x14ac:dyDescent="0.25"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</row>
    <row r="889" spans="15:54" ht="15.75" customHeight="1" x14ac:dyDescent="0.25"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</row>
    <row r="890" spans="15:54" ht="15.75" customHeight="1" x14ac:dyDescent="0.25"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</row>
    <row r="891" spans="15:54" ht="15.75" customHeight="1" x14ac:dyDescent="0.25"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</row>
    <row r="892" spans="15:54" ht="15.75" customHeight="1" x14ac:dyDescent="0.25"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</row>
    <row r="893" spans="15:54" ht="15.75" customHeight="1" x14ac:dyDescent="0.25"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</row>
    <row r="894" spans="15:54" ht="15.75" customHeight="1" x14ac:dyDescent="0.25"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</row>
    <row r="895" spans="15:54" ht="15.75" customHeight="1" x14ac:dyDescent="0.25"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</row>
    <row r="896" spans="15:54" ht="15.75" customHeight="1" x14ac:dyDescent="0.25"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</row>
    <row r="897" spans="15:54" ht="15.75" customHeight="1" x14ac:dyDescent="0.25"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</row>
    <row r="898" spans="15:54" ht="15.75" customHeight="1" x14ac:dyDescent="0.25"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</row>
    <row r="899" spans="15:54" ht="15.75" customHeight="1" x14ac:dyDescent="0.25"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</row>
    <row r="900" spans="15:54" ht="15.75" customHeight="1" x14ac:dyDescent="0.25"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</row>
    <row r="901" spans="15:54" ht="15.75" customHeight="1" x14ac:dyDescent="0.25"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</row>
    <row r="902" spans="15:54" ht="15.75" customHeight="1" x14ac:dyDescent="0.25"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</row>
    <row r="903" spans="15:54" ht="15.75" customHeight="1" x14ac:dyDescent="0.25"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</row>
    <row r="904" spans="15:54" ht="15.75" customHeight="1" x14ac:dyDescent="0.25"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</row>
    <row r="905" spans="15:54" ht="15.75" customHeight="1" x14ac:dyDescent="0.25"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</row>
    <row r="906" spans="15:54" ht="15.75" customHeight="1" x14ac:dyDescent="0.25"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</row>
    <row r="907" spans="15:54" ht="15.75" customHeight="1" x14ac:dyDescent="0.25"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</row>
    <row r="908" spans="15:54" ht="15.75" customHeight="1" x14ac:dyDescent="0.25"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</row>
    <row r="909" spans="15:54" ht="15.75" customHeight="1" x14ac:dyDescent="0.25"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</row>
    <row r="910" spans="15:54" ht="15.75" customHeight="1" x14ac:dyDescent="0.25"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</row>
    <row r="911" spans="15:54" ht="15.75" customHeight="1" x14ac:dyDescent="0.25"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</row>
    <row r="912" spans="15:54" ht="15.75" customHeight="1" x14ac:dyDescent="0.25"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</row>
    <row r="913" spans="15:54" ht="15.75" customHeight="1" x14ac:dyDescent="0.25"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</row>
    <row r="914" spans="15:54" ht="15.75" customHeight="1" x14ac:dyDescent="0.25"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</row>
    <row r="915" spans="15:54" ht="15.75" customHeight="1" x14ac:dyDescent="0.25"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</row>
    <row r="916" spans="15:54" ht="15.75" customHeight="1" x14ac:dyDescent="0.25"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</row>
    <row r="917" spans="15:54" ht="15.75" customHeight="1" x14ac:dyDescent="0.25"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</row>
    <row r="918" spans="15:54" ht="15.75" customHeight="1" x14ac:dyDescent="0.25"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</row>
    <row r="919" spans="15:54" ht="15.75" customHeight="1" x14ac:dyDescent="0.25"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</row>
    <row r="920" spans="15:54" ht="15.75" customHeight="1" x14ac:dyDescent="0.25"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</row>
    <row r="921" spans="15:54" ht="15.75" customHeight="1" x14ac:dyDescent="0.25"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</row>
    <row r="922" spans="15:54" ht="15.75" customHeight="1" x14ac:dyDescent="0.25"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</row>
    <row r="923" spans="15:54" ht="15.75" customHeight="1" x14ac:dyDescent="0.25"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</row>
    <row r="924" spans="15:54" ht="15.75" customHeight="1" x14ac:dyDescent="0.25"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</row>
    <row r="925" spans="15:54" ht="15.75" customHeight="1" x14ac:dyDescent="0.25"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</row>
    <row r="926" spans="15:54" ht="15.75" customHeight="1" x14ac:dyDescent="0.25"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</row>
    <row r="927" spans="15:54" ht="15.75" customHeight="1" x14ac:dyDescent="0.25"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</row>
    <row r="928" spans="15:54" ht="15.75" customHeight="1" x14ac:dyDescent="0.25"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</row>
    <row r="929" spans="15:54" ht="15.75" customHeight="1" x14ac:dyDescent="0.25"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</row>
    <row r="930" spans="15:54" ht="15.75" customHeight="1" x14ac:dyDescent="0.25"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</row>
    <row r="931" spans="15:54" ht="15.75" customHeight="1" x14ac:dyDescent="0.25"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</row>
    <row r="932" spans="15:54" ht="15.75" customHeight="1" x14ac:dyDescent="0.25"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</row>
    <row r="933" spans="15:54" ht="15.75" customHeight="1" x14ac:dyDescent="0.25"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</row>
    <row r="934" spans="15:54" ht="15.75" customHeight="1" x14ac:dyDescent="0.25"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</row>
    <row r="935" spans="15:54" ht="15.75" customHeight="1" x14ac:dyDescent="0.25"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</row>
    <row r="936" spans="15:54" ht="15.75" customHeight="1" x14ac:dyDescent="0.25"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</row>
    <row r="937" spans="15:54" ht="15.75" customHeight="1" x14ac:dyDescent="0.25"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</row>
    <row r="938" spans="15:54" ht="15.75" customHeight="1" x14ac:dyDescent="0.25"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</row>
    <row r="939" spans="15:54" ht="15.75" customHeight="1" x14ac:dyDescent="0.25"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</row>
    <row r="940" spans="15:54" ht="15.75" customHeight="1" x14ac:dyDescent="0.25"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</row>
    <row r="941" spans="15:54" ht="15.75" customHeight="1" x14ac:dyDescent="0.25"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</row>
    <row r="942" spans="15:54" ht="15.75" customHeight="1" x14ac:dyDescent="0.25"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</row>
    <row r="943" spans="15:54" ht="15.75" customHeight="1" x14ac:dyDescent="0.25"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</row>
    <row r="944" spans="15:54" ht="15.75" customHeight="1" x14ac:dyDescent="0.25"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</row>
    <row r="945" spans="15:54" ht="15.75" customHeight="1" x14ac:dyDescent="0.25"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</row>
    <row r="946" spans="15:54" ht="15.75" customHeight="1" x14ac:dyDescent="0.25"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</row>
    <row r="947" spans="15:54" ht="15.75" customHeight="1" x14ac:dyDescent="0.25"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</row>
    <row r="948" spans="15:54" ht="15.75" customHeight="1" x14ac:dyDescent="0.25"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</row>
    <row r="949" spans="15:54" ht="15.75" customHeight="1" x14ac:dyDescent="0.25"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</row>
    <row r="950" spans="15:54" ht="15.75" customHeight="1" x14ac:dyDescent="0.25"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</row>
    <row r="951" spans="15:54" ht="15.75" customHeight="1" x14ac:dyDescent="0.25"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</row>
    <row r="952" spans="15:54" ht="15.75" customHeight="1" x14ac:dyDescent="0.25"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</row>
    <row r="953" spans="15:54" ht="15.75" customHeight="1" x14ac:dyDescent="0.25"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</row>
    <row r="954" spans="15:54" ht="15.75" customHeight="1" x14ac:dyDescent="0.25"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</row>
    <row r="955" spans="15:54" ht="15.75" customHeight="1" x14ac:dyDescent="0.25"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</row>
    <row r="956" spans="15:54" ht="15.75" customHeight="1" x14ac:dyDescent="0.25"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</row>
    <row r="957" spans="15:54" ht="15.75" customHeight="1" x14ac:dyDescent="0.25"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</row>
    <row r="958" spans="15:54" ht="15.75" customHeight="1" x14ac:dyDescent="0.25"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</row>
    <row r="959" spans="15:54" ht="15.75" customHeight="1" x14ac:dyDescent="0.25"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</row>
    <row r="960" spans="15:54" ht="15.75" customHeight="1" x14ac:dyDescent="0.25"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</row>
    <row r="961" spans="15:54" ht="15.75" customHeight="1" x14ac:dyDescent="0.25"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</row>
    <row r="962" spans="15:54" ht="15.75" customHeight="1" x14ac:dyDescent="0.25"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</row>
    <row r="963" spans="15:54" ht="15.75" customHeight="1" x14ac:dyDescent="0.25"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</row>
    <row r="964" spans="15:54" ht="15.75" customHeight="1" x14ac:dyDescent="0.25"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</row>
    <row r="965" spans="15:54" ht="15.75" customHeight="1" x14ac:dyDescent="0.25"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</row>
    <row r="966" spans="15:54" ht="15.75" customHeight="1" x14ac:dyDescent="0.25"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</row>
    <row r="967" spans="15:54" ht="15.75" customHeight="1" x14ac:dyDescent="0.25"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</row>
    <row r="968" spans="15:54" ht="15.75" customHeight="1" x14ac:dyDescent="0.25"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</row>
    <row r="969" spans="15:54" ht="15.75" customHeight="1" x14ac:dyDescent="0.25"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</row>
    <row r="970" spans="15:54" ht="15.75" customHeight="1" x14ac:dyDescent="0.25"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</row>
    <row r="971" spans="15:54" ht="15.75" customHeight="1" x14ac:dyDescent="0.25"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</row>
    <row r="972" spans="15:54" ht="15.75" customHeight="1" x14ac:dyDescent="0.25"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</row>
    <row r="973" spans="15:54" ht="15.75" customHeight="1" x14ac:dyDescent="0.25"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</row>
    <row r="974" spans="15:54" ht="15.75" customHeight="1" x14ac:dyDescent="0.25"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</row>
    <row r="975" spans="15:54" ht="15.75" customHeight="1" x14ac:dyDescent="0.25"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</row>
    <row r="976" spans="15:54" ht="15.75" customHeight="1" x14ac:dyDescent="0.25"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</row>
    <row r="977" spans="15:54" ht="15.75" customHeight="1" x14ac:dyDescent="0.25"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</row>
    <row r="978" spans="15:54" ht="15.75" customHeight="1" x14ac:dyDescent="0.25"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</row>
    <row r="979" spans="15:54" ht="15.75" customHeight="1" x14ac:dyDescent="0.25"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</row>
    <row r="980" spans="15:54" ht="15.75" customHeight="1" x14ac:dyDescent="0.25"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</row>
    <row r="981" spans="15:54" ht="15.75" customHeight="1" x14ac:dyDescent="0.25"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  <c r="AH981" s="52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</row>
    <row r="982" spans="15:54" ht="15.75" customHeight="1" x14ac:dyDescent="0.25"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</row>
    <row r="983" spans="15:54" ht="15.75" customHeight="1" x14ac:dyDescent="0.25"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</row>
    <row r="984" spans="15:54" ht="15.75" customHeight="1" x14ac:dyDescent="0.25"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  <c r="AH984" s="52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</row>
    <row r="985" spans="15:54" ht="15.75" customHeight="1" x14ac:dyDescent="0.25"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  <c r="AG985" s="52"/>
      <c r="AH985" s="52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</row>
    <row r="986" spans="15:54" ht="15.75" customHeight="1" x14ac:dyDescent="0.25"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  <c r="AH986" s="52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</row>
    <row r="987" spans="15:54" ht="15.75" customHeight="1" x14ac:dyDescent="0.25"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  <c r="AH987" s="52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</row>
    <row r="988" spans="15:54" ht="15.75" customHeight="1" x14ac:dyDescent="0.25"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  <c r="AH988" s="52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</row>
    <row r="989" spans="15:54" ht="15.75" customHeight="1" x14ac:dyDescent="0.25"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  <c r="AH989" s="52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</row>
    <row r="990" spans="15:54" ht="15.75" customHeight="1" x14ac:dyDescent="0.25"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52"/>
      <c r="AG990" s="52"/>
      <c r="AH990" s="52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</row>
    <row r="991" spans="15:54" ht="15.75" customHeight="1" x14ac:dyDescent="0.25"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52"/>
      <c r="AG991" s="52"/>
      <c r="AH991" s="52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</row>
    <row r="992" spans="15:54" ht="15.75" customHeight="1" x14ac:dyDescent="0.25"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52"/>
      <c r="AG992" s="52"/>
      <c r="AH992" s="52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</row>
    <row r="993" spans="15:54" ht="15.75" customHeight="1" x14ac:dyDescent="0.25"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52"/>
      <c r="AG993" s="52"/>
      <c r="AH993" s="52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</row>
    <row r="994" spans="15:54" ht="15.75" customHeight="1" x14ac:dyDescent="0.25"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52"/>
      <c r="AG994" s="52"/>
      <c r="AH994" s="52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</row>
    <row r="995" spans="15:54" ht="15.75" customHeight="1" x14ac:dyDescent="0.25"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52"/>
      <c r="AG995" s="52"/>
      <c r="AH995" s="52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</row>
    <row r="996" spans="15:54" ht="15.75" customHeight="1" x14ac:dyDescent="0.25"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52"/>
      <c r="AG996" s="52"/>
      <c r="AH996" s="52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</row>
    <row r="997" spans="15:54" ht="15.75" customHeight="1" x14ac:dyDescent="0.25"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52"/>
      <c r="AG997" s="52"/>
      <c r="AH997" s="52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</row>
    <row r="998" spans="15:54" ht="15.75" customHeight="1" x14ac:dyDescent="0.25"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  <c r="AH998" s="52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</row>
    <row r="999" spans="15:54" ht="15.75" customHeight="1" x14ac:dyDescent="0.25"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52"/>
      <c r="AG999" s="52"/>
      <c r="AH999" s="52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</row>
    <row r="1000" spans="15:54" ht="15.75" customHeight="1" x14ac:dyDescent="0.25"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52"/>
      <c r="AG1000" s="52"/>
      <c r="AH1000" s="52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</row>
  </sheetData>
  <mergeCells count="8">
    <mergeCell ref="J24:L24"/>
    <mergeCell ref="J25:L25"/>
    <mergeCell ref="J26:L26"/>
    <mergeCell ref="B3:G4"/>
    <mergeCell ref="B6:G6"/>
    <mergeCell ref="K6:N6"/>
    <mergeCell ref="J22:M22"/>
    <mergeCell ref="J23:L23"/>
  </mergeCells>
  <conditionalFormatting sqref="M23:M26">
    <cfRule type="expression" dxfId="49" priority="1">
      <formula>J23=""</formula>
    </cfRule>
  </conditionalFormatting>
  <conditionalFormatting sqref="M24:M26">
    <cfRule type="expression" dxfId="48" priority="2">
      <formula>J24=""</formula>
    </cfRule>
  </conditionalFormatting>
  <conditionalFormatting sqref="M25">
    <cfRule type="expression" dxfId="47" priority="3">
      <formula>J25=""</formula>
    </cfRule>
  </conditionalFormatting>
  <conditionalFormatting sqref="B22:H28 J22:M26">
    <cfRule type="expression" dxfId="46" priority="4">
      <formula>OR($I$22=0,AND($J$20="",$J$21="",$J$22="",$J$23=""))</formula>
    </cfRule>
  </conditionalFormatting>
  <conditionalFormatting sqref="N23:AH27">
    <cfRule type="expression" dxfId="45" priority="5">
      <formula>K23=""</formula>
    </cfRule>
  </conditionalFormatting>
  <conditionalFormatting sqref="N24:AH26">
    <cfRule type="expression" dxfId="44" priority="6">
      <formula>K24=""</formula>
    </cfRule>
  </conditionalFormatting>
  <conditionalFormatting sqref="N25:AH25">
    <cfRule type="expression" dxfId="43" priority="7">
      <formula>K25=""</formula>
    </cfRule>
  </conditionalFormatting>
  <conditionalFormatting sqref="N27:AH27">
    <cfRule type="expression" dxfId="42" priority="8">
      <formula>K27=""</formula>
    </cfRule>
  </conditionalFormatting>
  <conditionalFormatting sqref="N23:AH27">
    <cfRule type="expression" dxfId="41" priority="9">
      <formula>OR($I$22=0,AND($J$20="",$J$21="",$J$22="",$J$23=""))</formula>
    </cfRule>
  </conditionalFormatting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BB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3.7109375" customWidth="1"/>
    <col min="4" max="10" width="10.7109375" customWidth="1"/>
    <col min="11" max="11" width="13.7109375" customWidth="1"/>
    <col min="12" max="13" width="10.7109375" customWidth="1"/>
    <col min="14" max="34" width="13.7109375" customWidth="1"/>
    <col min="35" max="35" width="20" customWidth="1"/>
    <col min="36" max="46" width="11.42578125" customWidth="1"/>
    <col min="47" max="47" width="10.42578125" customWidth="1"/>
    <col min="48" max="48" width="13.7109375" customWidth="1"/>
    <col min="49" max="49" width="10.42578125" customWidth="1"/>
    <col min="50" max="50" width="9.85546875" customWidth="1"/>
    <col min="51" max="51" width="13" customWidth="1"/>
    <col min="52" max="52" width="29.85546875" customWidth="1"/>
    <col min="53" max="53" width="25.7109375" customWidth="1"/>
    <col min="54" max="54" width="11.42578125" customWidth="1"/>
  </cols>
  <sheetData>
    <row r="1" spans="2:54" x14ac:dyDescent="0.25"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spans="2:54" x14ac:dyDescent="0.25"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2:54" x14ac:dyDescent="0.25">
      <c r="B3" s="88" t="s">
        <v>67</v>
      </c>
      <c r="C3" s="89"/>
      <c r="D3" s="89"/>
      <c r="E3" s="89"/>
      <c r="F3" s="89"/>
      <c r="G3" s="90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spans="2:54" x14ac:dyDescent="0.25">
      <c r="B4" s="91"/>
      <c r="C4" s="92"/>
      <c r="D4" s="92"/>
      <c r="E4" s="92"/>
      <c r="F4" s="92"/>
      <c r="G4" s="93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  <row r="5" spans="2:54" x14ac:dyDescent="0.25">
      <c r="B5" s="4"/>
      <c r="C5" s="5">
        <v>2</v>
      </c>
      <c r="D5" s="5">
        <v>3</v>
      </c>
      <c r="E5" s="5">
        <v>5</v>
      </c>
      <c r="F5" s="5">
        <v>6</v>
      </c>
      <c r="G5" s="5">
        <v>4</v>
      </c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spans="2:54" x14ac:dyDescent="0.25">
      <c r="B6" s="94" t="s">
        <v>5</v>
      </c>
      <c r="C6" s="95"/>
      <c r="D6" s="95"/>
      <c r="E6" s="95"/>
      <c r="F6" s="95"/>
      <c r="G6" s="96"/>
      <c r="J6" s="6" t="s">
        <v>6</v>
      </c>
      <c r="K6" s="97" t="s">
        <v>7</v>
      </c>
      <c r="L6" s="95"/>
      <c r="M6" s="95"/>
      <c r="N6" s="96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5"/>
      <c r="AJ6" s="3">
        <v>1</v>
      </c>
      <c r="AK6" s="3">
        <v>2</v>
      </c>
      <c r="AL6" s="3" t="s">
        <v>8</v>
      </c>
      <c r="AM6" s="3"/>
      <c r="AN6" s="3" t="s">
        <v>9</v>
      </c>
      <c r="AO6" s="3" t="s">
        <v>10</v>
      </c>
      <c r="AP6" s="3" t="s">
        <v>11</v>
      </c>
      <c r="AQ6" s="3" t="s">
        <v>12</v>
      </c>
      <c r="AR6" s="3" t="s">
        <v>13</v>
      </c>
      <c r="AS6" s="3" t="s">
        <v>14</v>
      </c>
      <c r="AT6" s="3"/>
      <c r="AU6" s="3"/>
      <c r="AV6" s="3" t="s">
        <v>10</v>
      </c>
      <c r="AW6" s="3" t="s">
        <v>15</v>
      </c>
      <c r="AX6" s="3" t="s">
        <v>8</v>
      </c>
      <c r="AY6" s="3" t="s">
        <v>16</v>
      </c>
      <c r="AZ6" s="3" t="s">
        <v>17</v>
      </c>
      <c r="BA6" s="3" t="s">
        <v>18</v>
      </c>
      <c r="BB6" s="3" t="s">
        <v>19</v>
      </c>
    </row>
    <row r="7" spans="2:54" x14ac:dyDescent="0.25">
      <c r="B7" s="7" t="s">
        <v>20</v>
      </c>
      <c r="C7" s="8" t="s">
        <v>10</v>
      </c>
      <c r="D7" s="9" t="s">
        <v>11</v>
      </c>
      <c r="E7" s="9" t="s">
        <v>13</v>
      </c>
      <c r="F7" s="9" t="s">
        <v>14</v>
      </c>
      <c r="G7" s="10" t="s">
        <v>12</v>
      </c>
      <c r="I7" s="11">
        <v>15</v>
      </c>
      <c r="J7" s="12">
        <v>44889</v>
      </c>
      <c r="K7" s="13" t="s">
        <v>68</v>
      </c>
      <c r="L7" s="14">
        <v>3</v>
      </c>
      <c r="M7" s="15">
        <v>0</v>
      </c>
      <c r="N7" s="11" t="s">
        <v>69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5" t="str">
        <f t="shared" ref="AI7:AI12" si="0">CONCATENATE(K7,"_",N7)</f>
        <v>Uruguay_Corea</v>
      </c>
      <c r="AJ7" s="3">
        <f t="shared" ref="AJ7:AJ12" si="1">IF(L7&gt;M7,3,IF(L7&lt;M7,0,1))</f>
        <v>3</v>
      </c>
      <c r="AK7" s="3">
        <f t="shared" ref="AK7:AK12" si="2">IF(AJ7=3,0,IF(AJ7=1,1,3))</f>
        <v>0</v>
      </c>
      <c r="AL7" s="3" t="str">
        <f t="shared" ref="AL7:AL12" si="3">IF(AJ7&gt;AK7,K7,IF(AK7&gt;AJ7,N7,"SIN GANADOR"))</f>
        <v>Uruguay</v>
      </c>
      <c r="AM7" s="3"/>
      <c r="AN7" s="3">
        <f t="shared" ref="AN7:AN10" si="4">_xlfn.RANK.EQ(BB7,BB$7:BB$11,1)</f>
        <v>2</v>
      </c>
      <c r="AO7" s="3" t="s">
        <v>70</v>
      </c>
      <c r="AP7" s="3">
        <f t="shared" ref="AP7:AP10" si="5">SUMIF($K$7:$K$12,AO7,$AJ$7:$AJ$12) + SUMIF($N$7:$N$12,AO7,$AK$7:$AK$12)</f>
        <v>7</v>
      </c>
      <c r="AQ7" s="3">
        <f t="shared" ref="AQ7:AQ10" si="6">AR7-AS7</f>
        <v>4</v>
      </c>
      <c r="AR7" s="3">
        <f t="shared" ref="AR7:AR10" si="7">SUMIF($K$7:$K$12,AO7,$L$7:$L$12) + SUMIF($N$7:$N$12,AO7,$M$7:$M$12)</f>
        <v>8</v>
      </c>
      <c r="AS7" s="3">
        <f t="shared" ref="AS7:AS10" si="8">SUMIF($K$7:$K$12,AO7,$M$7:$M$12) + SUMIF($N$7:$N$12,AO7,$L$7:$L$12)</f>
        <v>4</v>
      </c>
      <c r="AT7" s="3"/>
      <c r="AU7" s="3"/>
      <c r="AV7" s="3" t="str">
        <f t="shared" ref="AV7:AV10" si="9">AO7</f>
        <v>Portugal</v>
      </c>
      <c r="AW7" s="3" t="str">
        <f>IF(AZ7=AZ8,AV8,IF(AZ7=AZ9,AV9,IF(AZ7=AZ10,AV10,"")))</f>
        <v/>
      </c>
      <c r="AX7" s="3" t="str">
        <f t="shared" ref="AX7:AX10" si="10">IF(AW7="","",IFERROR(VLOOKUP(CONCATENATE(AV7,"_",AW7),$AI$7:$AL$16,4,FALSE),VLOOKUP(CONCATENATE(AW7,"_",AV7),$AI$7:$AL$16,4,FALSE)))</f>
        <v/>
      </c>
      <c r="AY7" s="3">
        <f t="shared" ref="AY7:AY10" si="11">IF(AX7="",1,IF(AX7=AV7,1,0))</f>
        <v>1</v>
      </c>
      <c r="AZ7" s="3">
        <f t="shared" ref="AZ7:AZ10" si="12">-AP7*10000000 - AQ7*10000 - AR7*100</f>
        <v>-70040800</v>
      </c>
      <c r="BA7" s="3">
        <f t="shared" ref="BA7:BA10" si="13">AZ7-AY7*10</f>
        <v>-70040810</v>
      </c>
      <c r="BB7" s="3">
        <f t="shared" ref="BB7:BB10" si="14">BA7+N23</f>
        <v>-70040809</v>
      </c>
    </row>
    <row r="8" spans="2:54" x14ac:dyDescent="0.25">
      <c r="B8" s="16">
        <v>1</v>
      </c>
      <c r="C8" s="17" t="str">
        <f t="shared" ref="C8:G8" si="15">IFERROR(VLOOKUP($B8,$AN$7:$AS$11,C$5,FALSE),"")</f>
        <v>Uruguay</v>
      </c>
      <c r="D8" s="18">
        <f t="shared" si="15"/>
        <v>7</v>
      </c>
      <c r="E8" s="18">
        <f t="shared" si="15"/>
        <v>8</v>
      </c>
      <c r="F8" s="18">
        <f t="shared" si="15"/>
        <v>3</v>
      </c>
      <c r="G8" s="19">
        <f t="shared" si="15"/>
        <v>5</v>
      </c>
      <c r="I8" s="20">
        <v>16</v>
      </c>
      <c r="J8" s="21">
        <v>44889</v>
      </c>
      <c r="K8" s="22" t="s">
        <v>70</v>
      </c>
      <c r="L8" s="23">
        <v>3</v>
      </c>
      <c r="M8" s="24">
        <v>1</v>
      </c>
      <c r="N8" s="20" t="s">
        <v>71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5" t="str">
        <f t="shared" si="0"/>
        <v>Portugal_Gana</v>
      </c>
      <c r="AJ8" s="3">
        <f t="shared" si="1"/>
        <v>3</v>
      </c>
      <c r="AK8" s="3">
        <f t="shared" si="2"/>
        <v>0</v>
      </c>
      <c r="AL8" s="3" t="str">
        <f t="shared" si="3"/>
        <v>Portugal</v>
      </c>
      <c r="AM8" s="3"/>
      <c r="AN8" s="3">
        <f t="shared" si="4"/>
        <v>1</v>
      </c>
      <c r="AO8" s="3" t="s">
        <v>68</v>
      </c>
      <c r="AP8" s="3">
        <f t="shared" si="5"/>
        <v>7</v>
      </c>
      <c r="AQ8" s="3">
        <f t="shared" si="6"/>
        <v>5</v>
      </c>
      <c r="AR8" s="3">
        <f t="shared" si="7"/>
        <v>8</v>
      </c>
      <c r="AS8" s="3">
        <f t="shared" si="8"/>
        <v>3</v>
      </c>
      <c r="AT8" s="3"/>
      <c r="AU8" s="3"/>
      <c r="AV8" s="3" t="str">
        <f t="shared" si="9"/>
        <v>Uruguay</v>
      </c>
      <c r="AW8" s="3" t="str">
        <f>IF(AZ8=AZ9,AV9,IF(AZ8=AZ10,AV10,IF(AZ8=AZ7,AV7,"")))</f>
        <v/>
      </c>
      <c r="AX8" s="3" t="str">
        <f t="shared" si="10"/>
        <v/>
      </c>
      <c r="AY8" s="3">
        <f t="shared" si="11"/>
        <v>1</v>
      </c>
      <c r="AZ8" s="3">
        <f t="shared" si="12"/>
        <v>-70050800</v>
      </c>
      <c r="BA8" s="3">
        <f t="shared" si="13"/>
        <v>-70050810</v>
      </c>
      <c r="BB8" s="3">
        <f t="shared" si="14"/>
        <v>-70050808</v>
      </c>
    </row>
    <row r="9" spans="2:54" x14ac:dyDescent="0.25">
      <c r="B9" s="25">
        <v>2</v>
      </c>
      <c r="C9" s="26" t="str">
        <f t="shared" ref="C9:G9" si="16">IFERROR(VLOOKUP($B9,$AN$7:$AS$11,C$5,FALSE),"")</f>
        <v>Portugal</v>
      </c>
      <c r="D9" s="27">
        <f t="shared" si="16"/>
        <v>7</v>
      </c>
      <c r="E9" s="27">
        <f t="shared" si="16"/>
        <v>8</v>
      </c>
      <c r="F9" s="27">
        <f t="shared" si="16"/>
        <v>4</v>
      </c>
      <c r="G9" s="28">
        <f t="shared" si="16"/>
        <v>4</v>
      </c>
      <c r="I9" s="29">
        <f t="shared" ref="I9:I12" si="17">I7+16</f>
        <v>31</v>
      </c>
      <c r="J9" s="30">
        <v>44893</v>
      </c>
      <c r="K9" s="31" t="s">
        <v>69</v>
      </c>
      <c r="L9" s="23">
        <v>1</v>
      </c>
      <c r="M9" s="24">
        <v>2</v>
      </c>
      <c r="N9" s="29" t="s">
        <v>71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5" t="str">
        <f t="shared" si="0"/>
        <v>Corea_Gana</v>
      </c>
      <c r="AJ9" s="3">
        <f t="shared" si="1"/>
        <v>0</v>
      </c>
      <c r="AK9" s="3">
        <f t="shared" si="2"/>
        <v>3</v>
      </c>
      <c r="AL9" s="3" t="str">
        <f t="shared" si="3"/>
        <v>Gana</v>
      </c>
      <c r="AM9" s="3"/>
      <c r="AN9" s="3">
        <f t="shared" si="4"/>
        <v>4</v>
      </c>
      <c r="AO9" s="3" t="s">
        <v>69</v>
      </c>
      <c r="AP9" s="3">
        <f t="shared" si="5"/>
        <v>0</v>
      </c>
      <c r="AQ9" s="3">
        <f t="shared" si="6"/>
        <v>-6</v>
      </c>
      <c r="AR9" s="3">
        <f t="shared" si="7"/>
        <v>2</v>
      </c>
      <c r="AS9" s="3">
        <f t="shared" si="8"/>
        <v>8</v>
      </c>
      <c r="AT9" s="3"/>
      <c r="AU9" s="3"/>
      <c r="AV9" s="3" t="str">
        <f t="shared" si="9"/>
        <v>Corea</v>
      </c>
      <c r="AW9" s="3" t="str">
        <f>IF(AZ9=AZ10,AV10,IF(AZ9=AZ7,AV7,IF(AZ9=AZ8,AV8,"")))</f>
        <v/>
      </c>
      <c r="AX9" s="3" t="str">
        <f t="shared" si="10"/>
        <v/>
      </c>
      <c r="AY9" s="3">
        <f t="shared" si="11"/>
        <v>1</v>
      </c>
      <c r="AZ9" s="3">
        <f t="shared" si="12"/>
        <v>59800</v>
      </c>
      <c r="BA9" s="3">
        <f t="shared" si="13"/>
        <v>59790</v>
      </c>
      <c r="BB9" s="3">
        <f t="shared" si="14"/>
        <v>59793</v>
      </c>
    </row>
    <row r="10" spans="2:54" x14ac:dyDescent="0.25">
      <c r="B10" s="32">
        <v>3</v>
      </c>
      <c r="C10" s="33" t="str">
        <f t="shared" ref="C10:G10" si="18">IFERROR(VLOOKUP($B10,$AN$7:$AS$11,C$5,FALSE),"")</f>
        <v>Gana</v>
      </c>
      <c r="D10" s="34">
        <f t="shared" si="18"/>
        <v>3</v>
      </c>
      <c r="E10" s="34">
        <f t="shared" si="18"/>
        <v>4</v>
      </c>
      <c r="F10" s="34">
        <f t="shared" si="18"/>
        <v>7</v>
      </c>
      <c r="G10" s="35">
        <f t="shared" si="18"/>
        <v>-3</v>
      </c>
      <c r="I10" s="20">
        <f t="shared" si="17"/>
        <v>32</v>
      </c>
      <c r="J10" s="21">
        <v>44893</v>
      </c>
      <c r="K10" s="22" t="s">
        <v>70</v>
      </c>
      <c r="L10" s="23">
        <v>2</v>
      </c>
      <c r="M10" s="24">
        <v>2</v>
      </c>
      <c r="N10" s="20" t="s">
        <v>68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5" t="str">
        <f t="shared" si="0"/>
        <v>Portugal_Uruguay</v>
      </c>
      <c r="AJ10" s="3">
        <f t="shared" si="1"/>
        <v>1</v>
      </c>
      <c r="AK10" s="3">
        <f t="shared" si="2"/>
        <v>1</v>
      </c>
      <c r="AL10" s="3" t="str">
        <f t="shared" si="3"/>
        <v>SIN GANADOR</v>
      </c>
      <c r="AM10" s="3"/>
      <c r="AN10" s="3">
        <f t="shared" si="4"/>
        <v>3</v>
      </c>
      <c r="AO10" s="3" t="s">
        <v>71</v>
      </c>
      <c r="AP10" s="3">
        <f t="shared" si="5"/>
        <v>3</v>
      </c>
      <c r="AQ10" s="3">
        <f t="shared" si="6"/>
        <v>-3</v>
      </c>
      <c r="AR10" s="3">
        <f t="shared" si="7"/>
        <v>4</v>
      </c>
      <c r="AS10" s="3">
        <f t="shared" si="8"/>
        <v>7</v>
      </c>
      <c r="AT10" s="3"/>
      <c r="AU10" s="3"/>
      <c r="AV10" s="3" t="str">
        <f t="shared" si="9"/>
        <v>Gana</v>
      </c>
      <c r="AW10" s="3" t="str">
        <f>IF(AZ10=AZ7,AV7,IF(AZ10=AZ8,AV8,IF(AZ10=AZ9,AV9,"")))</f>
        <v/>
      </c>
      <c r="AX10" s="3" t="str">
        <f t="shared" si="10"/>
        <v/>
      </c>
      <c r="AY10" s="3">
        <f t="shared" si="11"/>
        <v>1</v>
      </c>
      <c r="AZ10" s="3">
        <f t="shared" si="12"/>
        <v>-29970400</v>
      </c>
      <c r="BA10" s="3">
        <f t="shared" si="13"/>
        <v>-29970410</v>
      </c>
      <c r="BB10" s="3">
        <f t="shared" si="14"/>
        <v>-29970406</v>
      </c>
    </row>
    <row r="11" spans="2:54" x14ac:dyDescent="0.25">
      <c r="B11" s="36">
        <v>4</v>
      </c>
      <c r="C11" s="37" t="str">
        <f t="shared" ref="C11:G11" si="19">IFERROR(VLOOKUP($B11,$AN$7:$AS$11,C$5,FALSE),"")</f>
        <v>Corea</v>
      </c>
      <c r="D11" s="38">
        <f t="shared" si="19"/>
        <v>0</v>
      </c>
      <c r="E11" s="38">
        <f t="shared" si="19"/>
        <v>2</v>
      </c>
      <c r="F11" s="38">
        <f t="shared" si="19"/>
        <v>8</v>
      </c>
      <c r="G11" s="39">
        <f t="shared" si="19"/>
        <v>-6</v>
      </c>
      <c r="I11" s="29">
        <f t="shared" si="17"/>
        <v>47</v>
      </c>
      <c r="J11" s="30">
        <v>44897</v>
      </c>
      <c r="K11" s="31" t="s">
        <v>71</v>
      </c>
      <c r="L11" s="23">
        <v>1</v>
      </c>
      <c r="M11" s="24">
        <v>3</v>
      </c>
      <c r="N11" s="29" t="s">
        <v>68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5" t="str">
        <f t="shared" si="0"/>
        <v>Gana_Uruguay</v>
      </c>
      <c r="AJ11" s="3">
        <f t="shared" si="1"/>
        <v>0</v>
      </c>
      <c r="AK11" s="3">
        <f t="shared" si="2"/>
        <v>3</v>
      </c>
      <c r="AL11" s="3" t="str">
        <f t="shared" si="3"/>
        <v>Uruguay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</row>
    <row r="12" spans="2:54" x14ac:dyDescent="0.25">
      <c r="I12" s="40">
        <f t="shared" si="17"/>
        <v>48</v>
      </c>
      <c r="J12" s="41">
        <v>44897</v>
      </c>
      <c r="K12" s="42" t="s">
        <v>69</v>
      </c>
      <c r="L12" s="43">
        <v>1</v>
      </c>
      <c r="M12" s="44">
        <v>3</v>
      </c>
      <c r="N12" s="40" t="s">
        <v>70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5" t="str">
        <f t="shared" si="0"/>
        <v>Corea_Portugal</v>
      </c>
      <c r="AJ12" s="3">
        <f t="shared" si="1"/>
        <v>0</v>
      </c>
      <c r="AK12" s="3">
        <f t="shared" si="2"/>
        <v>3</v>
      </c>
      <c r="AL12" s="3" t="str">
        <f t="shared" si="3"/>
        <v>Portugal</v>
      </c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 spans="2:54" x14ac:dyDescent="0.25"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</row>
    <row r="14" spans="2:54" x14ac:dyDescent="0.25"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</row>
    <row r="15" spans="2:54" x14ac:dyDescent="0.25"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</row>
    <row r="16" spans="2:54" x14ac:dyDescent="0.25"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</row>
    <row r="17" spans="2:54" x14ac:dyDescent="0.25"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</row>
    <row r="18" spans="2:54" x14ac:dyDescent="0.25"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</row>
    <row r="19" spans="2:54" x14ac:dyDescent="0.25"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</row>
    <row r="20" spans="2:54" x14ac:dyDescent="0.25"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</row>
    <row r="21" spans="2:54" ht="15.75" customHeight="1" x14ac:dyDescent="0.25"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</row>
    <row r="22" spans="2:54" ht="15.75" customHeight="1" x14ac:dyDescent="0.25">
      <c r="B22" s="45" t="s">
        <v>25</v>
      </c>
      <c r="C22" s="46"/>
      <c r="D22" s="46"/>
      <c r="E22" s="46"/>
      <c r="F22" s="46"/>
      <c r="G22" s="46"/>
      <c r="H22" s="47"/>
      <c r="I22" s="3">
        <v>1</v>
      </c>
      <c r="J22" s="81" t="s">
        <v>40</v>
      </c>
      <c r="K22" s="82"/>
      <c r="L22" s="82"/>
      <c r="M22" s="83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</row>
    <row r="23" spans="2:54" ht="15.75" customHeight="1" x14ac:dyDescent="0.25">
      <c r="B23" s="48" t="s">
        <v>27</v>
      </c>
      <c r="C23" s="49"/>
      <c r="D23" s="49"/>
      <c r="E23" s="49"/>
      <c r="F23" s="49"/>
      <c r="G23" s="49"/>
      <c r="H23" s="50"/>
      <c r="I23" s="3">
        <f t="shared" ref="I23:I26" si="20">IF(J23="",0,1)</f>
        <v>1</v>
      </c>
      <c r="J23" s="98" t="s">
        <v>70</v>
      </c>
      <c r="K23" s="99"/>
      <c r="L23" s="85"/>
      <c r="M23" s="58">
        <v>1</v>
      </c>
      <c r="N23" s="52">
        <f t="shared" ref="N23:N27" si="21">IF(J23="",0,M23)</f>
        <v>1</v>
      </c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</row>
    <row r="24" spans="2:54" ht="15.75" customHeight="1" x14ac:dyDescent="0.25">
      <c r="B24" s="48" t="s">
        <v>28</v>
      </c>
      <c r="C24" s="49"/>
      <c r="D24" s="49"/>
      <c r="E24" s="49"/>
      <c r="F24" s="49"/>
      <c r="G24" s="49"/>
      <c r="H24" s="50"/>
      <c r="I24" s="3">
        <f t="shared" si="20"/>
        <v>1</v>
      </c>
      <c r="J24" s="100" t="s">
        <v>68</v>
      </c>
      <c r="K24" s="101"/>
      <c r="L24" s="102"/>
      <c r="M24" s="53">
        <v>2</v>
      </c>
      <c r="N24" s="52">
        <f t="shared" si="21"/>
        <v>2</v>
      </c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</row>
    <row r="25" spans="2:54" ht="15.75" customHeight="1" x14ac:dyDescent="0.25">
      <c r="B25" s="48" t="s">
        <v>30</v>
      </c>
      <c r="C25" s="49"/>
      <c r="D25" s="49"/>
      <c r="E25" s="49"/>
      <c r="F25" s="49"/>
      <c r="G25" s="49"/>
      <c r="H25" s="50"/>
      <c r="I25" s="3">
        <f t="shared" si="20"/>
        <v>1</v>
      </c>
      <c r="J25" s="100" t="s">
        <v>71</v>
      </c>
      <c r="K25" s="101"/>
      <c r="L25" s="102"/>
      <c r="M25" s="53">
        <v>3</v>
      </c>
      <c r="N25" s="52">
        <f t="shared" si="21"/>
        <v>3</v>
      </c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</row>
    <row r="26" spans="2:54" ht="15.75" customHeight="1" x14ac:dyDescent="0.25">
      <c r="B26" s="48" t="s">
        <v>32</v>
      </c>
      <c r="C26" s="49"/>
      <c r="D26" s="49"/>
      <c r="E26" s="49"/>
      <c r="F26" s="49"/>
      <c r="G26" s="49"/>
      <c r="H26" s="50"/>
      <c r="I26" s="3">
        <f t="shared" si="20"/>
        <v>1</v>
      </c>
      <c r="J26" s="103" t="s">
        <v>69</v>
      </c>
      <c r="K26" s="104"/>
      <c r="L26" s="87"/>
      <c r="M26" s="54">
        <v>4</v>
      </c>
      <c r="N26" s="52">
        <f t="shared" si="21"/>
        <v>4</v>
      </c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</row>
    <row r="27" spans="2:54" ht="15.75" customHeight="1" x14ac:dyDescent="0.25">
      <c r="B27" s="48" t="s">
        <v>34</v>
      </c>
      <c r="C27" s="49"/>
      <c r="D27" s="49"/>
      <c r="E27" s="49"/>
      <c r="F27" s="49"/>
      <c r="G27" s="49"/>
      <c r="H27" s="50"/>
      <c r="I27" s="3"/>
      <c r="N27" s="52">
        <f t="shared" si="21"/>
        <v>0</v>
      </c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</row>
    <row r="28" spans="2:54" ht="15.75" customHeight="1" x14ac:dyDescent="0.25">
      <c r="B28" s="55"/>
      <c r="C28" s="56"/>
      <c r="D28" s="56"/>
      <c r="E28" s="56"/>
      <c r="F28" s="56"/>
      <c r="G28" s="56"/>
      <c r="H28" s="57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</row>
    <row r="29" spans="2:54" ht="15.75" customHeight="1" x14ac:dyDescent="0.25"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</row>
    <row r="30" spans="2:54" ht="15.75" customHeight="1" x14ac:dyDescent="0.25"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</row>
    <row r="31" spans="2:54" ht="15.75" customHeight="1" x14ac:dyDescent="0.25"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</row>
    <row r="32" spans="2:54" ht="15.75" customHeight="1" x14ac:dyDescent="0.25"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</row>
    <row r="33" spans="15:54" ht="15.75" customHeight="1" x14ac:dyDescent="0.25"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</row>
    <row r="34" spans="15:54" ht="15.75" customHeight="1" x14ac:dyDescent="0.25"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</row>
    <row r="35" spans="15:54" ht="15.75" customHeight="1" x14ac:dyDescent="0.25"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</row>
    <row r="36" spans="15:54" ht="15.75" customHeight="1" x14ac:dyDescent="0.25"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</row>
    <row r="37" spans="15:54" ht="15.75" customHeight="1" x14ac:dyDescent="0.25"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</row>
    <row r="38" spans="15:54" ht="15.75" customHeight="1" x14ac:dyDescent="0.25"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</row>
    <row r="39" spans="15:54" ht="15.75" customHeight="1" x14ac:dyDescent="0.25"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</row>
    <row r="40" spans="15:54" ht="15.75" customHeight="1" x14ac:dyDescent="0.25"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</row>
    <row r="41" spans="15:54" ht="15.75" customHeight="1" x14ac:dyDescent="0.25"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</row>
    <row r="42" spans="15:54" ht="15.75" customHeight="1" x14ac:dyDescent="0.25"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</row>
    <row r="43" spans="15:54" ht="15.75" customHeight="1" x14ac:dyDescent="0.25"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</row>
    <row r="44" spans="15:54" ht="15.75" customHeight="1" x14ac:dyDescent="0.25"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</row>
    <row r="45" spans="15:54" ht="15.75" customHeight="1" x14ac:dyDescent="0.25"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</row>
    <row r="46" spans="15:54" ht="15.75" customHeight="1" x14ac:dyDescent="0.25"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</row>
    <row r="47" spans="15:54" ht="15.75" customHeight="1" x14ac:dyDescent="0.25"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15:54" ht="15.75" customHeight="1" x14ac:dyDescent="0.25"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r="49" spans="15:54" ht="15.75" customHeight="1" x14ac:dyDescent="0.25"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r="50" spans="15:54" ht="15.75" customHeight="1" x14ac:dyDescent="0.25"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</row>
    <row r="51" spans="15:54" ht="15.75" customHeight="1" x14ac:dyDescent="0.25"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</row>
    <row r="52" spans="15:54" ht="15.75" customHeight="1" x14ac:dyDescent="0.25"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</row>
    <row r="53" spans="15:54" ht="15.75" customHeight="1" x14ac:dyDescent="0.25"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</row>
    <row r="54" spans="15:54" ht="15.75" customHeight="1" x14ac:dyDescent="0.25"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</row>
    <row r="55" spans="15:54" ht="15.75" customHeight="1" x14ac:dyDescent="0.25"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</row>
    <row r="56" spans="15:54" ht="15.75" customHeight="1" x14ac:dyDescent="0.25"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</row>
    <row r="57" spans="15:54" ht="15.75" customHeight="1" x14ac:dyDescent="0.25"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</row>
    <row r="58" spans="15:54" ht="15.75" customHeight="1" x14ac:dyDescent="0.25"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</row>
    <row r="59" spans="15:54" ht="15.75" customHeight="1" x14ac:dyDescent="0.25"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</row>
    <row r="60" spans="15:54" ht="15.75" customHeight="1" x14ac:dyDescent="0.25"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</row>
    <row r="61" spans="15:54" ht="15.75" customHeight="1" x14ac:dyDescent="0.25"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</row>
    <row r="62" spans="15:54" ht="15.75" customHeight="1" x14ac:dyDescent="0.25"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</row>
    <row r="63" spans="15:54" ht="15.75" customHeight="1" x14ac:dyDescent="0.25"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</row>
    <row r="64" spans="15:54" ht="15.75" customHeight="1" x14ac:dyDescent="0.25"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</row>
    <row r="65" spans="15:54" ht="15.75" customHeight="1" x14ac:dyDescent="0.25"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</row>
    <row r="66" spans="15:54" ht="15.75" customHeight="1" x14ac:dyDescent="0.25"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</row>
    <row r="67" spans="15:54" ht="15.75" customHeight="1" x14ac:dyDescent="0.25"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</row>
    <row r="68" spans="15:54" ht="15.75" customHeight="1" x14ac:dyDescent="0.25"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</row>
    <row r="69" spans="15:54" ht="15.75" customHeight="1" x14ac:dyDescent="0.25"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</row>
    <row r="70" spans="15:54" ht="15.75" customHeight="1" x14ac:dyDescent="0.25"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</row>
    <row r="71" spans="15:54" ht="15.75" customHeight="1" x14ac:dyDescent="0.25"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</row>
    <row r="72" spans="15:54" ht="15.75" customHeight="1" x14ac:dyDescent="0.25"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</row>
    <row r="73" spans="15:54" ht="15.75" customHeight="1" x14ac:dyDescent="0.25"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</row>
    <row r="74" spans="15:54" ht="15.75" customHeight="1" x14ac:dyDescent="0.25"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</row>
    <row r="75" spans="15:54" ht="15.75" customHeight="1" x14ac:dyDescent="0.25"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</row>
    <row r="76" spans="15:54" ht="15.75" customHeight="1" x14ac:dyDescent="0.25"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</row>
    <row r="77" spans="15:54" ht="15.75" customHeight="1" x14ac:dyDescent="0.25"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</row>
    <row r="78" spans="15:54" ht="15.75" customHeight="1" x14ac:dyDescent="0.25"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</row>
    <row r="79" spans="15:54" ht="15.75" customHeight="1" x14ac:dyDescent="0.25"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</row>
    <row r="80" spans="15:54" ht="15.75" customHeight="1" x14ac:dyDescent="0.25"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</row>
    <row r="81" spans="15:54" ht="15.75" customHeight="1" x14ac:dyDescent="0.25"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</row>
    <row r="82" spans="15:54" ht="15.75" customHeight="1" x14ac:dyDescent="0.25"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</row>
    <row r="83" spans="15:54" ht="15.75" customHeight="1" x14ac:dyDescent="0.25"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</row>
    <row r="84" spans="15:54" ht="15.75" customHeight="1" x14ac:dyDescent="0.25"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</row>
    <row r="85" spans="15:54" ht="15.75" customHeight="1" x14ac:dyDescent="0.25"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</row>
    <row r="86" spans="15:54" ht="15.75" customHeight="1" x14ac:dyDescent="0.25"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</row>
    <row r="87" spans="15:54" ht="15.75" customHeight="1" x14ac:dyDescent="0.25"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</row>
    <row r="88" spans="15:54" ht="15.75" customHeight="1" x14ac:dyDescent="0.25"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</row>
    <row r="89" spans="15:54" ht="15.75" customHeight="1" x14ac:dyDescent="0.25"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</row>
    <row r="90" spans="15:54" ht="15.75" customHeight="1" x14ac:dyDescent="0.25"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</row>
    <row r="91" spans="15:54" ht="15.75" customHeight="1" x14ac:dyDescent="0.25"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</row>
    <row r="92" spans="15:54" ht="15.75" customHeight="1" x14ac:dyDescent="0.25"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</row>
    <row r="93" spans="15:54" ht="15.75" customHeight="1" x14ac:dyDescent="0.25"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</row>
    <row r="94" spans="15:54" ht="15.75" customHeight="1" x14ac:dyDescent="0.25"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</row>
    <row r="95" spans="15:54" ht="15.75" customHeight="1" x14ac:dyDescent="0.25"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</row>
    <row r="96" spans="15:54" ht="15.75" customHeight="1" x14ac:dyDescent="0.25"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</row>
    <row r="97" spans="15:54" ht="15.75" customHeight="1" x14ac:dyDescent="0.25"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</row>
    <row r="98" spans="15:54" ht="15.75" customHeight="1" x14ac:dyDescent="0.25"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</row>
    <row r="99" spans="15:54" ht="15.75" customHeight="1" x14ac:dyDescent="0.25"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</row>
    <row r="100" spans="15:54" ht="15.75" customHeight="1" x14ac:dyDescent="0.25"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</row>
    <row r="101" spans="15:54" ht="15.75" customHeight="1" x14ac:dyDescent="0.25"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</row>
    <row r="102" spans="15:54" ht="15.75" customHeight="1" x14ac:dyDescent="0.25"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</row>
    <row r="103" spans="15:54" ht="15.75" customHeight="1" x14ac:dyDescent="0.25"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</row>
    <row r="104" spans="15:54" ht="15.75" customHeight="1" x14ac:dyDescent="0.25"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</row>
    <row r="105" spans="15:54" ht="15.75" customHeight="1" x14ac:dyDescent="0.25"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</row>
    <row r="106" spans="15:54" ht="15.75" customHeight="1" x14ac:dyDescent="0.25"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</row>
    <row r="107" spans="15:54" ht="15.75" customHeight="1" x14ac:dyDescent="0.25"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</row>
    <row r="108" spans="15:54" ht="15.75" customHeight="1" x14ac:dyDescent="0.25"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</row>
    <row r="109" spans="15:54" ht="15.75" customHeight="1" x14ac:dyDescent="0.25"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</row>
    <row r="110" spans="15:54" ht="15.75" customHeight="1" x14ac:dyDescent="0.25"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</row>
    <row r="111" spans="15:54" ht="15.75" customHeight="1" x14ac:dyDescent="0.25"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</row>
    <row r="112" spans="15:54" ht="15.75" customHeight="1" x14ac:dyDescent="0.25"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</row>
    <row r="113" spans="15:54" ht="15.75" customHeight="1" x14ac:dyDescent="0.25"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</row>
    <row r="114" spans="15:54" ht="15.75" customHeight="1" x14ac:dyDescent="0.25"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</row>
    <row r="115" spans="15:54" ht="15.75" customHeight="1" x14ac:dyDescent="0.25"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</row>
    <row r="116" spans="15:54" ht="15.75" customHeight="1" x14ac:dyDescent="0.25"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</row>
    <row r="117" spans="15:54" ht="15.75" customHeight="1" x14ac:dyDescent="0.25"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</row>
    <row r="118" spans="15:54" ht="15.75" customHeight="1" x14ac:dyDescent="0.25"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</row>
    <row r="119" spans="15:54" ht="15.75" customHeight="1" x14ac:dyDescent="0.25"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</row>
    <row r="120" spans="15:54" ht="15.75" customHeight="1" x14ac:dyDescent="0.25"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</row>
    <row r="121" spans="15:54" ht="15.75" customHeight="1" x14ac:dyDescent="0.25"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</row>
    <row r="122" spans="15:54" ht="15.75" customHeight="1" x14ac:dyDescent="0.25"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</row>
    <row r="123" spans="15:54" ht="15.75" customHeight="1" x14ac:dyDescent="0.25"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</row>
    <row r="124" spans="15:54" ht="15.75" customHeight="1" x14ac:dyDescent="0.25"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</row>
    <row r="125" spans="15:54" ht="15.75" customHeight="1" x14ac:dyDescent="0.25"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</row>
    <row r="126" spans="15:54" ht="15.75" customHeight="1" x14ac:dyDescent="0.25"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</row>
    <row r="127" spans="15:54" ht="15.75" customHeight="1" x14ac:dyDescent="0.25"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</row>
    <row r="128" spans="15:54" ht="15.75" customHeight="1" x14ac:dyDescent="0.25"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</row>
    <row r="129" spans="15:54" ht="15.75" customHeight="1" x14ac:dyDescent="0.25"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</row>
    <row r="130" spans="15:54" ht="15.75" customHeight="1" x14ac:dyDescent="0.25"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</row>
    <row r="131" spans="15:54" ht="15.75" customHeight="1" x14ac:dyDescent="0.25"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</row>
    <row r="132" spans="15:54" ht="15.75" customHeight="1" x14ac:dyDescent="0.25"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</row>
    <row r="133" spans="15:54" ht="15.75" customHeight="1" x14ac:dyDescent="0.25"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</row>
    <row r="134" spans="15:54" ht="15.75" customHeight="1" x14ac:dyDescent="0.25"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</row>
    <row r="135" spans="15:54" ht="15.75" customHeight="1" x14ac:dyDescent="0.25"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</row>
    <row r="136" spans="15:54" ht="15.75" customHeight="1" x14ac:dyDescent="0.25"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</row>
    <row r="137" spans="15:54" ht="15.75" customHeight="1" x14ac:dyDescent="0.25"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</row>
    <row r="138" spans="15:54" ht="15.75" customHeight="1" x14ac:dyDescent="0.25"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</row>
    <row r="139" spans="15:54" ht="15.75" customHeight="1" x14ac:dyDescent="0.25"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</row>
    <row r="140" spans="15:54" ht="15.75" customHeight="1" x14ac:dyDescent="0.25"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</row>
    <row r="141" spans="15:54" ht="15.75" customHeight="1" x14ac:dyDescent="0.25"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</row>
    <row r="142" spans="15:54" ht="15.75" customHeight="1" x14ac:dyDescent="0.25"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</row>
    <row r="143" spans="15:54" ht="15.75" customHeight="1" x14ac:dyDescent="0.25"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</row>
    <row r="144" spans="15:54" ht="15.75" customHeight="1" x14ac:dyDescent="0.25"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</row>
    <row r="145" spans="15:54" ht="15.75" customHeight="1" x14ac:dyDescent="0.25"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</row>
    <row r="146" spans="15:54" ht="15.75" customHeight="1" x14ac:dyDescent="0.25"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</row>
    <row r="147" spans="15:54" ht="15.75" customHeight="1" x14ac:dyDescent="0.25"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</row>
    <row r="148" spans="15:54" ht="15.75" customHeight="1" x14ac:dyDescent="0.25"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</row>
    <row r="149" spans="15:54" ht="15.75" customHeight="1" x14ac:dyDescent="0.25"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</row>
    <row r="150" spans="15:54" ht="15.75" customHeight="1" x14ac:dyDescent="0.25"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</row>
    <row r="151" spans="15:54" ht="15.75" customHeight="1" x14ac:dyDescent="0.25"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</row>
    <row r="152" spans="15:54" ht="15.75" customHeight="1" x14ac:dyDescent="0.25"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</row>
    <row r="153" spans="15:54" ht="15.75" customHeight="1" x14ac:dyDescent="0.25"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</row>
    <row r="154" spans="15:54" ht="15.75" customHeight="1" x14ac:dyDescent="0.25"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</row>
    <row r="155" spans="15:54" ht="15.75" customHeight="1" x14ac:dyDescent="0.25"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</row>
    <row r="156" spans="15:54" ht="15.75" customHeight="1" x14ac:dyDescent="0.25"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</row>
    <row r="157" spans="15:54" ht="15.75" customHeight="1" x14ac:dyDescent="0.25"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</row>
    <row r="158" spans="15:54" ht="15.75" customHeight="1" x14ac:dyDescent="0.25"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</row>
    <row r="159" spans="15:54" ht="15.75" customHeight="1" x14ac:dyDescent="0.25"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</row>
    <row r="160" spans="15:54" ht="15.75" customHeight="1" x14ac:dyDescent="0.25"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</row>
    <row r="161" spans="15:54" ht="15.75" customHeight="1" x14ac:dyDescent="0.25"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</row>
    <row r="162" spans="15:54" ht="15.75" customHeight="1" x14ac:dyDescent="0.25"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</row>
    <row r="163" spans="15:54" ht="15.75" customHeight="1" x14ac:dyDescent="0.25"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</row>
    <row r="164" spans="15:54" ht="15.75" customHeight="1" x14ac:dyDescent="0.25"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</row>
    <row r="165" spans="15:54" ht="15.75" customHeight="1" x14ac:dyDescent="0.25"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</row>
    <row r="166" spans="15:54" ht="15.75" customHeight="1" x14ac:dyDescent="0.25"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</row>
    <row r="167" spans="15:54" ht="15.75" customHeight="1" x14ac:dyDescent="0.25"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</row>
    <row r="168" spans="15:54" ht="15.75" customHeight="1" x14ac:dyDescent="0.25"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</row>
    <row r="169" spans="15:54" ht="15.75" customHeight="1" x14ac:dyDescent="0.25"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</row>
    <row r="170" spans="15:54" ht="15.75" customHeight="1" x14ac:dyDescent="0.25"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</row>
    <row r="171" spans="15:54" ht="15.75" customHeight="1" x14ac:dyDescent="0.25"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</row>
    <row r="172" spans="15:54" ht="15.75" customHeight="1" x14ac:dyDescent="0.25"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</row>
    <row r="173" spans="15:54" ht="15.75" customHeight="1" x14ac:dyDescent="0.25"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</row>
    <row r="174" spans="15:54" ht="15.75" customHeight="1" x14ac:dyDescent="0.25"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</row>
    <row r="175" spans="15:54" ht="15.75" customHeight="1" x14ac:dyDescent="0.25"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</row>
    <row r="176" spans="15:54" ht="15.75" customHeight="1" x14ac:dyDescent="0.25"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</row>
    <row r="177" spans="15:54" ht="15.75" customHeight="1" x14ac:dyDescent="0.25"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</row>
    <row r="178" spans="15:54" ht="15.75" customHeight="1" x14ac:dyDescent="0.25"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</row>
    <row r="179" spans="15:54" ht="15.75" customHeight="1" x14ac:dyDescent="0.25"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</row>
    <row r="180" spans="15:54" ht="15.75" customHeight="1" x14ac:dyDescent="0.25"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</row>
    <row r="181" spans="15:54" ht="15.75" customHeight="1" x14ac:dyDescent="0.25"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</row>
    <row r="182" spans="15:54" ht="15.75" customHeight="1" x14ac:dyDescent="0.25"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</row>
    <row r="183" spans="15:54" ht="15.75" customHeight="1" x14ac:dyDescent="0.25"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</row>
    <row r="184" spans="15:54" ht="15.75" customHeight="1" x14ac:dyDescent="0.25"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</row>
    <row r="185" spans="15:54" ht="15.75" customHeight="1" x14ac:dyDescent="0.25"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</row>
    <row r="186" spans="15:54" ht="15.75" customHeight="1" x14ac:dyDescent="0.25"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</row>
    <row r="187" spans="15:54" ht="15.75" customHeight="1" x14ac:dyDescent="0.25"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</row>
    <row r="188" spans="15:54" ht="15.75" customHeight="1" x14ac:dyDescent="0.25"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</row>
    <row r="189" spans="15:54" ht="15.75" customHeight="1" x14ac:dyDescent="0.25"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</row>
    <row r="190" spans="15:54" ht="15.75" customHeight="1" x14ac:dyDescent="0.25"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</row>
    <row r="191" spans="15:54" ht="15.75" customHeight="1" x14ac:dyDescent="0.25"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</row>
    <row r="192" spans="15:54" ht="15.75" customHeight="1" x14ac:dyDescent="0.25"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</row>
    <row r="193" spans="15:54" ht="15.75" customHeight="1" x14ac:dyDescent="0.25"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</row>
    <row r="194" spans="15:54" ht="15.75" customHeight="1" x14ac:dyDescent="0.25"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</row>
    <row r="195" spans="15:54" ht="15.75" customHeight="1" x14ac:dyDescent="0.25"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</row>
    <row r="196" spans="15:54" ht="15.75" customHeight="1" x14ac:dyDescent="0.25"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</row>
    <row r="197" spans="15:54" ht="15.75" customHeight="1" x14ac:dyDescent="0.25"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</row>
    <row r="198" spans="15:54" ht="15.75" customHeight="1" x14ac:dyDescent="0.25"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</row>
    <row r="199" spans="15:54" ht="15.75" customHeight="1" x14ac:dyDescent="0.25"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</row>
    <row r="200" spans="15:54" ht="15.75" customHeight="1" x14ac:dyDescent="0.25"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</row>
    <row r="201" spans="15:54" ht="15.75" customHeight="1" x14ac:dyDescent="0.25"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</row>
    <row r="202" spans="15:54" ht="15.75" customHeight="1" x14ac:dyDescent="0.25"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</row>
    <row r="203" spans="15:54" ht="15.75" customHeight="1" x14ac:dyDescent="0.25"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</row>
    <row r="204" spans="15:54" ht="15.75" customHeight="1" x14ac:dyDescent="0.25"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</row>
    <row r="205" spans="15:54" ht="15.75" customHeight="1" x14ac:dyDescent="0.25"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</row>
    <row r="206" spans="15:54" ht="15.75" customHeight="1" x14ac:dyDescent="0.25"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</row>
    <row r="207" spans="15:54" ht="15.75" customHeight="1" x14ac:dyDescent="0.25"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</row>
    <row r="208" spans="15:54" ht="15.75" customHeight="1" x14ac:dyDescent="0.25"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</row>
    <row r="209" spans="15:54" ht="15.75" customHeight="1" x14ac:dyDescent="0.25"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</row>
    <row r="210" spans="15:54" ht="15.75" customHeight="1" x14ac:dyDescent="0.25"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</row>
    <row r="211" spans="15:54" ht="15.75" customHeight="1" x14ac:dyDescent="0.25"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</row>
    <row r="212" spans="15:54" ht="15.75" customHeight="1" x14ac:dyDescent="0.25"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</row>
    <row r="213" spans="15:54" ht="15.75" customHeight="1" x14ac:dyDescent="0.25"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</row>
    <row r="214" spans="15:54" ht="15.75" customHeight="1" x14ac:dyDescent="0.25"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</row>
    <row r="215" spans="15:54" ht="15.75" customHeight="1" x14ac:dyDescent="0.25"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</row>
    <row r="216" spans="15:54" ht="15.75" customHeight="1" x14ac:dyDescent="0.25"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</row>
    <row r="217" spans="15:54" ht="15.75" customHeight="1" x14ac:dyDescent="0.25"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</row>
    <row r="218" spans="15:54" ht="15.75" customHeight="1" x14ac:dyDescent="0.25"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</row>
    <row r="219" spans="15:54" ht="15.75" customHeight="1" x14ac:dyDescent="0.25"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</row>
    <row r="220" spans="15:54" ht="15.75" customHeight="1" x14ac:dyDescent="0.25"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</row>
    <row r="221" spans="15:54" ht="15.75" customHeight="1" x14ac:dyDescent="0.25"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</row>
    <row r="222" spans="15:54" ht="15.75" customHeight="1" x14ac:dyDescent="0.25"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</row>
    <row r="223" spans="15:54" ht="15.75" customHeight="1" x14ac:dyDescent="0.25"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</row>
    <row r="224" spans="15:54" ht="15.75" customHeight="1" x14ac:dyDescent="0.25"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</row>
    <row r="225" spans="15:54" ht="15.75" customHeight="1" x14ac:dyDescent="0.25"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</row>
    <row r="226" spans="15:54" ht="15.75" customHeight="1" x14ac:dyDescent="0.25"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</row>
    <row r="227" spans="15:54" ht="15.75" customHeight="1" x14ac:dyDescent="0.25"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</row>
    <row r="228" spans="15:54" ht="15.75" customHeight="1" x14ac:dyDescent="0.25"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</row>
    <row r="229" spans="15:54" ht="15.75" customHeight="1" x14ac:dyDescent="0.25"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</row>
    <row r="230" spans="15:54" ht="15.75" customHeight="1" x14ac:dyDescent="0.25"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</row>
    <row r="231" spans="15:54" ht="15.75" customHeight="1" x14ac:dyDescent="0.25"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</row>
    <row r="232" spans="15:54" ht="15.75" customHeight="1" x14ac:dyDescent="0.25"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</row>
    <row r="233" spans="15:54" ht="15.75" customHeight="1" x14ac:dyDescent="0.25"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</row>
    <row r="234" spans="15:54" ht="15.75" customHeight="1" x14ac:dyDescent="0.25"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</row>
    <row r="235" spans="15:54" ht="15.75" customHeight="1" x14ac:dyDescent="0.25"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</row>
    <row r="236" spans="15:54" ht="15.75" customHeight="1" x14ac:dyDescent="0.25"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</row>
    <row r="237" spans="15:54" ht="15.75" customHeight="1" x14ac:dyDescent="0.25"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</row>
    <row r="238" spans="15:54" ht="15.75" customHeight="1" x14ac:dyDescent="0.25"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</row>
    <row r="239" spans="15:54" ht="15.75" customHeight="1" x14ac:dyDescent="0.25"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</row>
    <row r="240" spans="15:54" ht="15.75" customHeight="1" x14ac:dyDescent="0.25"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</row>
    <row r="241" spans="15:54" ht="15.75" customHeight="1" x14ac:dyDescent="0.25"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</row>
    <row r="242" spans="15:54" ht="15.75" customHeight="1" x14ac:dyDescent="0.25"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</row>
    <row r="243" spans="15:54" ht="15.75" customHeight="1" x14ac:dyDescent="0.25"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</row>
    <row r="244" spans="15:54" ht="15.75" customHeight="1" x14ac:dyDescent="0.25"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</row>
    <row r="245" spans="15:54" ht="15.75" customHeight="1" x14ac:dyDescent="0.25"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</row>
    <row r="246" spans="15:54" ht="15.75" customHeight="1" x14ac:dyDescent="0.25"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</row>
    <row r="247" spans="15:54" ht="15.75" customHeight="1" x14ac:dyDescent="0.25"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</row>
    <row r="248" spans="15:54" ht="15.75" customHeight="1" x14ac:dyDescent="0.25"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</row>
    <row r="249" spans="15:54" ht="15.75" customHeight="1" x14ac:dyDescent="0.25"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</row>
    <row r="250" spans="15:54" ht="15.75" customHeight="1" x14ac:dyDescent="0.25"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</row>
    <row r="251" spans="15:54" ht="15.75" customHeight="1" x14ac:dyDescent="0.25"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</row>
    <row r="252" spans="15:54" ht="15.75" customHeight="1" x14ac:dyDescent="0.25"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</row>
    <row r="253" spans="15:54" ht="15.75" customHeight="1" x14ac:dyDescent="0.25"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</row>
    <row r="254" spans="15:54" ht="15.75" customHeight="1" x14ac:dyDescent="0.25"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</row>
    <row r="255" spans="15:54" ht="15.75" customHeight="1" x14ac:dyDescent="0.25"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</row>
    <row r="256" spans="15:54" ht="15.75" customHeight="1" x14ac:dyDescent="0.25"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</row>
    <row r="257" spans="15:54" ht="15.75" customHeight="1" x14ac:dyDescent="0.25"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</row>
    <row r="258" spans="15:54" ht="15.75" customHeight="1" x14ac:dyDescent="0.25"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</row>
    <row r="259" spans="15:54" ht="15.75" customHeight="1" x14ac:dyDescent="0.25"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</row>
    <row r="260" spans="15:54" ht="15.75" customHeight="1" x14ac:dyDescent="0.25"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</row>
    <row r="261" spans="15:54" ht="15.75" customHeight="1" x14ac:dyDescent="0.25"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</row>
    <row r="262" spans="15:54" ht="15.75" customHeight="1" x14ac:dyDescent="0.25"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</row>
    <row r="263" spans="15:54" ht="15.75" customHeight="1" x14ac:dyDescent="0.25"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</row>
    <row r="264" spans="15:54" ht="15.75" customHeight="1" x14ac:dyDescent="0.25"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</row>
    <row r="265" spans="15:54" ht="15.75" customHeight="1" x14ac:dyDescent="0.25"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</row>
    <row r="266" spans="15:54" ht="15.75" customHeight="1" x14ac:dyDescent="0.25"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</row>
    <row r="267" spans="15:54" ht="15.75" customHeight="1" x14ac:dyDescent="0.25"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</row>
    <row r="268" spans="15:54" ht="15.75" customHeight="1" x14ac:dyDescent="0.25"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</row>
    <row r="269" spans="15:54" ht="15.75" customHeight="1" x14ac:dyDescent="0.25"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</row>
    <row r="270" spans="15:54" ht="15.75" customHeight="1" x14ac:dyDescent="0.25"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</row>
    <row r="271" spans="15:54" ht="15.75" customHeight="1" x14ac:dyDescent="0.25"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</row>
    <row r="272" spans="15:54" ht="15.75" customHeight="1" x14ac:dyDescent="0.25"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</row>
    <row r="273" spans="15:54" ht="15.75" customHeight="1" x14ac:dyDescent="0.25"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</row>
    <row r="274" spans="15:54" ht="15.75" customHeight="1" x14ac:dyDescent="0.25"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</row>
    <row r="275" spans="15:54" ht="15.75" customHeight="1" x14ac:dyDescent="0.25"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</row>
    <row r="276" spans="15:54" ht="15.75" customHeight="1" x14ac:dyDescent="0.25"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</row>
    <row r="277" spans="15:54" ht="15.75" customHeight="1" x14ac:dyDescent="0.25"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</row>
    <row r="278" spans="15:54" ht="15.75" customHeight="1" x14ac:dyDescent="0.25"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</row>
    <row r="279" spans="15:54" ht="15.75" customHeight="1" x14ac:dyDescent="0.25"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</row>
    <row r="280" spans="15:54" ht="15.75" customHeight="1" x14ac:dyDescent="0.25"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</row>
    <row r="281" spans="15:54" ht="15.75" customHeight="1" x14ac:dyDescent="0.25"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</row>
    <row r="282" spans="15:54" ht="15.75" customHeight="1" x14ac:dyDescent="0.25"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</row>
    <row r="283" spans="15:54" ht="15.75" customHeight="1" x14ac:dyDescent="0.25"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</row>
    <row r="284" spans="15:54" ht="15.75" customHeight="1" x14ac:dyDescent="0.25"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</row>
    <row r="285" spans="15:54" ht="15.75" customHeight="1" x14ac:dyDescent="0.25"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</row>
    <row r="286" spans="15:54" ht="15.75" customHeight="1" x14ac:dyDescent="0.25"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</row>
    <row r="287" spans="15:54" ht="15.75" customHeight="1" x14ac:dyDescent="0.25"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</row>
    <row r="288" spans="15:54" ht="15.75" customHeight="1" x14ac:dyDescent="0.25"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</row>
    <row r="289" spans="15:54" ht="15.75" customHeight="1" x14ac:dyDescent="0.25"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</row>
    <row r="290" spans="15:54" ht="15.75" customHeight="1" x14ac:dyDescent="0.25"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</row>
    <row r="291" spans="15:54" ht="15.75" customHeight="1" x14ac:dyDescent="0.25"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</row>
    <row r="292" spans="15:54" ht="15.75" customHeight="1" x14ac:dyDescent="0.25"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</row>
    <row r="293" spans="15:54" ht="15.75" customHeight="1" x14ac:dyDescent="0.25"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</row>
    <row r="294" spans="15:54" ht="15.75" customHeight="1" x14ac:dyDescent="0.25"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</row>
    <row r="295" spans="15:54" ht="15.75" customHeight="1" x14ac:dyDescent="0.25"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</row>
    <row r="296" spans="15:54" ht="15.75" customHeight="1" x14ac:dyDescent="0.25"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</row>
    <row r="297" spans="15:54" ht="15.75" customHeight="1" x14ac:dyDescent="0.25"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</row>
    <row r="298" spans="15:54" ht="15.75" customHeight="1" x14ac:dyDescent="0.25"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</row>
    <row r="299" spans="15:54" ht="15.75" customHeight="1" x14ac:dyDescent="0.25"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</row>
    <row r="300" spans="15:54" ht="15.75" customHeight="1" x14ac:dyDescent="0.25"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</row>
    <row r="301" spans="15:54" ht="15.75" customHeight="1" x14ac:dyDescent="0.25"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</row>
    <row r="302" spans="15:54" ht="15.75" customHeight="1" x14ac:dyDescent="0.25"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</row>
    <row r="303" spans="15:54" ht="15.75" customHeight="1" x14ac:dyDescent="0.25"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</row>
    <row r="304" spans="15:54" ht="15.75" customHeight="1" x14ac:dyDescent="0.25"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</row>
    <row r="305" spans="15:54" ht="15.75" customHeight="1" x14ac:dyDescent="0.25"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</row>
    <row r="306" spans="15:54" ht="15.75" customHeight="1" x14ac:dyDescent="0.25"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</row>
    <row r="307" spans="15:54" ht="15.75" customHeight="1" x14ac:dyDescent="0.25"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</row>
    <row r="308" spans="15:54" ht="15.75" customHeight="1" x14ac:dyDescent="0.25"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</row>
    <row r="309" spans="15:54" ht="15.75" customHeight="1" x14ac:dyDescent="0.25"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</row>
    <row r="310" spans="15:54" ht="15.75" customHeight="1" x14ac:dyDescent="0.25"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</row>
    <row r="311" spans="15:54" ht="15.75" customHeight="1" x14ac:dyDescent="0.25"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</row>
    <row r="312" spans="15:54" ht="15.75" customHeight="1" x14ac:dyDescent="0.25"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</row>
    <row r="313" spans="15:54" ht="15.75" customHeight="1" x14ac:dyDescent="0.25"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</row>
    <row r="314" spans="15:54" ht="15.75" customHeight="1" x14ac:dyDescent="0.25"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</row>
    <row r="315" spans="15:54" ht="15.75" customHeight="1" x14ac:dyDescent="0.25"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</row>
    <row r="316" spans="15:54" ht="15.75" customHeight="1" x14ac:dyDescent="0.25"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</row>
    <row r="317" spans="15:54" ht="15.75" customHeight="1" x14ac:dyDescent="0.25"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</row>
    <row r="318" spans="15:54" ht="15.75" customHeight="1" x14ac:dyDescent="0.25"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</row>
    <row r="319" spans="15:54" ht="15.75" customHeight="1" x14ac:dyDescent="0.25"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</row>
    <row r="320" spans="15:54" ht="15.75" customHeight="1" x14ac:dyDescent="0.25"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</row>
    <row r="321" spans="15:54" ht="15.75" customHeight="1" x14ac:dyDescent="0.25"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</row>
    <row r="322" spans="15:54" ht="15.75" customHeight="1" x14ac:dyDescent="0.25"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</row>
    <row r="323" spans="15:54" ht="15.75" customHeight="1" x14ac:dyDescent="0.25"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</row>
    <row r="324" spans="15:54" ht="15.75" customHeight="1" x14ac:dyDescent="0.25"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</row>
    <row r="325" spans="15:54" ht="15.75" customHeight="1" x14ac:dyDescent="0.25"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</row>
    <row r="326" spans="15:54" ht="15.75" customHeight="1" x14ac:dyDescent="0.25"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</row>
    <row r="327" spans="15:54" ht="15.75" customHeight="1" x14ac:dyDescent="0.25"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</row>
    <row r="328" spans="15:54" ht="15.75" customHeight="1" x14ac:dyDescent="0.25"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</row>
    <row r="329" spans="15:54" ht="15.75" customHeight="1" x14ac:dyDescent="0.25"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</row>
    <row r="330" spans="15:54" ht="15.75" customHeight="1" x14ac:dyDescent="0.25"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</row>
    <row r="331" spans="15:54" ht="15.75" customHeight="1" x14ac:dyDescent="0.25"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</row>
    <row r="332" spans="15:54" ht="15.75" customHeight="1" x14ac:dyDescent="0.25"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</row>
    <row r="333" spans="15:54" ht="15.75" customHeight="1" x14ac:dyDescent="0.25"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</row>
    <row r="334" spans="15:54" ht="15.75" customHeight="1" x14ac:dyDescent="0.25"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</row>
    <row r="335" spans="15:54" ht="15.75" customHeight="1" x14ac:dyDescent="0.25"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</row>
    <row r="336" spans="15:54" ht="15.75" customHeight="1" x14ac:dyDescent="0.25"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</row>
    <row r="337" spans="15:54" ht="15.75" customHeight="1" x14ac:dyDescent="0.25"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</row>
    <row r="338" spans="15:54" ht="15.75" customHeight="1" x14ac:dyDescent="0.25"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</row>
    <row r="339" spans="15:54" ht="15.75" customHeight="1" x14ac:dyDescent="0.25"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</row>
    <row r="340" spans="15:54" ht="15.75" customHeight="1" x14ac:dyDescent="0.25"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</row>
    <row r="341" spans="15:54" ht="15.75" customHeight="1" x14ac:dyDescent="0.25"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</row>
    <row r="342" spans="15:54" ht="15.75" customHeight="1" x14ac:dyDescent="0.25"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</row>
    <row r="343" spans="15:54" ht="15.75" customHeight="1" x14ac:dyDescent="0.25"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</row>
    <row r="344" spans="15:54" ht="15.75" customHeight="1" x14ac:dyDescent="0.25"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</row>
    <row r="345" spans="15:54" ht="15.75" customHeight="1" x14ac:dyDescent="0.25"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</row>
    <row r="346" spans="15:54" ht="15.75" customHeight="1" x14ac:dyDescent="0.25"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</row>
    <row r="347" spans="15:54" ht="15.75" customHeight="1" x14ac:dyDescent="0.25"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</row>
    <row r="348" spans="15:54" ht="15.75" customHeight="1" x14ac:dyDescent="0.25"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</row>
    <row r="349" spans="15:54" ht="15.75" customHeight="1" x14ac:dyDescent="0.25"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</row>
    <row r="350" spans="15:54" ht="15.75" customHeight="1" x14ac:dyDescent="0.25"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</row>
    <row r="351" spans="15:54" ht="15.75" customHeight="1" x14ac:dyDescent="0.25"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</row>
    <row r="352" spans="15:54" ht="15.75" customHeight="1" x14ac:dyDescent="0.25"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</row>
    <row r="353" spans="15:54" ht="15.75" customHeight="1" x14ac:dyDescent="0.25"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</row>
    <row r="354" spans="15:54" ht="15.75" customHeight="1" x14ac:dyDescent="0.25"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</row>
    <row r="355" spans="15:54" ht="15.75" customHeight="1" x14ac:dyDescent="0.25"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</row>
    <row r="356" spans="15:54" ht="15.75" customHeight="1" x14ac:dyDescent="0.25"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</row>
    <row r="357" spans="15:54" ht="15.75" customHeight="1" x14ac:dyDescent="0.25"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</row>
    <row r="358" spans="15:54" ht="15.75" customHeight="1" x14ac:dyDescent="0.25"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</row>
    <row r="359" spans="15:54" ht="15.75" customHeight="1" x14ac:dyDescent="0.25"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</row>
    <row r="360" spans="15:54" ht="15.75" customHeight="1" x14ac:dyDescent="0.25"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</row>
    <row r="361" spans="15:54" ht="15.75" customHeight="1" x14ac:dyDescent="0.25"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</row>
    <row r="362" spans="15:54" ht="15.75" customHeight="1" x14ac:dyDescent="0.25"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</row>
    <row r="363" spans="15:54" ht="15.75" customHeight="1" x14ac:dyDescent="0.25"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</row>
    <row r="364" spans="15:54" ht="15.75" customHeight="1" x14ac:dyDescent="0.25"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</row>
    <row r="365" spans="15:54" ht="15.75" customHeight="1" x14ac:dyDescent="0.25"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</row>
    <row r="366" spans="15:54" ht="15.75" customHeight="1" x14ac:dyDescent="0.25"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</row>
    <row r="367" spans="15:54" ht="15.75" customHeight="1" x14ac:dyDescent="0.25"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</row>
    <row r="368" spans="15:54" ht="15.75" customHeight="1" x14ac:dyDescent="0.25"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</row>
    <row r="369" spans="15:54" ht="15.75" customHeight="1" x14ac:dyDescent="0.25"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</row>
    <row r="370" spans="15:54" ht="15.75" customHeight="1" x14ac:dyDescent="0.25"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</row>
    <row r="371" spans="15:54" ht="15.75" customHeight="1" x14ac:dyDescent="0.25"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</row>
    <row r="372" spans="15:54" ht="15.75" customHeight="1" x14ac:dyDescent="0.25"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</row>
    <row r="373" spans="15:54" ht="15.75" customHeight="1" x14ac:dyDescent="0.25"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</row>
    <row r="374" spans="15:54" ht="15.75" customHeight="1" x14ac:dyDescent="0.25"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</row>
    <row r="375" spans="15:54" ht="15.75" customHeight="1" x14ac:dyDescent="0.25"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</row>
    <row r="376" spans="15:54" ht="15.75" customHeight="1" x14ac:dyDescent="0.25"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</row>
    <row r="377" spans="15:54" ht="15.75" customHeight="1" x14ac:dyDescent="0.25"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</row>
    <row r="378" spans="15:54" ht="15.75" customHeight="1" x14ac:dyDescent="0.25"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</row>
    <row r="379" spans="15:54" ht="15.75" customHeight="1" x14ac:dyDescent="0.25"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</row>
    <row r="380" spans="15:54" ht="15.75" customHeight="1" x14ac:dyDescent="0.25"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</row>
    <row r="381" spans="15:54" ht="15.75" customHeight="1" x14ac:dyDescent="0.25"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</row>
    <row r="382" spans="15:54" ht="15.75" customHeight="1" x14ac:dyDescent="0.25"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</row>
    <row r="383" spans="15:54" ht="15.75" customHeight="1" x14ac:dyDescent="0.25"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</row>
    <row r="384" spans="15:54" ht="15.75" customHeight="1" x14ac:dyDescent="0.25"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</row>
    <row r="385" spans="15:54" ht="15.75" customHeight="1" x14ac:dyDescent="0.25"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</row>
    <row r="386" spans="15:54" ht="15.75" customHeight="1" x14ac:dyDescent="0.25"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</row>
    <row r="387" spans="15:54" ht="15.75" customHeight="1" x14ac:dyDescent="0.25"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</row>
    <row r="388" spans="15:54" ht="15.75" customHeight="1" x14ac:dyDescent="0.25"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</row>
    <row r="389" spans="15:54" ht="15.75" customHeight="1" x14ac:dyDescent="0.25"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</row>
    <row r="390" spans="15:54" ht="15.75" customHeight="1" x14ac:dyDescent="0.25"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</row>
    <row r="391" spans="15:54" ht="15.75" customHeight="1" x14ac:dyDescent="0.25"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</row>
    <row r="392" spans="15:54" ht="15.75" customHeight="1" x14ac:dyDescent="0.25"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</row>
    <row r="393" spans="15:54" ht="15.75" customHeight="1" x14ac:dyDescent="0.25"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</row>
    <row r="394" spans="15:54" ht="15.75" customHeight="1" x14ac:dyDescent="0.25"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</row>
    <row r="395" spans="15:54" ht="15.75" customHeight="1" x14ac:dyDescent="0.25"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</row>
    <row r="396" spans="15:54" ht="15.75" customHeight="1" x14ac:dyDescent="0.25"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</row>
    <row r="397" spans="15:54" ht="15.75" customHeight="1" x14ac:dyDescent="0.25"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</row>
    <row r="398" spans="15:54" ht="15.75" customHeight="1" x14ac:dyDescent="0.25"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</row>
    <row r="399" spans="15:54" ht="15.75" customHeight="1" x14ac:dyDescent="0.25"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</row>
    <row r="400" spans="15:54" ht="15.75" customHeight="1" x14ac:dyDescent="0.25"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</row>
    <row r="401" spans="15:54" ht="15.75" customHeight="1" x14ac:dyDescent="0.25"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</row>
    <row r="402" spans="15:54" ht="15.75" customHeight="1" x14ac:dyDescent="0.25"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</row>
    <row r="403" spans="15:54" ht="15.75" customHeight="1" x14ac:dyDescent="0.25"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</row>
    <row r="404" spans="15:54" ht="15.75" customHeight="1" x14ac:dyDescent="0.25"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</row>
    <row r="405" spans="15:54" ht="15.75" customHeight="1" x14ac:dyDescent="0.25"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</row>
    <row r="406" spans="15:54" ht="15.75" customHeight="1" x14ac:dyDescent="0.25"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</row>
    <row r="407" spans="15:54" ht="15.75" customHeight="1" x14ac:dyDescent="0.25"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</row>
    <row r="408" spans="15:54" ht="15.75" customHeight="1" x14ac:dyDescent="0.25"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</row>
    <row r="409" spans="15:54" ht="15.75" customHeight="1" x14ac:dyDescent="0.25"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</row>
    <row r="410" spans="15:54" ht="15.75" customHeight="1" x14ac:dyDescent="0.25"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</row>
    <row r="411" spans="15:54" ht="15.75" customHeight="1" x14ac:dyDescent="0.25"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</row>
    <row r="412" spans="15:54" ht="15.75" customHeight="1" x14ac:dyDescent="0.25"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</row>
    <row r="413" spans="15:54" ht="15.75" customHeight="1" x14ac:dyDescent="0.25"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</row>
    <row r="414" spans="15:54" ht="15.75" customHeight="1" x14ac:dyDescent="0.25"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</row>
    <row r="415" spans="15:54" ht="15.75" customHeight="1" x14ac:dyDescent="0.25"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</row>
    <row r="416" spans="15:54" ht="15.75" customHeight="1" x14ac:dyDescent="0.25"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</row>
    <row r="417" spans="15:54" ht="15.75" customHeight="1" x14ac:dyDescent="0.25"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</row>
    <row r="418" spans="15:54" ht="15.75" customHeight="1" x14ac:dyDescent="0.25"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</row>
    <row r="419" spans="15:54" ht="15.75" customHeight="1" x14ac:dyDescent="0.25"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</row>
    <row r="420" spans="15:54" ht="15.75" customHeight="1" x14ac:dyDescent="0.25"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</row>
    <row r="421" spans="15:54" ht="15.75" customHeight="1" x14ac:dyDescent="0.25"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</row>
    <row r="422" spans="15:54" ht="15.75" customHeight="1" x14ac:dyDescent="0.25"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</row>
    <row r="423" spans="15:54" ht="15.75" customHeight="1" x14ac:dyDescent="0.25"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</row>
    <row r="424" spans="15:54" ht="15.75" customHeight="1" x14ac:dyDescent="0.25"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</row>
    <row r="425" spans="15:54" ht="15.75" customHeight="1" x14ac:dyDescent="0.25"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</row>
    <row r="426" spans="15:54" ht="15.75" customHeight="1" x14ac:dyDescent="0.25"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</row>
    <row r="427" spans="15:54" ht="15.75" customHeight="1" x14ac:dyDescent="0.25"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</row>
    <row r="428" spans="15:54" ht="15.75" customHeight="1" x14ac:dyDescent="0.25"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</row>
    <row r="429" spans="15:54" ht="15.75" customHeight="1" x14ac:dyDescent="0.25"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</row>
    <row r="430" spans="15:54" ht="15.75" customHeight="1" x14ac:dyDescent="0.25"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</row>
    <row r="431" spans="15:54" ht="15.75" customHeight="1" x14ac:dyDescent="0.25"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</row>
    <row r="432" spans="15:54" ht="15.75" customHeight="1" x14ac:dyDescent="0.25"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</row>
    <row r="433" spans="15:54" ht="15.75" customHeight="1" x14ac:dyDescent="0.25"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</row>
    <row r="434" spans="15:54" ht="15.75" customHeight="1" x14ac:dyDescent="0.25"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</row>
    <row r="435" spans="15:54" ht="15.75" customHeight="1" x14ac:dyDescent="0.25"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</row>
    <row r="436" spans="15:54" ht="15.75" customHeight="1" x14ac:dyDescent="0.25"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</row>
    <row r="437" spans="15:54" ht="15.75" customHeight="1" x14ac:dyDescent="0.25"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</row>
    <row r="438" spans="15:54" ht="15.75" customHeight="1" x14ac:dyDescent="0.25"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</row>
    <row r="439" spans="15:54" ht="15.75" customHeight="1" x14ac:dyDescent="0.25"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</row>
    <row r="440" spans="15:54" ht="15.75" customHeight="1" x14ac:dyDescent="0.25"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</row>
    <row r="441" spans="15:54" ht="15.75" customHeight="1" x14ac:dyDescent="0.25"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</row>
    <row r="442" spans="15:54" ht="15.75" customHeight="1" x14ac:dyDescent="0.25"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</row>
    <row r="443" spans="15:54" ht="15.75" customHeight="1" x14ac:dyDescent="0.25"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</row>
    <row r="444" spans="15:54" ht="15.75" customHeight="1" x14ac:dyDescent="0.25"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</row>
    <row r="445" spans="15:54" ht="15.75" customHeight="1" x14ac:dyDescent="0.25"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</row>
    <row r="446" spans="15:54" ht="15.75" customHeight="1" x14ac:dyDescent="0.25"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</row>
    <row r="447" spans="15:54" ht="15.75" customHeight="1" x14ac:dyDescent="0.25"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</row>
    <row r="448" spans="15:54" ht="15.75" customHeight="1" x14ac:dyDescent="0.25"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</row>
    <row r="449" spans="15:54" ht="15.75" customHeight="1" x14ac:dyDescent="0.25"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</row>
    <row r="450" spans="15:54" ht="15.75" customHeight="1" x14ac:dyDescent="0.25"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</row>
    <row r="451" spans="15:54" ht="15.75" customHeight="1" x14ac:dyDescent="0.25"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</row>
    <row r="452" spans="15:54" ht="15.75" customHeight="1" x14ac:dyDescent="0.25"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</row>
    <row r="453" spans="15:54" ht="15.75" customHeight="1" x14ac:dyDescent="0.25"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</row>
    <row r="454" spans="15:54" ht="15.75" customHeight="1" x14ac:dyDescent="0.25"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</row>
    <row r="455" spans="15:54" ht="15.75" customHeight="1" x14ac:dyDescent="0.25"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</row>
    <row r="456" spans="15:54" ht="15.75" customHeight="1" x14ac:dyDescent="0.25"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</row>
    <row r="457" spans="15:54" ht="15.75" customHeight="1" x14ac:dyDescent="0.25"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</row>
    <row r="458" spans="15:54" ht="15.75" customHeight="1" x14ac:dyDescent="0.25"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</row>
    <row r="459" spans="15:54" ht="15.75" customHeight="1" x14ac:dyDescent="0.25"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</row>
    <row r="460" spans="15:54" ht="15.75" customHeight="1" x14ac:dyDescent="0.25"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</row>
    <row r="461" spans="15:54" ht="15.75" customHeight="1" x14ac:dyDescent="0.25"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</row>
    <row r="462" spans="15:54" ht="15.75" customHeight="1" x14ac:dyDescent="0.25"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</row>
    <row r="463" spans="15:54" ht="15.75" customHeight="1" x14ac:dyDescent="0.25"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</row>
    <row r="464" spans="15:54" ht="15.75" customHeight="1" x14ac:dyDescent="0.25"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</row>
    <row r="465" spans="15:54" ht="15.75" customHeight="1" x14ac:dyDescent="0.25"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</row>
    <row r="466" spans="15:54" ht="15.75" customHeight="1" x14ac:dyDescent="0.25"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</row>
    <row r="467" spans="15:54" ht="15.75" customHeight="1" x14ac:dyDescent="0.25"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</row>
    <row r="468" spans="15:54" ht="15.75" customHeight="1" x14ac:dyDescent="0.25"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</row>
    <row r="469" spans="15:54" ht="15.75" customHeight="1" x14ac:dyDescent="0.25"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</row>
    <row r="470" spans="15:54" ht="15.75" customHeight="1" x14ac:dyDescent="0.25"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</row>
    <row r="471" spans="15:54" ht="15.75" customHeight="1" x14ac:dyDescent="0.25"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</row>
    <row r="472" spans="15:54" ht="15.75" customHeight="1" x14ac:dyDescent="0.25"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</row>
    <row r="473" spans="15:54" ht="15.75" customHeight="1" x14ac:dyDescent="0.25"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</row>
    <row r="474" spans="15:54" ht="15.75" customHeight="1" x14ac:dyDescent="0.25"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</row>
    <row r="475" spans="15:54" ht="15.75" customHeight="1" x14ac:dyDescent="0.25"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</row>
    <row r="476" spans="15:54" ht="15.75" customHeight="1" x14ac:dyDescent="0.25"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</row>
    <row r="477" spans="15:54" ht="15.75" customHeight="1" x14ac:dyDescent="0.25"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</row>
    <row r="478" spans="15:54" ht="15.75" customHeight="1" x14ac:dyDescent="0.25"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</row>
    <row r="479" spans="15:54" ht="15.75" customHeight="1" x14ac:dyDescent="0.25"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</row>
    <row r="480" spans="15:54" ht="15.75" customHeight="1" x14ac:dyDescent="0.25"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</row>
    <row r="481" spans="15:54" ht="15.75" customHeight="1" x14ac:dyDescent="0.25"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</row>
    <row r="482" spans="15:54" ht="15.75" customHeight="1" x14ac:dyDescent="0.25"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</row>
    <row r="483" spans="15:54" ht="15.75" customHeight="1" x14ac:dyDescent="0.25"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</row>
    <row r="484" spans="15:54" ht="15.75" customHeight="1" x14ac:dyDescent="0.25"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</row>
    <row r="485" spans="15:54" ht="15.75" customHeight="1" x14ac:dyDescent="0.25"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</row>
    <row r="486" spans="15:54" ht="15.75" customHeight="1" x14ac:dyDescent="0.25"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</row>
    <row r="487" spans="15:54" ht="15.75" customHeight="1" x14ac:dyDescent="0.25"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</row>
    <row r="488" spans="15:54" ht="15.75" customHeight="1" x14ac:dyDescent="0.25"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</row>
    <row r="489" spans="15:54" ht="15.75" customHeight="1" x14ac:dyDescent="0.25"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</row>
    <row r="490" spans="15:54" ht="15.75" customHeight="1" x14ac:dyDescent="0.25"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</row>
    <row r="491" spans="15:54" ht="15.75" customHeight="1" x14ac:dyDescent="0.25"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</row>
    <row r="492" spans="15:54" ht="15.75" customHeight="1" x14ac:dyDescent="0.25"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</row>
    <row r="493" spans="15:54" ht="15.75" customHeight="1" x14ac:dyDescent="0.25"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</row>
    <row r="494" spans="15:54" ht="15.75" customHeight="1" x14ac:dyDescent="0.25"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</row>
    <row r="495" spans="15:54" ht="15.75" customHeight="1" x14ac:dyDescent="0.25"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</row>
    <row r="496" spans="15:54" ht="15.75" customHeight="1" x14ac:dyDescent="0.25"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</row>
    <row r="497" spans="15:54" ht="15.75" customHeight="1" x14ac:dyDescent="0.25"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</row>
    <row r="498" spans="15:54" ht="15.75" customHeight="1" x14ac:dyDescent="0.25"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</row>
    <row r="499" spans="15:54" ht="15.75" customHeight="1" x14ac:dyDescent="0.25"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</row>
    <row r="500" spans="15:54" ht="15.75" customHeight="1" x14ac:dyDescent="0.25"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</row>
    <row r="501" spans="15:54" ht="15.75" customHeight="1" x14ac:dyDescent="0.25"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</row>
    <row r="502" spans="15:54" ht="15.75" customHeight="1" x14ac:dyDescent="0.25"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</row>
    <row r="503" spans="15:54" ht="15.75" customHeight="1" x14ac:dyDescent="0.25"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</row>
    <row r="504" spans="15:54" ht="15.75" customHeight="1" x14ac:dyDescent="0.25"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</row>
    <row r="505" spans="15:54" ht="15.75" customHeight="1" x14ac:dyDescent="0.25"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</row>
    <row r="506" spans="15:54" ht="15.75" customHeight="1" x14ac:dyDescent="0.25"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</row>
    <row r="507" spans="15:54" ht="15.75" customHeight="1" x14ac:dyDescent="0.25"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</row>
    <row r="508" spans="15:54" ht="15.75" customHeight="1" x14ac:dyDescent="0.25"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</row>
    <row r="509" spans="15:54" ht="15.75" customHeight="1" x14ac:dyDescent="0.25"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</row>
    <row r="510" spans="15:54" ht="15.75" customHeight="1" x14ac:dyDescent="0.25"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</row>
    <row r="511" spans="15:54" ht="15.75" customHeight="1" x14ac:dyDescent="0.25"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</row>
    <row r="512" spans="15:54" ht="15.75" customHeight="1" x14ac:dyDescent="0.25"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</row>
    <row r="513" spans="15:54" ht="15.75" customHeight="1" x14ac:dyDescent="0.25"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</row>
    <row r="514" spans="15:54" ht="15.75" customHeight="1" x14ac:dyDescent="0.25"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</row>
    <row r="515" spans="15:54" ht="15.75" customHeight="1" x14ac:dyDescent="0.25"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</row>
    <row r="516" spans="15:54" ht="15.75" customHeight="1" x14ac:dyDescent="0.25"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</row>
    <row r="517" spans="15:54" ht="15.75" customHeight="1" x14ac:dyDescent="0.25"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</row>
    <row r="518" spans="15:54" ht="15.75" customHeight="1" x14ac:dyDescent="0.25"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</row>
    <row r="519" spans="15:54" ht="15.75" customHeight="1" x14ac:dyDescent="0.25"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</row>
    <row r="520" spans="15:54" ht="15.75" customHeight="1" x14ac:dyDescent="0.25"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</row>
    <row r="521" spans="15:54" ht="15.75" customHeight="1" x14ac:dyDescent="0.25"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</row>
    <row r="522" spans="15:54" ht="15.75" customHeight="1" x14ac:dyDescent="0.25"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</row>
    <row r="523" spans="15:54" ht="15.75" customHeight="1" x14ac:dyDescent="0.25"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</row>
    <row r="524" spans="15:54" ht="15.75" customHeight="1" x14ac:dyDescent="0.25"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</row>
    <row r="525" spans="15:54" ht="15.75" customHeight="1" x14ac:dyDescent="0.25"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</row>
    <row r="526" spans="15:54" ht="15.75" customHeight="1" x14ac:dyDescent="0.25"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</row>
    <row r="527" spans="15:54" ht="15.75" customHeight="1" x14ac:dyDescent="0.25"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</row>
    <row r="528" spans="15:54" ht="15.75" customHeight="1" x14ac:dyDescent="0.25"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</row>
    <row r="529" spans="15:54" ht="15.75" customHeight="1" x14ac:dyDescent="0.25"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</row>
    <row r="530" spans="15:54" ht="15.75" customHeight="1" x14ac:dyDescent="0.25"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</row>
    <row r="531" spans="15:54" ht="15.75" customHeight="1" x14ac:dyDescent="0.25"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</row>
    <row r="532" spans="15:54" ht="15.75" customHeight="1" x14ac:dyDescent="0.25"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</row>
    <row r="533" spans="15:54" ht="15.75" customHeight="1" x14ac:dyDescent="0.25"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</row>
    <row r="534" spans="15:54" ht="15.75" customHeight="1" x14ac:dyDescent="0.25"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</row>
    <row r="535" spans="15:54" ht="15.75" customHeight="1" x14ac:dyDescent="0.25"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</row>
    <row r="536" spans="15:54" ht="15.75" customHeight="1" x14ac:dyDescent="0.25"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</row>
    <row r="537" spans="15:54" ht="15.75" customHeight="1" x14ac:dyDescent="0.25"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</row>
    <row r="538" spans="15:54" ht="15.75" customHeight="1" x14ac:dyDescent="0.25"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</row>
    <row r="539" spans="15:54" ht="15.75" customHeight="1" x14ac:dyDescent="0.25"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</row>
    <row r="540" spans="15:54" ht="15.75" customHeight="1" x14ac:dyDescent="0.25"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</row>
    <row r="541" spans="15:54" ht="15.75" customHeight="1" x14ac:dyDescent="0.25"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</row>
    <row r="542" spans="15:54" ht="15.75" customHeight="1" x14ac:dyDescent="0.25"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</row>
    <row r="543" spans="15:54" ht="15.75" customHeight="1" x14ac:dyDescent="0.25"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</row>
    <row r="544" spans="15:54" ht="15.75" customHeight="1" x14ac:dyDescent="0.25"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</row>
    <row r="545" spans="15:54" ht="15.75" customHeight="1" x14ac:dyDescent="0.25"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</row>
    <row r="546" spans="15:54" ht="15.75" customHeight="1" x14ac:dyDescent="0.25"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</row>
    <row r="547" spans="15:54" ht="15.75" customHeight="1" x14ac:dyDescent="0.25"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</row>
    <row r="548" spans="15:54" ht="15.75" customHeight="1" x14ac:dyDescent="0.25"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</row>
    <row r="549" spans="15:54" ht="15.75" customHeight="1" x14ac:dyDescent="0.25"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</row>
    <row r="550" spans="15:54" ht="15.75" customHeight="1" x14ac:dyDescent="0.25"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</row>
    <row r="551" spans="15:54" ht="15.75" customHeight="1" x14ac:dyDescent="0.25"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</row>
    <row r="552" spans="15:54" ht="15.75" customHeight="1" x14ac:dyDescent="0.25"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</row>
    <row r="553" spans="15:54" ht="15.75" customHeight="1" x14ac:dyDescent="0.25"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</row>
    <row r="554" spans="15:54" ht="15.75" customHeight="1" x14ac:dyDescent="0.25"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</row>
    <row r="555" spans="15:54" ht="15.75" customHeight="1" x14ac:dyDescent="0.25"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</row>
    <row r="556" spans="15:54" ht="15.75" customHeight="1" x14ac:dyDescent="0.25"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</row>
    <row r="557" spans="15:54" ht="15.75" customHeight="1" x14ac:dyDescent="0.25"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</row>
    <row r="558" spans="15:54" ht="15.75" customHeight="1" x14ac:dyDescent="0.25"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</row>
    <row r="559" spans="15:54" ht="15.75" customHeight="1" x14ac:dyDescent="0.25"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</row>
    <row r="560" spans="15:54" ht="15.75" customHeight="1" x14ac:dyDescent="0.25"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</row>
    <row r="561" spans="15:54" ht="15.75" customHeight="1" x14ac:dyDescent="0.25"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</row>
    <row r="562" spans="15:54" ht="15.75" customHeight="1" x14ac:dyDescent="0.25"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</row>
    <row r="563" spans="15:54" ht="15.75" customHeight="1" x14ac:dyDescent="0.25"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</row>
    <row r="564" spans="15:54" ht="15.75" customHeight="1" x14ac:dyDescent="0.25"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</row>
    <row r="565" spans="15:54" ht="15.75" customHeight="1" x14ac:dyDescent="0.25"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</row>
    <row r="566" spans="15:54" ht="15.75" customHeight="1" x14ac:dyDescent="0.25"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</row>
    <row r="567" spans="15:54" ht="15.75" customHeight="1" x14ac:dyDescent="0.25"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</row>
    <row r="568" spans="15:54" ht="15.75" customHeight="1" x14ac:dyDescent="0.25"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</row>
    <row r="569" spans="15:54" ht="15.75" customHeight="1" x14ac:dyDescent="0.25"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</row>
    <row r="570" spans="15:54" ht="15.75" customHeight="1" x14ac:dyDescent="0.25"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</row>
    <row r="571" spans="15:54" ht="15.75" customHeight="1" x14ac:dyDescent="0.25"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</row>
    <row r="572" spans="15:54" ht="15.75" customHeight="1" x14ac:dyDescent="0.25"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</row>
    <row r="573" spans="15:54" ht="15.75" customHeight="1" x14ac:dyDescent="0.25"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</row>
    <row r="574" spans="15:54" ht="15.75" customHeight="1" x14ac:dyDescent="0.25"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</row>
    <row r="575" spans="15:54" ht="15.75" customHeight="1" x14ac:dyDescent="0.25"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</row>
    <row r="576" spans="15:54" ht="15.75" customHeight="1" x14ac:dyDescent="0.25"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</row>
    <row r="577" spans="15:54" ht="15.75" customHeight="1" x14ac:dyDescent="0.25"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</row>
    <row r="578" spans="15:54" ht="15.75" customHeight="1" x14ac:dyDescent="0.25"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</row>
    <row r="579" spans="15:54" ht="15.75" customHeight="1" x14ac:dyDescent="0.25"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</row>
    <row r="580" spans="15:54" ht="15.75" customHeight="1" x14ac:dyDescent="0.25"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</row>
    <row r="581" spans="15:54" ht="15.75" customHeight="1" x14ac:dyDescent="0.25"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</row>
    <row r="582" spans="15:54" ht="15.75" customHeight="1" x14ac:dyDescent="0.25"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</row>
    <row r="583" spans="15:54" ht="15.75" customHeight="1" x14ac:dyDescent="0.25"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</row>
    <row r="584" spans="15:54" ht="15.75" customHeight="1" x14ac:dyDescent="0.25"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</row>
    <row r="585" spans="15:54" ht="15.75" customHeight="1" x14ac:dyDescent="0.25"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</row>
    <row r="586" spans="15:54" ht="15.75" customHeight="1" x14ac:dyDescent="0.25"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</row>
    <row r="587" spans="15:54" ht="15.75" customHeight="1" x14ac:dyDescent="0.25"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</row>
    <row r="588" spans="15:54" ht="15.75" customHeight="1" x14ac:dyDescent="0.25"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</row>
    <row r="589" spans="15:54" ht="15.75" customHeight="1" x14ac:dyDescent="0.25"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</row>
    <row r="590" spans="15:54" ht="15.75" customHeight="1" x14ac:dyDescent="0.25"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</row>
    <row r="591" spans="15:54" ht="15.75" customHeight="1" x14ac:dyDescent="0.25"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</row>
    <row r="592" spans="15:54" ht="15.75" customHeight="1" x14ac:dyDescent="0.25"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</row>
    <row r="593" spans="15:54" ht="15.75" customHeight="1" x14ac:dyDescent="0.25"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</row>
    <row r="594" spans="15:54" ht="15.75" customHeight="1" x14ac:dyDescent="0.25"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</row>
    <row r="595" spans="15:54" ht="15.75" customHeight="1" x14ac:dyDescent="0.25"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</row>
    <row r="596" spans="15:54" ht="15.75" customHeight="1" x14ac:dyDescent="0.25"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</row>
    <row r="597" spans="15:54" ht="15.75" customHeight="1" x14ac:dyDescent="0.25"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</row>
    <row r="598" spans="15:54" ht="15.75" customHeight="1" x14ac:dyDescent="0.25"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</row>
    <row r="599" spans="15:54" ht="15.75" customHeight="1" x14ac:dyDescent="0.25"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</row>
    <row r="600" spans="15:54" ht="15.75" customHeight="1" x14ac:dyDescent="0.25"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</row>
    <row r="601" spans="15:54" ht="15.75" customHeight="1" x14ac:dyDescent="0.25"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</row>
    <row r="602" spans="15:54" ht="15.75" customHeight="1" x14ac:dyDescent="0.25"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</row>
    <row r="603" spans="15:54" ht="15.75" customHeight="1" x14ac:dyDescent="0.25"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</row>
    <row r="604" spans="15:54" ht="15.75" customHeight="1" x14ac:dyDescent="0.25"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</row>
    <row r="605" spans="15:54" ht="15.75" customHeight="1" x14ac:dyDescent="0.25"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</row>
    <row r="606" spans="15:54" ht="15.75" customHeight="1" x14ac:dyDescent="0.25"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</row>
    <row r="607" spans="15:54" ht="15.75" customHeight="1" x14ac:dyDescent="0.25"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</row>
    <row r="608" spans="15:54" ht="15.75" customHeight="1" x14ac:dyDescent="0.25"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</row>
    <row r="609" spans="15:54" ht="15.75" customHeight="1" x14ac:dyDescent="0.25"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</row>
    <row r="610" spans="15:54" ht="15.75" customHeight="1" x14ac:dyDescent="0.25"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</row>
    <row r="611" spans="15:54" ht="15.75" customHeight="1" x14ac:dyDescent="0.25"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</row>
    <row r="612" spans="15:54" ht="15.75" customHeight="1" x14ac:dyDescent="0.25"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</row>
    <row r="613" spans="15:54" ht="15.75" customHeight="1" x14ac:dyDescent="0.25"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</row>
    <row r="614" spans="15:54" ht="15.75" customHeight="1" x14ac:dyDescent="0.25"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</row>
    <row r="615" spans="15:54" ht="15.75" customHeight="1" x14ac:dyDescent="0.25"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</row>
    <row r="616" spans="15:54" ht="15.75" customHeight="1" x14ac:dyDescent="0.25"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</row>
    <row r="617" spans="15:54" ht="15.75" customHeight="1" x14ac:dyDescent="0.25"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</row>
    <row r="618" spans="15:54" ht="15.75" customHeight="1" x14ac:dyDescent="0.25"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</row>
    <row r="619" spans="15:54" ht="15.75" customHeight="1" x14ac:dyDescent="0.25"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</row>
    <row r="620" spans="15:54" ht="15.75" customHeight="1" x14ac:dyDescent="0.25"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</row>
    <row r="621" spans="15:54" ht="15.75" customHeight="1" x14ac:dyDescent="0.25"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</row>
    <row r="622" spans="15:54" ht="15.75" customHeight="1" x14ac:dyDescent="0.25"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</row>
    <row r="623" spans="15:54" ht="15.75" customHeight="1" x14ac:dyDescent="0.25"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</row>
    <row r="624" spans="15:54" ht="15.75" customHeight="1" x14ac:dyDescent="0.25"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</row>
    <row r="625" spans="15:54" ht="15.75" customHeight="1" x14ac:dyDescent="0.25"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</row>
    <row r="626" spans="15:54" ht="15.75" customHeight="1" x14ac:dyDescent="0.25"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</row>
    <row r="627" spans="15:54" ht="15.75" customHeight="1" x14ac:dyDescent="0.25"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</row>
    <row r="628" spans="15:54" ht="15.75" customHeight="1" x14ac:dyDescent="0.25"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</row>
    <row r="629" spans="15:54" ht="15.75" customHeight="1" x14ac:dyDescent="0.25"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</row>
    <row r="630" spans="15:54" ht="15.75" customHeight="1" x14ac:dyDescent="0.25"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</row>
    <row r="631" spans="15:54" ht="15.75" customHeight="1" x14ac:dyDescent="0.25"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</row>
    <row r="632" spans="15:54" ht="15.75" customHeight="1" x14ac:dyDescent="0.25"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</row>
    <row r="633" spans="15:54" ht="15.75" customHeight="1" x14ac:dyDescent="0.25"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</row>
    <row r="634" spans="15:54" ht="15.75" customHeight="1" x14ac:dyDescent="0.25"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</row>
    <row r="635" spans="15:54" ht="15.75" customHeight="1" x14ac:dyDescent="0.25"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</row>
    <row r="636" spans="15:54" ht="15.75" customHeight="1" x14ac:dyDescent="0.25"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</row>
    <row r="637" spans="15:54" ht="15.75" customHeight="1" x14ac:dyDescent="0.25"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</row>
    <row r="638" spans="15:54" ht="15.75" customHeight="1" x14ac:dyDescent="0.25"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</row>
    <row r="639" spans="15:54" ht="15.75" customHeight="1" x14ac:dyDescent="0.25"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</row>
    <row r="640" spans="15:54" ht="15.75" customHeight="1" x14ac:dyDescent="0.25"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</row>
    <row r="641" spans="15:54" ht="15.75" customHeight="1" x14ac:dyDescent="0.25"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</row>
    <row r="642" spans="15:54" ht="15.75" customHeight="1" x14ac:dyDescent="0.25"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</row>
    <row r="643" spans="15:54" ht="15.75" customHeight="1" x14ac:dyDescent="0.25"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</row>
    <row r="644" spans="15:54" ht="15.75" customHeight="1" x14ac:dyDescent="0.25"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</row>
    <row r="645" spans="15:54" ht="15.75" customHeight="1" x14ac:dyDescent="0.25"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</row>
    <row r="646" spans="15:54" ht="15.75" customHeight="1" x14ac:dyDescent="0.25"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</row>
    <row r="647" spans="15:54" ht="15.75" customHeight="1" x14ac:dyDescent="0.25"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</row>
    <row r="648" spans="15:54" ht="15.75" customHeight="1" x14ac:dyDescent="0.25"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</row>
    <row r="649" spans="15:54" ht="15.75" customHeight="1" x14ac:dyDescent="0.25"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</row>
    <row r="650" spans="15:54" ht="15.75" customHeight="1" x14ac:dyDescent="0.25"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</row>
    <row r="651" spans="15:54" ht="15.75" customHeight="1" x14ac:dyDescent="0.25"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</row>
    <row r="652" spans="15:54" ht="15.75" customHeight="1" x14ac:dyDescent="0.25"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</row>
    <row r="653" spans="15:54" ht="15.75" customHeight="1" x14ac:dyDescent="0.25"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</row>
    <row r="654" spans="15:54" ht="15.75" customHeight="1" x14ac:dyDescent="0.25"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</row>
    <row r="655" spans="15:54" ht="15.75" customHeight="1" x14ac:dyDescent="0.25"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</row>
    <row r="656" spans="15:54" ht="15.75" customHeight="1" x14ac:dyDescent="0.25"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</row>
    <row r="657" spans="15:54" ht="15.75" customHeight="1" x14ac:dyDescent="0.25"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</row>
    <row r="658" spans="15:54" ht="15.75" customHeight="1" x14ac:dyDescent="0.25"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</row>
    <row r="659" spans="15:54" ht="15.75" customHeight="1" x14ac:dyDescent="0.25"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</row>
    <row r="660" spans="15:54" ht="15.75" customHeight="1" x14ac:dyDescent="0.25"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</row>
    <row r="661" spans="15:54" ht="15.75" customHeight="1" x14ac:dyDescent="0.25"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</row>
    <row r="662" spans="15:54" ht="15.75" customHeight="1" x14ac:dyDescent="0.25"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</row>
    <row r="663" spans="15:54" ht="15.75" customHeight="1" x14ac:dyDescent="0.25"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</row>
    <row r="664" spans="15:54" ht="15.75" customHeight="1" x14ac:dyDescent="0.25"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</row>
    <row r="665" spans="15:54" ht="15.75" customHeight="1" x14ac:dyDescent="0.25"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</row>
    <row r="666" spans="15:54" ht="15.75" customHeight="1" x14ac:dyDescent="0.25"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</row>
    <row r="667" spans="15:54" ht="15.75" customHeight="1" x14ac:dyDescent="0.25"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</row>
    <row r="668" spans="15:54" ht="15.75" customHeight="1" x14ac:dyDescent="0.25"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</row>
    <row r="669" spans="15:54" ht="15.75" customHeight="1" x14ac:dyDescent="0.25"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</row>
    <row r="670" spans="15:54" ht="15.75" customHeight="1" x14ac:dyDescent="0.25"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</row>
    <row r="671" spans="15:54" ht="15.75" customHeight="1" x14ac:dyDescent="0.25"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</row>
    <row r="672" spans="15:54" ht="15.75" customHeight="1" x14ac:dyDescent="0.25"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</row>
    <row r="673" spans="15:54" ht="15.75" customHeight="1" x14ac:dyDescent="0.25"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</row>
    <row r="674" spans="15:54" ht="15.75" customHeight="1" x14ac:dyDescent="0.25"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</row>
    <row r="675" spans="15:54" ht="15.75" customHeight="1" x14ac:dyDescent="0.25"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</row>
    <row r="676" spans="15:54" ht="15.75" customHeight="1" x14ac:dyDescent="0.25"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</row>
    <row r="677" spans="15:54" ht="15.75" customHeight="1" x14ac:dyDescent="0.25"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</row>
    <row r="678" spans="15:54" ht="15.75" customHeight="1" x14ac:dyDescent="0.25"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</row>
    <row r="679" spans="15:54" ht="15.75" customHeight="1" x14ac:dyDescent="0.25"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</row>
    <row r="680" spans="15:54" ht="15.75" customHeight="1" x14ac:dyDescent="0.25"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</row>
    <row r="681" spans="15:54" ht="15.75" customHeight="1" x14ac:dyDescent="0.25"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</row>
    <row r="682" spans="15:54" ht="15.75" customHeight="1" x14ac:dyDescent="0.25"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</row>
    <row r="683" spans="15:54" ht="15.75" customHeight="1" x14ac:dyDescent="0.25"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</row>
    <row r="684" spans="15:54" ht="15.75" customHeight="1" x14ac:dyDescent="0.25"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</row>
    <row r="685" spans="15:54" ht="15.75" customHeight="1" x14ac:dyDescent="0.25"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</row>
    <row r="686" spans="15:54" ht="15.75" customHeight="1" x14ac:dyDescent="0.25"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</row>
    <row r="687" spans="15:54" ht="15.75" customHeight="1" x14ac:dyDescent="0.25"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</row>
    <row r="688" spans="15:54" ht="15.75" customHeight="1" x14ac:dyDescent="0.25"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</row>
    <row r="689" spans="15:54" ht="15.75" customHeight="1" x14ac:dyDescent="0.25"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</row>
    <row r="690" spans="15:54" ht="15.75" customHeight="1" x14ac:dyDescent="0.25"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</row>
    <row r="691" spans="15:54" ht="15.75" customHeight="1" x14ac:dyDescent="0.25"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</row>
    <row r="692" spans="15:54" ht="15.75" customHeight="1" x14ac:dyDescent="0.25"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</row>
    <row r="693" spans="15:54" ht="15.75" customHeight="1" x14ac:dyDescent="0.25"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</row>
    <row r="694" spans="15:54" ht="15.75" customHeight="1" x14ac:dyDescent="0.25"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</row>
    <row r="695" spans="15:54" ht="15.75" customHeight="1" x14ac:dyDescent="0.25"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</row>
    <row r="696" spans="15:54" ht="15.75" customHeight="1" x14ac:dyDescent="0.25"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</row>
    <row r="697" spans="15:54" ht="15.75" customHeight="1" x14ac:dyDescent="0.25"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</row>
    <row r="698" spans="15:54" ht="15.75" customHeight="1" x14ac:dyDescent="0.25"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</row>
    <row r="699" spans="15:54" ht="15.75" customHeight="1" x14ac:dyDescent="0.25"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</row>
    <row r="700" spans="15:54" ht="15.75" customHeight="1" x14ac:dyDescent="0.25"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</row>
    <row r="701" spans="15:54" ht="15.75" customHeight="1" x14ac:dyDescent="0.25"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</row>
    <row r="702" spans="15:54" ht="15.75" customHeight="1" x14ac:dyDescent="0.25"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</row>
    <row r="703" spans="15:54" ht="15.75" customHeight="1" x14ac:dyDescent="0.25"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</row>
    <row r="704" spans="15:54" ht="15.75" customHeight="1" x14ac:dyDescent="0.25"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</row>
    <row r="705" spans="15:54" ht="15.75" customHeight="1" x14ac:dyDescent="0.25"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</row>
    <row r="706" spans="15:54" ht="15.75" customHeight="1" x14ac:dyDescent="0.25"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</row>
    <row r="707" spans="15:54" ht="15.75" customHeight="1" x14ac:dyDescent="0.25"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</row>
    <row r="708" spans="15:54" ht="15.75" customHeight="1" x14ac:dyDescent="0.25"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</row>
    <row r="709" spans="15:54" ht="15.75" customHeight="1" x14ac:dyDescent="0.25"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</row>
    <row r="710" spans="15:54" ht="15.75" customHeight="1" x14ac:dyDescent="0.25"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</row>
    <row r="711" spans="15:54" ht="15.75" customHeight="1" x14ac:dyDescent="0.25"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</row>
    <row r="712" spans="15:54" ht="15.75" customHeight="1" x14ac:dyDescent="0.25"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</row>
    <row r="713" spans="15:54" ht="15.75" customHeight="1" x14ac:dyDescent="0.25"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</row>
    <row r="714" spans="15:54" ht="15.75" customHeight="1" x14ac:dyDescent="0.25"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</row>
    <row r="715" spans="15:54" ht="15.75" customHeight="1" x14ac:dyDescent="0.25"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</row>
    <row r="716" spans="15:54" ht="15.75" customHeight="1" x14ac:dyDescent="0.25"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</row>
    <row r="717" spans="15:54" ht="15.75" customHeight="1" x14ac:dyDescent="0.25"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</row>
    <row r="718" spans="15:54" ht="15.75" customHeight="1" x14ac:dyDescent="0.25"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</row>
    <row r="719" spans="15:54" ht="15.75" customHeight="1" x14ac:dyDescent="0.25"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</row>
    <row r="720" spans="15:54" ht="15.75" customHeight="1" x14ac:dyDescent="0.25"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</row>
    <row r="721" spans="15:54" ht="15.75" customHeight="1" x14ac:dyDescent="0.25"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</row>
    <row r="722" spans="15:54" ht="15.75" customHeight="1" x14ac:dyDescent="0.25"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</row>
    <row r="723" spans="15:54" ht="15.75" customHeight="1" x14ac:dyDescent="0.25"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</row>
    <row r="724" spans="15:54" ht="15.75" customHeight="1" x14ac:dyDescent="0.25"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</row>
    <row r="725" spans="15:54" ht="15.75" customHeight="1" x14ac:dyDescent="0.25"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</row>
    <row r="726" spans="15:54" ht="15.75" customHeight="1" x14ac:dyDescent="0.25"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</row>
    <row r="727" spans="15:54" ht="15.75" customHeight="1" x14ac:dyDescent="0.25"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</row>
    <row r="728" spans="15:54" ht="15.75" customHeight="1" x14ac:dyDescent="0.25"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</row>
    <row r="729" spans="15:54" ht="15.75" customHeight="1" x14ac:dyDescent="0.25"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</row>
    <row r="730" spans="15:54" ht="15.75" customHeight="1" x14ac:dyDescent="0.25"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</row>
    <row r="731" spans="15:54" ht="15.75" customHeight="1" x14ac:dyDescent="0.25"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</row>
    <row r="732" spans="15:54" ht="15.75" customHeight="1" x14ac:dyDescent="0.25"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</row>
    <row r="733" spans="15:54" ht="15.75" customHeight="1" x14ac:dyDescent="0.25"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</row>
    <row r="734" spans="15:54" ht="15.75" customHeight="1" x14ac:dyDescent="0.25"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</row>
    <row r="735" spans="15:54" ht="15.75" customHeight="1" x14ac:dyDescent="0.25"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</row>
    <row r="736" spans="15:54" ht="15.75" customHeight="1" x14ac:dyDescent="0.25"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</row>
    <row r="737" spans="15:54" ht="15.75" customHeight="1" x14ac:dyDescent="0.25"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</row>
    <row r="738" spans="15:54" ht="15.75" customHeight="1" x14ac:dyDescent="0.25"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</row>
    <row r="739" spans="15:54" ht="15.75" customHeight="1" x14ac:dyDescent="0.25"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</row>
    <row r="740" spans="15:54" ht="15.75" customHeight="1" x14ac:dyDescent="0.25"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</row>
    <row r="741" spans="15:54" ht="15.75" customHeight="1" x14ac:dyDescent="0.25"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</row>
    <row r="742" spans="15:54" ht="15.75" customHeight="1" x14ac:dyDescent="0.25"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</row>
    <row r="743" spans="15:54" ht="15.75" customHeight="1" x14ac:dyDescent="0.25"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</row>
    <row r="744" spans="15:54" ht="15.75" customHeight="1" x14ac:dyDescent="0.25"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</row>
    <row r="745" spans="15:54" ht="15.75" customHeight="1" x14ac:dyDescent="0.25"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</row>
    <row r="746" spans="15:54" ht="15.75" customHeight="1" x14ac:dyDescent="0.25"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</row>
    <row r="747" spans="15:54" ht="15.75" customHeight="1" x14ac:dyDescent="0.25"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</row>
    <row r="748" spans="15:54" ht="15.75" customHeight="1" x14ac:dyDescent="0.25"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</row>
    <row r="749" spans="15:54" ht="15.75" customHeight="1" x14ac:dyDescent="0.25"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</row>
    <row r="750" spans="15:54" ht="15.75" customHeight="1" x14ac:dyDescent="0.25"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</row>
    <row r="751" spans="15:54" ht="15.75" customHeight="1" x14ac:dyDescent="0.25"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</row>
    <row r="752" spans="15:54" ht="15.75" customHeight="1" x14ac:dyDescent="0.25"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</row>
    <row r="753" spans="15:54" ht="15.75" customHeight="1" x14ac:dyDescent="0.25"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</row>
    <row r="754" spans="15:54" ht="15.75" customHeight="1" x14ac:dyDescent="0.25"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</row>
    <row r="755" spans="15:54" ht="15.75" customHeight="1" x14ac:dyDescent="0.25"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</row>
    <row r="756" spans="15:54" ht="15.75" customHeight="1" x14ac:dyDescent="0.25"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</row>
    <row r="757" spans="15:54" ht="15.75" customHeight="1" x14ac:dyDescent="0.25"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</row>
    <row r="758" spans="15:54" ht="15.75" customHeight="1" x14ac:dyDescent="0.25"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</row>
    <row r="759" spans="15:54" ht="15.75" customHeight="1" x14ac:dyDescent="0.25"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</row>
    <row r="760" spans="15:54" ht="15.75" customHeight="1" x14ac:dyDescent="0.25"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</row>
    <row r="761" spans="15:54" ht="15.75" customHeight="1" x14ac:dyDescent="0.25"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</row>
    <row r="762" spans="15:54" ht="15.75" customHeight="1" x14ac:dyDescent="0.25"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</row>
    <row r="763" spans="15:54" ht="15.75" customHeight="1" x14ac:dyDescent="0.25"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</row>
    <row r="764" spans="15:54" ht="15.75" customHeight="1" x14ac:dyDescent="0.25"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</row>
    <row r="765" spans="15:54" ht="15.75" customHeight="1" x14ac:dyDescent="0.25"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</row>
    <row r="766" spans="15:54" ht="15.75" customHeight="1" x14ac:dyDescent="0.25"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</row>
    <row r="767" spans="15:54" ht="15.75" customHeight="1" x14ac:dyDescent="0.25"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</row>
    <row r="768" spans="15:54" ht="15.75" customHeight="1" x14ac:dyDescent="0.25"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</row>
    <row r="769" spans="15:54" ht="15.75" customHeight="1" x14ac:dyDescent="0.25"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</row>
    <row r="770" spans="15:54" ht="15.75" customHeight="1" x14ac:dyDescent="0.25"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</row>
    <row r="771" spans="15:54" ht="15.75" customHeight="1" x14ac:dyDescent="0.25"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</row>
    <row r="772" spans="15:54" ht="15.75" customHeight="1" x14ac:dyDescent="0.25"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</row>
    <row r="773" spans="15:54" ht="15.75" customHeight="1" x14ac:dyDescent="0.25"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</row>
    <row r="774" spans="15:54" ht="15.75" customHeight="1" x14ac:dyDescent="0.25"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</row>
    <row r="775" spans="15:54" ht="15.75" customHeight="1" x14ac:dyDescent="0.25"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</row>
    <row r="776" spans="15:54" ht="15.75" customHeight="1" x14ac:dyDescent="0.25"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</row>
    <row r="777" spans="15:54" ht="15.75" customHeight="1" x14ac:dyDescent="0.25"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</row>
    <row r="778" spans="15:54" ht="15.75" customHeight="1" x14ac:dyDescent="0.25"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</row>
    <row r="779" spans="15:54" ht="15.75" customHeight="1" x14ac:dyDescent="0.25"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</row>
    <row r="780" spans="15:54" ht="15.75" customHeight="1" x14ac:dyDescent="0.25"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</row>
    <row r="781" spans="15:54" ht="15.75" customHeight="1" x14ac:dyDescent="0.25"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</row>
    <row r="782" spans="15:54" ht="15.75" customHeight="1" x14ac:dyDescent="0.25"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</row>
    <row r="783" spans="15:54" ht="15.75" customHeight="1" x14ac:dyDescent="0.25"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</row>
    <row r="784" spans="15:54" ht="15.75" customHeight="1" x14ac:dyDescent="0.25"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</row>
    <row r="785" spans="15:54" ht="15.75" customHeight="1" x14ac:dyDescent="0.25"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</row>
    <row r="786" spans="15:54" ht="15.75" customHeight="1" x14ac:dyDescent="0.25"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</row>
    <row r="787" spans="15:54" ht="15.75" customHeight="1" x14ac:dyDescent="0.25"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</row>
    <row r="788" spans="15:54" ht="15.75" customHeight="1" x14ac:dyDescent="0.25"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</row>
    <row r="789" spans="15:54" ht="15.75" customHeight="1" x14ac:dyDescent="0.25"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</row>
    <row r="790" spans="15:54" ht="15.75" customHeight="1" x14ac:dyDescent="0.25"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</row>
    <row r="791" spans="15:54" ht="15.75" customHeight="1" x14ac:dyDescent="0.25"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</row>
    <row r="792" spans="15:54" ht="15.75" customHeight="1" x14ac:dyDescent="0.25"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</row>
    <row r="793" spans="15:54" ht="15.75" customHeight="1" x14ac:dyDescent="0.25"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</row>
    <row r="794" spans="15:54" ht="15.75" customHeight="1" x14ac:dyDescent="0.25"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</row>
    <row r="795" spans="15:54" ht="15.75" customHeight="1" x14ac:dyDescent="0.25"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</row>
    <row r="796" spans="15:54" ht="15.75" customHeight="1" x14ac:dyDescent="0.25"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</row>
    <row r="797" spans="15:54" ht="15.75" customHeight="1" x14ac:dyDescent="0.25"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</row>
    <row r="798" spans="15:54" ht="15.75" customHeight="1" x14ac:dyDescent="0.25"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</row>
    <row r="799" spans="15:54" ht="15.75" customHeight="1" x14ac:dyDescent="0.25"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</row>
    <row r="800" spans="15:54" ht="15.75" customHeight="1" x14ac:dyDescent="0.25"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</row>
    <row r="801" spans="15:54" ht="15.75" customHeight="1" x14ac:dyDescent="0.25"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</row>
    <row r="802" spans="15:54" ht="15.75" customHeight="1" x14ac:dyDescent="0.25"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</row>
    <row r="803" spans="15:54" ht="15.75" customHeight="1" x14ac:dyDescent="0.25"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</row>
    <row r="804" spans="15:54" ht="15.75" customHeight="1" x14ac:dyDescent="0.25"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</row>
    <row r="805" spans="15:54" ht="15.75" customHeight="1" x14ac:dyDescent="0.25"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</row>
    <row r="806" spans="15:54" ht="15.75" customHeight="1" x14ac:dyDescent="0.25"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</row>
    <row r="807" spans="15:54" ht="15.75" customHeight="1" x14ac:dyDescent="0.25"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</row>
    <row r="808" spans="15:54" ht="15.75" customHeight="1" x14ac:dyDescent="0.25"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</row>
    <row r="809" spans="15:54" ht="15.75" customHeight="1" x14ac:dyDescent="0.25"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</row>
    <row r="810" spans="15:54" ht="15.75" customHeight="1" x14ac:dyDescent="0.25"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</row>
    <row r="811" spans="15:54" ht="15.75" customHeight="1" x14ac:dyDescent="0.25"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</row>
    <row r="812" spans="15:54" ht="15.75" customHeight="1" x14ac:dyDescent="0.25"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</row>
    <row r="813" spans="15:54" ht="15.75" customHeight="1" x14ac:dyDescent="0.25"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</row>
    <row r="814" spans="15:54" ht="15.75" customHeight="1" x14ac:dyDescent="0.25"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</row>
    <row r="815" spans="15:54" ht="15.75" customHeight="1" x14ac:dyDescent="0.25"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</row>
    <row r="816" spans="15:54" ht="15.75" customHeight="1" x14ac:dyDescent="0.25"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</row>
    <row r="817" spans="15:54" ht="15.75" customHeight="1" x14ac:dyDescent="0.25"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</row>
    <row r="818" spans="15:54" ht="15.75" customHeight="1" x14ac:dyDescent="0.25"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</row>
    <row r="819" spans="15:54" ht="15.75" customHeight="1" x14ac:dyDescent="0.25"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</row>
    <row r="820" spans="15:54" ht="15.75" customHeight="1" x14ac:dyDescent="0.25"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</row>
    <row r="821" spans="15:54" ht="15.75" customHeight="1" x14ac:dyDescent="0.25"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</row>
    <row r="822" spans="15:54" ht="15.75" customHeight="1" x14ac:dyDescent="0.25"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</row>
    <row r="823" spans="15:54" ht="15.75" customHeight="1" x14ac:dyDescent="0.25"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</row>
    <row r="824" spans="15:54" ht="15.75" customHeight="1" x14ac:dyDescent="0.25"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</row>
    <row r="825" spans="15:54" ht="15.75" customHeight="1" x14ac:dyDescent="0.25"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</row>
    <row r="826" spans="15:54" ht="15.75" customHeight="1" x14ac:dyDescent="0.25"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</row>
    <row r="827" spans="15:54" ht="15.75" customHeight="1" x14ac:dyDescent="0.25"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</row>
    <row r="828" spans="15:54" ht="15.75" customHeight="1" x14ac:dyDescent="0.25"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</row>
    <row r="829" spans="15:54" ht="15.75" customHeight="1" x14ac:dyDescent="0.25"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</row>
    <row r="830" spans="15:54" ht="15.75" customHeight="1" x14ac:dyDescent="0.25"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</row>
    <row r="831" spans="15:54" ht="15.75" customHeight="1" x14ac:dyDescent="0.25"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</row>
    <row r="832" spans="15:54" ht="15.75" customHeight="1" x14ac:dyDescent="0.25"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</row>
    <row r="833" spans="15:54" ht="15.75" customHeight="1" x14ac:dyDescent="0.25"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</row>
    <row r="834" spans="15:54" ht="15.75" customHeight="1" x14ac:dyDescent="0.25"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</row>
    <row r="835" spans="15:54" ht="15.75" customHeight="1" x14ac:dyDescent="0.25"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</row>
    <row r="836" spans="15:54" ht="15.75" customHeight="1" x14ac:dyDescent="0.25"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</row>
    <row r="837" spans="15:54" ht="15.75" customHeight="1" x14ac:dyDescent="0.25"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</row>
    <row r="838" spans="15:54" ht="15.75" customHeight="1" x14ac:dyDescent="0.25"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</row>
    <row r="839" spans="15:54" ht="15.75" customHeight="1" x14ac:dyDescent="0.25"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</row>
    <row r="840" spans="15:54" ht="15.75" customHeight="1" x14ac:dyDescent="0.25"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</row>
    <row r="841" spans="15:54" ht="15.75" customHeight="1" x14ac:dyDescent="0.25"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</row>
    <row r="842" spans="15:54" ht="15.75" customHeight="1" x14ac:dyDescent="0.25"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</row>
    <row r="843" spans="15:54" ht="15.75" customHeight="1" x14ac:dyDescent="0.25"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</row>
    <row r="844" spans="15:54" ht="15.75" customHeight="1" x14ac:dyDescent="0.25"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</row>
    <row r="845" spans="15:54" ht="15.75" customHeight="1" x14ac:dyDescent="0.25"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</row>
    <row r="846" spans="15:54" ht="15.75" customHeight="1" x14ac:dyDescent="0.25"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</row>
    <row r="847" spans="15:54" ht="15.75" customHeight="1" x14ac:dyDescent="0.25"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</row>
    <row r="848" spans="15:54" ht="15.75" customHeight="1" x14ac:dyDescent="0.25"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</row>
    <row r="849" spans="15:54" ht="15.75" customHeight="1" x14ac:dyDescent="0.25"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</row>
    <row r="850" spans="15:54" ht="15.75" customHeight="1" x14ac:dyDescent="0.25"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</row>
    <row r="851" spans="15:54" ht="15.75" customHeight="1" x14ac:dyDescent="0.25"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</row>
    <row r="852" spans="15:54" ht="15.75" customHeight="1" x14ac:dyDescent="0.25"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</row>
    <row r="853" spans="15:54" ht="15.75" customHeight="1" x14ac:dyDescent="0.25"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</row>
    <row r="854" spans="15:54" ht="15.75" customHeight="1" x14ac:dyDescent="0.25"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</row>
    <row r="855" spans="15:54" ht="15.75" customHeight="1" x14ac:dyDescent="0.25"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</row>
    <row r="856" spans="15:54" ht="15.75" customHeight="1" x14ac:dyDescent="0.25"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</row>
    <row r="857" spans="15:54" ht="15.75" customHeight="1" x14ac:dyDescent="0.25"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</row>
    <row r="858" spans="15:54" ht="15.75" customHeight="1" x14ac:dyDescent="0.25"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</row>
    <row r="859" spans="15:54" ht="15.75" customHeight="1" x14ac:dyDescent="0.25"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</row>
    <row r="860" spans="15:54" ht="15.75" customHeight="1" x14ac:dyDescent="0.25"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</row>
    <row r="861" spans="15:54" ht="15.75" customHeight="1" x14ac:dyDescent="0.25"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</row>
    <row r="862" spans="15:54" ht="15.75" customHeight="1" x14ac:dyDescent="0.25"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</row>
    <row r="863" spans="15:54" ht="15.75" customHeight="1" x14ac:dyDescent="0.25"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</row>
    <row r="864" spans="15:54" ht="15.75" customHeight="1" x14ac:dyDescent="0.25"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</row>
    <row r="865" spans="15:54" ht="15.75" customHeight="1" x14ac:dyDescent="0.25"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</row>
    <row r="866" spans="15:54" ht="15.75" customHeight="1" x14ac:dyDescent="0.25"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</row>
    <row r="867" spans="15:54" ht="15.75" customHeight="1" x14ac:dyDescent="0.25"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</row>
    <row r="868" spans="15:54" ht="15.75" customHeight="1" x14ac:dyDescent="0.25"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</row>
    <row r="869" spans="15:54" ht="15.75" customHeight="1" x14ac:dyDescent="0.25"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</row>
    <row r="870" spans="15:54" ht="15.75" customHeight="1" x14ac:dyDescent="0.25"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</row>
    <row r="871" spans="15:54" ht="15.75" customHeight="1" x14ac:dyDescent="0.25"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</row>
    <row r="872" spans="15:54" ht="15.75" customHeight="1" x14ac:dyDescent="0.25"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</row>
    <row r="873" spans="15:54" ht="15.75" customHeight="1" x14ac:dyDescent="0.25"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</row>
    <row r="874" spans="15:54" ht="15.75" customHeight="1" x14ac:dyDescent="0.25"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</row>
    <row r="875" spans="15:54" ht="15.75" customHeight="1" x14ac:dyDescent="0.25"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</row>
    <row r="876" spans="15:54" ht="15.75" customHeight="1" x14ac:dyDescent="0.25"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</row>
    <row r="877" spans="15:54" ht="15.75" customHeight="1" x14ac:dyDescent="0.25"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</row>
    <row r="878" spans="15:54" ht="15.75" customHeight="1" x14ac:dyDescent="0.25"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</row>
    <row r="879" spans="15:54" ht="15.75" customHeight="1" x14ac:dyDescent="0.25"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</row>
    <row r="880" spans="15:54" ht="15.75" customHeight="1" x14ac:dyDescent="0.25"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</row>
    <row r="881" spans="15:54" ht="15.75" customHeight="1" x14ac:dyDescent="0.25"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</row>
    <row r="882" spans="15:54" ht="15.75" customHeight="1" x14ac:dyDescent="0.25"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</row>
    <row r="883" spans="15:54" ht="15.75" customHeight="1" x14ac:dyDescent="0.25"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</row>
    <row r="884" spans="15:54" ht="15.75" customHeight="1" x14ac:dyDescent="0.25"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</row>
    <row r="885" spans="15:54" ht="15.75" customHeight="1" x14ac:dyDescent="0.25"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</row>
    <row r="886" spans="15:54" ht="15.75" customHeight="1" x14ac:dyDescent="0.25"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</row>
    <row r="887" spans="15:54" ht="15.75" customHeight="1" x14ac:dyDescent="0.25"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</row>
    <row r="888" spans="15:54" ht="15.75" customHeight="1" x14ac:dyDescent="0.25"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</row>
    <row r="889" spans="15:54" ht="15.75" customHeight="1" x14ac:dyDescent="0.25"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</row>
    <row r="890" spans="15:54" ht="15.75" customHeight="1" x14ac:dyDescent="0.25"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</row>
    <row r="891" spans="15:54" ht="15.75" customHeight="1" x14ac:dyDescent="0.25"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</row>
    <row r="892" spans="15:54" ht="15.75" customHeight="1" x14ac:dyDescent="0.25"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</row>
    <row r="893" spans="15:54" ht="15.75" customHeight="1" x14ac:dyDescent="0.25"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</row>
    <row r="894" spans="15:54" ht="15.75" customHeight="1" x14ac:dyDescent="0.25"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</row>
    <row r="895" spans="15:54" ht="15.75" customHeight="1" x14ac:dyDescent="0.25"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</row>
    <row r="896" spans="15:54" ht="15.75" customHeight="1" x14ac:dyDescent="0.25"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</row>
    <row r="897" spans="15:54" ht="15.75" customHeight="1" x14ac:dyDescent="0.25"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</row>
    <row r="898" spans="15:54" ht="15.75" customHeight="1" x14ac:dyDescent="0.25"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</row>
    <row r="899" spans="15:54" ht="15.75" customHeight="1" x14ac:dyDescent="0.25"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</row>
    <row r="900" spans="15:54" ht="15.75" customHeight="1" x14ac:dyDescent="0.25"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</row>
    <row r="901" spans="15:54" ht="15.75" customHeight="1" x14ac:dyDescent="0.25"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</row>
    <row r="902" spans="15:54" ht="15.75" customHeight="1" x14ac:dyDescent="0.25"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</row>
    <row r="903" spans="15:54" ht="15.75" customHeight="1" x14ac:dyDescent="0.25"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</row>
    <row r="904" spans="15:54" ht="15.75" customHeight="1" x14ac:dyDescent="0.25"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</row>
    <row r="905" spans="15:54" ht="15.75" customHeight="1" x14ac:dyDescent="0.25"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</row>
    <row r="906" spans="15:54" ht="15.75" customHeight="1" x14ac:dyDescent="0.25"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</row>
    <row r="907" spans="15:54" ht="15.75" customHeight="1" x14ac:dyDescent="0.25"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</row>
    <row r="908" spans="15:54" ht="15.75" customHeight="1" x14ac:dyDescent="0.25"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</row>
    <row r="909" spans="15:54" ht="15.75" customHeight="1" x14ac:dyDescent="0.25"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</row>
    <row r="910" spans="15:54" ht="15.75" customHeight="1" x14ac:dyDescent="0.25"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</row>
    <row r="911" spans="15:54" ht="15.75" customHeight="1" x14ac:dyDescent="0.25"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</row>
    <row r="912" spans="15:54" ht="15.75" customHeight="1" x14ac:dyDescent="0.25"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</row>
    <row r="913" spans="15:54" ht="15.75" customHeight="1" x14ac:dyDescent="0.25"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</row>
    <row r="914" spans="15:54" ht="15.75" customHeight="1" x14ac:dyDescent="0.25"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</row>
    <row r="915" spans="15:54" ht="15.75" customHeight="1" x14ac:dyDescent="0.25"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</row>
    <row r="916" spans="15:54" ht="15.75" customHeight="1" x14ac:dyDescent="0.25"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</row>
    <row r="917" spans="15:54" ht="15.75" customHeight="1" x14ac:dyDescent="0.25"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</row>
    <row r="918" spans="15:54" ht="15.75" customHeight="1" x14ac:dyDescent="0.25"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</row>
    <row r="919" spans="15:54" ht="15.75" customHeight="1" x14ac:dyDescent="0.25"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</row>
    <row r="920" spans="15:54" ht="15.75" customHeight="1" x14ac:dyDescent="0.25"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</row>
    <row r="921" spans="15:54" ht="15.75" customHeight="1" x14ac:dyDescent="0.25"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</row>
    <row r="922" spans="15:54" ht="15.75" customHeight="1" x14ac:dyDescent="0.25"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</row>
    <row r="923" spans="15:54" ht="15.75" customHeight="1" x14ac:dyDescent="0.25"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</row>
    <row r="924" spans="15:54" ht="15.75" customHeight="1" x14ac:dyDescent="0.25"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</row>
    <row r="925" spans="15:54" ht="15.75" customHeight="1" x14ac:dyDescent="0.25"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</row>
    <row r="926" spans="15:54" ht="15.75" customHeight="1" x14ac:dyDescent="0.25"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</row>
    <row r="927" spans="15:54" ht="15.75" customHeight="1" x14ac:dyDescent="0.25"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</row>
    <row r="928" spans="15:54" ht="15.75" customHeight="1" x14ac:dyDescent="0.25"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</row>
    <row r="929" spans="15:54" ht="15.75" customHeight="1" x14ac:dyDescent="0.25"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</row>
    <row r="930" spans="15:54" ht="15.75" customHeight="1" x14ac:dyDescent="0.25"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</row>
    <row r="931" spans="15:54" ht="15.75" customHeight="1" x14ac:dyDescent="0.25"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</row>
    <row r="932" spans="15:54" ht="15.75" customHeight="1" x14ac:dyDescent="0.25"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</row>
    <row r="933" spans="15:54" ht="15.75" customHeight="1" x14ac:dyDescent="0.25"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</row>
    <row r="934" spans="15:54" ht="15.75" customHeight="1" x14ac:dyDescent="0.25"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</row>
    <row r="935" spans="15:54" ht="15.75" customHeight="1" x14ac:dyDescent="0.25"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</row>
    <row r="936" spans="15:54" ht="15.75" customHeight="1" x14ac:dyDescent="0.25"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</row>
    <row r="937" spans="15:54" ht="15.75" customHeight="1" x14ac:dyDescent="0.25"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</row>
    <row r="938" spans="15:54" ht="15.75" customHeight="1" x14ac:dyDescent="0.25"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</row>
    <row r="939" spans="15:54" ht="15.75" customHeight="1" x14ac:dyDescent="0.25"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</row>
    <row r="940" spans="15:54" ht="15.75" customHeight="1" x14ac:dyDescent="0.25"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</row>
    <row r="941" spans="15:54" ht="15.75" customHeight="1" x14ac:dyDescent="0.25"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</row>
    <row r="942" spans="15:54" ht="15.75" customHeight="1" x14ac:dyDescent="0.25"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</row>
    <row r="943" spans="15:54" ht="15.75" customHeight="1" x14ac:dyDescent="0.25"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</row>
    <row r="944" spans="15:54" ht="15.75" customHeight="1" x14ac:dyDescent="0.25"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</row>
    <row r="945" spans="15:54" ht="15.75" customHeight="1" x14ac:dyDescent="0.25"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</row>
    <row r="946" spans="15:54" ht="15.75" customHeight="1" x14ac:dyDescent="0.25"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</row>
    <row r="947" spans="15:54" ht="15.75" customHeight="1" x14ac:dyDescent="0.25"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</row>
    <row r="948" spans="15:54" ht="15.75" customHeight="1" x14ac:dyDescent="0.25"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</row>
    <row r="949" spans="15:54" ht="15.75" customHeight="1" x14ac:dyDescent="0.25"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</row>
    <row r="950" spans="15:54" ht="15.75" customHeight="1" x14ac:dyDescent="0.25"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</row>
    <row r="951" spans="15:54" ht="15.75" customHeight="1" x14ac:dyDescent="0.25"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</row>
    <row r="952" spans="15:54" ht="15.75" customHeight="1" x14ac:dyDescent="0.25"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</row>
    <row r="953" spans="15:54" ht="15.75" customHeight="1" x14ac:dyDescent="0.25"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</row>
    <row r="954" spans="15:54" ht="15.75" customHeight="1" x14ac:dyDescent="0.25"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</row>
    <row r="955" spans="15:54" ht="15.75" customHeight="1" x14ac:dyDescent="0.25"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</row>
    <row r="956" spans="15:54" ht="15.75" customHeight="1" x14ac:dyDescent="0.25"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</row>
    <row r="957" spans="15:54" ht="15.75" customHeight="1" x14ac:dyDescent="0.25"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</row>
    <row r="958" spans="15:54" ht="15.75" customHeight="1" x14ac:dyDescent="0.25"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</row>
    <row r="959" spans="15:54" ht="15.75" customHeight="1" x14ac:dyDescent="0.25"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</row>
    <row r="960" spans="15:54" ht="15.75" customHeight="1" x14ac:dyDescent="0.25"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</row>
    <row r="961" spans="15:54" ht="15.75" customHeight="1" x14ac:dyDescent="0.25"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</row>
    <row r="962" spans="15:54" ht="15.75" customHeight="1" x14ac:dyDescent="0.25"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</row>
    <row r="963" spans="15:54" ht="15.75" customHeight="1" x14ac:dyDescent="0.25"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</row>
    <row r="964" spans="15:54" ht="15.75" customHeight="1" x14ac:dyDescent="0.25"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</row>
    <row r="965" spans="15:54" ht="15.75" customHeight="1" x14ac:dyDescent="0.25"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</row>
    <row r="966" spans="15:54" ht="15.75" customHeight="1" x14ac:dyDescent="0.25"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</row>
    <row r="967" spans="15:54" ht="15.75" customHeight="1" x14ac:dyDescent="0.25"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</row>
    <row r="968" spans="15:54" ht="15.75" customHeight="1" x14ac:dyDescent="0.25"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</row>
    <row r="969" spans="15:54" ht="15.75" customHeight="1" x14ac:dyDescent="0.25"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</row>
    <row r="970" spans="15:54" ht="15.75" customHeight="1" x14ac:dyDescent="0.25"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</row>
    <row r="971" spans="15:54" ht="15.75" customHeight="1" x14ac:dyDescent="0.25"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</row>
    <row r="972" spans="15:54" ht="15.75" customHeight="1" x14ac:dyDescent="0.25"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</row>
    <row r="973" spans="15:54" ht="15.75" customHeight="1" x14ac:dyDescent="0.25"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</row>
    <row r="974" spans="15:54" ht="15.75" customHeight="1" x14ac:dyDescent="0.25"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</row>
    <row r="975" spans="15:54" ht="15.75" customHeight="1" x14ac:dyDescent="0.25"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</row>
    <row r="976" spans="15:54" ht="15.75" customHeight="1" x14ac:dyDescent="0.25"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</row>
    <row r="977" spans="15:54" ht="15.75" customHeight="1" x14ac:dyDescent="0.25"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</row>
    <row r="978" spans="15:54" ht="15.75" customHeight="1" x14ac:dyDescent="0.25"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</row>
    <row r="979" spans="15:54" ht="15.75" customHeight="1" x14ac:dyDescent="0.25"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</row>
    <row r="980" spans="15:54" ht="15.75" customHeight="1" x14ac:dyDescent="0.25"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</row>
    <row r="981" spans="15:54" ht="15.75" customHeight="1" x14ac:dyDescent="0.25"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  <c r="AH981" s="52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</row>
    <row r="982" spans="15:54" ht="15.75" customHeight="1" x14ac:dyDescent="0.25"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</row>
    <row r="983" spans="15:54" ht="15.75" customHeight="1" x14ac:dyDescent="0.25"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</row>
    <row r="984" spans="15:54" ht="15.75" customHeight="1" x14ac:dyDescent="0.25"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  <c r="AH984" s="52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</row>
    <row r="985" spans="15:54" ht="15.75" customHeight="1" x14ac:dyDescent="0.25"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  <c r="AG985" s="52"/>
      <c r="AH985" s="52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</row>
    <row r="986" spans="15:54" ht="15.75" customHeight="1" x14ac:dyDescent="0.25"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  <c r="AH986" s="52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</row>
    <row r="987" spans="15:54" ht="15.75" customHeight="1" x14ac:dyDescent="0.25"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  <c r="AH987" s="52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</row>
    <row r="988" spans="15:54" ht="15.75" customHeight="1" x14ac:dyDescent="0.25"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  <c r="AH988" s="52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</row>
    <row r="989" spans="15:54" ht="15.75" customHeight="1" x14ac:dyDescent="0.25"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  <c r="AH989" s="52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</row>
    <row r="990" spans="15:54" ht="15.75" customHeight="1" x14ac:dyDescent="0.25"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52"/>
      <c r="AG990" s="52"/>
      <c r="AH990" s="52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</row>
    <row r="991" spans="15:54" ht="15.75" customHeight="1" x14ac:dyDescent="0.25"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52"/>
      <c r="AG991" s="52"/>
      <c r="AH991" s="52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</row>
    <row r="992" spans="15:54" ht="15.75" customHeight="1" x14ac:dyDescent="0.25"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52"/>
      <c r="AG992" s="52"/>
      <c r="AH992" s="52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</row>
    <row r="993" spans="15:54" ht="15.75" customHeight="1" x14ac:dyDescent="0.25"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52"/>
      <c r="AG993" s="52"/>
      <c r="AH993" s="52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</row>
    <row r="994" spans="15:54" ht="15.75" customHeight="1" x14ac:dyDescent="0.25"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52"/>
      <c r="AG994" s="52"/>
      <c r="AH994" s="52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</row>
    <row r="995" spans="15:54" ht="15.75" customHeight="1" x14ac:dyDescent="0.25"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52"/>
      <c r="AG995" s="52"/>
      <c r="AH995" s="52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</row>
    <row r="996" spans="15:54" ht="15.75" customHeight="1" x14ac:dyDescent="0.25"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52"/>
      <c r="AG996" s="52"/>
      <c r="AH996" s="52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</row>
    <row r="997" spans="15:54" ht="15.75" customHeight="1" x14ac:dyDescent="0.25"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52"/>
      <c r="AG997" s="52"/>
      <c r="AH997" s="52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</row>
    <row r="998" spans="15:54" ht="15.75" customHeight="1" x14ac:dyDescent="0.25"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  <c r="AH998" s="52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</row>
    <row r="999" spans="15:54" ht="15.75" customHeight="1" x14ac:dyDescent="0.25"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52"/>
      <c r="AG999" s="52"/>
      <c r="AH999" s="52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</row>
    <row r="1000" spans="15:54" ht="15.75" customHeight="1" x14ac:dyDescent="0.25"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52"/>
      <c r="AG1000" s="52"/>
      <c r="AH1000" s="52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</row>
  </sheetData>
  <mergeCells count="8">
    <mergeCell ref="J24:L24"/>
    <mergeCell ref="J25:L25"/>
    <mergeCell ref="J26:L26"/>
    <mergeCell ref="B3:G4"/>
    <mergeCell ref="B6:G6"/>
    <mergeCell ref="K6:N6"/>
    <mergeCell ref="J22:M22"/>
    <mergeCell ref="J23:L23"/>
  </mergeCells>
  <conditionalFormatting sqref="M23:M26">
    <cfRule type="expression" dxfId="40" priority="1">
      <formula>J23=""</formula>
    </cfRule>
  </conditionalFormatting>
  <conditionalFormatting sqref="M24:M26">
    <cfRule type="expression" dxfId="39" priority="2">
      <formula>J24=""</formula>
    </cfRule>
  </conditionalFormatting>
  <conditionalFormatting sqref="M25">
    <cfRule type="expression" dxfId="38" priority="3">
      <formula>J25=""</formula>
    </cfRule>
  </conditionalFormatting>
  <conditionalFormatting sqref="B22:H28 J22:M26">
    <cfRule type="expression" dxfId="37" priority="4">
      <formula>OR($I$22=0,AND($J$20="",$J$21="",$J$22="",$J$23=""))</formula>
    </cfRule>
  </conditionalFormatting>
  <conditionalFormatting sqref="N23:AH27">
    <cfRule type="expression" dxfId="36" priority="5">
      <formula>K23=""</formula>
    </cfRule>
  </conditionalFormatting>
  <conditionalFormatting sqref="N24:AH26">
    <cfRule type="expression" dxfId="35" priority="6">
      <formula>K24=""</formula>
    </cfRule>
  </conditionalFormatting>
  <conditionalFormatting sqref="N25:AH25">
    <cfRule type="expression" dxfId="34" priority="7">
      <formula>K25=""</formula>
    </cfRule>
  </conditionalFormatting>
  <conditionalFormatting sqref="N27:AH27">
    <cfRule type="expression" dxfId="33" priority="8">
      <formula>K27=""</formula>
    </cfRule>
  </conditionalFormatting>
  <conditionalFormatting sqref="N23:AH27">
    <cfRule type="expression" dxfId="32" priority="9">
      <formula>OR($I$22=0,AND($J$20="",$J$21="",$J$22="",$J$23=""))</formula>
    </cfRule>
  </conditionalFormatting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W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1.28515625" customWidth="1"/>
    <col min="4" max="4" width="9.140625" customWidth="1"/>
    <col min="5" max="8" width="10.7109375" customWidth="1"/>
    <col min="9" max="9" width="9.140625" customWidth="1"/>
    <col min="10" max="13" width="10.7109375" customWidth="1"/>
    <col min="14" max="14" width="9.140625" customWidth="1"/>
    <col min="15" max="26" width="10.7109375" customWidth="1"/>
  </cols>
  <sheetData>
    <row r="2" spans="2:19" x14ac:dyDescent="0.25">
      <c r="B2" s="94" t="s">
        <v>72</v>
      </c>
      <c r="C2" s="95"/>
      <c r="D2" s="96"/>
    </row>
    <row r="4" spans="2:19" x14ac:dyDescent="0.25">
      <c r="G4" s="94" t="s">
        <v>73</v>
      </c>
      <c r="H4" s="95"/>
      <c r="I4" s="96"/>
    </row>
    <row r="5" spans="2:19" x14ac:dyDescent="0.25">
      <c r="B5" s="59">
        <v>49</v>
      </c>
      <c r="C5" s="60" t="s">
        <v>74</v>
      </c>
      <c r="D5" s="61" t="s">
        <v>75</v>
      </c>
    </row>
    <row r="6" spans="2:19" x14ac:dyDescent="0.25">
      <c r="B6" s="62" t="str">
        <f>'GRUPO A'!C8</f>
        <v>Holanda</v>
      </c>
      <c r="C6" s="63">
        <v>2</v>
      </c>
      <c r="D6" s="64"/>
    </row>
    <row r="7" spans="2:19" x14ac:dyDescent="0.25">
      <c r="B7" s="65" t="str">
        <f>'GRUPO B'!C9</f>
        <v>Gales</v>
      </c>
      <c r="C7" s="66">
        <v>1</v>
      </c>
      <c r="D7" s="67"/>
      <c r="E7" s="68"/>
      <c r="G7" s="59">
        <v>57</v>
      </c>
      <c r="H7" s="60" t="s">
        <v>74</v>
      </c>
      <c r="I7" s="61" t="s">
        <v>75</v>
      </c>
    </row>
    <row r="8" spans="2:19" x14ac:dyDescent="0.25">
      <c r="E8" s="69"/>
      <c r="G8" s="62" t="str">
        <f>IF(C7&gt;C6,B7,IF(C6&gt;C7,B6,IF(D7&gt;D6,B7,IF(D6&gt;D7,B6,""))))</f>
        <v>Holanda</v>
      </c>
      <c r="H8" s="63">
        <v>0</v>
      </c>
      <c r="I8" s="64"/>
      <c r="L8" s="94" t="s">
        <v>76</v>
      </c>
      <c r="M8" s="95"/>
      <c r="N8" s="96"/>
    </row>
    <row r="9" spans="2:19" x14ac:dyDescent="0.25">
      <c r="B9" s="59">
        <v>50</v>
      </c>
      <c r="C9" s="60" t="s">
        <v>74</v>
      </c>
      <c r="D9" s="61" t="s">
        <v>75</v>
      </c>
      <c r="E9" s="70"/>
      <c r="F9" s="71"/>
      <c r="G9" s="65" t="str">
        <f>IF(C11&gt;C10,B11,IF(C10&gt;C11,B10,IF(D11&gt;D10,B11,IF(D10&gt;D11,B10,""))))</f>
        <v>Argentina</v>
      </c>
      <c r="H9" s="66">
        <v>1</v>
      </c>
      <c r="I9" s="67"/>
      <c r="J9" s="68"/>
    </row>
    <row r="10" spans="2:19" x14ac:dyDescent="0.25">
      <c r="B10" s="62" t="str">
        <f>'GRUPO C'!C8</f>
        <v>Argentina</v>
      </c>
      <c r="C10" s="63">
        <v>2</v>
      </c>
      <c r="D10" s="64"/>
      <c r="E10" s="72"/>
      <c r="J10" s="69"/>
    </row>
    <row r="11" spans="2:19" x14ac:dyDescent="0.25">
      <c r="B11" s="65" t="str">
        <f>'GRUPO D'!C9</f>
        <v>Dinamarca</v>
      </c>
      <c r="C11" s="66">
        <v>0</v>
      </c>
      <c r="D11" s="67"/>
      <c r="E11" s="73"/>
      <c r="J11" s="69"/>
      <c r="L11" s="59">
        <v>61</v>
      </c>
      <c r="M11" s="60" t="s">
        <v>74</v>
      </c>
      <c r="N11" s="61" t="s">
        <v>75</v>
      </c>
    </row>
    <row r="12" spans="2:19" x14ac:dyDescent="0.25">
      <c r="J12" s="69"/>
      <c r="L12" s="62" t="str">
        <f>IF(H9&gt;H8,G9,IF(H8&gt;H9,G8,IF(I9&gt;I8,G9,IF(I8&gt;I9,G8,""))))</f>
        <v>Argentina</v>
      </c>
      <c r="M12" s="63">
        <v>2</v>
      </c>
      <c r="N12" s="64"/>
    </row>
    <row r="13" spans="2:19" x14ac:dyDescent="0.25">
      <c r="B13" s="59">
        <v>53</v>
      </c>
      <c r="C13" s="60" t="s">
        <v>74</v>
      </c>
      <c r="D13" s="61" t="s">
        <v>75</v>
      </c>
      <c r="J13" s="69"/>
      <c r="K13" s="71"/>
      <c r="L13" s="65" t="str">
        <f>IF(H17&gt;H16,G17,IF(H16&gt;H17,G16,IF(I17&gt;I16,G17,IF(I16&gt;I17,G16,""))))</f>
        <v>Brasil</v>
      </c>
      <c r="M13" s="66">
        <v>1</v>
      </c>
      <c r="N13" s="67"/>
      <c r="O13" s="68"/>
    </row>
    <row r="14" spans="2:19" x14ac:dyDescent="0.25">
      <c r="B14" s="62" t="str">
        <f>'GRUPO E'!C8</f>
        <v>España</v>
      </c>
      <c r="C14" s="63">
        <v>1</v>
      </c>
      <c r="D14" s="74">
        <v>8</v>
      </c>
      <c r="J14" s="69"/>
      <c r="O14" s="69"/>
    </row>
    <row r="15" spans="2:19" x14ac:dyDescent="0.25">
      <c r="B15" s="65" t="str">
        <f>'GRUPO F'!C9</f>
        <v>Croacia</v>
      </c>
      <c r="C15" s="66">
        <v>1</v>
      </c>
      <c r="D15" s="75">
        <v>7</v>
      </c>
      <c r="E15" s="68"/>
      <c r="G15" s="59">
        <v>58</v>
      </c>
      <c r="H15" s="60" t="s">
        <v>74</v>
      </c>
      <c r="I15" s="61" t="s">
        <v>75</v>
      </c>
      <c r="J15" s="69"/>
      <c r="O15" s="69"/>
    </row>
    <row r="16" spans="2:19" x14ac:dyDescent="0.25">
      <c r="E16" s="69"/>
      <c r="G16" s="62" t="str">
        <f>IF(C15&gt;C14,B15,IF(C14&gt;C15,B14,IF(D15&gt;D14,B15,IF(D14&gt;D15,B14,""))))</f>
        <v>España</v>
      </c>
      <c r="H16" s="63">
        <v>1</v>
      </c>
      <c r="I16" s="74"/>
      <c r="J16" s="72"/>
      <c r="O16" s="69"/>
      <c r="Q16" s="94" t="s">
        <v>77</v>
      </c>
      <c r="R16" s="95"/>
      <c r="S16" s="96"/>
    </row>
    <row r="17" spans="2:23" x14ac:dyDescent="0.25">
      <c r="B17" s="59">
        <v>54</v>
      </c>
      <c r="C17" s="60" t="s">
        <v>74</v>
      </c>
      <c r="D17" s="61" t="s">
        <v>75</v>
      </c>
      <c r="E17" s="70"/>
      <c r="F17" s="71"/>
      <c r="G17" s="65" t="str">
        <f>IF(C19&gt;C18,B19,IF(C18&gt;C19,B18,IF(D19&gt;D18,B19,IF(D18&gt;D19,B18,""))))</f>
        <v>Brasil</v>
      </c>
      <c r="H17" s="66">
        <v>2</v>
      </c>
      <c r="I17" s="75"/>
      <c r="O17" s="69"/>
    </row>
    <row r="18" spans="2:23" x14ac:dyDescent="0.25">
      <c r="B18" s="62" t="str">
        <f>'GRUPO G'!C8</f>
        <v>Brasil</v>
      </c>
      <c r="C18" s="63">
        <v>3</v>
      </c>
      <c r="D18" s="64"/>
      <c r="E18" s="72"/>
      <c r="O18" s="69"/>
    </row>
    <row r="19" spans="2:23" x14ac:dyDescent="0.25">
      <c r="B19" s="65" t="str">
        <f>'GRUPO H'!C9</f>
        <v>Portugal</v>
      </c>
      <c r="C19" s="66">
        <v>1</v>
      </c>
      <c r="D19" s="67"/>
      <c r="E19" s="73"/>
      <c r="O19" s="69"/>
      <c r="Q19" s="59">
        <v>64</v>
      </c>
      <c r="R19" s="60" t="s">
        <v>74</v>
      </c>
      <c r="S19" s="61" t="s">
        <v>75</v>
      </c>
    </row>
    <row r="20" spans="2:23" x14ac:dyDescent="0.25">
      <c r="O20" s="69"/>
      <c r="Q20" s="62" t="str">
        <f>IF(M13&gt;M12,L13,IF(M12&gt;M13,L12,IF(N13&gt;N12,L13,IF(N12&gt;N13,L12,""))))</f>
        <v>Argentina</v>
      </c>
      <c r="R20" s="63">
        <v>2</v>
      </c>
      <c r="S20" s="64"/>
    </row>
    <row r="21" spans="2:23" ht="15.75" customHeight="1" x14ac:dyDescent="0.25">
      <c r="B21" s="59">
        <v>51</v>
      </c>
      <c r="C21" s="60" t="s">
        <v>74</v>
      </c>
      <c r="D21" s="61" t="s">
        <v>75</v>
      </c>
      <c r="O21" s="69"/>
      <c r="P21" s="76"/>
      <c r="Q21" s="65" t="str">
        <f>IF(M29&gt;M28,L29,IF(M28&gt;M29,L28,IF(N29&gt;N28,L29,IF(N28&gt;N29,L28,""))))</f>
        <v>Francia</v>
      </c>
      <c r="R21" s="66">
        <v>1</v>
      </c>
      <c r="S21" s="67"/>
    </row>
    <row r="22" spans="2:23" ht="15.75" customHeight="1" x14ac:dyDescent="0.25">
      <c r="B22" s="62" t="str">
        <f>'GRUPO B'!C8</f>
        <v>Inglaterra</v>
      </c>
      <c r="C22" s="63">
        <v>2</v>
      </c>
      <c r="D22" s="64"/>
      <c r="O22" s="69"/>
    </row>
    <row r="23" spans="2:23" ht="15.75" customHeight="1" x14ac:dyDescent="0.25">
      <c r="B23" s="65" t="str">
        <f>'GRUPO A'!C9</f>
        <v>Senegal</v>
      </c>
      <c r="C23" s="66">
        <v>1</v>
      </c>
      <c r="D23" s="67"/>
      <c r="E23" s="68"/>
      <c r="G23" s="59">
        <v>59</v>
      </c>
      <c r="H23" s="60" t="s">
        <v>74</v>
      </c>
      <c r="I23" s="61" t="s">
        <v>75</v>
      </c>
      <c r="O23" s="69"/>
      <c r="V23" s="94" t="s">
        <v>78</v>
      </c>
      <c r="W23" s="96"/>
    </row>
    <row r="24" spans="2:23" ht="15.75" customHeight="1" x14ac:dyDescent="0.25">
      <c r="E24" s="69"/>
      <c r="G24" s="62" t="str">
        <f>IF(C23&gt;C22,B23,IF(C22&gt;C23,B22,IF(D23&gt;D22,B23,IF(D22&gt;D23,B22,""))))</f>
        <v>Inglaterra</v>
      </c>
      <c r="H24" s="63">
        <v>1</v>
      </c>
      <c r="I24" s="64"/>
      <c r="O24" s="69"/>
      <c r="V24" s="62" t="s">
        <v>79</v>
      </c>
      <c r="W24" s="77" t="str">
        <f>IF(R20&gt;R21,Q20,IF(R21&gt;R20,Q21,IF(S20&gt;S21,Q20,IF(S21&gt;S20,Q21,""))))</f>
        <v>Argentina</v>
      </c>
    </row>
    <row r="25" spans="2:23" ht="15.75" customHeight="1" x14ac:dyDescent="0.25">
      <c r="B25" s="59">
        <v>52</v>
      </c>
      <c r="C25" s="60" t="s">
        <v>74</v>
      </c>
      <c r="D25" s="61" t="s">
        <v>75</v>
      </c>
      <c r="E25" s="70"/>
      <c r="F25" s="71"/>
      <c r="G25" s="65" t="str">
        <f>IF(C27&gt;C26,B27,IF(C26&gt;C27,B26,IF(D27&gt;D26,B27,IF(D26&gt;D27,B26,""))))</f>
        <v>Francia</v>
      </c>
      <c r="H25" s="66">
        <v>3</v>
      </c>
      <c r="I25" s="67"/>
      <c r="J25" s="68"/>
      <c r="O25" s="69"/>
      <c r="Q25" s="94" t="s">
        <v>80</v>
      </c>
      <c r="R25" s="95"/>
      <c r="S25" s="96"/>
      <c r="V25" s="78" t="s">
        <v>81</v>
      </c>
      <c r="W25" s="79" t="str">
        <f>IF(W24=Q20,Q21,IF(W24=Q21,Q20,""))</f>
        <v>Francia</v>
      </c>
    </row>
    <row r="26" spans="2:23" ht="15.75" customHeight="1" x14ac:dyDescent="0.25">
      <c r="B26" s="62" t="str">
        <f>'GRUPO D'!C8</f>
        <v>Francia</v>
      </c>
      <c r="C26" s="63">
        <v>2</v>
      </c>
      <c r="D26" s="64"/>
      <c r="E26" s="72"/>
      <c r="J26" s="69"/>
      <c r="O26" s="69"/>
      <c r="V26" s="65" t="s">
        <v>82</v>
      </c>
      <c r="W26" s="80" t="str">
        <f>IF(R29&gt;R30,Q29,IF(R30&gt;R29,Q30,IF(S29&gt;S30,Q29,IF(S30&gt;S29,Q30,""))))</f>
        <v>Brasil</v>
      </c>
    </row>
    <row r="27" spans="2:23" ht="15.75" customHeight="1" x14ac:dyDescent="0.25">
      <c r="B27" s="65" t="str">
        <f>'GRUPO C'!C9</f>
        <v>Polonia</v>
      </c>
      <c r="C27" s="66">
        <v>0</v>
      </c>
      <c r="D27" s="67"/>
      <c r="E27" s="73"/>
      <c r="J27" s="69"/>
      <c r="L27" s="59">
        <v>62</v>
      </c>
      <c r="M27" s="60" t="s">
        <v>74</v>
      </c>
      <c r="N27" s="61" t="s">
        <v>75</v>
      </c>
      <c r="O27" s="69"/>
    </row>
    <row r="28" spans="2:23" ht="15.75" customHeight="1" x14ac:dyDescent="0.25">
      <c r="J28" s="69"/>
      <c r="L28" s="62" t="str">
        <f>IF(H25&gt;H24,G25,IF(H24&gt;H25,G24,IF(I25&gt;I24,G25,IF(I24&gt;I25,G24,""))))</f>
        <v>Francia</v>
      </c>
      <c r="M28" s="63">
        <v>2</v>
      </c>
      <c r="N28" s="74">
        <v>9</v>
      </c>
      <c r="O28" s="72"/>
      <c r="Q28" s="59">
        <v>63</v>
      </c>
      <c r="R28" s="60" t="s">
        <v>74</v>
      </c>
      <c r="S28" s="61" t="s">
        <v>75</v>
      </c>
    </row>
    <row r="29" spans="2:23" ht="15.75" customHeight="1" x14ac:dyDescent="0.25">
      <c r="B29" s="59">
        <v>55</v>
      </c>
      <c r="C29" s="60" t="s">
        <v>74</v>
      </c>
      <c r="D29" s="61" t="s">
        <v>75</v>
      </c>
      <c r="J29" s="69"/>
      <c r="K29" s="71"/>
      <c r="L29" s="65" t="str">
        <f>IF(H33&gt;H32,G33,IF(H32&gt;H33,G32,IF(I33&gt;I32,G33,IF(I32&gt;I33,G32,""))))</f>
        <v>Alemania</v>
      </c>
      <c r="M29" s="66">
        <v>2</v>
      </c>
      <c r="N29" s="75">
        <v>8</v>
      </c>
      <c r="Q29" s="62" t="str">
        <f>IF(Q20=L12,L13,IF(Q20=L13,L12,""))</f>
        <v>Brasil</v>
      </c>
      <c r="R29" s="63">
        <v>3</v>
      </c>
      <c r="S29" s="64"/>
    </row>
    <row r="30" spans="2:23" ht="15.75" customHeight="1" x14ac:dyDescent="0.25">
      <c r="B30" s="62" t="str">
        <f>'GRUPO F'!C8</f>
        <v>Belgica</v>
      </c>
      <c r="C30" s="63">
        <v>1</v>
      </c>
      <c r="D30" s="64"/>
      <c r="J30" s="69"/>
      <c r="Q30" s="65" t="str">
        <f>IF(Q21=L28,L29,IF(Q21=L29,L28,""))</f>
        <v>Alemania</v>
      </c>
      <c r="R30" s="66">
        <v>1</v>
      </c>
      <c r="S30" s="67"/>
    </row>
    <row r="31" spans="2:23" ht="15.75" customHeight="1" x14ac:dyDescent="0.25">
      <c r="B31" s="65" t="str">
        <f>'GRUPO E'!C9</f>
        <v>Alemania</v>
      </c>
      <c r="C31" s="66">
        <v>2</v>
      </c>
      <c r="D31" s="67"/>
      <c r="E31" s="68"/>
      <c r="G31" s="59">
        <v>60</v>
      </c>
      <c r="H31" s="60" t="s">
        <v>74</v>
      </c>
      <c r="I31" s="61" t="s">
        <v>75</v>
      </c>
      <c r="J31" s="69"/>
    </row>
    <row r="32" spans="2:23" ht="15.75" customHeight="1" x14ac:dyDescent="0.25">
      <c r="E32" s="69"/>
      <c r="G32" s="62" t="str">
        <f>IF(C31&gt;C30,B31,IF(C30&gt;C31,B30,IF(D31&gt;D30,B31,IF(D30&gt;D31,B30,""))))</f>
        <v>Alemania</v>
      </c>
      <c r="H32" s="63">
        <v>3</v>
      </c>
      <c r="I32" s="64"/>
      <c r="J32" s="72"/>
    </row>
    <row r="33" spans="2:9" ht="15.75" customHeight="1" x14ac:dyDescent="0.25">
      <c r="B33" s="59">
        <v>56</v>
      </c>
      <c r="C33" s="60" t="s">
        <v>74</v>
      </c>
      <c r="D33" s="61" t="s">
        <v>75</v>
      </c>
      <c r="E33" s="70"/>
      <c r="F33" s="71"/>
      <c r="G33" s="65" t="str">
        <f>IF(C35&gt;C34,B35,IF(C34&gt;C35,B34,IF(D35&gt;D34,B35,IF(D34&gt;D35,B34,""))))</f>
        <v>Uruguay</v>
      </c>
      <c r="H33" s="66">
        <v>1</v>
      </c>
      <c r="I33" s="67"/>
    </row>
    <row r="34" spans="2:9" ht="15.75" customHeight="1" x14ac:dyDescent="0.25">
      <c r="B34" s="62" t="str">
        <f>'GRUPO H'!C8</f>
        <v>Uruguay</v>
      </c>
      <c r="C34" s="63">
        <v>3</v>
      </c>
      <c r="D34" s="64"/>
      <c r="E34" s="72"/>
    </row>
    <row r="35" spans="2:9" ht="15.75" customHeight="1" x14ac:dyDescent="0.25">
      <c r="B35" s="65" t="str">
        <f>'GRUPO G'!C9</f>
        <v>Serbia</v>
      </c>
      <c r="C35" s="66">
        <v>0</v>
      </c>
      <c r="D35" s="67"/>
      <c r="E35" s="73"/>
    </row>
    <row r="36" spans="2:9" ht="15.75" customHeight="1" x14ac:dyDescent="0.25"/>
    <row r="37" spans="2:9" ht="15.75" customHeight="1" x14ac:dyDescent="0.25"/>
    <row r="38" spans="2:9" ht="15.75" customHeight="1" x14ac:dyDescent="0.25"/>
    <row r="39" spans="2:9" ht="15.75" customHeight="1" x14ac:dyDescent="0.25"/>
    <row r="40" spans="2:9" ht="15.75" customHeight="1" x14ac:dyDescent="0.25"/>
    <row r="41" spans="2:9" ht="15.75" customHeight="1" x14ac:dyDescent="0.25"/>
    <row r="42" spans="2:9" ht="15.75" customHeight="1" x14ac:dyDescent="0.25"/>
    <row r="43" spans="2:9" ht="15.75" customHeight="1" x14ac:dyDescent="0.25"/>
    <row r="44" spans="2:9" ht="15.75" customHeight="1" x14ac:dyDescent="0.25"/>
    <row r="45" spans="2:9" ht="15.75" customHeight="1" x14ac:dyDescent="0.25"/>
    <row r="46" spans="2:9" ht="15.75" customHeight="1" x14ac:dyDescent="0.25"/>
    <row r="47" spans="2:9" ht="15.75" customHeight="1" x14ac:dyDescent="0.25"/>
    <row r="48" spans="2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Q25:S25"/>
    <mergeCell ref="B2:D2"/>
    <mergeCell ref="G4:I4"/>
    <mergeCell ref="L8:N8"/>
    <mergeCell ref="Q16:S16"/>
    <mergeCell ref="V23:W23"/>
  </mergeCells>
  <conditionalFormatting sqref="D6">
    <cfRule type="expression" dxfId="31" priority="1">
      <formula>$C$6=$C$7</formula>
    </cfRule>
  </conditionalFormatting>
  <conditionalFormatting sqref="D7">
    <cfRule type="expression" dxfId="30" priority="2">
      <formula>$C$6=$C$7</formula>
    </cfRule>
  </conditionalFormatting>
  <conditionalFormatting sqref="D10">
    <cfRule type="expression" dxfId="29" priority="3">
      <formula>C10=C11</formula>
    </cfRule>
  </conditionalFormatting>
  <conditionalFormatting sqref="D11">
    <cfRule type="expression" dxfId="28" priority="4">
      <formula>C10=C11</formula>
    </cfRule>
  </conditionalFormatting>
  <conditionalFormatting sqref="D22">
    <cfRule type="expression" dxfId="27" priority="5">
      <formula>C22=C23</formula>
    </cfRule>
  </conditionalFormatting>
  <conditionalFormatting sqref="D23">
    <cfRule type="expression" dxfId="26" priority="6">
      <formula>C22=C23</formula>
    </cfRule>
  </conditionalFormatting>
  <conditionalFormatting sqref="D26">
    <cfRule type="expression" dxfId="25" priority="7">
      <formula>C26=C27</formula>
    </cfRule>
  </conditionalFormatting>
  <conditionalFormatting sqref="D27">
    <cfRule type="expression" dxfId="24" priority="8">
      <formula>C26=C27</formula>
    </cfRule>
  </conditionalFormatting>
  <conditionalFormatting sqref="I8">
    <cfRule type="expression" dxfId="23" priority="9">
      <formula>H8=H9</formula>
    </cfRule>
  </conditionalFormatting>
  <conditionalFormatting sqref="I9">
    <cfRule type="expression" dxfId="22" priority="10">
      <formula>H8=H9</formula>
    </cfRule>
  </conditionalFormatting>
  <conditionalFormatting sqref="N12">
    <cfRule type="expression" dxfId="21" priority="11">
      <formula>M12=M13</formula>
    </cfRule>
  </conditionalFormatting>
  <conditionalFormatting sqref="N13">
    <cfRule type="expression" dxfId="20" priority="12">
      <formula>M12=M13</formula>
    </cfRule>
  </conditionalFormatting>
  <conditionalFormatting sqref="D30">
    <cfRule type="expression" dxfId="19" priority="13">
      <formula>C30=C31</formula>
    </cfRule>
  </conditionalFormatting>
  <conditionalFormatting sqref="D31">
    <cfRule type="expression" dxfId="18" priority="14">
      <formula>C30=C31</formula>
    </cfRule>
  </conditionalFormatting>
  <conditionalFormatting sqref="D34">
    <cfRule type="expression" dxfId="17" priority="15">
      <formula>C34=C35</formula>
    </cfRule>
  </conditionalFormatting>
  <conditionalFormatting sqref="D35">
    <cfRule type="expression" dxfId="16" priority="16">
      <formula>C34=C35</formula>
    </cfRule>
  </conditionalFormatting>
  <conditionalFormatting sqref="N28">
    <cfRule type="expression" dxfId="15" priority="17">
      <formula>M28=M29</formula>
    </cfRule>
  </conditionalFormatting>
  <conditionalFormatting sqref="N29">
    <cfRule type="expression" dxfId="14" priority="18">
      <formula>M28=M29</formula>
    </cfRule>
  </conditionalFormatting>
  <conditionalFormatting sqref="D14">
    <cfRule type="expression" dxfId="13" priority="19">
      <formula>C14=C15</formula>
    </cfRule>
  </conditionalFormatting>
  <conditionalFormatting sqref="D15">
    <cfRule type="expression" dxfId="12" priority="20">
      <formula>C14=C15</formula>
    </cfRule>
  </conditionalFormatting>
  <conditionalFormatting sqref="D18">
    <cfRule type="expression" dxfId="11" priority="21">
      <formula>C18=C19</formula>
    </cfRule>
  </conditionalFormatting>
  <conditionalFormatting sqref="D19">
    <cfRule type="expression" dxfId="10" priority="22">
      <formula>C18=C19</formula>
    </cfRule>
  </conditionalFormatting>
  <conditionalFormatting sqref="I16">
    <cfRule type="expression" dxfId="9" priority="23">
      <formula>H16=H17</formula>
    </cfRule>
  </conditionalFormatting>
  <conditionalFormatting sqref="I17">
    <cfRule type="expression" dxfId="8" priority="24">
      <formula>H16=H17</formula>
    </cfRule>
  </conditionalFormatting>
  <conditionalFormatting sqref="I24">
    <cfRule type="expression" dxfId="7" priority="25">
      <formula>H24=H25</formula>
    </cfRule>
  </conditionalFormatting>
  <conditionalFormatting sqref="I25">
    <cfRule type="expression" dxfId="6" priority="26">
      <formula>H24=H25</formula>
    </cfRule>
  </conditionalFormatting>
  <conditionalFormatting sqref="I32">
    <cfRule type="expression" dxfId="5" priority="27">
      <formula>H32=H33</formula>
    </cfRule>
  </conditionalFormatting>
  <conditionalFormatting sqref="I33">
    <cfRule type="expression" dxfId="4" priority="28">
      <formula>H32=H33</formula>
    </cfRule>
  </conditionalFormatting>
  <conditionalFormatting sqref="S20">
    <cfRule type="expression" dxfId="3" priority="29">
      <formula>R20=#REF!</formula>
    </cfRule>
  </conditionalFormatting>
  <conditionalFormatting sqref="S21">
    <cfRule type="expression" dxfId="2" priority="30">
      <formula>R27=R21</formula>
    </cfRule>
  </conditionalFormatting>
  <conditionalFormatting sqref="S29">
    <cfRule type="expression" dxfId="1" priority="31">
      <formula>R29=R30</formula>
    </cfRule>
  </conditionalFormatting>
  <conditionalFormatting sqref="S30">
    <cfRule type="expression" dxfId="0" priority="32">
      <formula>R29=R30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José Antonio</cp:lastModifiedBy>
  <dcterms:created xsi:type="dcterms:W3CDTF">2022-11-02T00:22:23Z</dcterms:created>
  <dcterms:modified xsi:type="dcterms:W3CDTF">2022-11-26T21:07:18Z</dcterms:modified>
</cp:coreProperties>
</file>