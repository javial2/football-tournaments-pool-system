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0" yWindow="0" windowWidth="9420" windowHeight="7590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P10" i="11"/>
  <c r="AQ10" i="14"/>
  <c r="AP10" i="12"/>
  <c r="AP9" i="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9" i="11" l="1"/>
  <c r="AZ9" i="11" s="1"/>
  <c r="AZ8" i="11"/>
  <c r="AZ10" i="11"/>
  <c r="AP8" i="14"/>
  <c r="AZ8" i="14" s="1"/>
  <c r="AZ8" i="10"/>
  <c r="AZ10" i="12"/>
  <c r="AZ9" i="12"/>
  <c r="AW10" i="12" s="1"/>
  <c r="AX10" i="12" s="1"/>
  <c r="AY10" i="12" s="1"/>
  <c r="BA10" i="12" s="1"/>
  <c r="BB10" i="12" s="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8" i="11" l="1"/>
  <c r="AX8" i="11" s="1"/>
  <c r="AY8" i="11" s="1"/>
  <c r="BA8" i="11" s="1"/>
  <c r="BB8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7" i="14"/>
  <c r="AX7" i="14" s="1"/>
  <c r="AY7" i="14" s="1"/>
  <c r="BA7" i="14" s="1"/>
  <c r="BB7" i="14" s="1"/>
  <c r="AW7" i="12"/>
  <c r="AX7" i="12" s="1"/>
  <c r="AY7" i="12" s="1"/>
  <c r="BA7" i="12" s="1"/>
  <c r="BB7" i="12" s="1"/>
  <c r="AW9" i="12"/>
  <c r="AW8" i="12"/>
  <c r="AX8" i="12" s="1"/>
  <c r="AY8" i="12" s="1"/>
  <c r="BA8" i="12" s="1"/>
  <c r="BB8" i="12" s="1"/>
  <c r="AW9" i="13"/>
  <c r="AX9" i="13" s="1"/>
  <c r="AY9" i="13" s="1"/>
  <c r="BA9" i="13" s="1"/>
  <c r="BB9" i="13" s="1"/>
  <c r="AW9" i="2"/>
  <c r="AW7" i="2"/>
  <c r="AX7" i="2" s="1"/>
  <c r="AY7" i="2" s="1"/>
  <c r="BA7" i="2" s="1"/>
  <c r="BB7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N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9" i="2"/>
  <c r="AY9" i="2" s="1"/>
  <c r="BA9" i="2" s="1"/>
  <c r="BB9" i="2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G8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E10" i="11" l="1"/>
  <c r="F10" i="11"/>
  <c r="G8" i="11"/>
  <c r="G10" i="11"/>
  <c r="E8" i="11"/>
  <c r="D8" i="11"/>
  <c r="G11" i="11"/>
  <c r="F8" i="12"/>
  <c r="D8" i="12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<sst xmlns="http://schemas.openxmlformats.org/spreadsheetml/2006/main" count="454" uniqueCount="79">
  <si>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</si>
  <si>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</si>
  <si>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</si>
  <si>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</si>
  <si>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</si>
  <si>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</si>
  <si>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</si>
  <si>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</si>
  <si>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</si>
  <si>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</si>
  <si>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</si>
  <si>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</si>
  <si>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</si>
  <si>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</si>
  <si>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</si>
  <si>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</si>
  <si>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</si>
  <si>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</si>
  <si>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</si>
  <si>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</si>
  <si>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</si>
  <si>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</si>
  <si>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</si>
  <si>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</si>
  <si>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</si>
  <si>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</si>
  <si>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</si>
  <si>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</si>
  <si>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</si>
  <si>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</si>
  <si>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</si>
  <si>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</si>
  <si>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</si>
  <si>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</si>
  <si>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</si>
  <si>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</si>
  <si>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</si>
  <si>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</si>
  <si>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</si>
  <si>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</si>
  <si>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</si>
  <si>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</si>
  <si>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</si>
  <si>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</si>
  <si>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</si>
  <si>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</si>
  <si>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</si>
  <si>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</si>
  <si>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</si>
  <si>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</si>
  <si>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</si>
  <si>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</si>
  <si>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</si>
  <si>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</si>
  <si>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</si>
  <si>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</si>
  <si>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</si>
  <si>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</si>
  <si>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</si>
  <si>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</si>
  <si>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</si>
  <si>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</si>
  <si>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</si>
  <si>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</si>
  <si>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</si>
  <si>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</si>
  <si>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</si>
  <si>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</si>
  <si>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</si>
  <si>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</si>
  <si>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</si>
  <si>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</si>
  <si>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</si>
  <si>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</si>
  <si>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</si>
  <si>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</si>
  <si>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</si>
  <si>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Loreto Rozas</t>
  </si>
  <si>
    <t>cvial1@miuandes.cl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</si>
</sst>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vial1@miuandes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"/>
  <sheetViews>
    <sheetView tabSelected="1"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4" sqref="M14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1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-3</v>
      </c>
      <c r="AR7" s="34">
        <f>SUMIF($K$7:$K$12,AO7,$L$7:$L$12) + SUMIF($N$7:$N$12,AO7,$M$7:$M$12)</f>
        <v>1</v>
      </c>
      <c r="AS7" s="34">
        <f>SUMIF($K$7:$K$12,AO7,$M$7:$M$12) + SUMIF($N$7:$N$12,AO7,$L$7:$L$12)</f>
        <v>4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-9970100</v>
      </c>
      <c r="BA7" s="34">
        <f>AZ7-AY7*10</f>
        <v>-9970110</v>
      </c>
      <c r="BB7" s="34">
        <f>BA7+N23</f>
        <v>-9970107</v>
      </c>
    </row>
    <row r="8" spans="2:54" x14ac:dyDescent="0.25">
      <c r="B8" s="7">
        <v>1</v>
      </c>
      <c r="C8" s="8" t="str">
        <f t="shared" ref="C8:G11" si="3">IFERROR(VLOOKUP($B8,$AN$7:$AS$11,C$5,FALSE),"")</f>
        <v>Senegal</v>
      </c>
      <c r="D8" s="9">
        <f t="shared" si="3"/>
        <v>6</v>
      </c>
      <c r="E8" s="9">
        <f t="shared" si="3"/>
        <v>3</v>
      </c>
      <c r="F8" s="9">
        <f t="shared" si="3"/>
        <v>1</v>
      </c>
      <c r="G8" s="10">
        <f t="shared" si="3"/>
        <v>2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2</v>
      </c>
      <c r="AO8" s="34" t="s">
        <v>13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-60010200</v>
      </c>
      <c r="BA8" s="34">
        <f t="shared" ref="BA8:BA10" si="10">AZ8-AY8*10</f>
        <v>-60010210</v>
      </c>
      <c r="BB8" s="34">
        <f>BA8+N24</f>
        <v>-60010208</v>
      </c>
    </row>
    <row r="9" spans="2:54" x14ac:dyDescent="0.25">
      <c r="B9" s="11">
        <v>2</v>
      </c>
      <c r="C9" s="12" t="str">
        <f t="shared" si="3"/>
        <v>Holanda</v>
      </c>
      <c r="D9" s="13">
        <f t="shared" si="3"/>
        <v>6</v>
      </c>
      <c r="E9" s="13">
        <f t="shared" si="3"/>
        <v>2</v>
      </c>
      <c r="F9" s="13">
        <f t="shared" si="3"/>
        <v>1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1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3</v>
      </c>
      <c r="AS9" s="34">
        <f t="shared" si="6"/>
        <v>1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-60020300</v>
      </c>
      <c r="BA9" s="34">
        <f t="shared" si="10"/>
        <v>-60020310</v>
      </c>
      <c r="BB9" s="34">
        <f>BA9+N25</f>
        <v>-60020309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4</v>
      </c>
      <c r="E10" s="50">
        <f t="shared" si="3"/>
        <v>2</v>
      </c>
      <c r="F10" s="50">
        <f t="shared" si="3"/>
        <v>2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0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0</v>
      </c>
      <c r="AK10" s="34">
        <f t="shared" si="4"/>
        <v>3</v>
      </c>
      <c r="AL10" s="34" t="str">
        <f t="shared" si="2"/>
        <v>Ecuador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2</v>
      </c>
      <c r="AS10" s="34">
        <f>SUMIF($K$7:$K$12,AO10,$M$7:$M$12) + SUMIF($N$7:$N$12,AO10,$L$7:$L$12)</f>
        <v>2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-40000200</v>
      </c>
      <c r="BA10" s="34">
        <f t="shared" si="10"/>
        <v>-40000210</v>
      </c>
      <c r="BB10" s="34">
        <f>BA10+N26</f>
        <v>-40000206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1</v>
      </c>
      <c r="F11" s="54">
        <f t="shared" si="3"/>
        <v>4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0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1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3</v>
      </c>
      <c r="N23" s="35">
        <f>IF(J23="",0,M23)</f>
        <v>3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1</v>
      </c>
      <c r="N25" s="35">
        <f>IF(J25="",0,M25)</f>
        <v>1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4" sqref="M14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1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-70020300</v>
      </c>
      <c r="BA7" s="34">
        <f>AZ7-AY7*10</f>
        <v>-70020310</v>
      </c>
      <c r="BB7" s="34">
        <f>BA7+N23</f>
        <v>-70020309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4</v>
      </c>
      <c r="J8" s="19">
        <v>44886</v>
      </c>
      <c r="K8" s="20" t="s">
        <v>31</v>
      </c>
      <c r="L8" s="21">
        <v>1</v>
      </c>
      <c r="M8" s="22">
        <v>0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-50010300</v>
      </c>
      <c r="BA8" s="34">
        <f t="shared" ref="BA8:BA10" si="10">AZ8-AY8*10</f>
        <v>-50010310</v>
      </c>
      <c r="BB8" s="34">
        <f>BA8+N24</f>
        <v>-50010308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5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-9980100</v>
      </c>
      <c r="BA9" s="34">
        <f t="shared" si="10"/>
        <v>-9980110</v>
      </c>
      <c r="BB9" s="34">
        <f>BA9+N25</f>
        <v>-9980107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3</v>
      </c>
      <c r="E10" s="50">
        <f t="shared" si="0"/>
        <v>1</v>
      </c>
      <c r="F10" s="50">
        <f t="shared" si="0"/>
        <v>2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1</v>
      </c>
      <c r="AS10" s="34">
        <f>SUMIF($K$7:$K$12,AO10,$M$7:$M$12) + SUMIF($N$7:$N$12,AO10,$L$7:$L$12)</f>
        <v>2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-29990100</v>
      </c>
      <c r="BA10" s="34">
        <f t="shared" si="10"/>
        <v>-29990110</v>
      </c>
      <c r="BB10" s="34">
        <f>BA10+N26</f>
        <v>-29990106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4" sqref="L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-70020300</v>
      </c>
      <c r="BA7" s="34">
        <f>AZ7-AY7*10</f>
        <v>-70020310</v>
      </c>
      <c r="BB7" s="34">
        <f>BA7+N23</f>
        <v>-70020309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7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6</v>
      </c>
      <c r="J8" s="19">
        <v>44887</v>
      </c>
      <c r="K8" s="20" t="s">
        <v>35</v>
      </c>
      <c r="L8" s="21">
        <v>1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-50010300</v>
      </c>
      <c r="BA8" s="34">
        <f t="shared" ref="BA8:BA10" si="10">AZ8-AY8*10</f>
        <v>-50010310</v>
      </c>
      <c r="BB8" s="34">
        <f>BA8+N24</f>
        <v>-50010308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5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2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-40000200</v>
      </c>
      <c r="BA9" s="34">
        <f t="shared" si="10"/>
        <v>-40000210</v>
      </c>
      <c r="BB9" s="34">
        <f>BA9+N25</f>
        <v>-40000207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22</v>
      </c>
      <c r="J10" s="19">
        <v>44891</v>
      </c>
      <c r="K10" s="20" t="s">
        <v>35</v>
      </c>
      <c r="L10" s="21">
        <v>1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-3</v>
      </c>
      <c r="AR10" s="34">
        <f>SUMIF($K$7:$K$12,AO10,$L$7:$L$12) + SUMIF($N$7:$N$12,AO10,$M$7:$M$12)</f>
        <v>0</v>
      </c>
      <c r="AS10" s="34">
        <f>SUMIF($K$7:$K$12,AO10,$M$7:$M$12) + SUMIF($N$7:$N$12,AO10,$L$7:$L$12)</f>
        <v>3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30000</v>
      </c>
      <c r="BA10" s="34">
        <f t="shared" si="10"/>
        <v>29990</v>
      </c>
      <c r="BB10" s="34">
        <f>BA10+N26</f>
        <v>29994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0</v>
      </c>
      <c r="F11" s="54">
        <f t="shared" si="0"/>
        <v>3</v>
      </c>
      <c r="G11" s="55">
        <f t="shared" si="0"/>
        <v>-3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5" sqref="M1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-70020300</v>
      </c>
      <c r="BA7" s="34">
        <f>AZ7-AY7*10</f>
        <v>-70020310</v>
      </c>
      <c r="BB7" s="34">
        <f>BA7+N23</f>
        <v>-70020309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7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8</v>
      </c>
      <c r="J8" s="19">
        <v>44887</v>
      </c>
      <c r="K8" s="20" t="s">
        <v>40</v>
      </c>
      <c r="L8" s="21">
        <v>1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-50010300</v>
      </c>
      <c r="BA8" s="34">
        <f t="shared" ref="BA8:BA10" si="10">AZ8-AY8*10</f>
        <v>-50010310</v>
      </c>
      <c r="BB8" s="34">
        <f>BA8+N24</f>
        <v>-50010308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5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-9980100</v>
      </c>
      <c r="BA9" s="34">
        <f t="shared" si="10"/>
        <v>-9980110</v>
      </c>
      <c r="BB9" s="34">
        <f>BA9+N25</f>
        <v>-9980107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2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2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-19990200</v>
      </c>
      <c r="BA10" s="34">
        <f t="shared" si="10"/>
        <v>-19990210</v>
      </c>
      <c r="BB10" s="34">
        <f>BA10+N26</f>
        <v>-19990206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1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2" sqref="M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1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5</v>
      </c>
      <c r="AQ7" s="34">
        <f>AR7-AS7</f>
        <v>1</v>
      </c>
      <c r="AR7" s="34">
        <f>SUMIF($K$7:$K$12,AO7,$L$7:$L$12) + SUMIF($N$7:$N$12,AO7,$M$7:$M$12)</f>
        <v>3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-50010300</v>
      </c>
      <c r="BA7" s="34">
        <f>AZ7-AY7*10</f>
        <v>-50010310</v>
      </c>
      <c r="BB7" s="34">
        <f>BA7+N23</f>
        <v>-50010309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-70020300</v>
      </c>
      <c r="BA8" s="34">
        <f t="shared" ref="BA8:BA10" si="10">AZ8-AY8*10</f>
        <v>-70020310</v>
      </c>
      <c r="BB8" s="34">
        <f>BA8+N24</f>
        <v>-70020308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5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-19990200</v>
      </c>
      <c r="BA9" s="34">
        <f t="shared" si="10"/>
        <v>-19990210</v>
      </c>
      <c r="BB9" s="34">
        <f>BA9+N25</f>
        <v>-19990207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2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-9980100</v>
      </c>
      <c r="BA10" s="34">
        <f t="shared" si="10"/>
        <v>-9980110</v>
      </c>
      <c r="BB10" s="34">
        <f>BA10+N26</f>
        <v>-9980106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1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1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-70020300</v>
      </c>
      <c r="BA7" s="34">
        <f>AZ7-AY7*10</f>
        <v>-70020310</v>
      </c>
      <c r="BB7" s="34">
        <f>BA7+N23</f>
        <v>-70020309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12</v>
      </c>
      <c r="J8" s="19">
        <v>44888</v>
      </c>
      <c r="K8" s="20" t="s">
        <v>48</v>
      </c>
      <c r="L8" s="21">
        <v>1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-50010300</v>
      </c>
      <c r="BA8" s="34">
        <f t="shared" ref="BA8:BA10" si="10">AZ8-AY8*10</f>
        <v>-50010310</v>
      </c>
      <c r="BB8" s="34">
        <f>BA8+N24</f>
        <v>-50010308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5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1</v>
      </c>
      <c r="AS9" s="34">
        <f t="shared" si="6"/>
        <v>2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-29990100</v>
      </c>
      <c r="BA9" s="34">
        <f t="shared" si="10"/>
        <v>-29990110</v>
      </c>
      <c r="BB9" s="34">
        <f>BA9+N25</f>
        <v>-29990107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1</v>
      </c>
      <c r="F10" s="50">
        <f t="shared" si="0"/>
        <v>2</v>
      </c>
      <c r="G10" s="51">
        <f t="shared" si="0"/>
        <v>-1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-9980100</v>
      </c>
      <c r="BA10" s="34">
        <f t="shared" si="10"/>
        <v>-9980110</v>
      </c>
      <c r="BB10" s="34">
        <f>BA10+N26</f>
        <v>-9980106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4" sqref="M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0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-60020300</v>
      </c>
      <c r="BA7" s="34">
        <f>AZ7-AY7*10</f>
        <v>-60020310</v>
      </c>
      <c r="BB7" s="34">
        <f>BA7+N23</f>
        <v>-60020309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6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14</v>
      </c>
      <c r="J8" s="19">
        <v>44889</v>
      </c>
      <c r="K8" s="20" t="s">
        <v>10</v>
      </c>
      <c r="L8" s="21">
        <v>1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-60010200</v>
      </c>
      <c r="BA8" s="34">
        <f t="shared" ref="BA8:BA10" si="10">AZ8-AY8*10</f>
        <v>-60010210</v>
      </c>
      <c r="BB8" s="34">
        <f>BA8+N24</f>
        <v>-60010208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6</v>
      </c>
      <c r="E9" s="13">
        <f t="shared" si="0"/>
        <v>2</v>
      </c>
      <c r="F9" s="13">
        <f t="shared" si="0"/>
        <v>1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1</v>
      </c>
      <c r="AS9" s="34">
        <f t="shared" si="6"/>
        <v>2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-29990100</v>
      </c>
      <c r="BA9" s="34">
        <f t="shared" si="10"/>
        <v>-29990110</v>
      </c>
      <c r="BB9" s="34">
        <f>BA9+N25</f>
        <v>-29990107</v>
      </c>
    </row>
    <row r="10" spans="2:54" x14ac:dyDescent="0.25">
      <c r="B10" s="48">
        <v>3</v>
      </c>
      <c r="C10" s="49" t="str">
        <f t="shared" si="0"/>
        <v>Serbia</v>
      </c>
      <c r="D10" s="50">
        <f t="shared" si="0"/>
        <v>3</v>
      </c>
      <c r="E10" s="50">
        <f t="shared" si="0"/>
        <v>1</v>
      </c>
      <c r="F10" s="50">
        <f t="shared" si="0"/>
        <v>2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0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0</v>
      </c>
      <c r="AK10" s="34">
        <f t="shared" si="3"/>
        <v>3</v>
      </c>
      <c r="AL10" s="34" t="str">
        <f t="shared" si="4"/>
        <v>Suiza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-29980100</v>
      </c>
      <c r="BA10" s="34">
        <f t="shared" si="10"/>
        <v>-29980110</v>
      </c>
      <c r="BB10" s="34">
        <f>BA10+N26</f>
        <v>-29980106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3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45</v>
      </c>
      <c r="J11" s="24">
        <v>44897</v>
      </c>
      <c r="K11" s="25" t="s">
        <v>53</v>
      </c>
      <c r="L11" s="21">
        <v>0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6" sqref="M1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2</v>
      </c>
      <c r="AS7" s="34">
        <f>SUMIF($K$7:$K$12,AO7,$M$7:$M$12) + SUMIF($N$7:$N$12,AO7,$L$7:$L$12)</f>
        <v>1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-60010200</v>
      </c>
      <c r="BA7" s="34">
        <f>AZ7-AY7*10</f>
        <v>-60010210</v>
      </c>
      <c r="BB7" s="34">
        <f>BA7+N23</f>
        <v>-60010209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16</v>
      </c>
      <c r="J8" s="19">
        <v>44889</v>
      </c>
      <c r="K8" s="20" t="s">
        <v>57</v>
      </c>
      <c r="L8" s="21">
        <v>1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-70020300</v>
      </c>
      <c r="BA8" s="34">
        <f t="shared" ref="BA8:BA10" si="10">AZ8-AY8*10</f>
        <v>-70020310</v>
      </c>
      <c r="BB8" s="34">
        <f>BA8+N24</f>
        <v>-70020308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2</v>
      </c>
      <c r="F9" s="13">
        <f t="shared" si="0"/>
        <v>1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-9980100</v>
      </c>
      <c r="BA9" s="34">
        <f t="shared" si="10"/>
        <v>-9980110</v>
      </c>
      <c r="BB9" s="34">
        <f>BA9+N25</f>
        <v>-9980107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2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0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2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-19990200</v>
      </c>
      <c r="BA10" s="34">
        <f t="shared" si="10"/>
        <v>-19990210</v>
      </c>
      <c r="BB10" s="34">
        <f>BA10+N26</f>
        <v>-19990206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1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5"/>
  <sheetViews>
    <sheetView topLeftCell="B1" workbookViewId="0">
      <selection activeCell="R31" sqref="R31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Senegal</v>
      </c>
      <c r="C6" s="60">
        <v>0</v>
      </c>
      <c r="D6" s="61"/>
    </row>
    <row r="7" spans="2:19" ht="15.75" thickBot="1" x14ac:dyDescent="0.3">
      <c r="B7" s="62" t="str">
        <f>'GRUPO B'!C9</f>
        <v>USA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USA</v>
      </c>
      <c r="H8" s="60">
        <v>0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1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0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Alemania</v>
      </c>
      <c r="M13" s="63">
        <v>1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1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0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0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1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Alemania</v>
      </c>
      <c r="R20" s="60">
        <v>0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Uruguay</v>
      </c>
      <c r="R21" s="63">
        <v>1</v>
      </c>
      <c r="S21" s="64"/>
    </row>
    <row r="22" spans="2:23" ht="15.75" thickBot="1" x14ac:dyDescent="0.3">
      <c r="B22" s="59" t="str">
        <f>'GRUPO B'!C8</f>
        <v>Inglaterra</v>
      </c>
      <c r="C22" s="60">
        <v>0</v>
      </c>
      <c r="D22" s="61"/>
      <c r="O22" s="66"/>
    </row>
    <row r="23" spans="2:23" ht="15.75" thickBot="1" x14ac:dyDescent="0.3">
      <c r="B23" s="62" t="str">
        <f>'GRUPO A'!C9</f>
        <v>Holanda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Holanda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Uruguay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0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Alemania</v>
      </c>
    </row>
    <row r="26" spans="2:23" ht="15.75" thickBot="1" x14ac:dyDescent="0.3">
      <c r="B26" s="59" t="str">
        <f>'GRUPO D'!C8</f>
        <v>Francia</v>
      </c>
      <c r="C26" s="60">
        <v>1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.75" thickBot="1" x14ac:dyDescent="0.3">
      <c r="B27" s="62" t="str">
        <f>'GRUPO C'!C9</f>
        <v>Mexico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Holanda</v>
      </c>
      <c r="M28" s="60">
        <v>0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1</v>
      </c>
      <c r="N29" s="64"/>
      <c r="Q29" s="59" t="str">
        <f>IF(Q20=L12,L13,IF(Q20=L13,L12,""))</f>
        <v>Argentina</v>
      </c>
      <c r="R29" s="60">
        <v>1</v>
      </c>
      <c r="S29" s="61"/>
    </row>
    <row r="30" spans="2:23" ht="15.75" thickBot="1" x14ac:dyDescent="0.3">
      <c r="B30" s="59" t="str">
        <f>'GRUPO F'!C8</f>
        <v>Belgica</v>
      </c>
      <c r="C30" s="60">
        <v>0</v>
      </c>
      <c r="D30" s="61"/>
      <c r="J30" s="66"/>
      <c r="Q30" s="62" t="str">
        <f>IF(Q21=L28,L29,IF(Q21=L29,L28,""))</f>
        <v>Holanda</v>
      </c>
      <c r="R30" s="63">
        <v>0</v>
      </c>
      <c r="S30" s="64"/>
    </row>
    <row r="31" spans="2:23" ht="15.75" thickBot="1" x14ac:dyDescent="0.3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España</v>
      </c>
      <c r="H32" s="60">
        <v>0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25">
      <c r="B34" s="59" t="str">
        <f>'GRUPO H'!C8</f>
        <v>Uruguay</v>
      </c>
      <c r="C34" s="60">
        <v>1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2022-11-02T00:22:23Z</dcterms:created>
  <dcterms:modified xsi:type="dcterms:W3CDTF">2022-11-19T17:02:10Z</dcterms:modified>
</cp:coreProperties>
</file>