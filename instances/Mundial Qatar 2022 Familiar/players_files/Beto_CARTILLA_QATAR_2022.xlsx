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abelvializquierdo/Downloads/"/>
    </mc:Choice>
  </mc:AlternateContent>
  <xr:revisionPtr revIDLastSave="0" documentId="13_ncr:1_{8E29835D-666E-0948-9A83-D95D1BF12B0D}" xr6:coauthVersionLast="36" xr6:coauthVersionMax="47" xr10:uidLastSave="{00000000-0000-0000-0000-000000000000}"/>
  <bookViews>
    <workbookView xWindow="3000" yWindow="860" windowWidth="20740" windowHeight="11160" firstSheet="1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Z10" i="11" s="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8" i="14"/>
  <c r="AZ8" i="14" s="1"/>
  <c r="AZ8" i="13"/>
  <c r="AZ10" i="12"/>
  <c r="AP9" i="12"/>
  <c r="AZ9" i="12" s="1"/>
  <c r="AW8" i="12" s="1"/>
  <c r="AX8" i="12" s="1"/>
  <c r="AY8" i="12" s="1"/>
  <c r="BA8" i="12" s="1"/>
  <c r="BB8" i="12" s="1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C8" i="12"/>
  <c r="B14" i="16" s="1"/>
  <c r="F8" i="12"/>
  <c r="D8" i="12"/>
  <c r="F10" i="11"/>
  <c r="G11" i="11"/>
  <c r="E8" i="11"/>
  <c r="G8" i="11"/>
  <c r="G10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<sst xmlns="http://schemas.openxmlformats.org/spreadsheetml/2006/main" count="454" uniqueCount="79">
  <si>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</si>
  <si>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</si>
  <si>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</si>
  <si>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</si>
  <si>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</si>
  <si>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</si>
  <si>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</si>
  <si>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</si>
  <si>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</si>
  <si>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</si>
  <si>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</si>
  <si>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</si>
  <si>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</si>
  <si>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</si>
  <si>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</si>
  <si>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</si>
  <si>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</si>
  <si>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</si>
  <si>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</si>
  <si>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</si>
  <si>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</si>
  <si>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</si>
  <si>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</si>
  <si>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</si>
  <si>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</si>
  <si>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</si>
  <si>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</si>
  <si>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</si>
  <si>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</si>
  <si>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</si>
  <si>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</si>
  <si>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</si>
  <si>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</si>
  <si>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</si>
  <si>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</si>
  <si>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</si>
  <si>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</si>
  <si>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</si>
  <si>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</si>
  <si>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</si>
  <si>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</si>
  <si>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</si>
  <si>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</si>
  <si>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</si>
  <si>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</si>
  <si>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</si>
  <si>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</si>
  <si>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</si>
  <si>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</si>
  <si>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</si>
  <si>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</si>
  <si>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</si>
  <si>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</si>
  <si>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</si>
  <si>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</si>
  <si>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</si>
  <si>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</si>
  <si>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</si>
  <si>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</si>
  <si>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</si>
  <si>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</si>
  <si>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</si>
  <si>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</si>
  <si>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</si>
  <si>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</si>
  <si>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</si>
  <si>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</si>
  <si>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</si>
  <si>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</si>
  <si>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</si>
  <si>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</si>
  <si>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</si>
  <si>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</si>
  <si>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</si>
  <si>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</si>
  <si>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</si>
  <si>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</si>
  <si>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Beto</t>
  </si>
  <si>
    <t>gonzalo@galc.cl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</si>
</sst>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8" xfId="0" quotePrefix="1" applyBorder="1"/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onzalo@gal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8E2D23DA-010A-0A4B-B509-23CD57EEAB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2</v>
      </c>
      <c r="AO7" s="34" t="s">
        <v>14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2</v>
      </c>
      <c r="AS7" s="34">
        <f>SUMIF($K$7:$K$12,AO7,$M$7:$M$12) + SUMIF($N$7:$N$12,AO7,$L$7:$L$12)</f>
        <v>1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-50010200</v>
      </c>
      <c r="BA7" s="34">
        <f>AZ7-AY7*10</f>
        <v>-50010210</v>
      </c>
      <c r="BB7" s="34">
        <f>BA7+N23</f>
        <v>-50010209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1</v>
      </c>
      <c r="G8" s="10">
        <f t="shared" si="3"/>
        <v>3</v>
      </c>
      <c r="I8" s="18">
        <v>2</v>
      </c>
      <c r="J8" s="19">
        <v>44886</v>
      </c>
      <c r="K8" s="20" t="s">
        <v>14</v>
      </c>
      <c r="L8" s="21">
        <v>1</v>
      </c>
      <c r="M8" s="22">
        <v>0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-70030408</v>
      </c>
    </row>
    <row r="9" spans="2:54" x14ac:dyDescent="0.2">
      <c r="B9" s="11">
        <v>2</v>
      </c>
      <c r="C9" s="12" t="str">
        <f t="shared" si="3"/>
        <v>Qatar</v>
      </c>
      <c r="D9" s="13">
        <f t="shared" si="3"/>
        <v>5</v>
      </c>
      <c r="E9" s="13">
        <f t="shared" si="3"/>
        <v>2</v>
      </c>
      <c r="F9" s="13">
        <f t="shared" si="3"/>
        <v>1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4</v>
      </c>
      <c r="AO10" s="34" t="s">
        <v>11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29900</v>
      </c>
      <c r="BA10" s="34">
        <f t="shared" si="10"/>
        <v>29890</v>
      </c>
      <c r="BB10" s="34">
        <f>BA10+N26</f>
        <v>29894</v>
      </c>
    </row>
    <row r="11" spans="2:54" ht="16" thickBot="1" x14ac:dyDescent="0.25">
      <c r="B11" s="52">
        <v>4</v>
      </c>
      <c r="C11" s="53" t="str">
        <f t="shared" si="3"/>
        <v>Ecuador</v>
      </c>
      <c r="D11" s="54">
        <f t="shared" si="3"/>
        <v>0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0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1</v>
      </c>
      <c r="AK12" s="34">
        <f t="shared" si="4"/>
        <v>1</v>
      </c>
      <c r="AL12" s="34" t="str">
        <f t="shared" si="2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-90030500</v>
      </c>
      <c r="BA7" s="34">
        <f>AZ7-AY7*10</f>
        <v>-90030510</v>
      </c>
      <c r="BB7" s="34">
        <f>BA7+N23</f>
        <v>-90030509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0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4</v>
      </c>
      <c r="AO8" s="34" t="s">
        <v>31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39900</v>
      </c>
      <c r="BA8" s="34">
        <f t="shared" ref="BA8:BA10" si="10">AZ8-AY8*10</f>
        <v>39890</v>
      </c>
      <c r="BB8" s="34">
        <f>BA8+N24</f>
        <v>39892</v>
      </c>
    </row>
    <row r="9" spans="2:54" x14ac:dyDescent="0.2">
      <c r="B9" s="11">
        <v>2</v>
      </c>
      <c r="C9" s="12" t="str">
        <f t="shared" si="0"/>
        <v>Iran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32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-40010400</v>
      </c>
      <c r="BA9" s="34">
        <f t="shared" si="10"/>
        <v>-40010410</v>
      </c>
      <c r="BB9" s="34">
        <f>BA9+N25</f>
        <v>-40010407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-40000206</v>
      </c>
    </row>
    <row r="11" spans="2:54" ht="16" thickBot="1" x14ac:dyDescent="0.25">
      <c r="B11" s="52">
        <v>4</v>
      </c>
      <c r="C11" s="53" t="str">
        <f t="shared" si="0"/>
        <v>USA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2</v>
      </c>
      <c r="M12" s="33">
        <v>0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3</v>
      </c>
      <c r="AK12" s="34">
        <f t="shared" si="3"/>
        <v>0</v>
      </c>
      <c r="AL12" s="34" t="str">
        <f t="shared" si="4"/>
        <v>Iran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G13" sqref="G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4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-40010300</v>
      </c>
      <c r="BA7" s="34">
        <f>AZ7-AY7*10</f>
        <v>-40010310</v>
      </c>
      <c r="BB7" s="34">
        <f>BA7+N23</f>
        <v>-40010309</v>
      </c>
    </row>
    <row r="8" spans="2:54" x14ac:dyDescent="0.2">
      <c r="B8" s="7">
        <v>1</v>
      </c>
      <c r="C8" s="8" t="str">
        <f t="shared" ref="C8:G11" si="0">IFERROR(VLOOKUP($B8,$AN$7:$AS$11,C$5,FALSE),"")</f>
        <v>Polonia</v>
      </c>
      <c r="D8" s="9">
        <f t="shared" si="0"/>
        <v>5</v>
      </c>
      <c r="E8" s="9">
        <f t="shared" si="0"/>
        <v>3</v>
      </c>
      <c r="F8" s="9">
        <f t="shared" si="0"/>
        <v>2</v>
      </c>
      <c r="G8" s="10">
        <f t="shared" si="0"/>
        <v>1</v>
      </c>
      <c r="I8" s="18">
        <v>6</v>
      </c>
      <c r="J8" s="19">
        <v>44887</v>
      </c>
      <c r="K8" s="20" t="s">
        <v>35</v>
      </c>
      <c r="L8" s="21">
        <v>0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Arabia Saudita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-39990208</v>
      </c>
    </row>
    <row r="9" spans="2:54" x14ac:dyDescent="0.2">
      <c r="B9" s="11">
        <v>2</v>
      </c>
      <c r="C9" s="12" t="str">
        <f t="shared" si="0"/>
        <v>Argentina</v>
      </c>
      <c r="D9" s="13">
        <f t="shared" si="0"/>
        <v>4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1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3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-50010300</v>
      </c>
      <c r="BA9" s="34">
        <f t="shared" si="10"/>
        <v>-50010310</v>
      </c>
      <c r="BB9" s="34">
        <f>BA9+N25</f>
        <v>-50010307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1</v>
      </c>
      <c r="AS10" s="34">
        <f>SUMIF($K$7:$K$12,AO10,$M$7:$M$12) + SUMIF($N$7:$N$12,AO10,$L$7:$L$12)</f>
        <v>2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-29990100</v>
      </c>
      <c r="BA10" s="34">
        <f t="shared" si="10"/>
        <v>-29990110</v>
      </c>
      <c r="BB10" s="34">
        <f>BA10+N26</f>
        <v>-29990106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3</v>
      </c>
      <c r="E11" s="54">
        <f t="shared" si="0"/>
        <v>1</v>
      </c>
      <c r="F11" s="54">
        <f t="shared" si="0"/>
        <v>2</v>
      </c>
      <c r="G11" s="55">
        <f t="shared" si="0"/>
        <v>-1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5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-90050500</v>
      </c>
      <c r="BA7" s="34">
        <f>AZ7-AY7*10</f>
        <v>-90050510</v>
      </c>
      <c r="BB7" s="34">
        <f>BA7+N23</f>
        <v>-90050509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-9970100</v>
      </c>
      <c r="BA8" s="34">
        <f t="shared" ref="BA8:BA10" si="10">AZ8-AY8*10</f>
        <v>-9970110</v>
      </c>
      <c r="BB8" s="34">
        <f>BA8+N24</f>
        <v>-9970108</v>
      </c>
    </row>
    <row r="9" spans="2:54" x14ac:dyDescent="0.2">
      <c r="B9" s="11">
        <v>2</v>
      </c>
      <c r="C9" s="12" t="str">
        <f t="shared" si="0"/>
        <v>Australia</v>
      </c>
      <c r="D9" s="13">
        <f t="shared" si="0"/>
        <v>6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-60000200</v>
      </c>
      <c r="BA10" s="34">
        <f t="shared" si="10"/>
        <v>-60000210</v>
      </c>
      <c r="BB10" s="34">
        <f>BA10+N26</f>
        <v>-60000206</v>
      </c>
    </row>
    <row r="11" spans="2:54" ht="16" thickBot="1" x14ac:dyDescent="0.25">
      <c r="B11" s="52">
        <v>4</v>
      </c>
      <c r="C11" s="53" t="str">
        <f t="shared" si="0"/>
        <v>Dinamarca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0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-70030500</v>
      </c>
      <c r="BA7" s="34">
        <f>AZ7-AY7*10</f>
        <v>-70030500</v>
      </c>
      <c r="BB7" s="34">
        <f>BA7+N23</f>
        <v>-70030499</v>
      </c>
    </row>
    <row r="8" spans="2:54" x14ac:dyDescent="0.2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>España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-70030500</v>
      </c>
      <c r="BA8" s="34">
        <f t="shared" ref="BA8:BA10" si="10">AZ8-AY8*10</f>
        <v>-70030500</v>
      </c>
      <c r="BB8" s="34">
        <f>BA8+N24</f>
        <v>-70030498</v>
      </c>
    </row>
    <row r="9" spans="2:54" x14ac:dyDescent="0.2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-9980400</v>
      </c>
      <c r="BA9" s="34">
        <f t="shared" si="10"/>
        <v>-9980410</v>
      </c>
      <c r="BB9" s="34">
        <f>BA9+N25</f>
        <v>-9980407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3</v>
      </c>
      <c r="AS7" s="34">
        <f>SUMIF($K$7:$K$12,AO7,$M$7:$M$12) + SUMIF($N$7:$N$12,AO7,$L$7:$L$12)</f>
        <v>0</v>
      </c>
      <c r="AV7" s="34" t="str">
        <f>AO7</f>
        <v>Belgica</v>
      </c>
      <c r="AW7" s="34" t="str">
        <f>IF(AZ7=AZ8,AV8,IF(AZ7=AZ9,AV9,IF(AZ7=AZ10,AV10,"")))</f>
        <v>Croacia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-70030300</v>
      </c>
      <c r="BA7" s="34">
        <f>AZ7-AY7*10</f>
        <v>-70030300</v>
      </c>
      <c r="BB7" s="34">
        <f>BA7+N23</f>
        <v>-70030299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3</v>
      </c>
      <c r="F8" s="9">
        <f t="shared" si="0"/>
        <v>0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Croacia</v>
      </c>
      <c r="AW8" s="34" t="str">
        <f>IF(AZ8=AZ9,AV9,IF(AZ8=AZ10,AV10,IF(AZ8=AZ7,AV7,"")))</f>
        <v>Belgica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-70030300</v>
      </c>
      <c r="BA8" s="34">
        <f t="shared" ref="BA8:BA10" si="10">AZ8-AY8*10</f>
        <v>-70030300</v>
      </c>
      <c r="BB8" s="34">
        <f>BA8+N24</f>
        <v>-70030298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3</v>
      </c>
      <c r="F9" s="13">
        <f t="shared" si="0"/>
        <v>0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-29990100</v>
      </c>
      <c r="BA9" s="34">
        <f t="shared" si="10"/>
        <v>-29990110</v>
      </c>
      <c r="BB9" s="34">
        <f>BA9+N25</f>
        <v>-29990107</v>
      </c>
    </row>
    <row r="10" spans="2:54" x14ac:dyDescent="0.2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0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>Camerun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-40000300</v>
      </c>
      <c r="BA8" s="34">
        <f t="shared" ref="BA8:BA10" si="10">AZ8-AY8*10</f>
        <v>-40000300</v>
      </c>
      <c r="BB8" s="34">
        <f>BA8+N24</f>
        <v>-40000298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">
      <c r="B10" s="48">
        <v>3</v>
      </c>
      <c r="C10" s="49" t="str">
        <f t="shared" si="0"/>
        <v>Camerun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Camerun</v>
      </c>
      <c r="AW10" s="34" t="str">
        <f>IF(AZ10=AZ7,AV7,IF(AZ10=AZ8,AV8,IF(AZ10=AZ9,AV9,"")))</f>
        <v>Suiza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-40000300</v>
      </c>
      <c r="BA10" s="34">
        <f t="shared" si="10"/>
        <v>-40000300</v>
      </c>
      <c r="BB10" s="34">
        <f>BA10+N26</f>
        <v>-40000296</v>
      </c>
    </row>
    <row r="11" spans="2:54" ht="16" thickBot="1" x14ac:dyDescent="0.25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N12" sqref="N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3</v>
      </c>
      <c r="AO8" s="34" t="s">
        <v>55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-29980100</v>
      </c>
      <c r="BA8" s="34">
        <f t="shared" ref="BA8:BA10" si="10">AZ8-AY8*10</f>
        <v>-29980110</v>
      </c>
      <c r="BB8" s="34">
        <f>BA8+N24</f>
        <v>-29980108</v>
      </c>
    </row>
    <row r="9" spans="2:54" x14ac:dyDescent="0.2">
      <c r="B9" s="11">
        <v>2</v>
      </c>
      <c r="C9" s="12" t="str">
        <f t="shared" si="0"/>
        <v>Gana</v>
      </c>
      <c r="D9" s="13">
        <f t="shared" si="0"/>
        <v>6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29900</v>
      </c>
      <c r="BA9" s="34">
        <f t="shared" si="10"/>
        <v>29890</v>
      </c>
      <c r="BB9" s="34">
        <f>BA9+N25</f>
        <v>29893</v>
      </c>
    </row>
    <row r="10" spans="2:54" x14ac:dyDescent="0.2">
      <c r="B10" s="48">
        <v>3</v>
      </c>
      <c r="C10" s="49" t="str">
        <f t="shared" si="0"/>
        <v>Uruguay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0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2</v>
      </c>
      <c r="AO10" s="34" t="s">
        <v>58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-60000200</v>
      </c>
      <c r="BA10" s="34">
        <f t="shared" si="10"/>
        <v>-60000210</v>
      </c>
      <c r="BB10" s="34">
        <f>BA10+N26</f>
        <v>-60000206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0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3</v>
      </c>
      <c r="AK11" s="34">
        <f t="shared" si="3"/>
        <v>0</v>
      </c>
      <c r="AL11" s="34" t="str">
        <f t="shared" si="4"/>
        <v>Gana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G13" workbookViewId="0">
      <selection activeCell="R31" sqref="R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Iran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115">
        <v>1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Polonia</v>
      </c>
      <c r="H9" s="63">
        <v>0</v>
      </c>
      <c r="I9" s="64"/>
      <c r="J9" s="65"/>
    </row>
    <row r="10" spans="2:19" ht="16" thickBot="1" x14ac:dyDescent="0.25">
      <c r="B10" s="59" t="str">
        <f>'GRUPO C'!C8</f>
        <v>Polonia</v>
      </c>
      <c r="C10" s="60">
        <v>1</v>
      </c>
      <c r="D10" s="61"/>
      <c r="E10" s="69"/>
      <c r="J10" s="66"/>
    </row>
    <row r="11" spans="2:19" ht="16" thickBot="1" x14ac:dyDescent="0.25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6" thickBot="1" x14ac:dyDescent="0.25">
      <c r="B14" s="59" t="str">
        <f>'GRUPO E'!C8</f>
        <v>España</v>
      </c>
      <c r="C14" s="60">
        <v>2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2</v>
      </c>
      <c r="D18" s="61"/>
      <c r="E18" s="69"/>
      <c r="O18" s="66"/>
    </row>
    <row r="19" spans="2:23" ht="16" thickBot="1" x14ac:dyDescent="0.25">
      <c r="B19" s="62" t="str">
        <f>'GRUPO H'!C9</f>
        <v>Gana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Qatar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Holanda</v>
      </c>
    </row>
    <row r="27" spans="2:23" ht="16" thickBot="1" x14ac:dyDescent="0.25">
      <c r="B27" s="62" t="str">
        <f>'GRUPO C'!C9</f>
        <v>Argentina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1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6" thickBot="1" x14ac:dyDescent="0.25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Portugal</v>
      </c>
      <c r="R30" s="63">
        <v>0</v>
      </c>
      <c r="S30" s="64"/>
    </row>
    <row r="31" spans="2:23" ht="16" thickBot="1" x14ac:dyDescent="0.25">
      <c r="B31" s="62" t="str">
        <f>'GRUPO E'!C9</f>
        <v>Alemania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Alemania</v>
      </c>
      <c r="H32" s="60">
        <v>0</v>
      </c>
      <c r="I32" s="61">
        <v>4</v>
      </c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0</v>
      </c>
      <c r="I33" s="64">
        <v>5</v>
      </c>
    </row>
    <row r="34" spans="2:9" x14ac:dyDescent="0.2">
      <c r="B34" s="59" t="str">
        <f>'GRUPO H'!C8</f>
        <v>Portugal</v>
      </c>
      <c r="C34" s="60">
        <v>2</v>
      </c>
      <c r="D34" s="61"/>
      <c r="E34" s="69"/>
    </row>
    <row r="35" spans="2:9" ht="16" thickBot="1" x14ac:dyDescent="0.25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2022-11-02T00:22:23Z</dcterms:created>
  <dcterms:modified xsi:type="dcterms:W3CDTF">2022-11-14T00:07:08Z</dcterms:modified>
</cp:coreProperties>
</file>