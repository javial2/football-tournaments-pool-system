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80C2E9F0-53AA-4122-9EB3-1C61B52B793D}" xr6:coauthVersionLast="47" xr6:coauthVersionMax="47" xr10:uidLastSave="{00000000-0000-0000-0000-000000000000}"/>
  <bookViews>
    <workbookView xWindow="20370" yWindow="-120" windowWidth="29040" windowHeight="1584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9" i="11" l="1"/>
  <c r="AZ9" i="11" s="1"/>
  <c r="AZ8" i="13"/>
  <c r="AZ8" i="10"/>
  <c r="AP7" i="14"/>
  <c r="AZ7" i="14" s="1"/>
  <c r="AZ8" i="14"/>
  <c r="AZ7" i="12"/>
  <c r="AZ10" i="12"/>
  <c r="AZ10" i="11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2" l="1"/>
  <c r="AX7" i="2" s="1"/>
  <c r="AY7" i="2" s="1"/>
  <c r="BA7" i="2" s="1"/>
  <c r="BB7" i="2" s="1"/>
  <c r="AW7" i="14"/>
  <c r="AX7" i="14" s="1"/>
  <c r="AY7" i="14" s="1"/>
  <c r="BA7" i="14" s="1"/>
  <c r="BB7" i="14" s="1"/>
  <c r="AW9" i="13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G11" i="11" s="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G8" i="11"/>
  <c r="E8" i="11"/>
  <c r="F10" i="11"/>
  <c r="G10" i="11"/>
  <c r="E10" i="11"/>
  <c r="D8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G32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L29" i="16" l="1"/>
  <c r="D10" i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F10" i="1"/>
  <c r="G8" i="1"/>
  <c r="D8" i="1"/>
  <c r="E11" i="1"/>
  <c r="G10" i="1"/>
  <c r="Q20" i="16" l="1"/>
  <c r="W24" i="16" s="1"/>
  <c r="Q30" i="16"/>
  <c r="W25" i="16"/>
  <c r="Q29" i="16" l="1"/>
  <c r="W26" i="16" s="1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<sst xmlns="http://schemas.openxmlformats.org/spreadsheetml/2006/main" count="453" uniqueCount="78">
  <si>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</si>
  <si>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</si>
  <si>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</si>
  <si>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</si>
  <si>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</si>
  <si>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</si>
  <si>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</si>
  <si>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</si>
  <si>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</si>
  <si>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</si>
  <si>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</si>
  <si>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</si>
  <si>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</si>
  <si>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</si>
  <si>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</si>
  <si>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</si>
  <si>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</si>
  <si>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</si>
  <si>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</si>
  <si>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</si>
  <si>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</si>
  <si>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</si>
  <si>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</si>
  <si>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</si>
  <si>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</si>
  <si>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</si>
  <si>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</si>
  <si>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</si>
  <si>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</si>
  <si>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</si>
  <si>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</si>
  <si>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</si>
  <si>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</si>
  <si>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</si>
  <si>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</si>
  <si>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</si>
  <si>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</si>
  <si>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</si>
  <si>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</si>
  <si>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</si>
  <si>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</si>
  <si>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</si>
  <si>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</si>
  <si>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</si>
  <si>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</si>
  <si>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</si>
  <si>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</si>
  <si>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</si>
  <si>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</si>
  <si>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</si>
  <si>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</si>
  <si>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</si>
  <si>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</si>
  <si>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</si>
  <si>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</si>
  <si>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</si>
  <si>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</si>
  <si>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</si>
  <si>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</si>
  <si>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</si>
  <si>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</si>
  <si>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</si>
  <si>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</si>
  <si>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</si>
  <si>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</si>
  <si>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</si>
  <si>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</si>
  <si>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</si>
  <si>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</si>
  <si>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</si>
  <si>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</si>
  <si>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</si>
  <si>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</si>
  <si>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</si>
  <si>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</si>
  <si>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</si>
  <si>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</si>
  <si>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Lupe Figueroa Orrego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</si>
</sst>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/>
      <c r="D4" s="84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28" sqref="M28"/>
    </sheetView>
  </sheetViews>
  <sheetFormatPr baseColWidth="10" defaultColWidth="11.42578125" defaultRowHeight="15" x14ac:dyDescent="0.25"/>
  <cols>
    <col min="1" max="14" width="11.5703125" customWidth="1"/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-3</v>
      </c>
      <c r="AR7" s="34">
        <f>SUMIF($K$7:$K$12,AO7,$L$7:$L$12) + SUMIF($N$7:$N$12,AO7,$M$7:$M$12)</f>
        <v>2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-9970200</v>
      </c>
      <c r="BA7" s="34">
        <f>AZ7-AY7*10</f>
        <v>-9970210</v>
      </c>
      <c r="BB7" s="34">
        <f>BA7+N23</f>
        <v>-9970208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4</v>
      </c>
      <c r="F8" s="9">
        <f t="shared" si="3"/>
        <v>2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-70020409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2</v>
      </c>
      <c r="M9" s="22">
        <v>2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-40000500</v>
      </c>
      <c r="BA9" s="34">
        <f t="shared" si="10"/>
        <v>-40000510</v>
      </c>
      <c r="BB9" s="34">
        <f>BA9+N25</f>
        <v>-40000506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5</v>
      </c>
      <c r="F10" s="50">
        <f t="shared" si="3"/>
        <v>5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-40010400</v>
      </c>
      <c r="BA10" s="34">
        <f t="shared" si="10"/>
        <v>-40010410</v>
      </c>
      <c r="BB10" s="34">
        <f>BA10+N26</f>
        <v>-40010407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2</v>
      </c>
      <c r="F11" s="54">
        <f t="shared" si="3"/>
        <v>5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2</v>
      </c>
      <c r="N23" s="35">
        <f>IF(J23="",0,M23)</f>
        <v>2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4</v>
      </c>
      <c r="N25" s="35">
        <f>IF(J25="",0,M25)</f>
        <v>4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29" sqref="M29"/>
    </sheetView>
  </sheetViews>
  <sheetFormatPr baseColWidth="10" defaultColWidth="11.42578125" defaultRowHeight="15" x14ac:dyDescent="0.25"/>
  <cols>
    <col min="1" max="14" width="11.570312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Inglaterra</v>
      </c>
      <c r="AW7" s="34" t="str">
        <f>IF(AZ7=AZ8,AV8,IF(AZ7=AZ9,AV9,IF(AZ7=AZ10,AV10,"")))</f>
        <v>Gales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-50020600</v>
      </c>
      <c r="BA7" s="34">
        <f>AZ7-AY7*10</f>
        <v>-50020600</v>
      </c>
      <c r="BB7" s="34">
        <f>BA7+N23</f>
        <v>-50020599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5</v>
      </c>
      <c r="E8" s="9">
        <f t="shared" si="0"/>
        <v>6</v>
      </c>
      <c r="F8" s="9">
        <f t="shared" si="0"/>
        <v>4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-30000500</v>
      </c>
      <c r="BA8" s="34">
        <f t="shared" ref="BA8:BA10" si="10">AZ8-AY8*10</f>
        <v>-30000510</v>
      </c>
      <c r="BB8" s="34">
        <f>BA8+N24</f>
        <v>-30000508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3</v>
      </c>
      <c r="M9" s="22">
        <v>1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-9960300</v>
      </c>
      <c r="BA9" s="34">
        <f t="shared" si="10"/>
        <v>-9960310</v>
      </c>
      <c r="BB9" s="34">
        <f>BA9+N25</f>
        <v>-9960306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2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2</v>
      </c>
      <c r="AR10" s="34">
        <f>SUMIF($K$7:$K$12,AO10,$L$7:$L$12) + SUMIF($N$7:$N$12,AO10,$M$7:$M$12)</f>
        <v>6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>Inglaterra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-50020600</v>
      </c>
      <c r="BA10" s="34">
        <f t="shared" si="10"/>
        <v>-50020600</v>
      </c>
      <c r="BB10" s="34">
        <f>BA10+N26</f>
        <v>-50020597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13" sqref="M13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1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1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-29990300</v>
      </c>
      <c r="BA8" s="34">
        <f t="shared" ref="BA8:BA10" si="10">AZ8-AY8*10</f>
        <v>-29990310</v>
      </c>
      <c r="BB8" s="34">
        <f>BA8+N24</f>
        <v>-29990308</v>
      </c>
    </row>
    <row r="9" spans="2:54" x14ac:dyDescent="0.25">
      <c r="B9" s="11">
        <v>2</v>
      </c>
      <c r="C9" s="12" t="str">
        <f t="shared" si="0"/>
        <v>Arabia Saudita</v>
      </c>
      <c r="D9" s="13">
        <f t="shared" si="0"/>
        <v>4</v>
      </c>
      <c r="E9" s="13">
        <f t="shared" si="0"/>
        <v>5</v>
      </c>
      <c r="F9" s="13">
        <f t="shared" si="0"/>
        <v>6</v>
      </c>
      <c r="G9" s="14">
        <f t="shared" si="0"/>
        <v>-1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2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37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4</v>
      </c>
      <c r="AS9" s="34">
        <f t="shared" si="6"/>
        <v>7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-9970400</v>
      </c>
      <c r="BA9" s="34">
        <f t="shared" si="10"/>
        <v>-9970410</v>
      </c>
      <c r="BB9" s="34">
        <f>BA9+N25</f>
        <v>-9970407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0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2</v>
      </c>
      <c r="AO10" s="34" t="s">
        <v>38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5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-39990500</v>
      </c>
      <c r="BA10" s="34">
        <f t="shared" si="10"/>
        <v>-39990510</v>
      </c>
      <c r="BB10" s="34">
        <f>BA10+N26</f>
        <v>-39990506</v>
      </c>
    </row>
    <row r="11" spans="2:54" ht="15.75" thickBot="1" x14ac:dyDescent="0.3">
      <c r="B11" s="52">
        <v>4</v>
      </c>
      <c r="C11" s="53" t="str">
        <f t="shared" si="0"/>
        <v>Polonia</v>
      </c>
      <c r="D11" s="54">
        <f t="shared" si="0"/>
        <v>1</v>
      </c>
      <c r="E11" s="54">
        <f t="shared" si="0"/>
        <v>4</v>
      </c>
      <c r="F11" s="54">
        <f t="shared" si="0"/>
        <v>7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3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2</v>
      </c>
      <c r="M12" s="33">
        <v>1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3</v>
      </c>
      <c r="AK12" s="34">
        <f t="shared" si="3"/>
        <v>0</v>
      </c>
      <c r="AL12" s="34" t="str">
        <f t="shared" si="4"/>
        <v>Arabia Saudita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3" sqref="M13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1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4</v>
      </c>
      <c r="AO8" s="34" t="s">
        <v>41</v>
      </c>
      <c r="AP8" s="34">
        <f>SUMIF($K$7:$K$12,AO8,$AJ$7:$AJ$12) + SUMIF($N$7:$N$12,AO8,$AK$7:$AK$12)</f>
        <v>1</v>
      </c>
      <c r="AQ8" s="34">
        <f>AR8-AS8</f>
        <v>-2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-9980300</v>
      </c>
      <c r="BA8" s="34">
        <f t="shared" ref="BA8:BA10" si="10">AZ8-AY8*10</f>
        <v>-9980310</v>
      </c>
      <c r="BB8" s="34">
        <f>BA8+N24</f>
        <v>-9980308</v>
      </c>
    </row>
    <row r="9" spans="2:54" x14ac:dyDescent="0.25">
      <c r="B9" s="11">
        <v>2</v>
      </c>
      <c r="C9" s="12" t="str">
        <f t="shared" si="0"/>
        <v>Tunez</v>
      </c>
      <c r="D9" s="13">
        <f t="shared" si="0"/>
        <v>4</v>
      </c>
      <c r="E9" s="13">
        <f t="shared" si="0"/>
        <v>3</v>
      </c>
      <c r="F9" s="13">
        <f t="shared" si="0"/>
        <v>5</v>
      </c>
      <c r="G9" s="14">
        <f t="shared" si="0"/>
        <v>-2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2</v>
      </c>
      <c r="AO9" s="34" t="s">
        <v>42</v>
      </c>
      <c r="AP9" s="34">
        <f>SUMIF($K$7:$K$12,AO9,$AJ$7:$AJ$12) + SUMIF($N$7:$N$12,AO9,$AK$7:$AK$12)</f>
        <v>4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-39980300</v>
      </c>
      <c r="BA9" s="34">
        <f t="shared" si="10"/>
        <v>-39980310</v>
      </c>
      <c r="BB9" s="34">
        <f>BA9+N25</f>
        <v>-39980307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-29990400</v>
      </c>
      <c r="BA10" s="34">
        <f t="shared" si="10"/>
        <v>-29990410</v>
      </c>
      <c r="BB10" s="34">
        <f>BA10+N26</f>
        <v>-29990406</v>
      </c>
    </row>
    <row r="11" spans="2:54" ht="15.75" thickBot="1" x14ac:dyDescent="0.3">
      <c r="B11" s="52">
        <v>4</v>
      </c>
      <c r="C11" s="53" t="str">
        <f t="shared" si="0"/>
        <v>Dinamarca</v>
      </c>
      <c r="D11" s="54">
        <f t="shared" si="0"/>
        <v>1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2</v>
      </c>
      <c r="M12" s="33">
        <v>1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3</v>
      </c>
      <c r="AK12" s="34">
        <f t="shared" si="3"/>
        <v>0</v>
      </c>
      <c r="AL12" s="34" t="str">
        <f t="shared" si="4"/>
        <v>Australia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13" sqref="M13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4</v>
      </c>
      <c r="AQ7" s="34">
        <f>AR7-AS7</f>
        <v>1</v>
      </c>
      <c r="AR7" s="34">
        <f>SUMIF($K$7:$K$12,AO7,$L$7:$L$12) + SUMIF($N$7:$N$12,AO7,$M$7:$M$12)</f>
        <v>6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-40010600</v>
      </c>
      <c r="BA7" s="34">
        <f>AZ7-AY7*10</f>
        <v>-40010610</v>
      </c>
      <c r="BB7" s="34">
        <f>BA7+N23</f>
        <v>-40010609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3</v>
      </c>
      <c r="M8" s="22">
        <v>1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-90030700</v>
      </c>
      <c r="BA8" s="34">
        <f t="shared" ref="BA8:BA10" si="10">AZ8-AY8*10</f>
        <v>-90030710</v>
      </c>
      <c r="BB8" s="34">
        <f>BA8+N24</f>
        <v>-90030708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4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1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3" sqref="M23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1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>Marruecos</v>
      </c>
      <c r="AX7" s="34" t="str">
        <f>IF(AW7="","",IFERROR(VLOOKUP(CONCATENATE(AV7,"_",AW7),$AI$7:$AL$16,4,FALSE),VLOOKUP(CONCATENATE(AW7,"_",AV7),$AI$7:$AL$16,4,FALSE)))</f>
        <v>Belgica</v>
      </c>
      <c r="AY7" s="34">
        <f>IF(AX7="",1,IF(AX7=AV7,1,0))</f>
        <v>1</v>
      </c>
      <c r="AZ7" s="34">
        <f>-AP7*10000000 - AQ7*10000 - AR7*100</f>
        <v>-60010400</v>
      </c>
      <c r="BA7" s="34">
        <f>AZ7-AY7*10</f>
        <v>-60010410</v>
      </c>
      <c r="BB7" s="34">
        <f>BA7+N23</f>
        <v>-60010409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6</v>
      </c>
      <c r="E8" s="9">
        <f t="shared" si="0"/>
        <v>6</v>
      </c>
      <c r="F8" s="9">
        <f t="shared" si="0"/>
        <v>4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-60020608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0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>Belgica</v>
      </c>
      <c r="AX9" s="34" t="str">
        <f>IF(AW9="","",IFERROR(VLOOKUP(CONCATENATE(AV9,"_",AW9),$AI$7:$AL$16,4,FALSE),VLOOKUP(CONCATENATE(AW9,"_",AV9),$AI$7:$AL$16,4,FALSE)))</f>
        <v>Belgica</v>
      </c>
      <c r="AY9" s="34">
        <f t="shared" si="8"/>
        <v>0</v>
      </c>
      <c r="AZ9" s="34">
        <f t="shared" si="9"/>
        <v>-60010400</v>
      </c>
      <c r="BA9" s="34">
        <f t="shared" si="10"/>
        <v>-60010400</v>
      </c>
      <c r="BB9" s="34">
        <f>BA9+N25</f>
        <v>-60010397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6</v>
      </c>
      <c r="E10" s="50">
        <f t="shared" si="0"/>
        <v>4</v>
      </c>
      <c r="F10" s="50">
        <f t="shared" si="0"/>
        <v>3</v>
      </c>
      <c r="G10" s="51">
        <f t="shared" si="0"/>
        <v>1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3</v>
      </c>
      <c r="AS10" s="34">
        <f>SUMIF($K$7:$K$12,AO10,$M$7:$M$12) + SUMIF($N$7:$N$12,AO10,$L$7:$L$12)</f>
        <v>7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39700</v>
      </c>
      <c r="BA10" s="34">
        <f t="shared" si="10"/>
        <v>39690</v>
      </c>
      <c r="BB10" s="34">
        <f>BA10+N26</f>
        <v>39694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1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3</v>
      </c>
      <c r="AK11" s="34">
        <f t="shared" si="3"/>
        <v>0</v>
      </c>
      <c r="AL11" s="34" t="str">
        <f t="shared" si="4"/>
        <v>Croacia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17" sqref="M17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3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9</v>
      </c>
      <c r="AS7" s="34">
        <f>SUMIF($K$7:$K$12,AO7,$M$7:$M$12) + SUMIF($N$7:$N$12,AO7,$L$7:$L$12)</f>
        <v>4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-90050900</v>
      </c>
      <c r="BA7" s="34">
        <f>AZ7-AY7*10</f>
        <v>-90050910</v>
      </c>
      <c r="BB7" s="34">
        <f>BA7+N23</f>
        <v>-90050909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4</v>
      </c>
      <c r="G8" s="10">
        <f t="shared" si="0"/>
        <v>5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-29980500</v>
      </c>
      <c r="BA8" s="34">
        <f t="shared" ref="BA8:BA10" si="10">AZ8-AY8*10</f>
        <v>-29980510</v>
      </c>
      <c r="BB8" s="34">
        <f>BA8+N24</f>
        <v>-29980508</v>
      </c>
    </row>
    <row r="9" spans="2:54" x14ac:dyDescent="0.25">
      <c r="B9" s="11">
        <v>2</v>
      </c>
      <c r="C9" s="12" t="str">
        <f t="shared" si="0"/>
        <v>Camerun</v>
      </c>
      <c r="D9" s="13">
        <f t="shared" si="0"/>
        <v>6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39700</v>
      </c>
      <c r="BA9" s="34">
        <f t="shared" si="10"/>
        <v>39690</v>
      </c>
      <c r="BB9" s="34">
        <f>BA9+N25</f>
        <v>39693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5</v>
      </c>
      <c r="F10" s="50">
        <f t="shared" si="0"/>
        <v>7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2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6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-60010600</v>
      </c>
      <c r="BA10" s="34">
        <f t="shared" si="10"/>
        <v>-60010610</v>
      </c>
      <c r="BB10" s="34">
        <f>BA10+N26</f>
        <v>-60010606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2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A10" workbookViewId="0">
      <selection activeCell="L14" sqref="L14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2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4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-40000400</v>
      </c>
      <c r="BA7" s="34">
        <f>AZ7-AY7*10</f>
        <v>-40000410</v>
      </c>
      <c r="BB7" s="34">
        <f>BA7+N23</f>
        <v>-40000409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8</v>
      </c>
      <c r="F8" s="9">
        <f t="shared" si="0"/>
        <v>5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-90030800</v>
      </c>
      <c r="BA8" s="34">
        <f t="shared" ref="BA8:BA10" si="10">AZ8-AY8*10</f>
        <v>-90030810</v>
      </c>
      <c r="BB8" s="34">
        <f>BA8+N24</f>
        <v>-90030808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2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5</v>
      </c>
      <c r="AS9" s="34">
        <f t="shared" si="6"/>
        <v>6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-19990500</v>
      </c>
      <c r="BA9" s="34">
        <f t="shared" si="10"/>
        <v>-19990510</v>
      </c>
      <c r="BB9" s="34">
        <f>BA9+N25</f>
        <v>-19990507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2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5</v>
      </c>
      <c r="AS10" s="34">
        <f>SUMIF($K$7:$K$12,AO10,$M$7:$M$12) + SUMIF($N$7:$N$12,AO10,$L$7:$L$12)</f>
        <v>7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-9980500</v>
      </c>
      <c r="BA10" s="34">
        <f t="shared" si="10"/>
        <v>-9980510</v>
      </c>
      <c r="BB10" s="34">
        <f>BA10+N26</f>
        <v>-9980506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5</v>
      </c>
      <c r="F11" s="54">
        <f t="shared" si="0"/>
        <v>7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3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1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opLeftCell="B1" workbookViewId="0">
      <selection activeCell="T29" sqref="T28:T29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Tunez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2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1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3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3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Inglaterra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Alemania</v>
      </c>
    </row>
    <row r="27" spans="2:23" ht="15.75" thickBot="1" x14ac:dyDescent="0.3">
      <c r="B27" s="62" t="str">
        <f>'GRUPO C'!C9</f>
        <v>Arabia Saudita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España</v>
      </c>
      <c r="M29" s="63">
        <v>1</v>
      </c>
      <c r="N29" s="64"/>
      <c r="Q29" s="59" t="str">
        <f>IF(Q20=L12,L13,IF(Q20=L13,L12,""))</f>
        <v>Alemania</v>
      </c>
      <c r="R29" s="60">
        <v>1</v>
      </c>
      <c r="S29" s="61"/>
    </row>
    <row r="30" spans="2:23" ht="15.75" thickBot="1" x14ac:dyDescent="0.3">
      <c r="B30" s="59" t="str">
        <f>'GRUPO F'!C8</f>
        <v>Croacia</v>
      </c>
      <c r="C30" s="60">
        <v>1</v>
      </c>
      <c r="D30" s="61"/>
      <c r="J30" s="66"/>
      <c r="Q30" s="62" t="str">
        <f>IF(Q21=L28,L29,IF(Q21=L29,L28,""))</f>
        <v>España</v>
      </c>
      <c r="R30" s="63">
        <v>0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5">
      <c r="B34" s="59" t="str">
        <f>'GRUPO H'!C8</f>
        <v>Uruguay</v>
      </c>
      <c r="C34" s="60">
        <v>2</v>
      </c>
      <c r="D34" s="61"/>
      <c r="E34" s="69"/>
    </row>
    <row r="35" spans="2:9" ht="15.75" thickBot="1" x14ac:dyDescent="0.3">
      <c r="B35" s="62" t="str">
        <f>'GRUPO G'!C9</f>
        <v>Camerun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2022-11-20T14:33:33Z</dcterms:modified>
</cp:coreProperties>
</file>