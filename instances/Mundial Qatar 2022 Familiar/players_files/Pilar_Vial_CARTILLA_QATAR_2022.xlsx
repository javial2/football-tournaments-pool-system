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35916110c429/Escritorio/"/>
    </mc:Choice>
  </mc:AlternateContent>
  <xr:revisionPtr revIDLastSave="0" documentId="8_{6D7780C0-F8FF-478C-95F0-BCDB6EC2531A}" xr6:coauthVersionLast="47" xr6:coauthVersionMax="47" xr10:uidLastSave="{00000000-0000-0000-0000-000000000000}"/>
  <bookViews>
    <workbookView xWindow="-110" yWindow="-110" windowWidth="19420" windowHeight="1030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K12" i="14"/>
  <c r="AP9" i="14" s="1"/>
  <c r="AQ10" i="13"/>
  <c r="AQ8" i="13"/>
  <c r="AQ7" i="13"/>
  <c r="AQ9" i="13"/>
  <c r="AL8" i="13"/>
  <c r="AK10" i="13"/>
  <c r="AL10" i="13" s="1"/>
  <c r="AK7" i="13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7" i="14"/>
  <c r="AZ7" i="14" s="1"/>
  <c r="AP8" i="14"/>
  <c r="AZ8" i="14" s="1"/>
  <c r="AP9" i="13"/>
  <c r="AZ9" i="13" s="1"/>
  <c r="AP10" i="13"/>
  <c r="AZ10" i="13" s="1"/>
  <c r="AZ8" i="13"/>
  <c r="AZ10" i="12"/>
  <c r="AP8" i="12"/>
  <c r="AZ8" i="12" s="1"/>
  <c r="AZ9" i="12"/>
  <c r="AZ7" i="12"/>
  <c r="AZ10" i="11"/>
  <c r="AP9" i="11"/>
  <c r="AZ9" i="11" s="1"/>
  <c r="AZ8" i="11"/>
  <c r="AZ8" i="10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G8" i="11"/>
  <c r="F10" i="11"/>
  <c r="G10" i="11"/>
  <c r="E10" i="11"/>
  <c r="E8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<sst xmlns="http://schemas.openxmlformats.org/spreadsheetml/2006/main" count="454" uniqueCount="79">
  <si>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</si>
  <si>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</si>
  <si>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</si>
  <si>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</si>
  <si>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</si>
  <si>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</si>
  <si>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</si>
  <si>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</si>
  <si>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</si>
  <si>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</si>
  <si>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</si>
  <si>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</si>
  <si>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</si>
  <si>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</si>
  <si>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</si>
  <si>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</si>
  <si>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</si>
  <si>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</si>
  <si>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</si>
  <si>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</si>
  <si>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</si>
  <si>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</si>
  <si>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</si>
  <si>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</si>
  <si>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</si>
  <si>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</si>
  <si>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</si>
  <si>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</si>
  <si>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</si>
  <si>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</si>
  <si>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</si>
  <si>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</si>
  <si>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</si>
  <si>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</si>
  <si>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</si>
  <si>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</si>
  <si>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</si>
  <si>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</si>
  <si>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</si>
  <si>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</si>
  <si>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</si>
  <si>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</si>
  <si>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</si>
  <si>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</si>
  <si>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</si>
  <si>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</si>
  <si>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</si>
  <si>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</si>
  <si>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</si>
  <si>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</si>
  <si>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</si>
  <si>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</si>
  <si>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</si>
  <si>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</si>
  <si>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</si>
  <si>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</si>
  <si>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</si>
  <si>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</si>
  <si>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</si>
  <si>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</si>
  <si>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</si>
  <si>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</si>
  <si>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</si>
  <si>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</si>
  <si>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</si>
  <si>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</si>
  <si>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</si>
  <si>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</si>
  <si>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</si>
  <si>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</si>
  <si>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</si>
  <si>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</si>
  <si>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</si>
  <si>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</si>
  <si>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</si>
  <si>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</si>
  <si>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</si>
  <si>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 xml:space="preserve">Pili Vial </t>
  </si>
  <si>
    <t>pilitavial@gmail.com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</si>
</sst>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litavia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E11" sqref="E11"/>
    </sheetView>
  </sheetViews>
  <sheetFormatPr baseColWidth="10" defaultRowHeight="14.5" x14ac:dyDescent="0.35"/>
  <sheetData>
    <row r="1" spans="2:4" ht="15" thickBot="1" x14ac:dyDescent="0.4"/>
    <row r="2" spans="2:4" ht="15" thickBot="1" x14ac:dyDescent="0.4">
      <c r="B2" s="83" t="s">
        <v>74</v>
      </c>
      <c r="C2" s="84"/>
      <c r="D2" s="85"/>
    </row>
    <row r="3" spans="2:4" x14ac:dyDescent="0.35">
      <c r="B3" s="76" t="s">
        <v>75</v>
      </c>
      <c r="C3" s="86" t="s">
        <v>77</v>
      </c>
      <c r="D3" s="87"/>
    </row>
    <row r="4" spans="2:4" ht="15" thickBot="1" x14ac:dyDescent="0.4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55E258A0-69C5-4559-BD24-779EB932CA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C1" workbookViewId="0">
      <selection activeCell="M17" sqref="M17"/>
    </sheetView>
  </sheetViews>
  <sheetFormatPr baseColWidth="10" defaultColWidth="11.453125" defaultRowHeight="14.5" x14ac:dyDescent="0.35"/>
  <cols>
    <col min="1" max="14" width="10.90625" customWidth="1"/>
    <col min="15" max="34" width="11.453125" style="8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-4</v>
      </c>
      <c r="AR7" s="34">
        <f>SUMIF($K$7:$K$12,AO7,$L$7:$L$12) + SUMIF($N$7:$N$12,AO7,$M$7:$M$12)</f>
        <v>1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39900</v>
      </c>
      <c r="BA7" s="34">
        <f>AZ7-AY7*10</f>
        <v>39890</v>
      </c>
      <c r="BB7" s="34">
        <f>BA7+N23</f>
        <v>39891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5</v>
      </c>
      <c r="F8" s="9">
        <f t="shared" si="3"/>
        <v>1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-90040500</v>
      </c>
      <c r="BA8" s="34">
        <f t="shared" ref="BA8:BA10" si="10">AZ8-AY8*10</f>
        <v>-90040510</v>
      </c>
      <c r="BB8" s="34">
        <f>BA8+N24</f>
        <v>-90040508</v>
      </c>
    </row>
    <row r="9" spans="2:54" x14ac:dyDescent="0.35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1</v>
      </c>
      <c r="AS9" s="34">
        <f t="shared" si="6"/>
        <v>2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-29990100</v>
      </c>
      <c r="BA9" s="34">
        <f t="shared" si="10"/>
        <v>-29990110</v>
      </c>
      <c r="BB9" s="34">
        <f>BA9+N25</f>
        <v>-29990107</v>
      </c>
    </row>
    <row r="10" spans="2:54" x14ac:dyDescent="0.3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1</v>
      </c>
      <c r="F10" s="50">
        <f t="shared" si="3"/>
        <v>2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-60010400</v>
      </c>
      <c r="BA10" s="34">
        <f t="shared" si="10"/>
        <v>-60010410</v>
      </c>
      <c r="BB10" s="34">
        <f>BA10+N26</f>
        <v>-60010406</v>
      </c>
    </row>
    <row r="11" spans="2:54" ht="15" thickBot="1" x14ac:dyDescent="0.4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0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2" sqref="M12"/>
    </sheetView>
  </sheetViews>
  <sheetFormatPr baseColWidth="10" defaultColWidth="11.453125" defaultRowHeight="14.5" x14ac:dyDescent="0.35"/>
  <cols>
    <col min="1" max="14" width="10.90625" customWidth="1"/>
    <col min="15" max="34" width="11.453125" style="78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29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35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39893</v>
      </c>
    </row>
    <row r="10" spans="2:54" x14ac:dyDescent="0.3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-50010400</v>
      </c>
      <c r="BA10" s="34">
        <f t="shared" si="10"/>
        <v>-50010410</v>
      </c>
      <c r="BB10" s="34">
        <f>BA10+N26</f>
        <v>-50010406</v>
      </c>
    </row>
    <row r="11" spans="2:54" ht="15" thickBot="1" x14ac:dyDescent="0.4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B1" workbookViewId="0">
      <selection activeCell="J19" sqref="J19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34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-29990300</v>
      </c>
      <c r="BA8" s="34">
        <f t="shared" ref="BA8:BA10" si="10">AZ8-AY8*10</f>
        <v>-29990310</v>
      </c>
      <c r="BB8" s="34">
        <f>BA8+N24</f>
        <v>-29990308</v>
      </c>
    </row>
    <row r="9" spans="2:54" x14ac:dyDescent="0.3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-60010500</v>
      </c>
      <c r="BA9" s="34">
        <f t="shared" si="10"/>
        <v>-60010510</v>
      </c>
      <c r="BB9" s="34">
        <f>BA9+N25</f>
        <v>-60010507</v>
      </c>
    </row>
    <row r="10" spans="2:54" x14ac:dyDescent="0.3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B1" workbookViewId="0">
      <selection activeCell="H16" sqref="H16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35">
      <c r="B9" s="11">
        <v>2</v>
      </c>
      <c r="C9" s="12" t="str">
        <f t="shared" si="0"/>
        <v>Dinamarca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-9960200</v>
      </c>
      <c r="BA9" s="34">
        <f t="shared" si="10"/>
        <v>-9960210</v>
      </c>
      <c r="BB9" s="34">
        <f>BA9+N25</f>
        <v>-9960207</v>
      </c>
    </row>
    <row r="10" spans="2:54" x14ac:dyDescent="0.3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-29990400</v>
      </c>
      <c r="BA10" s="34">
        <f t="shared" si="10"/>
        <v>-29990410</v>
      </c>
      <c r="BB10" s="34">
        <f>BA10+N26</f>
        <v>-29990406</v>
      </c>
    </row>
    <row r="11" spans="2:54" ht="15" thickBot="1" x14ac:dyDescent="0.4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B1" workbookViewId="0">
      <selection activeCell="K19" sqref="K19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-90030700</v>
      </c>
      <c r="BA7" s="34">
        <f>AZ7-AY7*10</f>
        <v>-90030710</v>
      </c>
      <c r="BB7" s="34">
        <f>BA7+N23</f>
        <v>-90030709</v>
      </c>
    </row>
    <row r="8" spans="2:54" x14ac:dyDescent="0.35">
      <c r="B8" s="7">
        <v>1</v>
      </c>
      <c r="C8" s="8" t="str">
        <f t="shared" ref="C8:G11" si="0">IFERROR(VLOOKUP($B8,$AN$7:$AS$11,C$5,FALSE),"")</f>
        <v>España</v>
      </c>
      <c r="D8" s="9">
        <f t="shared" si="0"/>
        <v>9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-60030600</v>
      </c>
      <c r="BA8" s="34">
        <f t="shared" ref="BA8:BA10" si="10">AZ8-AY8*10</f>
        <v>-60030610</v>
      </c>
      <c r="BB8" s="34">
        <f>BA8+N24</f>
        <v>-60030608</v>
      </c>
    </row>
    <row r="9" spans="2:54" x14ac:dyDescent="0.3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>Costa Rica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-9970200</v>
      </c>
      <c r="BA9" s="34">
        <f t="shared" si="10"/>
        <v>-9970200</v>
      </c>
      <c r="BB9" s="34">
        <f>BA9+N25</f>
        <v>-9970197</v>
      </c>
    </row>
    <row r="10" spans="2:54" x14ac:dyDescent="0.35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3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>Japon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-9970200</v>
      </c>
      <c r="BA10" s="34">
        <f t="shared" si="10"/>
        <v>-9970200</v>
      </c>
      <c r="BB10" s="34">
        <f>BA10+N26</f>
        <v>-9970196</v>
      </c>
    </row>
    <row r="11" spans="2:54" ht="15" thickBot="1" x14ac:dyDescent="0.4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C2" workbookViewId="0">
      <selection activeCell="L17" sqref="L17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71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-70040700</v>
      </c>
      <c r="BA7" s="34">
        <f>AZ7-AY7*10</f>
        <v>-70040710</v>
      </c>
      <c r="BB7" s="34">
        <f>BA7+N23</f>
        <v>-70040709</v>
      </c>
    </row>
    <row r="8" spans="2:54" x14ac:dyDescent="0.3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3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-70030600</v>
      </c>
      <c r="BA8" s="34">
        <f t="shared" ref="BA8:BA10" si="10">AZ8-AY8*10</f>
        <v>-70030610</v>
      </c>
      <c r="BB8" s="34">
        <f>BA8+N24</f>
        <v>-70030608</v>
      </c>
    </row>
    <row r="9" spans="2:54" x14ac:dyDescent="0.3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49993</v>
      </c>
    </row>
    <row r="10" spans="2:54" x14ac:dyDescent="0.3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" thickBot="1" x14ac:dyDescent="0.4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D1" workbookViewId="0">
      <selection activeCell="N12" sqref="N12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72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-60010500</v>
      </c>
      <c r="BA8" s="34">
        <f t="shared" ref="BA8:BA10" si="10">AZ8-AY8*10</f>
        <v>-60010510</v>
      </c>
      <c r="BB8" s="34">
        <f>BA8+N24</f>
        <v>-60010508</v>
      </c>
    </row>
    <row r="9" spans="2:54" x14ac:dyDescent="0.35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39700</v>
      </c>
      <c r="BA9" s="34">
        <f t="shared" si="10"/>
        <v>39690</v>
      </c>
      <c r="BB9" s="34">
        <f>BA9+N25</f>
        <v>39693</v>
      </c>
    </row>
    <row r="10" spans="2:54" x14ac:dyDescent="0.35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" thickBot="1" x14ac:dyDescent="0.4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B1" workbookViewId="0">
      <selection activeCell="K16" sqref="K16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73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4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-60040800</v>
      </c>
      <c r="BA8" s="34">
        <f t="shared" ref="BA8:BA10" si="10">AZ8-AY8*10</f>
        <v>-60040810</v>
      </c>
      <c r="BB8" s="34">
        <f>BA8+N24</f>
        <v>-60040808</v>
      </c>
    </row>
    <row r="9" spans="2:54" x14ac:dyDescent="0.35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8</v>
      </c>
      <c r="F9" s="13">
        <f t="shared" si="0"/>
        <v>4</v>
      </c>
      <c r="G9" s="14">
        <f t="shared" si="0"/>
        <v>4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-29960100</v>
      </c>
      <c r="BA9" s="34">
        <f t="shared" si="10"/>
        <v>-29960110</v>
      </c>
      <c r="BB9" s="34">
        <f>BA9+N25</f>
        <v>-29960107</v>
      </c>
    </row>
    <row r="10" spans="2:54" x14ac:dyDescent="0.3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32</v>
      </c>
      <c r="J10" s="19">
        <v>44893</v>
      </c>
      <c r="K10" s="20" t="s">
        <v>57</v>
      </c>
      <c r="L10" s="21">
        <v>3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3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G17" zoomScale="113" workbookViewId="0">
      <selection activeCell="R31" sqref="R31"/>
    </sheetView>
  </sheetViews>
  <sheetFormatPr baseColWidth="10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</cols>
  <sheetData>
    <row r="1" spans="2:19" ht="15" thickBot="1" x14ac:dyDescent="0.4"/>
    <row r="2" spans="2:19" ht="15" thickBot="1" x14ac:dyDescent="0.4">
      <c r="B2" s="111" t="s">
        <v>69</v>
      </c>
      <c r="C2" s="112"/>
      <c r="D2" s="113"/>
    </row>
    <row r="3" spans="2:19" ht="15" thickBot="1" x14ac:dyDescent="0.4"/>
    <row r="4" spans="2:19" ht="15" thickBot="1" x14ac:dyDescent="0.4">
      <c r="G4" s="111" t="s">
        <v>59</v>
      </c>
      <c r="H4" s="112"/>
      <c r="I4" s="113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2</v>
      </c>
      <c r="D6" s="61"/>
    </row>
    <row r="7" spans="2:19" ht="15" thickBot="1" x14ac:dyDescent="0.4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" thickBot="1" x14ac:dyDescent="0.4">
      <c r="B10" s="59" t="str">
        <f>'GRUPO C'!C8</f>
        <v>Argentina</v>
      </c>
      <c r="C10" s="60">
        <v>3</v>
      </c>
      <c r="D10" s="61"/>
      <c r="E10" s="69"/>
      <c r="J10" s="66"/>
    </row>
    <row r="11" spans="2:19" ht="15" thickBot="1" x14ac:dyDescent="0.4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Argentina</v>
      </c>
      <c r="M12" s="60">
        <v>1</v>
      </c>
      <c r="N12" s="61">
        <v>3</v>
      </c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1</v>
      </c>
      <c r="O13" s="65"/>
    </row>
    <row r="14" spans="2:19" ht="15" thickBot="1" x14ac:dyDescent="0.4">
      <c r="B14" s="59" t="str">
        <f>'GRUPO E'!C8</f>
        <v>España</v>
      </c>
      <c r="C14" s="60">
        <v>1</v>
      </c>
      <c r="D14" s="61">
        <v>1</v>
      </c>
      <c r="J14" s="66"/>
      <c r="O14" s="66"/>
    </row>
    <row r="15" spans="2:19" ht="15" thickBot="1" x14ac:dyDescent="0.4">
      <c r="B15" s="62" t="str">
        <f>'GRUPO F'!C9</f>
        <v>Croacia</v>
      </c>
      <c r="C15" s="63">
        <v>1</v>
      </c>
      <c r="D15" s="64">
        <v>3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Croacia</v>
      </c>
      <c r="H16" s="60">
        <v>1</v>
      </c>
      <c r="I16" s="61">
        <v>2</v>
      </c>
      <c r="J16" s="69"/>
      <c r="O16" s="66"/>
      <c r="Q16" s="111" t="s">
        <v>63</v>
      </c>
      <c r="R16" s="112"/>
      <c r="S16" s="113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>
        <v>3</v>
      </c>
      <c r="O17" s="66"/>
    </row>
    <row r="18" spans="2:23" ht="15" thickBot="1" x14ac:dyDescent="0.4">
      <c r="B18" s="59" t="str">
        <f>'GRUPO G'!C8</f>
        <v>Brasil</v>
      </c>
      <c r="C18" s="60">
        <v>3</v>
      </c>
      <c r="D18" s="61"/>
      <c r="E18" s="69"/>
      <c r="O18" s="66"/>
    </row>
    <row r="19" spans="2:23" ht="15" thickBot="1" x14ac:dyDescent="0.4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Argentina</v>
      </c>
      <c r="R20" s="60">
        <v>0</v>
      </c>
      <c r="S20" s="61"/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Belgica</v>
      </c>
      <c r="R21" s="63">
        <v>1</v>
      </c>
      <c r="S21" s="64"/>
    </row>
    <row r="22" spans="2:23" ht="15" thickBot="1" x14ac:dyDescent="0.4">
      <c r="B22" s="59" t="str">
        <f>'GRUPO B'!C8</f>
        <v>Inglaterra</v>
      </c>
      <c r="C22" s="60">
        <v>2</v>
      </c>
      <c r="D22" s="61"/>
      <c r="O22" s="66"/>
    </row>
    <row r="23" spans="2:23" ht="15" thickBot="1" x14ac:dyDescent="0.4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Belgica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3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Argentina</v>
      </c>
    </row>
    <row r="26" spans="2:23" ht="15" thickBot="1" x14ac:dyDescent="0.4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" thickBot="1" x14ac:dyDescent="0.4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Francia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2</v>
      </c>
      <c r="N29" s="64"/>
      <c r="Q29" s="59" t="str">
        <f>IF(Q20=L12,L13,IF(Q20=L13,L12,""))</f>
        <v>Brasil</v>
      </c>
      <c r="R29" s="60">
        <v>2</v>
      </c>
      <c r="S29" s="61"/>
    </row>
    <row r="30" spans="2:23" ht="15" thickBot="1" x14ac:dyDescent="0.4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Francia</v>
      </c>
      <c r="R30" s="63">
        <v>1</v>
      </c>
      <c r="S30" s="64"/>
    </row>
    <row r="31" spans="2:23" ht="15" thickBot="1" x14ac:dyDescent="0.4">
      <c r="B31" s="62" t="str">
        <f>'GRUPO E'!C9</f>
        <v>Alemania</v>
      </c>
      <c r="C31" s="63">
        <v>0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Belgica</v>
      </c>
      <c r="H32" s="60">
        <v>2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35">
      <c r="B34" s="59" t="str">
        <f>'GRUPO H'!C8</f>
        <v>Portugal</v>
      </c>
      <c r="C34" s="60">
        <v>2</v>
      </c>
      <c r="D34" s="61"/>
      <c r="E34" s="69"/>
    </row>
    <row r="35" spans="2:9" ht="15" thickBot="1" x14ac:dyDescent="0.4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Pilar</cp:lastModifiedBy>
  <dcterms:created xsi:type="dcterms:W3CDTF">2022-11-02T00:22:23Z</dcterms:created>
  <dcterms:modified xsi:type="dcterms:W3CDTF">2022-11-16T23:02:12Z</dcterms:modified>
</cp:coreProperties>
</file>