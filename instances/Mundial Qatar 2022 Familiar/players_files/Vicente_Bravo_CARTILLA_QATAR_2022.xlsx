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entebravo/Downloads/"/>
    </mc:Choice>
  </mc:AlternateContent>
  <xr:revisionPtr revIDLastSave="0" documentId="13_ncr:1_{D367A083-80D1-1746-A655-55871189D531}" xr6:coauthVersionLast="47" xr6:coauthVersionMax="47" xr10:uidLastSave="{00000000-0000-0000-0000-000000000000}"/>
  <bookViews>
    <workbookView xWindow="9360" yWindow="50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Z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7" i="14"/>
  <c r="AZ7" i="14" s="1"/>
  <c r="AP10" i="13"/>
  <c r="AZ10" i="13" s="1"/>
  <c r="AZ8" i="13"/>
  <c r="AP9" i="13"/>
  <c r="AZ9" i="13" s="1"/>
  <c r="AZ10" i="12"/>
  <c r="AZ8" i="12"/>
  <c r="AP9" i="12"/>
  <c r="AZ9" i="12" s="1"/>
  <c r="AZ9" i="11"/>
  <c r="AZ10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W7" i="12"/>
  <c r="AX7" i="12" s="1"/>
  <c r="AY7" i="12" s="1"/>
  <c r="BA7" i="12" s="1"/>
  <c r="BB7" i="12" s="1"/>
  <c r="AW10" i="11"/>
  <c r="AX10" i="11" s="1"/>
  <c r="AY10" i="11" s="1"/>
  <c r="BA10" i="11" s="1"/>
  <c r="BB10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8" i="11"/>
  <c r="AX8" i="11" s="1"/>
  <c r="AY8" i="11" s="1"/>
  <c r="BA8" i="11" s="1"/>
  <c r="BB8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G8" i="11" s="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G8" i="12"/>
  <c r="D8" i="11"/>
  <c r="G11" i="11"/>
  <c r="F8" i="12"/>
  <c r="D8" i="12"/>
  <c r="F10" i="11"/>
  <c r="E8" i="11"/>
  <c r="G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<sst xmlns="http://schemas.openxmlformats.org/spreadsheetml/2006/main" count="454" uniqueCount="79">
  <si>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</si>
  <si>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</si>
  <si>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</si>
  <si>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</si>
  <si>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</si>
  <si>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</si>
  <si>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</si>
  <si>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</si>
  <si>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</si>
  <si>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</si>
  <si>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</si>
  <si>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</si>
  <si>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</si>
  <si>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</si>
  <si>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</si>
  <si>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</si>
  <si>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</si>
  <si>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</si>
  <si>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</si>
  <si>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</si>
  <si>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</si>
  <si>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</si>
  <si>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</si>
  <si>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</si>
  <si>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</si>
  <si>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</si>
  <si>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</si>
  <si>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</si>
  <si>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</si>
  <si>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</si>
  <si>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</si>
  <si>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</si>
  <si>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</si>
  <si>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</si>
  <si>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</si>
  <si>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</si>
  <si>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</si>
  <si>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</si>
  <si>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</si>
  <si>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</si>
  <si>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</si>
  <si>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</si>
  <si>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</si>
  <si>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</si>
  <si>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</si>
  <si>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</si>
  <si>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</si>
  <si>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</si>
  <si>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</si>
  <si>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</si>
  <si>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</si>
  <si>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</si>
  <si>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</si>
  <si>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</si>
  <si>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</si>
  <si>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</si>
  <si>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</si>
  <si>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</si>
  <si>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</si>
  <si>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</si>
  <si>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</si>
  <si>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</si>
  <si>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</si>
  <si>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</si>
  <si>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</si>
  <si>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</si>
  <si>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</si>
  <si>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</si>
  <si>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</si>
  <si>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</si>
  <si>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</si>
  <si>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</si>
  <si>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</si>
  <si>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</si>
  <si>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</si>
  <si>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</si>
  <si>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</si>
  <si>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Vicente Bravo</t>
  </si>
  <si>
    <t>vjbravot@gmail.com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</si>
</sst>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jbravot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22" sqref="E22"/>
    </sheetView>
  </sheetViews>
  <sheetFormatPr baseColWidth="10" defaultRowHeight="15" x14ac:dyDescent="0.2"/>
  <sheetData>
    <row r="1" spans="2:4" ht="16" thickBot="1" x14ac:dyDescent="0.25"/>
    <row r="2" spans="2:4" ht="16" thickBot="1" x14ac:dyDescent="0.25">
      <c r="B2" s="83" t="s">
        <v>74</v>
      </c>
      <c r="C2" s="84"/>
      <c r="D2" s="85"/>
    </row>
    <row r="3" spans="2:4" x14ac:dyDescent="0.2">
      <c r="B3" s="76" t="s">
        <v>75</v>
      </c>
      <c r="C3" s="86" t="s">
        <v>77</v>
      </c>
      <c r="D3" s="87"/>
    </row>
    <row r="4" spans="2:4" ht="16" thickBot="1" x14ac:dyDescent="0.25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B073EF8E-EFD3-2C48-AD54-360CBE2D79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K18" sqref="K18"/>
    </sheetView>
  </sheetViews>
  <sheetFormatPr baseColWidth="10" defaultColWidth="11.5" defaultRowHeight="15" x14ac:dyDescent="0.2"/>
  <cols>
    <col min="1" max="14" width="10.83203125" customWidth="1"/>
    <col min="15" max="34" width="11.5" style="8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1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39900</v>
      </c>
      <c r="BA7" s="34">
        <f>AZ7-AY7*10</f>
        <v>39890</v>
      </c>
      <c r="BB7" s="34">
        <f>BA7+N23</f>
        <v>39894</v>
      </c>
    </row>
    <row r="8" spans="2:54" x14ac:dyDescent="0.2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2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-90040609</v>
      </c>
    </row>
    <row r="9" spans="2:54" x14ac:dyDescent="0.2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5</v>
      </c>
      <c r="F9" s="13">
        <f t="shared" si="3"/>
        <v>4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3</v>
      </c>
      <c r="F10" s="50">
        <f t="shared" si="3"/>
        <v>4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-60010500</v>
      </c>
      <c r="BA10" s="34">
        <f t="shared" si="10"/>
        <v>-60010510</v>
      </c>
      <c r="BB10" s="34">
        <f>BA10+N26</f>
        <v>-60010508</v>
      </c>
    </row>
    <row r="11" spans="2:54" ht="16" thickBot="1" x14ac:dyDescent="0.25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6" thickBot="1" x14ac:dyDescent="0.25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14" ht="16" thickBot="1" x14ac:dyDescent="0.25"/>
    <row r="22" spans="2:1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2</v>
      </c>
      <c r="N26" s="35">
        <f>IF(J26="",0,M26)</f>
        <v>2</v>
      </c>
    </row>
    <row r="27" spans="2:1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I19" sqref="I19"/>
    </sheetView>
  </sheetViews>
  <sheetFormatPr baseColWidth="10" defaultColWidth="11.5" defaultRowHeight="15" x14ac:dyDescent="0.2"/>
  <cols>
    <col min="1" max="14" width="10.83203125" customWidth="1"/>
    <col min="15" max="34" width="11.5" style="78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29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1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-60010300</v>
      </c>
      <c r="BA8" s="34">
        <f t="shared" ref="BA8:BA10" si="10">AZ8-AY8*10</f>
        <v>-60010310</v>
      </c>
      <c r="BB8" s="34">
        <f>BA8+N24</f>
        <v>-60010308</v>
      </c>
    </row>
    <row r="9" spans="2:54" x14ac:dyDescent="0.2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-29980100</v>
      </c>
      <c r="BA9" s="34">
        <f t="shared" si="10"/>
        <v>-29980110</v>
      </c>
      <c r="BB9" s="34">
        <f>BA9+N25</f>
        <v>-29980107</v>
      </c>
    </row>
    <row r="10" spans="2:54" x14ac:dyDescent="0.2">
      <c r="B10" s="48">
        <v>3</v>
      </c>
      <c r="C10" s="49" t="str">
        <f t="shared" si="0"/>
        <v>Iran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6" thickBot="1" x14ac:dyDescent="0.25">
      <c r="B11" s="52">
        <v>4</v>
      </c>
      <c r="C11" s="53" t="str">
        <f t="shared" si="0"/>
        <v>Gales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6" thickBot="1" x14ac:dyDescent="0.25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J17" sqref="J1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34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0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7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-90060700</v>
      </c>
      <c r="BA7" s="34">
        <f>AZ7-AY7*10</f>
        <v>-90060710</v>
      </c>
      <c r="BB7" s="34">
        <f>BA7+N23</f>
        <v>-90060709</v>
      </c>
    </row>
    <row r="8" spans="2:54" x14ac:dyDescent="0.2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-40010300</v>
      </c>
      <c r="BA8" s="34">
        <f t="shared" ref="BA8:BA10" si="10">AZ8-AY8*10</f>
        <v>-40010310</v>
      </c>
      <c r="BB8" s="34">
        <f>BA8+N24</f>
        <v>-40010308</v>
      </c>
    </row>
    <row r="9" spans="2:54" x14ac:dyDescent="0.2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1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-39990100</v>
      </c>
      <c r="BA9" s="34">
        <f t="shared" si="10"/>
        <v>-39990110</v>
      </c>
      <c r="BB9" s="34">
        <f>BA9+N25</f>
        <v>-39990107</v>
      </c>
    </row>
    <row r="10" spans="2:54" x14ac:dyDescent="0.2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1</v>
      </c>
      <c r="F10" s="50">
        <f t="shared" si="0"/>
        <v>2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60000</v>
      </c>
      <c r="BA10" s="34">
        <f t="shared" si="10"/>
        <v>59990</v>
      </c>
      <c r="BB10" s="34">
        <f>BA10+N26</f>
        <v>59994</v>
      </c>
    </row>
    <row r="11" spans="2:54" ht="16" thickBot="1" x14ac:dyDescent="0.25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6" thickBot="1" x14ac:dyDescent="0.25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3" sqref="M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39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-60000200</v>
      </c>
      <c r="BA8" s="34">
        <f t="shared" ref="BA8:BA10" si="10">AZ8-AY8*10</f>
        <v>-60000210</v>
      </c>
      <c r="BB8" s="34">
        <f>BA8+N24</f>
        <v>-60000208</v>
      </c>
    </row>
    <row r="9" spans="2:54" x14ac:dyDescent="0.2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2</v>
      </c>
      <c r="F9" s="13">
        <f t="shared" si="0"/>
        <v>2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0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-9970000</v>
      </c>
      <c r="BA9" s="34">
        <f t="shared" si="10"/>
        <v>-9970010</v>
      </c>
      <c r="BB9" s="34">
        <f>BA9+N25</f>
        <v>-9970006</v>
      </c>
    </row>
    <row r="10" spans="2:54" x14ac:dyDescent="0.2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0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-9980107</v>
      </c>
    </row>
    <row r="11" spans="2:54" ht="16" thickBot="1" x14ac:dyDescent="0.25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0</v>
      </c>
      <c r="F11" s="54">
        <f t="shared" si="0"/>
        <v>3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6" thickBot="1" x14ac:dyDescent="0.25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70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-60000400</v>
      </c>
      <c r="BA7" s="34">
        <f>AZ7-AY7*10</f>
        <v>-60000410</v>
      </c>
      <c r="BB7" s="34">
        <f>BA7+N23</f>
        <v>-60000408</v>
      </c>
    </row>
    <row r="8" spans="2:54" x14ac:dyDescent="0.2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10</v>
      </c>
      <c r="F8" s="9">
        <f t="shared" si="0"/>
        <v>0</v>
      </c>
      <c r="G8" s="10">
        <f t="shared" si="0"/>
        <v>10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10</v>
      </c>
      <c r="AR8" s="34">
        <f t="shared" ref="AR8:AR9" si="5">SUMIF($K$7:$K$12,AO8,$L$7:$L$12) + SUMIF($N$7:$N$12,AO8,$M$7:$M$12)</f>
        <v>10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-90101000</v>
      </c>
      <c r="BA8" s="34">
        <f t="shared" ref="BA8:BA10" si="10">AZ8-AY8*10</f>
        <v>-90101010</v>
      </c>
      <c r="BB8" s="34">
        <f>BA8+N24</f>
        <v>-90101009</v>
      </c>
    </row>
    <row r="9" spans="2:54" x14ac:dyDescent="0.2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">
      <c r="B10" s="48">
        <v>3</v>
      </c>
      <c r="C10" s="49" t="str">
        <f t="shared" si="0"/>
        <v>Japon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-6</v>
      </c>
      <c r="AR10" s="34">
        <f>SUMIF($K$7:$K$12,AO10,$L$7:$L$12) + SUMIF($N$7:$N$12,AO10,$M$7:$M$12)</f>
        <v>0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-9940000</v>
      </c>
      <c r="BA10" s="34">
        <f t="shared" si="10"/>
        <v>-9940010</v>
      </c>
      <c r="BB10" s="34">
        <f>BA10+N26</f>
        <v>-9940006</v>
      </c>
    </row>
    <row r="11" spans="2:54" ht="16" thickBot="1" x14ac:dyDescent="0.25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0</v>
      </c>
      <c r="F11" s="54">
        <f t="shared" si="0"/>
        <v>6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6" thickBot="1" x14ac:dyDescent="0.25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4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K17" sqref="K17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71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-60020300</v>
      </c>
      <c r="BA7" s="34">
        <f>AZ7-AY7*10</f>
        <v>-60020310</v>
      </c>
      <c r="BB7" s="34">
        <f>BA7+N23</f>
        <v>-60020308</v>
      </c>
    </row>
    <row r="8" spans="2:54" x14ac:dyDescent="0.2">
      <c r="B8" s="7">
        <v>1</v>
      </c>
      <c r="C8" s="8" t="str">
        <f t="shared" ref="C8:G11" si="0">IFERROR(VLOOKUP($B8,$AN$7:$AS$11,C$5,FALSE),"")</f>
        <v>Croacia</v>
      </c>
      <c r="D8" s="9">
        <f t="shared" si="0"/>
        <v>9</v>
      </c>
      <c r="E8" s="9">
        <f t="shared" si="0"/>
        <v>4</v>
      </c>
      <c r="F8" s="9">
        <f t="shared" si="0"/>
        <v>0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1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-90040400</v>
      </c>
      <c r="BA8" s="34">
        <f t="shared" ref="BA8:BA10" si="10">AZ8-AY8*10</f>
        <v>-90040410</v>
      </c>
      <c r="BB8" s="34">
        <f>BA8+N24</f>
        <v>-90040409</v>
      </c>
    </row>
    <row r="9" spans="2:54" x14ac:dyDescent="0.2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0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>Canada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-9970000</v>
      </c>
      <c r="BA9" s="34">
        <f t="shared" si="10"/>
        <v>-9970000</v>
      </c>
      <c r="BB9" s="34">
        <f>BA9+N25</f>
        <v>-9969997</v>
      </c>
    </row>
    <row r="10" spans="2:54" x14ac:dyDescent="0.2">
      <c r="B10" s="48">
        <v>3</v>
      </c>
      <c r="C10" s="49" t="str">
        <f t="shared" si="0"/>
        <v>Marruecos</v>
      </c>
      <c r="D10" s="50">
        <f t="shared" si="0"/>
        <v>1</v>
      </c>
      <c r="E10" s="50">
        <f t="shared" si="0"/>
        <v>0</v>
      </c>
      <c r="F10" s="50">
        <f t="shared" si="0"/>
        <v>3</v>
      </c>
      <c r="G10" s="51">
        <f t="shared" si="0"/>
        <v>-3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0</v>
      </c>
      <c r="AS10" s="34">
        <f>SUMIF($K$7:$K$12,AO10,$M$7:$M$12) + SUMIF($N$7:$N$12,AO10,$L$7:$L$12)</f>
        <v>3</v>
      </c>
      <c r="AV10" s="34" t="str">
        <f t="shared" si="7"/>
        <v>Canada</v>
      </c>
      <c r="AW10" s="34" t="str">
        <f>IF(AZ10=AZ7,AV7,IF(AZ10=AZ8,AV8,IF(AZ10=AZ9,AV9,"")))</f>
        <v>Marruecos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-9970000</v>
      </c>
      <c r="BA10" s="34">
        <f t="shared" si="10"/>
        <v>-9970000</v>
      </c>
      <c r="BB10" s="34">
        <f>BA10+N26</f>
        <v>-9969996</v>
      </c>
    </row>
    <row r="11" spans="2:54" ht="16" thickBot="1" x14ac:dyDescent="0.25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0</v>
      </c>
      <c r="F11" s="54">
        <f t="shared" si="0"/>
        <v>3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0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6" thickBot="1" x14ac:dyDescent="0.25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8" sqref="M8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72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-90060800</v>
      </c>
      <c r="BA7" s="34">
        <f>AZ7-AY7*10</f>
        <v>-90060810</v>
      </c>
      <c r="BB7" s="34">
        <f>BA7+N23</f>
        <v>-90060809</v>
      </c>
    </row>
    <row r="8" spans="2:54" x14ac:dyDescent="0.2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2">
      <c r="B9" s="11">
        <v>2</v>
      </c>
      <c r="C9" s="12" t="str">
        <f t="shared" si="0"/>
        <v>Suiza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0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0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50000</v>
      </c>
      <c r="BA9" s="34">
        <f t="shared" si="10"/>
        <v>49990</v>
      </c>
      <c r="BB9" s="34">
        <f>BA9+N25</f>
        <v>49994</v>
      </c>
    </row>
    <row r="10" spans="2:54" x14ac:dyDescent="0.2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-29980307</v>
      </c>
    </row>
    <row r="11" spans="2:54" ht="16" thickBot="1" x14ac:dyDescent="0.25">
      <c r="B11" s="52">
        <v>4</v>
      </c>
      <c r="C11" s="53" t="str">
        <f t="shared" si="0"/>
        <v>Serbia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6" thickBot="1" x14ac:dyDescent="0.25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ColWidth="11.5" defaultRowHeight="15" x14ac:dyDescent="0.2"/>
  <cols>
    <col min="1" max="2" width="10.83203125" customWidth="1"/>
    <col min="3" max="3" width="13.6640625" bestFit="1" customWidth="1"/>
    <col min="4" max="10" width="10.83203125"/>
    <col min="11" max="11" width="13.6640625" bestFit="1" customWidth="1"/>
    <col min="12" max="13" width="10.83203125"/>
    <col min="14" max="14" width="13.6640625" bestFit="1" customWidth="1"/>
    <col min="15" max="34" width="13.6640625" style="78" customWidth="1"/>
    <col min="35" max="35" width="20" style="34" bestFit="1" customWidth="1"/>
    <col min="36" max="46" width="11.5" style="34"/>
    <col min="47" max="47" width="10.5" style="34" bestFit="1" customWidth="1"/>
    <col min="48" max="48" width="13.6640625" style="34" bestFit="1" customWidth="1"/>
    <col min="49" max="49" width="10.5" style="34" bestFit="1" customWidth="1"/>
    <col min="50" max="50" width="9.83203125" style="34" bestFit="1" customWidth="1"/>
    <col min="51" max="51" width="13" style="34" bestFit="1" customWidth="1"/>
    <col min="52" max="52" width="29.83203125" style="34" bestFit="1" customWidth="1"/>
    <col min="53" max="53" width="25.6640625" style="34" bestFit="1" customWidth="1"/>
    <col min="54" max="54" width="11.5" style="34"/>
    <col min="55" max="16384" width="11.5" style="35"/>
  </cols>
  <sheetData>
    <row r="2" spans="2:54" ht="16" thickBot="1" x14ac:dyDescent="0.25"/>
    <row r="3" spans="2:54" x14ac:dyDescent="0.2">
      <c r="B3" s="96" t="s">
        <v>73</v>
      </c>
      <c r="C3" s="97"/>
      <c r="D3" s="97"/>
      <c r="E3" s="97"/>
      <c r="F3" s="97"/>
      <c r="G3" s="98"/>
    </row>
    <row r="4" spans="2:54" ht="16" thickBot="1" x14ac:dyDescent="0.25">
      <c r="B4" s="99"/>
      <c r="C4" s="100"/>
      <c r="D4" s="100"/>
      <c r="E4" s="100"/>
      <c r="F4" s="100"/>
      <c r="G4" s="101"/>
    </row>
    <row r="5" spans="2:54" ht="16" thickBot="1" x14ac:dyDescent="0.25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6" thickBot="1" x14ac:dyDescent="0.25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6" thickBot="1" x14ac:dyDescent="0.25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-70020508</v>
      </c>
    </row>
    <row r="8" spans="2:54" x14ac:dyDescent="0.2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-70030509</v>
      </c>
    </row>
    <row r="9" spans="2:54" x14ac:dyDescent="0.2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0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-9970000</v>
      </c>
      <c r="BA9" s="34">
        <f t="shared" si="10"/>
        <v>-9970010</v>
      </c>
      <c r="BB9" s="34">
        <f>BA9+N25</f>
        <v>-9970006</v>
      </c>
    </row>
    <row r="10" spans="2:54" x14ac:dyDescent="0.2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-9980107</v>
      </c>
    </row>
    <row r="11" spans="2:54" ht="16" thickBot="1" x14ac:dyDescent="0.25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0</v>
      </c>
      <c r="F11" s="54">
        <f t="shared" si="0"/>
        <v>3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6" thickBot="1" x14ac:dyDescent="0.25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">
      <c r="AI13" s="2"/>
    </row>
    <row r="14" spans="2:54" x14ac:dyDescent="0.2">
      <c r="AI14" s="2"/>
    </row>
    <row r="15" spans="2:54" x14ac:dyDescent="0.2">
      <c r="AI15" s="2"/>
    </row>
    <row r="16" spans="2:54" x14ac:dyDescent="0.2">
      <c r="AI16" s="2"/>
    </row>
    <row r="21" spans="2:34" ht="16" thickBot="1" x14ac:dyDescent="0.25"/>
    <row r="22" spans="2:34" ht="16" thickBot="1" x14ac:dyDescent="0.25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6" thickBot="1" x14ac:dyDescent="0.25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6" thickBot="1" x14ac:dyDescent="0.25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2" workbookViewId="0">
      <selection activeCell="S29" sqref="S29"/>
    </sheetView>
  </sheetViews>
  <sheetFormatPr baseColWidth="10" defaultRowHeight="15" x14ac:dyDescent="0.2"/>
  <cols>
    <col min="3" max="3" width="11.33203125" bestFit="1" customWidth="1"/>
    <col min="4" max="4" width="9.1640625" bestFit="1" customWidth="1"/>
    <col min="9" max="9" width="9.1640625" bestFit="1" customWidth="1"/>
    <col min="14" max="14" width="9.1640625" bestFit="1" customWidth="1"/>
  </cols>
  <sheetData>
    <row r="1" spans="2:19" ht="16" thickBot="1" x14ac:dyDescent="0.25"/>
    <row r="2" spans="2:19" ht="16" thickBot="1" x14ac:dyDescent="0.25">
      <c r="B2" s="111" t="s">
        <v>69</v>
      </c>
      <c r="C2" s="112"/>
      <c r="D2" s="113"/>
    </row>
    <row r="3" spans="2:19" ht="16" thickBot="1" x14ac:dyDescent="0.25"/>
    <row r="4" spans="2:19" ht="16" thickBot="1" x14ac:dyDescent="0.25">
      <c r="G4" s="111" t="s">
        <v>59</v>
      </c>
      <c r="H4" s="112"/>
      <c r="I4" s="113"/>
    </row>
    <row r="5" spans="2:19" ht="16" thickBot="1" x14ac:dyDescent="0.25">
      <c r="B5" s="56">
        <v>49</v>
      </c>
      <c r="C5" s="57" t="s">
        <v>61</v>
      </c>
      <c r="D5" s="58" t="s">
        <v>62</v>
      </c>
    </row>
    <row r="6" spans="2:19" ht="16" thickBot="1" x14ac:dyDescent="0.25">
      <c r="B6" s="59" t="str">
        <f>'GRUPO A'!C8</f>
        <v>Holanda</v>
      </c>
      <c r="C6" s="60">
        <v>3</v>
      </c>
      <c r="D6" s="61"/>
    </row>
    <row r="7" spans="2:19" ht="16" thickBot="1" x14ac:dyDescent="0.25">
      <c r="B7" s="62" t="str">
        <f>'GRUPO B'!C9</f>
        <v>USA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6" thickBot="1" x14ac:dyDescent="0.25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6" thickBot="1" x14ac:dyDescent="0.25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6" thickBot="1" x14ac:dyDescent="0.25">
      <c r="B10" s="59" t="str">
        <f>'GRUPO C'!C8</f>
        <v>Argentina</v>
      </c>
      <c r="C10" s="60">
        <v>2</v>
      </c>
      <c r="D10" s="61"/>
      <c r="E10" s="69"/>
      <c r="J10" s="66"/>
    </row>
    <row r="11" spans="2:19" ht="16" thickBot="1" x14ac:dyDescent="0.25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6" thickBot="1" x14ac:dyDescent="0.25">
      <c r="J12" s="66"/>
      <c r="L12" s="59" t="str">
        <f>IF(H9&gt;H8,G9,IF(H8&gt;H9,G8,IF(I9&gt;I8,G9,IF(I8&gt;I9,G8,""))))</f>
        <v>Argentina</v>
      </c>
      <c r="M12" s="60">
        <v>2</v>
      </c>
      <c r="N12" s="61">
        <v>1</v>
      </c>
    </row>
    <row r="13" spans="2:19" ht="16" thickBot="1" x14ac:dyDescent="0.25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6" thickBot="1" x14ac:dyDescent="0.25">
      <c r="B14" s="59" t="str">
        <f>'GRUPO E'!C8</f>
        <v>Alemania</v>
      </c>
      <c r="C14" s="60">
        <v>2</v>
      </c>
      <c r="D14" s="61"/>
      <c r="J14" s="66"/>
      <c r="O14" s="66"/>
    </row>
    <row r="15" spans="2:19" ht="16" thickBot="1" x14ac:dyDescent="0.25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6" thickBot="1" x14ac:dyDescent="0.25"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11" t="s">
        <v>63</v>
      </c>
      <c r="R16" s="112"/>
      <c r="S16" s="113"/>
    </row>
    <row r="17" spans="2:23" ht="16" thickBot="1" x14ac:dyDescent="0.25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>
        <v>1</v>
      </c>
      <c r="O17" s="66"/>
    </row>
    <row r="18" spans="2:23" ht="16" thickBot="1" x14ac:dyDescent="0.25">
      <c r="B18" s="59" t="str">
        <f>'GRUPO G'!C8</f>
        <v>Brasil</v>
      </c>
      <c r="C18" s="60">
        <v>3</v>
      </c>
      <c r="D18" s="61"/>
      <c r="E18" s="69"/>
      <c r="O18" s="66"/>
    </row>
    <row r="19" spans="2:23" ht="16" thickBot="1" x14ac:dyDescent="0.25">
      <c r="B19" s="62" t="str">
        <f>'GRUPO H'!C9</f>
        <v>Portugal</v>
      </c>
      <c r="C19" s="63">
        <v>2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6" thickBot="1" x14ac:dyDescent="0.25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6" thickBot="1" x14ac:dyDescent="0.25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0</v>
      </c>
      <c r="S21" s="64"/>
    </row>
    <row r="22" spans="2:23" ht="16" thickBot="1" x14ac:dyDescent="0.25">
      <c r="B22" s="59" t="str">
        <f>'GRUPO B'!C8</f>
        <v>Inglaterra</v>
      </c>
      <c r="C22" s="60">
        <v>1</v>
      </c>
      <c r="D22" s="61">
        <v>1</v>
      </c>
      <c r="O22" s="66"/>
    </row>
    <row r="23" spans="2:23" ht="16" thickBot="1" x14ac:dyDescent="0.25">
      <c r="B23" s="62" t="str">
        <f>'GRUPO A'!C9</f>
        <v>Ecuador</v>
      </c>
      <c r="C23" s="63">
        <v>1</v>
      </c>
      <c r="D23" s="64">
        <v>0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6" thickBot="1" x14ac:dyDescent="0.25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6" thickBot="1" x14ac:dyDescent="0.25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6" thickBot="1" x14ac:dyDescent="0.25">
      <c r="B26" s="59" t="str">
        <f>'GRUPO D'!C8</f>
        <v>Francia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6" thickBot="1" x14ac:dyDescent="0.25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6" thickBot="1" x14ac:dyDescent="0.25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6" thickBot="1" x14ac:dyDescent="0.25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Croacia</v>
      </c>
      <c r="M29" s="63">
        <v>1</v>
      </c>
      <c r="N29" s="64"/>
      <c r="Q29" s="59" t="str">
        <f>IF(Q20=L12,L13,IF(Q20=L13,L12,""))</f>
        <v>Brasil</v>
      </c>
      <c r="R29" s="60">
        <v>2</v>
      </c>
      <c r="S29" s="61"/>
    </row>
    <row r="30" spans="2:23" ht="16" thickBot="1" x14ac:dyDescent="0.25">
      <c r="B30" s="59" t="str">
        <f>'GRUPO F'!C8</f>
        <v>Croacia</v>
      </c>
      <c r="C30" s="60">
        <v>2</v>
      </c>
      <c r="D30" s="61"/>
      <c r="J30" s="66"/>
      <c r="Q30" s="62" t="str">
        <f>IF(Q21=L28,L29,IF(Q21=L29,L28,""))</f>
        <v>Croacia</v>
      </c>
      <c r="R30" s="63">
        <v>0</v>
      </c>
      <c r="S30" s="64"/>
    </row>
    <row r="31" spans="2:23" ht="16" thickBot="1" x14ac:dyDescent="0.25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6" thickBot="1" x14ac:dyDescent="0.25">
      <c r="E32" s="66"/>
      <c r="G32" s="59" t="str">
        <f>IF(C31&gt;C30,B31,IF(C30&gt;C31,B30,IF(D31&gt;D30,B31,IF(D30&gt;D31,B30,""))))</f>
        <v>Croacia</v>
      </c>
      <c r="H32" s="60">
        <v>1</v>
      </c>
      <c r="I32" s="61"/>
      <c r="J32" s="69"/>
    </row>
    <row r="33" spans="2:9" ht="16" thickBot="1" x14ac:dyDescent="0.25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">
      <c r="B34" s="59" t="str">
        <f>'GRUPO H'!C8</f>
        <v>Uruguay</v>
      </c>
      <c r="C34" s="60">
        <v>3</v>
      </c>
      <c r="D34" s="61"/>
      <c r="E34" s="69"/>
    </row>
    <row r="35" spans="2:9" ht="16" thickBot="1" x14ac:dyDescent="0.25">
      <c r="B35" s="62" t="str">
        <f>'GRUPO G'!C9</f>
        <v>Suiza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Vicente Bravo Troncoso</cp:lastModifiedBy>
  <dcterms:created xsi:type="dcterms:W3CDTF">2022-11-02T00:22:23Z</dcterms:created>
  <dcterms:modified xsi:type="dcterms:W3CDTF">2022-11-19T20:20:20Z</dcterms:modified>
</cp:coreProperties>
</file>