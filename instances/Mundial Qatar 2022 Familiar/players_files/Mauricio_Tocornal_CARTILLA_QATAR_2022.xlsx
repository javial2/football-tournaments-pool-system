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uricio.tocornal\Downloads\"/>
    </mc:Choice>
  </mc:AlternateContent>
  <xr:revisionPtr revIDLastSave="0" documentId="13_ncr:1_{B97F6C75-54B4-4454-B0DF-69AE393498FC}" xr6:coauthVersionLast="47" xr6:coauthVersionMax="47" xr10:uidLastSave="{00000000-0000-0000-0000-000000000000}"/>
  <bookViews>
    <workbookView xWindow="-110" yWindow="-110" windowWidth="19420" windowHeight="10300" firstSheet="2" activeTab="9" xr2:uid="{65ACC957-D329-40D2-8ECA-CE6D4F801384}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G33" i="16"/>
  <c r="L29" i="16" s="1"/>
  <c r="G32" i="16"/>
  <c r="G9" i="16"/>
  <c r="N27" i="15"/>
  <c r="N26" i="15"/>
  <c r="I26" i="15"/>
  <c r="N25" i="15"/>
  <c r="I25" i="15"/>
  <c r="N24" i="15"/>
  <c r="I24" i="15"/>
  <c r="N23" i="15"/>
  <c r="I23" i="15"/>
  <c r="AJ12" i="15"/>
  <c r="AK12" i="15" s="1"/>
  <c r="AP7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J8" i="12"/>
  <c r="AK8" i="12" s="1"/>
  <c r="AL8" i="12" s="1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 s="1"/>
  <c r="AL10" i="10" s="1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AQ10" i="14" l="1"/>
  <c r="AP10" i="12"/>
  <c r="AP10" i="11"/>
  <c r="AP9" i="2"/>
  <c r="W24" i="16"/>
  <c r="AQ8" i="15"/>
  <c r="AQ7" i="15"/>
  <c r="AZ7" i="15" s="1"/>
  <c r="AQ9" i="15"/>
  <c r="AQ10" i="15"/>
  <c r="AK11" i="15"/>
  <c r="AP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P8" i="14" s="1"/>
  <c r="AK11" i="14"/>
  <c r="AK12" i="14"/>
  <c r="AP9" i="14" s="1"/>
  <c r="AQ10" i="13"/>
  <c r="AQ8" i="13"/>
  <c r="AQ7" i="13"/>
  <c r="AQ9" i="13"/>
  <c r="AL8" i="13"/>
  <c r="AK10" i="13"/>
  <c r="AL10" i="13" s="1"/>
  <c r="AK7" i="13"/>
  <c r="AP9" i="13" s="1"/>
  <c r="AP8" i="13"/>
  <c r="AZ8" i="13" s="1"/>
  <c r="AK11" i="13"/>
  <c r="AL11" i="13" s="1"/>
  <c r="AK12" i="13"/>
  <c r="AL12" i="13" s="1"/>
  <c r="AQ9" i="12"/>
  <c r="AQ8" i="12"/>
  <c r="AQ7" i="12"/>
  <c r="AK10" i="12"/>
  <c r="AL10" i="12" s="1"/>
  <c r="AQ10" i="12"/>
  <c r="AL9" i="12"/>
  <c r="AK7" i="12"/>
  <c r="AL7" i="12" s="1"/>
  <c r="AK11" i="12"/>
  <c r="AP7" i="12" s="1"/>
  <c r="AK12" i="12"/>
  <c r="AQ10" i="11"/>
  <c r="AQ8" i="11"/>
  <c r="AQ9" i="11"/>
  <c r="AQ7" i="11"/>
  <c r="AK7" i="11"/>
  <c r="AL7" i="11" s="1"/>
  <c r="AK11" i="11"/>
  <c r="AP7" i="11" s="1"/>
  <c r="AK12" i="11"/>
  <c r="AP8" i="11" s="1"/>
  <c r="AQ10" i="10"/>
  <c r="AQ7" i="10"/>
  <c r="AQ9" i="10"/>
  <c r="AQ8" i="10"/>
  <c r="AK7" i="10"/>
  <c r="AL7" i="10" s="1"/>
  <c r="AK11" i="10"/>
  <c r="AL11" i="10" s="1"/>
  <c r="AK12" i="10"/>
  <c r="AP8" i="10" s="1"/>
  <c r="AK8" i="10"/>
  <c r="AL8" i="10" s="1"/>
  <c r="AK9" i="10"/>
  <c r="AL9" i="10" s="1"/>
  <c r="AQ9" i="2"/>
  <c r="AQ8" i="2"/>
  <c r="AQ7" i="2"/>
  <c r="AQ10" i="2"/>
  <c r="AK12" i="2"/>
  <c r="AP8" i="2" s="1"/>
  <c r="AL7" i="2"/>
  <c r="AK8" i="2"/>
  <c r="AP10" i="2" s="1"/>
  <c r="AK11" i="2"/>
  <c r="AL11" i="2" s="1"/>
  <c r="AP7" i="1"/>
  <c r="AP9" i="1"/>
  <c r="AP8" i="1"/>
  <c r="AQ7" i="1"/>
  <c r="AQ8" i="1"/>
  <c r="AQ10" i="1"/>
  <c r="AQ9" i="1"/>
  <c r="AK8" i="1"/>
  <c r="AP10" i="1" s="1"/>
  <c r="AZ8" i="15" l="1"/>
  <c r="AP7" i="14"/>
  <c r="AZ7" i="14" s="1"/>
  <c r="AZ8" i="14"/>
  <c r="AP10" i="13"/>
  <c r="AZ10" i="13" s="1"/>
  <c r="AZ10" i="12"/>
  <c r="AP8" i="12"/>
  <c r="AZ8" i="12" s="1"/>
  <c r="AZ7" i="12"/>
  <c r="AP9" i="12"/>
  <c r="AZ9" i="12" s="1"/>
  <c r="AZ10" i="11"/>
  <c r="AZ8" i="11"/>
  <c r="AP9" i="11"/>
  <c r="AZ9" i="11" s="1"/>
  <c r="AW7" i="11" s="1"/>
  <c r="AZ8" i="10"/>
  <c r="AZ9" i="2"/>
  <c r="AP10" i="15"/>
  <c r="AZ10" i="15" s="1"/>
  <c r="AP7" i="13"/>
  <c r="AZ7" i="13" s="1"/>
  <c r="AZ7" i="11"/>
  <c r="AP10" i="10"/>
  <c r="AZ10" i="10" s="1"/>
  <c r="AZ8" i="2"/>
  <c r="AP7" i="2"/>
  <c r="AZ7" i="2" s="1"/>
  <c r="AZ7" i="1"/>
  <c r="AP9" i="15"/>
  <c r="AZ9" i="15" s="1"/>
  <c r="AL11" i="15"/>
  <c r="AL7" i="15"/>
  <c r="AZ9" i="14"/>
  <c r="AL7" i="14"/>
  <c r="AP10" i="14"/>
  <c r="AZ10" i="14" s="1"/>
  <c r="AL12" i="14"/>
  <c r="AL11" i="14"/>
  <c r="AZ9" i="13"/>
  <c r="AL7" i="13"/>
  <c r="AL11" i="12"/>
  <c r="AL12" i="12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7" i="14" l="1"/>
  <c r="AX7" i="14" s="1"/>
  <c r="AY7" i="14" s="1"/>
  <c r="BA7" i="14" s="1"/>
  <c r="BB7" i="14" s="1"/>
  <c r="AW9" i="13"/>
  <c r="AX9" i="13" s="1"/>
  <c r="AY9" i="13" s="1"/>
  <c r="BA9" i="13" s="1"/>
  <c r="BB9" i="13" s="1"/>
  <c r="AW9" i="12"/>
  <c r="AW10" i="12"/>
  <c r="AX10" i="12" s="1"/>
  <c r="AY10" i="12" s="1"/>
  <c r="BA10" i="12" s="1"/>
  <c r="BB10" i="12" s="1"/>
  <c r="AW8" i="12"/>
  <c r="AX8" i="12" s="1"/>
  <c r="AY8" i="12" s="1"/>
  <c r="BA8" i="12" s="1"/>
  <c r="BB8" i="12" s="1"/>
  <c r="AW7" i="12"/>
  <c r="AX7" i="12" s="1"/>
  <c r="AY7" i="12" s="1"/>
  <c r="BA7" i="12" s="1"/>
  <c r="BB7" i="12" s="1"/>
  <c r="AW10" i="11"/>
  <c r="AX10" i="11" s="1"/>
  <c r="AY10" i="11" s="1"/>
  <c r="BA10" i="11" s="1"/>
  <c r="BB10" i="11" s="1"/>
  <c r="AW8" i="11"/>
  <c r="AX8" i="11" s="1"/>
  <c r="AY8" i="11" s="1"/>
  <c r="BA8" i="11" s="1"/>
  <c r="BB8" i="11" s="1"/>
  <c r="AW9" i="11"/>
  <c r="AX9" i="11" s="1"/>
  <c r="AY9" i="11" s="1"/>
  <c r="BA9" i="11" s="1"/>
  <c r="BB9" i="11" s="1"/>
  <c r="AW7" i="2"/>
  <c r="AX7" i="2" s="1"/>
  <c r="AY7" i="2" s="1"/>
  <c r="BA7" i="2" s="1"/>
  <c r="BB7" i="2" s="1"/>
  <c r="AW8" i="2"/>
  <c r="AX8" i="2" s="1"/>
  <c r="AY8" i="2" s="1"/>
  <c r="BA8" i="2" s="1"/>
  <c r="BB8" i="2" s="1"/>
  <c r="AW9" i="2"/>
  <c r="AX9" i="2" s="1"/>
  <c r="AY9" i="2" s="1"/>
  <c r="BA9" i="2" s="1"/>
  <c r="BB9" i="2" s="1"/>
  <c r="AW10" i="15"/>
  <c r="AX10" i="15" s="1"/>
  <c r="AY10" i="15" s="1"/>
  <c r="BA10" i="15" s="1"/>
  <c r="BB10" i="15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X9" i="12"/>
  <c r="AY9" i="12" s="1"/>
  <c r="BA9" i="12" s="1"/>
  <c r="BB9" i="12" s="1"/>
  <c r="AX7" i="11"/>
  <c r="AY7" i="11" s="1"/>
  <c r="BA7" i="11" s="1"/>
  <c r="BB7" i="11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N9" i="12" l="1"/>
  <c r="AN9" i="11"/>
  <c r="AN9" i="15"/>
  <c r="AN8" i="15"/>
  <c r="AN7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C8" i="12" s="1"/>
  <c r="B14" i="16" s="1"/>
  <c r="AN10" i="11"/>
  <c r="AN8" i="11"/>
  <c r="AN7" i="11"/>
  <c r="E10" i="11" s="1"/>
  <c r="G11" i="11"/>
  <c r="AN9" i="10"/>
  <c r="AN7" i="10"/>
  <c r="AN8" i="10"/>
  <c r="AN10" i="10"/>
  <c r="AN8" i="2"/>
  <c r="AN7" i="2"/>
  <c r="AN9" i="2"/>
  <c r="AN10" i="2"/>
  <c r="BA7" i="1"/>
  <c r="BB7" i="1" s="1"/>
  <c r="AN7" i="1" s="1"/>
  <c r="G8" i="12" l="1"/>
  <c r="D8" i="12"/>
  <c r="F8" i="12"/>
  <c r="E8" i="11"/>
  <c r="G10" i="11"/>
  <c r="G8" i="11"/>
  <c r="F10" i="11"/>
  <c r="D8" i="11"/>
  <c r="E8" i="12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Q20" i="16" s="1"/>
  <c r="G11" i="13"/>
  <c r="F9" i="13"/>
  <c r="D11" i="13"/>
  <c r="F10" i="13"/>
  <c r="C8" i="13"/>
  <c r="B30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E10" i="12"/>
  <c r="F9" i="11"/>
  <c r="D11" i="10"/>
  <c r="E10" i="10"/>
  <c r="F9" i="10"/>
  <c r="G8" i="10"/>
  <c r="C8" i="10"/>
  <c r="B10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G25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D10" i="1" l="1"/>
  <c r="F9" i="1"/>
  <c r="D9" i="1"/>
  <c r="E9" i="1"/>
  <c r="C9" i="1"/>
  <c r="B23" i="16" s="1"/>
  <c r="G24" i="16" s="1"/>
  <c r="L28" i="16" s="1"/>
  <c r="Q21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Q29" i="16" s="1"/>
  <c r="F10" i="1"/>
  <c r="G8" i="1"/>
  <c r="D8" i="1"/>
  <c r="E11" i="1"/>
  <c r="G10" i="1"/>
  <c r="Q30" i="16" l="1"/>
  <c r="W26" i="16" s="1"/>
  <c r="W25" i="16"/>
</calcChain>
</file>

<file path=xl/sharedStrings.xml><?xml version="1.0" encoding="utf-8"?>
<sst xmlns="http://schemas.openxmlformats.org/spreadsheetml/2006/main" count="454" uniqueCount="79">
  <si>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</si>
  <si>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</si>
  <si>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</si>
  <si>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</si>
  <si>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</si>
  <si>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</si>
  <si>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</si>
  <si>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</si>
  <si>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</si>
  <si>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</si>
  <si>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</si>
  <si>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</si>
  <si>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</si>
  <si>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</si>
  <si>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</si>
  <si>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</si>
  <si>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</si>
  <si>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</si>
  <si>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</si>
  <si>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</si>
  <si>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</si>
  <si>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</si>
  <si>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</si>
  <si>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</si>
  <si>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</si>
  <si>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</si>
  <si>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</si>
  <si>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</si>
  <si>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</si>
  <si>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</si>
  <si>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</si>
  <si>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</si>
  <si>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</si>
  <si>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</si>
  <si>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</si>
  <si>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</si>
  <si>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</si>
  <si>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</si>
  <si>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</si>
  <si>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</si>
  <si>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</si>
  <si>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</si>
  <si>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</si>
  <si>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</si>
  <si>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</si>
  <si>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</si>
  <si>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</si>
  <si>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</si>
  <si>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</si>
  <si>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</si>
  <si>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</si>
  <si>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</si>
  <si>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</si>
  <si>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</si>
  <si>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</si>
  <si>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</si>
  <si>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</si>
  <si>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</si>
  <si>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</si>
  <si>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</si>
  <si>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</si>
  <si>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</si>
  <si>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</si>
  <si>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</si>
  <si>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</si>
  <si>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</si>
  <si>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</si>
  <si>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</si>
  <si>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</si>
  <si>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</si>
  <si>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</si>
  <si>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</si>
  <si>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</si>
  <si>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</si>
  <si>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</si>
  <si>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</si>
  <si>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</si>
  <si>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>Mauro Tocornal</t>
  </si>
  <si>
    <t>maurotocornal@gmail.com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</si>
</sst>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5" fillId="0" borderId="0" xfId="0" applyFont="1" applyFill="1"/>
    <xf numFmtId="0" fontId="1" fillId="0" borderId="0" xfId="0" applyFont="1" applyFill="1"/>
    <xf numFmtId="0" fontId="1" fillId="0" borderId="0" xfId="0" applyFon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A1D0E579-F3D7-41A9-9D71-43C99C008133}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urotocornal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98F5-A676-44F6-967B-192B965F3485}">
  <dimension ref="B1:D4"/>
  <sheetViews>
    <sheetView workbookViewId="0">
      <selection activeCell="E8" sqref="E8"/>
    </sheetView>
  </sheetViews>
  <sheetFormatPr baseColWidth="10" defaultRowHeight="14.5" x14ac:dyDescent="0.35"/>
  <cols>
    <col min="4" max="4" width="13.7265625" customWidth="1"/>
  </cols>
  <sheetData>
    <row r="1" spans="2:4" ht="15" thickBot="1" x14ac:dyDescent="0.4"/>
    <row r="2" spans="2:4" ht="15" thickBot="1" x14ac:dyDescent="0.4">
      <c r="B2" s="83" t="s">
        <v>74</v>
      </c>
      <c r="C2" s="84"/>
      <c r="D2" s="85"/>
    </row>
    <row r="3" spans="2:4" x14ac:dyDescent="0.35">
      <c r="B3" s="76" t="s">
        <v>75</v>
      </c>
      <c r="C3" s="86" t="s">
        <v>77</v>
      </c>
      <c r="D3" s="87"/>
    </row>
    <row r="4" spans="2:4" ht="15" thickBot="1" x14ac:dyDescent="0.4">
      <c r="B4" s="77" t="s">
        <v>76</v>
      </c>
      <c r="C4" s="88" t="s">
        <v>78</v>
      </c>
      <c r="D4" s="89"/>
    </row>
  </sheetData>
  <protectedRanges>
    <protectedRange sqref="C3:C4" name="Info"/>
  </protectedRanges>
  <mergeCells count="3">
    <mergeCell ref="B2:D2"/>
    <mergeCell ref="C3:D3"/>
    <mergeCell ref="C4:D4"/>
  </mergeCells>
  <hyperlinks>
    <hyperlink ref="C4" r:id="rId1" xr:uid="{DA2C16D9-2EB1-4903-A0B2-41C86B6DB85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516B-DE62-4EB3-B0F2-5E56E5435288}">
  <dimension ref="A2:BB28"/>
  <sheetViews>
    <sheetView workbookViewId="0">
      <selection activeCell="M13" sqref="M13"/>
    </sheetView>
  </sheetViews>
  <sheetFormatPr baseColWidth="10" defaultColWidth="11.453125" defaultRowHeight="14.5" x14ac:dyDescent="0.35"/>
  <cols>
    <col min="1" max="14" width="10.90625" customWidth="1"/>
    <col min="15" max="34" width="11.453125" style="8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6" t="s">
        <v>0</v>
      </c>
      <c r="C3" s="97"/>
      <c r="D3" s="97"/>
      <c r="E3" s="97"/>
      <c r="F3" s="97"/>
      <c r="G3" s="98"/>
    </row>
    <row r="4" spans="2:54" ht="15" thickBot="1" x14ac:dyDescent="0.4">
      <c r="B4" s="99"/>
      <c r="C4" s="100"/>
      <c r="D4" s="100"/>
      <c r="E4" s="100"/>
      <c r="F4" s="100"/>
      <c r="G4" s="101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0</v>
      </c>
      <c r="M7" s="31">
        <v>2</v>
      </c>
      <c r="N7" s="16" t="s">
        <v>13</v>
      </c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2" t="str">
        <f t="shared" ref="AI7:AI12" si="0">CONCATENATE(K7,"_",N7)</f>
        <v>Senegal_Holanda</v>
      </c>
      <c r="AJ7" s="34">
        <f t="shared" ref="AJ7:AJ12" si="1">IF(L7&gt;M7,3,IF(L7&lt;M7,0,1))</f>
        <v>0</v>
      </c>
      <c r="AK7" s="34">
        <f>IF(AJ7=3,0,IF(AJ7=1,1,3))</f>
        <v>3</v>
      </c>
      <c r="AL7" s="34" t="str">
        <f t="shared" ref="AL7:AL12" si="2">IF(AJ7&gt;AK7,K7,IF(AK7&gt;AJ7,N7,"SIN GANADOR"))</f>
        <v>Holanda</v>
      </c>
      <c r="AN7" s="34">
        <f>_xlfn.RANK.EQ(BB7,BB$7:BB$11,1)</f>
        <v>4</v>
      </c>
      <c r="AO7" s="34" t="s">
        <v>14</v>
      </c>
      <c r="AP7" s="34">
        <f>SUMIF($K$7:$K$12,AO7,$AJ$7:$AJ$12) + SUMIF($N$7:$N$12,AO7,$AK$7:$AK$12)</f>
        <v>1</v>
      </c>
      <c r="AQ7" s="34">
        <f>AR7-AS7</f>
        <v>-4</v>
      </c>
      <c r="AR7" s="34">
        <f>SUMIF($K$7:$K$12,AO7,$L$7:$L$12) + SUMIF($N$7:$N$12,AO7,$M$7:$M$12)</f>
        <v>1</v>
      </c>
      <c r="AS7" s="34">
        <f>SUMIF($K$7:$K$12,AO7,$M$7:$M$12) + SUMIF($N$7:$N$12,AO7,$L$7:$L$12)</f>
        <v>5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-9960100</v>
      </c>
      <c r="BA7" s="34">
        <f>AZ7-AY7*10</f>
        <v>-9960110</v>
      </c>
      <c r="BB7" s="34">
        <f>BA7+N23</f>
        <v>-9960109</v>
      </c>
    </row>
    <row r="8" spans="2:54" x14ac:dyDescent="0.35">
      <c r="B8" s="7">
        <v>1</v>
      </c>
      <c r="C8" s="8" t="str">
        <f t="shared" ref="C8:G11" si="3">IFERROR(VLOOKUP($B8,$AN$7:$AS$11,C$5,FALSE),"")</f>
        <v>Holanda</v>
      </c>
      <c r="D8" s="9">
        <f t="shared" si="3"/>
        <v>9</v>
      </c>
      <c r="E8" s="9">
        <f t="shared" si="3"/>
        <v>7</v>
      </c>
      <c r="F8" s="9">
        <f t="shared" si="3"/>
        <v>1</v>
      </c>
      <c r="G8" s="10">
        <f t="shared" si="3"/>
        <v>6</v>
      </c>
      <c r="I8" s="18">
        <v>2</v>
      </c>
      <c r="J8" s="19">
        <v>44886</v>
      </c>
      <c r="K8" s="20" t="s">
        <v>14</v>
      </c>
      <c r="L8" s="21">
        <v>0</v>
      </c>
      <c r="M8" s="22">
        <v>0</v>
      </c>
      <c r="N8" s="18" t="s">
        <v>11</v>
      </c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2" t="str">
        <f t="shared" si="0"/>
        <v>Qatar_Ecuador</v>
      </c>
      <c r="AJ8" s="34">
        <f t="shared" si="1"/>
        <v>1</v>
      </c>
      <c r="AK8" s="34">
        <f t="shared" ref="AK8:AK12" si="4">IF(AJ8=3,0,IF(AJ8=1,1,3))</f>
        <v>1</v>
      </c>
      <c r="AL8" s="34" t="str">
        <f t="shared" si="2"/>
        <v>SIN GANADOR</v>
      </c>
      <c r="AN8" s="34">
        <f>_xlfn.RANK.EQ(BB8,BB$7:BB$11,1)</f>
        <v>1</v>
      </c>
      <c r="AO8" s="34" t="s">
        <v>13</v>
      </c>
      <c r="AP8" s="34">
        <f>SUMIF($K$7:$K$12,AO8,$AJ$7:$AJ$12) + SUMIF($N$7:$N$12,AO8,$AK$7:$AK$12)</f>
        <v>9</v>
      </c>
      <c r="AQ8" s="34">
        <f>AR8-AS8</f>
        <v>6</v>
      </c>
      <c r="AR8" s="34">
        <f t="shared" ref="AR8:AR9" si="5">SUMIF($K$7:$K$12,AO8,$L$7:$L$12) + SUMIF($N$7:$N$12,AO8,$M$7:$M$12)</f>
        <v>7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-90060700</v>
      </c>
      <c r="BA8" s="34">
        <f t="shared" ref="BA8:BA10" si="10">AZ8-AY8*10</f>
        <v>-90060710</v>
      </c>
      <c r="BB8" s="34">
        <f>BA8+N24</f>
        <v>-90060708</v>
      </c>
    </row>
    <row r="9" spans="2:54" x14ac:dyDescent="0.35">
      <c r="B9" s="11">
        <v>2</v>
      </c>
      <c r="C9" s="12" t="str">
        <f t="shared" si="3"/>
        <v>Senegal</v>
      </c>
      <c r="D9" s="13">
        <f t="shared" si="3"/>
        <v>4</v>
      </c>
      <c r="E9" s="13">
        <f t="shared" si="3"/>
        <v>3</v>
      </c>
      <c r="F9" s="13">
        <f t="shared" si="3"/>
        <v>4</v>
      </c>
      <c r="G9" s="14">
        <f t="shared" si="3"/>
        <v>-1</v>
      </c>
      <c r="I9" s="23">
        <f>I7+16</f>
        <v>17</v>
      </c>
      <c r="J9" s="24">
        <v>44890</v>
      </c>
      <c r="K9" s="25" t="s">
        <v>14</v>
      </c>
      <c r="L9" s="21">
        <v>1</v>
      </c>
      <c r="M9" s="22">
        <v>2</v>
      </c>
      <c r="N9" s="23" t="s">
        <v>12</v>
      </c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2" t="str">
        <f t="shared" si="0"/>
        <v>Qatar_Senegal</v>
      </c>
      <c r="AJ9" s="34">
        <f t="shared" si="1"/>
        <v>0</v>
      </c>
      <c r="AK9" s="34">
        <f t="shared" si="4"/>
        <v>3</v>
      </c>
      <c r="AL9" s="34" t="str">
        <f t="shared" si="2"/>
        <v>Senegal</v>
      </c>
      <c r="AN9" s="34">
        <f>_xlfn.RANK.EQ(BB9,BB$7:BB$11,1)</f>
        <v>2</v>
      </c>
      <c r="AO9" s="34" t="s">
        <v>12</v>
      </c>
      <c r="AP9" s="34">
        <f>SUMIF($K$7:$K$12,AO9,$AJ$7:$AJ$12) + SUMIF($N$7:$N$12,AO9,$AK$7:$AK$12)</f>
        <v>4</v>
      </c>
      <c r="AQ9" s="34">
        <f t="shared" ref="AQ9:AQ10" si="11">AR9-AS9</f>
        <v>-1</v>
      </c>
      <c r="AR9" s="34">
        <f t="shared" si="5"/>
        <v>3</v>
      </c>
      <c r="AS9" s="34">
        <f t="shared" si="6"/>
        <v>4</v>
      </c>
      <c r="AV9" s="34" t="str">
        <f t="shared" si="7"/>
        <v>Senegal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-39990300</v>
      </c>
      <c r="BA9" s="34">
        <f t="shared" si="10"/>
        <v>-39990310</v>
      </c>
      <c r="BB9" s="34">
        <f>BA9+N25</f>
        <v>-39990307</v>
      </c>
    </row>
    <row r="10" spans="2:54" x14ac:dyDescent="0.35">
      <c r="B10" s="48">
        <v>3</v>
      </c>
      <c r="C10" s="49" t="str">
        <f t="shared" si="3"/>
        <v>Ecuador</v>
      </c>
      <c r="D10" s="50">
        <f t="shared" si="3"/>
        <v>2</v>
      </c>
      <c r="E10" s="50">
        <f t="shared" si="3"/>
        <v>2</v>
      </c>
      <c r="F10" s="50">
        <f t="shared" si="3"/>
        <v>3</v>
      </c>
      <c r="G10" s="51">
        <f t="shared" si="3"/>
        <v>-1</v>
      </c>
      <c r="I10" s="18">
        <f>I8+16</f>
        <v>18</v>
      </c>
      <c r="J10" s="19">
        <v>44890</v>
      </c>
      <c r="K10" s="20" t="s">
        <v>13</v>
      </c>
      <c r="L10" s="21">
        <v>2</v>
      </c>
      <c r="M10" s="22">
        <v>1</v>
      </c>
      <c r="N10" s="18" t="s">
        <v>11</v>
      </c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 t="str">
        <f t="shared" si="0"/>
        <v>Holanda_Ecuador</v>
      </c>
      <c r="AJ10" s="34">
        <f t="shared" si="1"/>
        <v>3</v>
      </c>
      <c r="AK10" s="34">
        <f t="shared" si="4"/>
        <v>0</v>
      </c>
      <c r="AL10" s="34" t="str">
        <f t="shared" si="2"/>
        <v>Holanda</v>
      </c>
      <c r="AN10" s="34">
        <f>_xlfn.RANK.EQ(BB10,BB$7:BB$11,1)</f>
        <v>3</v>
      </c>
      <c r="AO10" s="34" t="s">
        <v>11</v>
      </c>
      <c r="AP10" s="34">
        <f>SUMIF($K$7:$K$12,AO10,$AJ$7:$AJ$12) + SUMIF($N$7:$N$12,AO10,$AK$7:$AK$12)</f>
        <v>2</v>
      </c>
      <c r="AQ10" s="34">
        <f t="shared" si="11"/>
        <v>-1</v>
      </c>
      <c r="AR10" s="34">
        <f>SUMIF($K$7:$K$12,AO10,$L$7:$L$12) + SUMIF($N$7:$N$12,AO10,$M$7:$M$12)</f>
        <v>2</v>
      </c>
      <c r="AS10" s="34">
        <f>SUMIF($K$7:$K$12,AO10,$M$7:$M$12) + SUMIF($N$7:$N$12,AO10,$L$7:$L$12)</f>
        <v>3</v>
      </c>
      <c r="AV10" s="34" t="str">
        <f t="shared" si="7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-19990200</v>
      </c>
      <c r="BA10" s="34">
        <f t="shared" si="10"/>
        <v>-19990210</v>
      </c>
      <c r="BB10" s="34">
        <f>BA10+N26</f>
        <v>-19990206</v>
      </c>
    </row>
    <row r="11" spans="2:54" ht="15" thickBot="1" x14ac:dyDescent="0.4">
      <c r="B11" s="52">
        <v>4</v>
      </c>
      <c r="C11" s="53" t="str">
        <f t="shared" si="3"/>
        <v>Qatar</v>
      </c>
      <c r="D11" s="54">
        <f t="shared" si="3"/>
        <v>1</v>
      </c>
      <c r="E11" s="54">
        <f t="shared" si="3"/>
        <v>1</v>
      </c>
      <c r="F11" s="54">
        <f t="shared" si="3"/>
        <v>5</v>
      </c>
      <c r="G11" s="55">
        <f t="shared" si="3"/>
        <v>-4</v>
      </c>
      <c r="I11" s="23">
        <f>I9+16</f>
        <v>33</v>
      </c>
      <c r="J11" s="24">
        <v>44894</v>
      </c>
      <c r="K11" s="25" t="s">
        <v>11</v>
      </c>
      <c r="L11" s="21">
        <v>1</v>
      </c>
      <c r="M11" s="22">
        <v>1</v>
      </c>
      <c r="N11" s="23" t="s">
        <v>12</v>
      </c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 t="str">
        <f t="shared" si="0"/>
        <v>Ecuador_Senegal</v>
      </c>
      <c r="AJ11" s="34">
        <f t="shared" si="1"/>
        <v>1</v>
      </c>
      <c r="AK11" s="34">
        <f t="shared" si="4"/>
        <v>1</v>
      </c>
      <c r="AL11" s="34" t="str">
        <f t="shared" si="2"/>
        <v>SIN GANADOR</v>
      </c>
    </row>
    <row r="12" spans="2:54" ht="15" thickBot="1" x14ac:dyDescent="0.4">
      <c r="I12" s="26">
        <f>I10+16</f>
        <v>34</v>
      </c>
      <c r="J12" s="27">
        <v>44894</v>
      </c>
      <c r="K12" s="28" t="s">
        <v>13</v>
      </c>
      <c r="L12" s="32">
        <v>3</v>
      </c>
      <c r="M12" s="33">
        <v>0</v>
      </c>
      <c r="N12" s="26" t="s">
        <v>14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 t="str">
        <f t="shared" si="0"/>
        <v>Holanda_Qatar</v>
      </c>
      <c r="AJ12" s="34">
        <f t="shared" si="1"/>
        <v>3</v>
      </c>
      <c r="AK12" s="34">
        <f t="shared" si="4"/>
        <v>0</v>
      </c>
      <c r="AL12" s="34" t="str">
        <f t="shared" si="2"/>
        <v>Holanda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14" ht="15" thickBot="1" x14ac:dyDescent="0.4"/>
    <row r="22" spans="2:1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1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14</v>
      </c>
      <c r="K23" s="109"/>
      <c r="L23" s="110"/>
      <c r="M23" s="42">
        <v>1</v>
      </c>
      <c r="N23" s="35">
        <f>IF(J23="",0,M23)</f>
        <v>1</v>
      </c>
    </row>
    <row r="24" spans="2:1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13</v>
      </c>
      <c r="K24" s="91"/>
      <c r="L24" s="92"/>
      <c r="M24" s="43">
        <v>2</v>
      </c>
      <c r="N24" s="35">
        <f>IF(J24="",0,M24)</f>
        <v>2</v>
      </c>
    </row>
    <row r="25" spans="2:1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12</v>
      </c>
      <c r="K25" s="91"/>
      <c r="L25" s="92"/>
      <c r="M25" s="43">
        <v>3</v>
      </c>
      <c r="N25" s="35">
        <f>IF(J25="",0,M25)</f>
        <v>3</v>
      </c>
    </row>
    <row r="26" spans="2:1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11</v>
      </c>
      <c r="K26" s="94"/>
      <c r="L26" s="95"/>
      <c r="M26" s="44">
        <v>4</v>
      </c>
      <c r="N26" s="35">
        <f>IF(J26="",0,M26)</f>
        <v>4</v>
      </c>
    </row>
    <row r="27" spans="2:1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2780-1CCE-444B-B990-21FF82528360}">
  <dimension ref="A2:BB28"/>
  <sheetViews>
    <sheetView workbookViewId="0">
      <selection activeCell="M13" sqref="M13"/>
    </sheetView>
  </sheetViews>
  <sheetFormatPr baseColWidth="10" defaultColWidth="11.453125" defaultRowHeight="14.5" x14ac:dyDescent="0.35"/>
  <cols>
    <col min="1" max="14" width="10.90625" customWidth="1"/>
    <col min="15" max="34" width="11.453125" style="78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6" t="s">
        <v>29</v>
      </c>
      <c r="C3" s="97"/>
      <c r="D3" s="97"/>
      <c r="E3" s="97"/>
      <c r="F3" s="97"/>
      <c r="G3" s="98"/>
    </row>
    <row r="4" spans="2:54" ht="15" thickBot="1" x14ac:dyDescent="0.4">
      <c r="B4" s="99"/>
      <c r="C4" s="100"/>
      <c r="D4" s="100"/>
      <c r="E4" s="100"/>
      <c r="F4" s="100"/>
      <c r="G4" s="101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1</v>
      </c>
      <c r="M7" s="31">
        <v>0</v>
      </c>
      <c r="N7" s="16" t="s">
        <v>32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1</v>
      </c>
      <c r="AO7" s="34" t="s">
        <v>30</v>
      </c>
      <c r="AP7" s="34">
        <f>SUMIF($K$7:$K$12,AO7,$AJ$7:$AJ$12) + SUMIF($N$7:$N$12,AO7,$AK$7:$AK$12)</f>
        <v>7</v>
      </c>
      <c r="AQ7" s="34">
        <f>AR7-AS7</f>
        <v>3</v>
      </c>
      <c r="AR7" s="34">
        <f>SUMIF($K$7:$K$12,AO7,$L$7:$L$12) + SUMIF($N$7:$N$12,AO7,$M$7:$M$12)</f>
        <v>4</v>
      </c>
      <c r="AS7" s="34">
        <f>SUMIF($K$7:$K$12,AO7,$M$7:$M$12) + SUMIF($N$7:$N$12,AO7,$L$7:$L$12)</f>
        <v>1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-70030400</v>
      </c>
      <c r="BA7" s="34">
        <f>AZ7-AY7*10</f>
        <v>-70030410</v>
      </c>
      <c r="BB7" s="34">
        <f>BA7+N23</f>
        <v>-70030409</v>
      </c>
    </row>
    <row r="8" spans="2:54" x14ac:dyDescent="0.35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7</v>
      </c>
      <c r="E8" s="9">
        <f t="shared" si="0"/>
        <v>4</v>
      </c>
      <c r="F8" s="9">
        <f t="shared" si="0"/>
        <v>1</v>
      </c>
      <c r="G8" s="10">
        <f t="shared" si="0"/>
        <v>3</v>
      </c>
      <c r="I8" s="18">
        <v>4</v>
      </c>
      <c r="J8" s="19">
        <v>44886</v>
      </c>
      <c r="K8" s="20" t="s">
        <v>31</v>
      </c>
      <c r="L8" s="21">
        <v>1</v>
      </c>
      <c r="M8" s="22">
        <v>0</v>
      </c>
      <c r="N8" s="18" t="s">
        <v>33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USA_Gales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USA</v>
      </c>
      <c r="AN8" s="34">
        <f>_xlfn.RANK.EQ(BB8,BB$7:BB$11,1)</f>
        <v>2</v>
      </c>
      <c r="AO8" s="34" t="s">
        <v>31</v>
      </c>
      <c r="AP8" s="34">
        <f>SUMIF($K$7:$K$12,AO8,$AJ$7:$AJ$12) + SUMIF($N$7:$N$12,AO8,$AK$7:$AK$12)</f>
        <v>7</v>
      </c>
      <c r="AQ8" s="34">
        <f>AR8-AS8</f>
        <v>2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-70020300</v>
      </c>
      <c r="BA8" s="34">
        <f t="shared" ref="BA8:BA10" si="10">AZ8-AY8*10</f>
        <v>-70020310</v>
      </c>
      <c r="BB8" s="34">
        <f>BA8+N24</f>
        <v>-70020308</v>
      </c>
    </row>
    <row r="9" spans="2:54" x14ac:dyDescent="0.35">
      <c r="B9" s="11">
        <v>2</v>
      </c>
      <c r="C9" s="12" t="str">
        <f t="shared" si="0"/>
        <v>USA</v>
      </c>
      <c r="D9" s="13">
        <f t="shared" si="0"/>
        <v>7</v>
      </c>
      <c r="E9" s="13">
        <f t="shared" si="0"/>
        <v>3</v>
      </c>
      <c r="F9" s="13">
        <f t="shared" si="0"/>
        <v>1</v>
      </c>
      <c r="G9" s="14">
        <f t="shared" si="0"/>
        <v>2</v>
      </c>
      <c r="I9" s="23">
        <f>I7+16</f>
        <v>19</v>
      </c>
      <c r="J9" s="24">
        <v>44890</v>
      </c>
      <c r="K9" s="25" t="s">
        <v>33</v>
      </c>
      <c r="L9" s="21">
        <v>1</v>
      </c>
      <c r="M9" s="22">
        <v>1</v>
      </c>
      <c r="N9" s="23" t="s">
        <v>32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Gales_Iran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3</v>
      </c>
      <c r="AO9" s="34" t="s">
        <v>32</v>
      </c>
      <c r="AP9" s="34">
        <f>SUMIF($K$7:$K$12,AO9,$AJ$7:$AJ$12) + SUMIF($N$7:$N$12,AO9,$AK$7:$AK$12)</f>
        <v>1</v>
      </c>
      <c r="AQ9" s="34">
        <f t="shared" ref="AQ9:AQ10" si="11">AR9-AS9</f>
        <v>-2</v>
      </c>
      <c r="AR9" s="34">
        <f t="shared" si="5"/>
        <v>1</v>
      </c>
      <c r="AS9" s="34">
        <f t="shared" si="6"/>
        <v>3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-9980100</v>
      </c>
      <c r="BA9" s="34">
        <f t="shared" si="10"/>
        <v>-9980110</v>
      </c>
      <c r="BB9" s="34">
        <f>BA9+N25</f>
        <v>-9980107</v>
      </c>
    </row>
    <row r="10" spans="2:54" x14ac:dyDescent="0.35">
      <c r="B10" s="48">
        <v>3</v>
      </c>
      <c r="C10" s="49" t="str">
        <f t="shared" si="0"/>
        <v>Iran</v>
      </c>
      <c r="D10" s="50">
        <f t="shared" si="0"/>
        <v>1</v>
      </c>
      <c r="E10" s="50">
        <f t="shared" si="0"/>
        <v>1</v>
      </c>
      <c r="F10" s="50">
        <f t="shared" si="0"/>
        <v>3</v>
      </c>
      <c r="G10" s="51">
        <f t="shared" si="0"/>
        <v>-2</v>
      </c>
      <c r="I10" s="18">
        <f>I8+16</f>
        <v>20</v>
      </c>
      <c r="J10" s="19">
        <v>44890</v>
      </c>
      <c r="K10" s="20" t="s">
        <v>30</v>
      </c>
      <c r="L10" s="21">
        <v>1</v>
      </c>
      <c r="M10" s="22">
        <v>1</v>
      </c>
      <c r="N10" s="18" t="s">
        <v>31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Inglaterra_USA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4</v>
      </c>
      <c r="AO10" s="34" t="s">
        <v>33</v>
      </c>
      <c r="AP10" s="34">
        <f>SUMIF($K$7:$K$12,AO10,$AJ$7:$AJ$12) + SUMIF($N$7:$N$12,AO10,$AK$7:$AK$12)</f>
        <v>1</v>
      </c>
      <c r="AQ10" s="34">
        <f t="shared" si="11"/>
        <v>-3</v>
      </c>
      <c r="AR10" s="34">
        <f>SUMIF($K$7:$K$12,AO10,$L$7:$L$12) + SUMIF($N$7:$N$12,AO10,$M$7:$M$12)</f>
        <v>1</v>
      </c>
      <c r="AS10" s="34">
        <f>SUMIF($K$7:$K$12,AO10,$M$7:$M$12) + SUMIF($N$7:$N$12,AO10,$L$7:$L$12)</f>
        <v>4</v>
      </c>
      <c r="AV10" s="34" t="str">
        <f t="shared" si="7"/>
        <v>Gales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-9970100</v>
      </c>
      <c r="BA10" s="34">
        <f t="shared" si="10"/>
        <v>-9970110</v>
      </c>
      <c r="BB10" s="34">
        <f>BA10+N26</f>
        <v>-9970106</v>
      </c>
    </row>
    <row r="11" spans="2:54" ht="15" thickBot="1" x14ac:dyDescent="0.4">
      <c r="B11" s="52">
        <v>4</v>
      </c>
      <c r="C11" s="53" t="str">
        <f t="shared" si="0"/>
        <v>Gales</v>
      </c>
      <c r="D11" s="54">
        <f t="shared" si="0"/>
        <v>1</v>
      </c>
      <c r="E11" s="54">
        <f t="shared" si="0"/>
        <v>1</v>
      </c>
      <c r="F11" s="54">
        <f t="shared" si="0"/>
        <v>4</v>
      </c>
      <c r="G11" s="55">
        <f t="shared" si="0"/>
        <v>-3</v>
      </c>
      <c r="I11" s="23">
        <f>I9+16</f>
        <v>35</v>
      </c>
      <c r="J11" s="24">
        <v>44894</v>
      </c>
      <c r="K11" s="25" t="s">
        <v>33</v>
      </c>
      <c r="L11" s="21">
        <v>0</v>
      </c>
      <c r="M11" s="22">
        <v>2</v>
      </c>
      <c r="N11" s="23" t="s">
        <v>30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Gales_Inglaterra</v>
      </c>
      <c r="AJ11" s="34">
        <f t="shared" si="2"/>
        <v>0</v>
      </c>
      <c r="AK11" s="34">
        <f t="shared" si="3"/>
        <v>3</v>
      </c>
      <c r="AL11" s="34" t="str">
        <f t="shared" si="4"/>
        <v>Inglaterra</v>
      </c>
    </row>
    <row r="12" spans="2:54" ht="15" thickBot="1" x14ac:dyDescent="0.4">
      <c r="I12" s="26">
        <f>I10+16</f>
        <v>36</v>
      </c>
      <c r="J12" s="27">
        <v>44894</v>
      </c>
      <c r="K12" s="28" t="s">
        <v>32</v>
      </c>
      <c r="L12" s="32">
        <v>0</v>
      </c>
      <c r="M12" s="33">
        <v>1</v>
      </c>
      <c r="N12" s="26" t="s">
        <v>31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Iran_USA</v>
      </c>
      <c r="AJ12" s="34">
        <f t="shared" si="2"/>
        <v>0</v>
      </c>
      <c r="AK12" s="34">
        <f t="shared" si="3"/>
        <v>3</v>
      </c>
      <c r="AL12" s="34" t="str">
        <f t="shared" si="4"/>
        <v>USA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32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33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2F31-08DB-430A-9BEA-AEF4F3FDB47E}">
  <dimension ref="A2:BB28"/>
  <sheetViews>
    <sheetView workbookViewId="0">
      <selection activeCell="L13" sqref="L13"/>
    </sheetView>
  </sheetViews>
  <sheetFormatPr baseColWidth="10" defaultColWidth="11.453125" defaultRowHeight="14.5" x14ac:dyDescent="0.35"/>
  <cols>
    <col min="1" max="2" width="10.90625" customWidth="1"/>
    <col min="3" max="3" width="13.7265625" bestFit="1" customWidth="1"/>
    <col min="4" max="10" width="10.90625"/>
    <col min="11" max="11" width="13.7265625" bestFit="1" customWidth="1"/>
    <col min="12" max="13" width="10.90625"/>
    <col min="14" max="14" width="13.7265625" bestFit="1" customWidth="1"/>
    <col min="15" max="34" width="13.7265625" style="78" customWidth="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6" t="s">
        <v>34</v>
      </c>
      <c r="C3" s="97"/>
      <c r="D3" s="97"/>
      <c r="E3" s="97"/>
      <c r="F3" s="97"/>
      <c r="G3" s="98"/>
    </row>
    <row r="4" spans="2:54" ht="15" thickBot="1" x14ac:dyDescent="0.4">
      <c r="B4" s="99"/>
      <c r="C4" s="100"/>
      <c r="D4" s="100"/>
      <c r="E4" s="100"/>
      <c r="F4" s="100"/>
      <c r="G4" s="101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1</v>
      </c>
      <c r="M7" s="31">
        <v>2</v>
      </c>
      <c r="N7" s="16" t="s">
        <v>37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Mexico_Polonia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Polonia</v>
      </c>
      <c r="AN7" s="34">
        <f>_xlfn.RANK.EQ(BB7,BB$7:BB$11,1)</f>
        <v>1</v>
      </c>
      <c r="AO7" s="34" t="s">
        <v>35</v>
      </c>
      <c r="AP7" s="34">
        <f>SUMIF($K$7:$K$12,AO7,$AJ$7:$AJ$12) + SUMIF($N$7:$N$12,AO7,$AK$7:$AK$12)</f>
        <v>9</v>
      </c>
      <c r="AQ7" s="34">
        <f>AR7-AS7</f>
        <v>7</v>
      </c>
      <c r="AR7" s="34">
        <f>SUMIF($K$7:$K$12,AO7,$L$7:$L$12) + SUMIF($N$7:$N$12,AO7,$M$7:$M$12)</f>
        <v>9</v>
      </c>
      <c r="AS7" s="34">
        <f>SUMIF($K$7:$K$12,AO7,$M$7:$M$12) + SUMIF($N$7:$N$12,AO7,$L$7:$L$12)</f>
        <v>2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-90070900</v>
      </c>
      <c r="BA7" s="34">
        <f>AZ7-AY7*10</f>
        <v>-90070910</v>
      </c>
      <c r="BB7" s="34">
        <f>BA7+N23</f>
        <v>-90070909</v>
      </c>
    </row>
    <row r="8" spans="2:54" x14ac:dyDescent="0.35">
      <c r="B8" s="7">
        <v>1</v>
      </c>
      <c r="C8" s="8" t="str">
        <f t="shared" ref="C8:G11" si="0">IFERROR(VLOOKUP($B8,$AN$7:$AS$11,C$5,FALSE),"")</f>
        <v>Argentina</v>
      </c>
      <c r="D8" s="9">
        <f t="shared" si="0"/>
        <v>9</v>
      </c>
      <c r="E8" s="9">
        <f t="shared" si="0"/>
        <v>9</v>
      </c>
      <c r="F8" s="9">
        <f t="shared" si="0"/>
        <v>2</v>
      </c>
      <c r="G8" s="10">
        <f t="shared" si="0"/>
        <v>7</v>
      </c>
      <c r="I8" s="18">
        <v>6</v>
      </c>
      <c r="J8" s="19">
        <v>44887</v>
      </c>
      <c r="K8" s="20" t="s">
        <v>35</v>
      </c>
      <c r="L8" s="21">
        <v>3</v>
      </c>
      <c r="M8" s="22">
        <v>0</v>
      </c>
      <c r="N8" s="18" t="s">
        <v>38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3</v>
      </c>
      <c r="AO8" s="34" t="s">
        <v>36</v>
      </c>
      <c r="AP8" s="34">
        <f>SUMIF($K$7:$K$12,AO8,$AJ$7:$AJ$12) + SUMIF($N$7:$N$12,AO8,$AK$7:$AK$12)</f>
        <v>3</v>
      </c>
      <c r="AQ8" s="34">
        <f>AR8-AS8</f>
        <v>-3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6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-29970300</v>
      </c>
      <c r="BA8" s="34">
        <f t="shared" ref="BA8:BA10" si="10">AZ8-AY8*10</f>
        <v>-29970310</v>
      </c>
      <c r="BB8" s="34">
        <f>BA8+N24</f>
        <v>-29970308</v>
      </c>
    </row>
    <row r="9" spans="2:54" x14ac:dyDescent="0.35">
      <c r="B9" s="11">
        <v>2</v>
      </c>
      <c r="C9" s="12" t="str">
        <f t="shared" si="0"/>
        <v>Polonia</v>
      </c>
      <c r="D9" s="13">
        <f t="shared" si="0"/>
        <v>6</v>
      </c>
      <c r="E9" s="13">
        <f t="shared" si="0"/>
        <v>4</v>
      </c>
      <c r="F9" s="13">
        <f t="shared" si="0"/>
        <v>3</v>
      </c>
      <c r="G9" s="14">
        <f t="shared" si="0"/>
        <v>1</v>
      </c>
      <c r="I9" s="23">
        <f>I7+16</f>
        <v>21</v>
      </c>
      <c r="J9" s="24">
        <v>44891</v>
      </c>
      <c r="K9" s="25" t="s">
        <v>37</v>
      </c>
      <c r="L9" s="21">
        <v>1</v>
      </c>
      <c r="M9" s="22">
        <v>0</v>
      </c>
      <c r="N9" s="23" t="s">
        <v>38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Polonia_Arabia Saudita</v>
      </c>
      <c r="AJ9" s="34">
        <f t="shared" si="2"/>
        <v>3</v>
      </c>
      <c r="AK9" s="34">
        <f t="shared" si="3"/>
        <v>0</v>
      </c>
      <c r="AL9" s="34" t="str">
        <f t="shared" si="4"/>
        <v>Polonia</v>
      </c>
      <c r="AN9" s="34">
        <f>_xlfn.RANK.EQ(BB9,BB$7:BB$11,1)</f>
        <v>2</v>
      </c>
      <c r="AO9" s="34" t="s">
        <v>37</v>
      </c>
      <c r="AP9" s="34">
        <f>SUMIF($K$7:$K$12,AO9,$AJ$7:$AJ$12) + SUMIF($N$7:$N$12,AO9,$AK$7:$AK$12)</f>
        <v>6</v>
      </c>
      <c r="AQ9" s="34">
        <f t="shared" ref="AQ9:AQ10" si="11">AR9-AS9</f>
        <v>1</v>
      </c>
      <c r="AR9" s="34">
        <f t="shared" si="5"/>
        <v>4</v>
      </c>
      <c r="AS9" s="34">
        <f t="shared" si="6"/>
        <v>3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-60010400</v>
      </c>
      <c r="BA9" s="34">
        <f t="shared" si="10"/>
        <v>-60010410</v>
      </c>
      <c r="BB9" s="34">
        <f>BA9+N25</f>
        <v>-60010407</v>
      </c>
    </row>
    <row r="10" spans="2:54" x14ac:dyDescent="0.35">
      <c r="B10" s="48">
        <v>3</v>
      </c>
      <c r="C10" s="49" t="str">
        <f t="shared" si="0"/>
        <v>Mexico</v>
      </c>
      <c r="D10" s="50">
        <f t="shared" si="0"/>
        <v>3</v>
      </c>
      <c r="E10" s="50">
        <f t="shared" si="0"/>
        <v>3</v>
      </c>
      <c r="F10" s="50">
        <f t="shared" si="0"/>
        <v>6</v>
      </c>
      <c r="G10" s="51">
        <f t="shared" si="0"/>
        <v>-3</v>
      </c>
      <c r="I10" s="18">
        <f>I8+16</f>
        <v>22</v>
      </c>
      <c r="J10" s="19">
        <v>44891</v>
      </c>
      <c r="K10" s="20" t="s">
        <v>35</v>
      </c>
      <c r="L10" s="21">
        <v>4</v>
      </c>
      <c r="M10" s="22">
        <v>1</v>
      </c>
      <c r="N10" s="18" t="s">
        <v>36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Argentina_Mexico</v>
      </c>
      <c r="AJ10" s="34">
        <f t="shared" si="2"/>
        <v>3</v>
      </c>
      <c r="AK10" s="34">
        <f t="shared" si="3"/>
        <v>0</v>
      </c>
      <c r="AL10" s="34" t="str">
        <f t="shared" si="4"/>
        <v>Argentina</v>
      </c>
      <c r="AN10" s="34">
        <f>_xlfn.RANK.EQ(BB10,BB$7:BB$11,1)</f>
        <v>4</v>
      </c>
      <c r="AO10" s="34" t="s">
        <v>38</v>
      </c>
      <c r="AP10" s="34">
        <f>SUMIF($K$7:$K$12,AO10,$AJ$7:$AJ$12) + SUMIF($N$7:$N$12,AO10,$AK$7:$AK$12)</f>
        <v>0</v>
      </c>
      <c r="AQ10" s="34">
        <f t="shared" si="11"/>
        <v>-5</v>
      </c>
      <c r="AR10" s="34">
        <f>SUMIF($K$7:$K$12,AO10,$L$7:$L$12) + SUMIF($N$7:$N$12,AO10,$M$7:$M$12)</f>
        <v>0</v>
      </c>
      <c r="AS10" s="34">
        <f>SUMIF($K$7:$K$12,AO10,$M$7:$M$12) + SUMIF($N$7:$N$12,AO10,$L$7:$L$12)</f>
        <v>5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50000</v>
      </c>
      <c r="BA10" s="34">
        <f t="shared" si="10"/>
        <v>49990</v>
      </c>
      <c r="BB10" s="34">
        <f>BA10+N26</f>
        <v>49994</v>
      </c>
    </row>
    <row r="11" spans="2:54" ht="15" thickBot="1" x14ac:dyDescent="0.4">
      <c r="B11" s="52">
        <v>4</v>
      </c>
      <c r="C11" s="53" t="str">
        <f t="shared" si="0"/>
        <v>Arabia Saudita</v>
      </c>
      <c r="D11" s="54">
        <f t="shared" si="0"/>
        <v>0</v>
      </c>
      <c r="E11" s="54">
        <f t="shared" si="0"/>
        <v>0</v>
      </c>
      <c r="F11" s="54">
        <f t="shared" si="0"/>
        <v>5</v>
      </c>
      <c r="G11" s="55">
        <f t="shared" si="0"/>
        <v>-5</v>
      </c>
      <c r="I11" s="23">
        <f>I9+16</f>
        <v>37</v>
      </c>
      <c r="J11" s="24">
        <v>44895</v>
      </c>
      <c r="K11" s="25" t="s">
        <v>37</v>
      </c>
      <c r="L11" s="21">
        <v>1</v>
      </c>
      <c r="M11" s="22">
        <v>2</v>
      </c>
      <c r="N11" s="23" t="s">
        <v>35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Polonia_Argentina</v>
      </c>
      <c r="AJ11" s="34">
        <f t="shared" si="2"/>
        <v>0</v>
      </c>
      <c r="AK11" s="34">
        <f t="shared" si="3"/>
        <v>3</v>
      </c>
      <c r="AL11" s="34" t="str">
        <f t="shared" si="4"/>
        <v>Argentina</v>
      </c>
    </row>
    <row r="12" spans="2:54" ht="15" thickBot="1" x14ac:dyDescent="0.4">
      <c r="I12" s="26">
        <f>I10+16</f>
        <v>38</v>
      </c>
      <c r="J12" s="27">
        <v>44895</v>
      </c>
      <c r="K12" s="28" t="s">
        <v>38</v>
      </c>
      <c r="L12" s="32">
        <v>0</v>
      </c>
      <c r="M12" s="33">
        <v>1</v>
      </c>
      <c r="N12" s="26" t="s">
        <v>36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Arabia Saudita_Mexico</v>
      </c>
      <c r="AJ12" s="34">
        <f t="shared" si="2"/>
        <v>0</v>
      </c>
      <c r="AK12" s="34">
        <f t="shared" si="3"/>
        <v>3</v>
      </c>
      <c r="AL12" s="34" t="str">
        <f t="shared" si="4"/>
        <v>Mexico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35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36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37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B9DC-8F79-448B-BCD5-4B75D70E9A7F}">
  <dimension ref="A2:BB28"/>
  <sheetViews>
    <sheetView workbookViewId="0">
      <selection activeCell="K13" sqref="K13"/>
    </sheetView>
  </sheetViews>
  <sheetFormatPr baseColWidth="10" defaultColWidth="11.453125" defaultRowHeight="14.5" x14ac:dyDescent="0.35"/>
  <cols>
    <col min="1" max="2" width="10.90625" customWidth="1"/>
    <col min="3" max="3" width="13.7265625" bestFit="1" customWidth="1"/>
    <col min="4" max="10" width="10.90625"/>
    <col min="11" max="11" width="13.7265625" bestFit="1" customWidth="1"/>
    <col min="12" max="13" width="10.90625"/>
    <col min="14" max="14" width="13.7265625" bestFit="1" customWidth="1"/>
    <col min="15" max="34" width="13.7265625" style="78" customWidth="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6" t="s">
        <v>39</v>
      </c>
      <c r="C3" s="97"/>
      <c r="D3" s="97"/>
      <c r="E3" s="97"/>
      <c r="F3" s="97"/>
      <c r="G3" s="98"/>
    </row>
    <row r="4" spans="2:54" ht="15" thickBot="1" x14ac:dyDescent="0.4">
      <c r="B4" s="99"/>
      <c r="C4" s="100"/>
      <c r="D4" s="100"/>
      <c r="E4" s="100"/>
      <c r="F4" s="100"/>
      <c r="G4" s="101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1</v>
      </c>
      <c r="M7" s="31">
        <v>1</v>
      </c>
      <c r="N7" s="16" t="s">
        <v>42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Dinamarca_Tunez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">
        <v>40</v>
      </c>
      <c r="AP7" s="34">
        <f>SUMIF($K$7:$K$12,AO7,$AJ$7:$AJ$12) + SUMIF($N$7:$N$12,AO7,$AK$7:$AK$12)</f>
        <v>9</v>
      </c>
      <c r="AQ7" s="34">
        <f>AR7-AS7</f>
        <v>4</v>
      </c>
      <c r="AR7" s="34">
        <f>SUMIF($K$7:$K$12,AO7,$L$7:$L$12) + SUMIF($N$7:$N$12,AO7,$M$7:$M$12)</f>
        <v>5</v>
      </c>
      <c r="AS7" s="34">
        <f>SUMIF($K$7:$K$12,AO7,$M$7:$M$12) + SUMIF($N$7:$N$12,AO7,$L$7:$L$12)</f>
        <v>1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-90040500</v>
      </c>
      <c r="BA7" s="34">
        <f>AZ7-AY7*10</f>
        <v>-90040510</v>
      </c>
      <c r="BB7" s="34">
        <f>BA7+N23</f>
        <v>-90040509</v>
      </c>
    </row>
    <row r="8" spans="2:54" x14ac:dyDescent="0.35">
      <c r="B8" s="7">
        <v>1</v>
      </c>
      <c r="C8" s="8" t="str">
        <f t="shared" ref="C8:G11" si="0">IFERROR(VLOOKUP($B8,$AN$7:$AS$11,C$5,FALSE),"")</f>
        <v>Francia</v>
      </c>
      <c r="D8" s="9">
        <f t="shared" si="0"/>
        <v>9</v>
      </c>
      <c r="E8" s="9">
        <f t="shared" si="0"/>
        <v>5</v>
      </c>
      <c r="F8" s="9">
        <f t="shared" si="0"/>
        <v>1</v>
      </c>
      <c r="G8" s="10">
        <f t="shared" si="0"/>
        <v>4</v>
      </c>
      <c r="I8" s="18">
        <v>8</v>
      </c>
      <c r="J8" s="19">
        <v>44887</v>
      </c>
      <c r="K8" s="20" t="s">
        <v>40</v>
      </c>
      <c r="L8" s="21">
        <v>2</v>
      </c>
      <c r="M8" s="22">
        <v>0</v>
      </c>
      <c r="N8" s="18" t="s">
        <v>43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Francia_Australia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Francia</v>
      </c>
      <c r="AN8" s="34">
        <f>_xlfn.RANK.EQ(BB8,BB$7:BB$11,1)</f>
        <v>3</v>
      </c>
      <c r="AO8" s="34" t="s">
        <v>41</v>
      </c>
      <c r="AP8" s="34">
        <f>SUMIF($K$7:$K$12,AO8,$AJ$7:$AJ$12) + SUMIF($N$7:$N$12,AO8,$AK$7:$AK$12)</f>
        <v>2</v>
      </c>
      <c r="AQ8" s="34">
        <f>AR8-AS8</f>
        <v>-1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-19990300</v>
      </c>
      <c r="BA8" s="34">
        <f t="shared" ref="BA8:BA10" si="10">AZ8-AY8*10</f>
        <v>-19990310</v>
      </c>
      <c r="BB8" s="34">
        <f>BA8+N24</f>
        <v>-19990308</v>
      </c>
    </row>
    <row r="9" spans="2:54" x14ac:dyDescent="0.35">
      <c r="B9" s="11">
        <v>2</v>
      </c>
      <c r="C9" s="12" t="str">
        <f t="shared" si="0"/>
        <v>Australia</v>
      </c>
      <c r="D9" s="13">
        <f t="shared" si="0"/>
        <v>4</v>
      </c>
      <c r="E9" s="13">
        <f t="shared" si="0"/>
        <v>2</v>
      </c>
      <c r="F9" s="13">
        <f t="shared" si="0"/>
        <v>3</v>
      </c>
      <c r="G9" s="14">
        <f t="shared" si="0"/>
        <v>-1</v>
      </c>
      <c r="I9" s="23">
        <f>I7+16</f>
        <v>23</v>
      </c>
      <c r="J9" s="24">
        <v>44891</v>
      </c>
      <c r="K9" s="25" t="s">
        <v>42</v>
      </c>
      <c r="L9" s="21">
        <v>0</v>
      </c>
      <c r="M9" s="22">
        <v>1</v>
      </c>
      <c r="N9" s="23" t="s">
        <v>43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Tunez_Australia</v>
      </c>
      <c r="AJ9" s="34">
        <f t="shared" si="2"/>
        <v>0</v>
      </c>
      <c r="AK9" s="34">
        <f t="shared" si="3"/>
        <v>3</v>
      </c>
      <c r="AL9" s="34" t="str">
        <f t="shared" si="4"/>
        <v>Australia</v>
      </c>
      <c r="AN9" s="34">
        <f>_xlfn.RANK.EQ(BB9,BB$7:BB$11,1)</f>
        <v>4</v>
      </c>
      <c r="AO9" s="34" t="s">
        <v>42</v>
      </c>
      <c r="AP9" s="34">
        <f>SUMIF($K$7:$K$12,AO9,$AJ$7:$AJ$12) + SUMIF($N$7:$N$12,AO9,$AK$7:$AK$12)</f>
        <v>1</v>
      </c>
      <c r="AQ9" s="34">
        <f t="shared" ref="AQ9:AQ10" si="11">AR9-AS9</f>
        <v>-2</v>
      </c>
      <c r="AR9" s="34">
        <f t="shared" si="5"/>
        <v>1</v>
      </c>
      <c r="AS9" s="34">
        <f t="shared" si="6"/>
        <v>3</v>
      </c>
      <c r="AV9" s="34" t="str">
        <f t="shared" si="7"/>
        <v>Tunez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-9980100</v>
      </c>
      <c r="BA9" s="34">
        <f t="shared" si="10"/>
        <v>-9980110</v>
      </c>
      <c r="BB9" s="34">
        <f>BA9+N25</f>
        <v>-9980107</v>
      </c>
    </row>
    <row r="10" spans="2:54" x14ac:dyDescent="0.35">
      <c r="B10" s="48">
        <v>3</v>
      </c>
      <c r="C10" s="49" t="str">
        <f t="shared" si="0"/>
        <v>Dinamarca</v>
      </c>
      <c r="D10" s="50">
        <f t="shared" si="0"/>
        <v>2</v>
      </c>
      <c r="E10" s="50">
        <f t="shared" si="0"/>
        <v>3</v>
      </c>
      <c r="F10" s="50">
        <f t="shared" si="0"/>
        <v>4</v>
      </c>
      <c r="G10" s="51">
        <f t="shared" si="0"/>
        <v>-1</v>
      </c>
      <c r="I10" s="18">
        <f>I8+16</f>
        <v>24</v>
      </c>
      <c r="J10" s="19">
        <v>44891</v>
      </c>
      <c r="K10" s="20" t="s">
        <v>40</v>
      </c>
      <c r="L10" s="21">
        <v>2</v>
      </c>
      <c r="M10" s="22">
        <v>1</v>
      </c>
      <c r="N10" s="18" t="s">
        <v>41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Francia_Dinamarca</v>
      </c>
      <c r="AJ10" s="34">
        <f t="shared" si="2"/>
        <v>3</v>
      </c>
      <c r="AK10" s="34">
        <f t="shared" si="3"/>
        <v>0</v>
      </c>
      <c r="AL10" s="34" t="str">
        <f t="shared" si="4"/>
        <v>Francia</v>
      </c>
      <c r="AN10" s="34">
        <f>_xlfn.RANK.EQ(BB10,BB$7:BB$11,1)</f>
        <v>2</v>
      </c>
      <c r="AO10" s="34" t="s">
        <v>43</v>
      </c>
      <c r="AP10" s="34">
        <f>SUMIF($K$7:$K$12,AO10,$AJ$7:$AJ$12) + SUMIF($N$7:$N$12,AO10,$AK$7:$AK$12)</f>
        <v>4</v>
      </c>
      <c r="AQ10" s="34">
        <f t="shared" si="11"/>
        <v>-1</v>
      </c>
      <c r="AR10" s="34">
        <f>SUMIF($K$7:$K$12,AO10,$L$7:$L$12) + SUMIF($N$7:$N$12,AO10,$M$7:$M$12)</f>
        <v>2</v>
      </c>
      <c r="AS10" s="34">
        <f>SUMIF($K$7:$K$12,AO10,$M$7:$M$12) + SUMIF($N$7:$N$12,AO10,$L$7:$L$12)</f>
        <v>3</v>
      </c>
      <c r="AV10" s="34" t="str">
        <f t="shared" si="7"/>
        <v>Australia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-39990200</v>
      </c>
      <c r="BA10" s="34">
        <f t="shared" si="10"/>
        <v>-39990210</v>
      </c>
      <c r="BB10" s="34">
        <f>BA10+N26</f>
        <v>-39990206</v>
      </c>
    </row>
    <row r="11" spans="2:54" ht="15" thickBot="1" x14ac:dyDescent="0.4">
      <c r="B11" s="52">
        <v>4</v>
      </c>
      <c r="C11" s="53" t="str">
        <f t="shared" si="0"/>
        <v>Tunez</v>
      </c>
      <c r="D11" s="54">
        <f t="shared" si="0"/>
        <v>1</v>
      </c>
      <c r="E11" s="54">
        <f t="shared" si="0"/>
        <v>1</v>
      </c>
      <c r="F11" s="54">
        <f t="shared" si="0"/>
        <v>3</v>
      </c>
      <c r="G11" s="55">
        <f t="shared" si="0"/>
        <v>-2</v>
      </c>
      <c r="I11" s="23">
        <f>I9+16</f>
        <v>39</v>
      </c>
      <c r="J11" s="24">
        <v>44895</v>
      </c>
      <c r="K11" s="25" t="s">
        <v>42</v>
      </c>
      <c r="L11" s="21">
        <v>0</v>
      </c>
      <c r="M11" s="22">
        <v>1</v>
      </c>
      <c r="N11" s="23" t="s">
        <v>40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Tunez_Francia</v>
      </c>
      <c r="AJ11" s="34">
        <f t="shared" si="2"/>
        <v>0</v>
      </c>
      <c r="AK11" s="34">
        <f t="shared" si="3"/>
        <v>3</v>
      </c>
      <c r="AL11" s="34" t="str">
        <f t="shared" si="4"/>
        <v>Francia</v>
      </c>
    </row>
    <row r="12" spans="2:54" ht="15" thickBot="1" x14ac:dyDescent="0.4">
      <c r="I12" s="26">
        <f>I10+16</f>
        <v>40</v>
      </c>
      <c r="J12" s="27">
        <v>44895</v>
      </c>
      <c r="K12" s="28" t="s">
        <v>43</v>
      </c>
      <c r="L12" s="32">
        <v>1</v>
      </c>
      <c r="M12" s="33">
        <v>1</v>
      </c>
      <c r="N12" s="26" t="s">
        <v>41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Australia_Dinamarca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42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43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CB4A-2415-4AE2-9FAE-7DADDEBC5AD5}">
  <dimension ref="A2:BB28"/>
  <sheetViews>
    <sheetView workbookViewId="0">
      <selection activeCell="L13" sqref="L13"/>
    </sheetView>
  </sheetViews>
  <sheetFormatPr baseColWidth="10" defaultColWidth="11.453125" defaultRowHeight="14.5" x14ac:dyDescent="0.35"/>
  <cols>
    <col min="1" max="2" width="10.90625" customWidth="1"/>
    <col min="3" max="3" width="13.7265625" bestFit="1" customWidth="1"/>
    <col min="4" max="10" width="10.90625"/>
    <col min="11" max="11" width="13.7265625" bestFit="1" customWidth="1"/>
    <col min="12" max="13" width="10.90625"/>
    <col min="14" max="14" width="13.7265625" bestFit="1" customWidth="1"/>
    <col min="15" max="34" width="13.7265625" style="78" customWidth="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6" t="s">
        <v>70</v>
      </c>
      <c r="C3" s="97"/>
      <c r="D3" s="97"/>
      <c r="E3" s="97"/>
      <c r="F3" s="97"/>
      <c r="G3" s="98"/>
    </row>
    <row r="4" spans="2:54" ht="15" thickBot="1" x14ac:dyDescent="0.4">
      <c r="B4" s="99"/>
      <c r="C4" s="100"/>
      <c r="D4" s="100"/>
      <c r="E4" s="100"/>
      <c r="F4" s="100"/>
      <c r="G4" s="101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2</v>
      </c>
      <c r="M7" s="31">
        <v>0</v>
      </c>
      <c r="N7" s="16" t="s">
        <v>46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1</v>
      </c>
      <c r="AO7" s="34" t="s">
        <v>44</v>
      </c>
      <c r="AP7" s="34">
        <f>SUMIF($K$7:$K$12,AO7,$AJ$7:$AJ$12) + SUMIF($N$7:$N$12,AO7,$AK$7:$AK$12)</f>
        <v>7</v>
      </c>
      <c r="AQ7" s="34">
        <f>AR7-AS7</f>
        <v>4</v>
      </c>
      <c r="AR7" s="34">
        <f>SUMIF($K$7:$K$12,AO7,$L$7:$L$12) + SUMIF($N$7:$N$12,AO7,$M$7:$M$12)</f>
        <v>5</v>
      </c>
      <c r="AS7" s="34">
        <f>SUMIF($K$7:$K$12,AO7,$M$7:$M$12) + SUMIF($N$7:$N$12,AO7,$L$7:$L$12)</f>
        <v>1</v>
      </c>
      <c r="AV7" s="34" t="str">
        <f>AO7</f>
        <v>España</v>
      </c>
      <c r="AW7" s="34" t="str">
        <f>IF(AZ7=AZ8,AV8,IF(AZ7=AZ9,AV9,IF(AZ7=AZ10,AV10,"")))</f>
        <v>Alemania</v>
      </c>
      <c r="AX7" s="34" t="str">
        <f>IF(AW7="","",IFERROR(VLOOKUP(CONCATENATE(AV7,"_",AW7),$AI$7:$AL$16,4,FALSE),VLOOKUP(CONCATENATE(AW7,"_",AV7),$AI$7:$AL$16,4,FALSE)))</f>
        <v>SIN GANADOR</v>
      </c>
      <c r="AY7" s="34">
        <f>IF(AX7="",1,IF(AX7=AV7,1,0))</f>
        <v>0</v>
      </c>
      <c r="AZ7" s="34">
        <f>-AP7*10000000 - AQ7*10000 - AR7*100</f>
        <v>-70040500</v>
      </c>
      <c r="BA7" s="34">
        <f>AZ7-AY7*10</f>
        <v>-70040500</v>
      </c>
      <c r="BB7" s="34">
        <f>BA7+N23</f>
        <v>-70040499</v>
      </c>
    </row>
    <row r="8" spans="2:54" x14ac:dyDescent="0.35">
      <c r="B8" s="7">
        <v>1</v>
      </c>
      <c r="C8" s="8" t="str">
        <f t="shared" ref="C8:G11" si="0">IFERROR(VLOOKUP($B8,$AN$7:$AS$11,C$5,FALSE),"")</f>
        <v>España</v>
      </c>
      <c r="D8" s="9">
        <f t="shared" si="0"/>
        <v>7</v>
      </c>
      <c r="E8" s="9">
        <f t="shared" si="0"/>
        <v>5</v>
      </c>
      <c r="F8" s="9">
        <f t="shared" si="0"/>
        <v>1</v>
      </c>
      <c r="G8" s="10">
        <f t="shared" si="0"/>
        <v>4</v>
      </c>
      <c r="I8" s="18">
        <v>10</v>
      </c>
      <c r="J8" s="19">
        <v>44888</v>
      </c>
      <c r="K8" s="20" t="s">
        <v>44</v>
      </c>
      <c r="L8" s="21">
        <v>2</v>
      </c>
      <c r="M8" s="22">
        <v>0</v>
      </c>
      <c r="N8" s="18" t="s">
        <v>47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2</v>
      </c>
      <c r="AO8" s="34" t="s">
        <v>45</v>
      </c>
      <c r="AP8" s="34">
        <f>SUMIF($K$7:$K$12,AO8,$AJ$7:$AJ$12) + SUMIF($N$7:$N$12,AO8,$AK$7:$AK$12)</f>
        <v>7</v>
      </c>
      <c r="AQ8" s="34">
        <f>AR8-AS8</f>
        <v>4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Alemania</v>
      </c>
      <c r="AW8" s="34" t="str">
        <f>IF(AZ8=AZ9,AV9,IF(AZ8=AZ10,AV10,IF(AZ8=AZ7,AV7,"")))</f>
        <v>España</v>
      </c>
      <c r="AX8" s="34" t="str">
        <f>IF(AW8="","",IFERROR(VLOOKUP(CONCATENATE(AV8,"_",AW8),$AI$7:$AL$16,4,FALSE),VLOOKUP(CONCATENATE(AW8,"_",AV8),$AI$7:$AL$16,4,FALSE)))</f>
        <v>SIN GANADOR</v>
      </c>
      <c r="AY8" s="34">
        <f t="shared" ref="AY8:AY10" si="8">IF(AX8="",1,IF(AX8=AV8,1,0))</f>
        <v>0</v>
      </c>
      <c r="AZ8" s="34">
        <f t="shared" ref="AZ8:AZ10" si="9">-AP8*10000000 - AQ8*10000 - AR8*100</f>
        <v>-70040500</v>
      </c>
      <c r="BA8" s="34">
        <f t="shared" ref="BA8:BA10" si="10">AZ8-AY8*10</f>
        <v>-70040500</v>
      </c>
      <c r="BB8" s="34">
        <f>BA8+N24</f>
        <v>-70040498</v>
      </c>
    </row>
    <row r="9" spans="2:54" x14ac:dyDescent="0.35">
      <c r="B9" s="11">
        <v>2</v>
      </c>
      <c r="C9" s="12" t="str">
        <f t="shared" si="0"/>
        <v>Alemania</v>
      </c>
      <c r="D9" s="13">
        <f t="shared" si="0"/>
        <v>7</v>
      </c>
      <c r="E9" s="13">
        <f t="shared" si="0"/>
        <v>5</v>
      </c>
      <c r="F9" s="13">
        <f t="shared" si="0"/>
        <v>1</v>
      </c>
      <c r="G9" s="14">
        <f t="shared" si="0"/>
        <v>4</v>
      </c>
      <c r="I9" s="23">
        <f>I7+16</f>
        <v>25</v>
      </c>
      <c r="J9" s="24">
        <v>44892</v>
      </c>
      <c r="K9" s="25" t="s">
        <v>46</v>
      </c>
      <c r="L9" s="21">
        <v>1</v>
      </c>
      <c r="M9" s="22">
        <v>1</v>
      </c>
      <c r="N9" s="23" t="s">
        <v>47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Japon_Costa Rica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3</v>
      </c>
      <c r="AO9" s="34" t="s">
        <v>46</v>
      </c>
      <c r="AP9" s="34">
        <f>SUMIF($K$7:$K$12,AO9,$AJ$7:$AJ$12) + SUMIF($N$7:$N$12,AO9,$AK$7:$AK$12)</f>
        <v>1</v>
      </c>
      <c r="AQ9" s="34">
        <f t="shared" ref="AQ9:AQ10" si="11">AR9-AS9</f>
        <v>-4</v>
      </c>
      <c r="AR9" s="34">
        <f t="shared" si="5"/>
        <v>1</v>
      </c>
      <c r="AS9" s="34">
        <f t="shared" si="6"/>
        <v>5</v>
      </c>
      <c r="AV9" s="34" t="str">
        <f t="shared" si="7"/>
        <v>Japon</v>
      </c>
      <c r="AW9" s="34" t="str">
        <f>IF(AZ9=AZ10,AV10,IF(AZ9=AZ7,AV7,IF(AZ9=AZ8,AV8,"")))</f>
        <v>Costa Rica</v>
      </c>
      <c r="AX9" s="34" t="str">
        <f>IF(AW9="","",IFERROR(VLOOKUP(CONCATENATE(AV9,"_",AW9),$AI$7:$AL$16,4,FALSE),VLOOKUP(CONCATENATE(AW9,"_",AV9),$AI$7:$AL$16,4,FALSE)))</f>
        <v>SIN GANADOR</v>
      </c>
      <c r="AY9" s="34">
        <f t="shared" si="8"/>
        <v>0</v>
      </c>
      <c r="AZ9" s="34">
        <f t="shared" si="9"/>
        <v>-9960100</v>
      </c>
      <c r="BA9" s="34">
        <f t="shared" si="10"/>
        <v>-9960100</v>
      </c>
      <c r="BB9" s="34">
        <f>BA9+N25</f>
        <v>-9960097</v>
      </c>
    </row>
    <row r="10" spans="2:54" x14ac:dyDescent="0.35">
      <c r="B10" s="48">
        <v>3</v>
      </c>
      <c r="C10" s="49" t="str">
        <f t="shared" si="0"/>
        <v>Japon</v>
      </c>
      <c r="D10" s="50">
        <f t="shared" si="0"/>
        <v>1</v>
      </c>
      <c r="E10" s="50">
        <f t="shared" si="0"/>
        <v>1</v>
      </c>
      <c r="F10" s="50">
        <f t="shared" si="0"/>
        <v>5</v>
      </c>
      <c r="G10" s="51">
        <f t="shared" si="0"/>
        <v>-4</v>
      </c>
      <c r="I10" s="18">
        <f>I8+16</f>
        <v>26</v>
      </c>
      <c r="J10" s="19">
        <v>44892</v>
      </c>
      <c r="K10" s="20" t="s">
        <v>44</v>
      </c>
      <c r="L10" s="21">
        <v>1</v>
      </c>
      <c r="M10" s="22">
        <v>1</v>
      </c>
      <c r="N10" s="18" t="s">
        <v>45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España_Alemania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4</v>
      </c>
      <c r="AO10" s="34" t="s">
        <v>47</v>
      </c>
      <c r="AP10" s="34">
        <f>SUMIF($K$7:$K$12,AO10,$AJ$7:$AJ$12) + SUMIF($N$7:$N$12,AO10,$AK$7:$AK$12)</f>
        <v>1</v>
      </c>
      <c r="AQ10" s="34">
        <f t="shared" si="11"/>
        <v>-4</v>
      </c>
      <c r="AR10" s="34">
        <f>SUMIF($K$7:$K$12,AO10,$L$7:$L$12) + SUMIF($N$7:$N$12,AO10,$M$7:$M$12)</f>
        <v>1</v>
      </c>
      <c r="AS10" s="34">
        <f>SUMIF($K$7:$K$12,AO10,$M$7:$M$12) + SUMIF($N$7:$N$12,AO10,$L$7:$L$12)</f>
        <v>5</v>
      </c>
      <c r="AV10" s="34" t="str">
        <f t="shared" si="7"/>
        <v>Costa Rica</v>
      </c>
      <c r="AW10" s="34" t="str">
        <f>IF(AZ10=AZ7,AV7,IF(AZ10=AZ8,AV8,IF(AZ10=AZ9,AV9,"")))</f>
        <v>Japon</v>
      </c>
      <c r="AX10" s="34" t="str">
        <f>IF(AW10="","",IFERROR(VLOOKUP(CONCATENATE(AV10,"_",AW10),$AI$7:$AL$16,4,FALSE),VLOOKUP(CONCATENATE(AW10,"_",AV10),$AI$7:$AL$16,4,FALSE)))</f>
        <v>SIN GANADOR</v>
      </c>
      <c r="AY10" s="34">
        <f t="shared" si="8"/>
        <v>0</v>
      </c>
      <c r="AZ10" s="34">
        <f t="shared" si="9"/>
        <v>-9960100</v>
      </c>
      <c r="BA10" s="34">
        <f t="shared" si="10"/>
        <v>-9960100</v>
      </c>
      <c r="BB10" s="34">
        <f>BA10+N26</f>
        <v>-9960096</v>
      </c>
    </row>
    <row r="11" spans="2:54" ht="15" thickBot="1" x14ac:dyDescent="0.4">
      <c r="B11" s="52">
        <v>4</v>
      </c>
      <c r="C11" s="53" t="str">
        <f t="shared" si="0"/>
        <v>Costa Rica</v>
      </c>
      <c r="D11" s="54">
        <f t="shared" si="0"/>
        <v>1</v>
      </c>
      <c r="E11" s="54">
        <f t="shared" si="0"/>
        <v>1</v>
      </c>
      <c r="F11" s="54">
        <f t="shared" si="0"/>
        <v>5</v>
      </c>
      <c r="G11" s="55">
        <f t="shared" si="0"/>
        <v>-4</v>
      </c>
      <c r="I11" s="23">
        <f>I9+16</f>
        <v>41</v>
      </c>
      <c r="J11" s="24">
        <v>44896</v>
      </c>
      <c r="K11" s="25" t="s">
        <v>46</v>
      </c>
      <c r="L11" s="21">
        <v>0</v>
      </c>
      <c r="M11" s="22">
        <v>2</v>
      </c>
      <c r="N11" s="23" t="s">
        <v>44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Japon_España</v>
      </c>
      <c r="AJ11" s="34">
        <f t="shared" si="2"/>
        <v>0</v>
      </c>
      <c r="AK11" s="34">
        <f t="shared" si="3"/>
        <v>3</v>
      </c>
      <c r="AL11" s="34" t="str">
        <f t="shared" si="4"/>
        <v>España</v>
      </c>
    </row>
    <row r="12" spans="2:54" ht="15" thickBot="1" x14ac:dyDescent="0.4">
      <c r="I12" s="26">
        <f>I10+16</f>
        <v>42</v>
      </c>
      <c r="J12" s="27">
        <v>44896</v>
      </c>
      <c r="K12" s="28" t="s">
        <v>47</v>
      </c>
      <c r="L12" s="32">
        <v>0</v>
      </c>
      <c r="M12" s="33">
        <v>2</v>
      </c>
      <c r="N12" s="26" t="s">
        <v>45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44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45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47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F533-C2D8-4574-857E-EAC55BA9EEFB}">
  <dimension ref="A2:BB28"/>
  <sheetViews>
    <sheetView workbookViewId="0">
      <selection activeCell="J19" sqref="J19"/>
    </sheetView>
  </sheetViews>
  <sheetFormatPr baseColWidth="10" defaultColWidth="11.453125" defaultRowHeight="14.5" x14ac:dyDescent="0.35"/>
  <cols>
    <col min="1" max="2" width="10.90625" customWidth="1"/>
    <col min="3" max="3" width="13.7265625" bestFit="1" customWidth="1"/>
    <col min="4" max="10" width="10.90625"/>
    <col min="11" max="11" width="13.7265625" bestFit="1" customWidth="1"/>
    <col min="12" max="13" width="10.90625"/>
    <col min="14" max="14" width="13.7265625" bestFit="1" customWidth="1"/>
    <col min="15" max="34" width="13.7265625" style="78" customWidth="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6" t="s">
        <v>71</v>
      </c>
      <c r="C3" s="97"/>
      <c r="D3" s="97"/>
      <c r="E3" s="97"/>
      <c r="F3" s="97"/>
      <c r="G3" s="98"/>
    </row>
    <row r="4" spans="2:54" ht="15" thickBot="1" x14ac:dyDescent="0.4">
      <c r="B4" s="99"/>
      <c r="C4" s="100"/>
      <c r="D4" s="100"/>
      <c r="E4" s="100"/>
      <c r="F4" s="100"/>
      <c r="G4" s="101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0</v>
      </c>
      <c r="M7" s="31">
        <v>2</v>
      </c>
      <c r="N7" s="16" t="s">
        <v>49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Marruecos_Croacia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Croacia</v>
      </c>
      <c r="AN7" s="34">
        <f>_xlfn.RANK.EQ(BB7,BB$7:BB$11,1)</f>
        <v>2</v>
      </c>
      <c r="AO7" s="34" t="s">
        <v>48</v>
      </c>
      <c r="AP7" s="34">
        <f>SUMIF($K$7:$K$12,AO7,$AJ$7:$AJ$12) + SUMIF($N$7:$N$12,AO7,$AK$7:$AK$12)</f>
        <v>7</v>
      </c>
      <c r="AQ7" s="34">
        <f>AR7-AS7</f>
        <v>3</v>
      </c>
      <c r="AR7" s="34">
        <f>SUMIF($K$7:$K$12,AO7,$L$7:$L$12) + SUMIF($N$7:$N$12,AO7,$M$7:$M$12)</f>
        <v>4</v>
      </c>
      <c r="AS7" s="34">
        <f>SUMIF($K$7:$K$12,AO7,$M$7:$M$12) + SUMIF($N$7:$N$12,AO7,$L$7:$L$12)</f>
        <v>1</v>
      </c>
      <c r="AV7" s="34" t="str">
        <f>AO7</f>
        <v>Belgica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-70030400</v>
      </c>
      <c r="BA7" s="34">
        <f>AZ7-AY7*10</f>
        <v>-70030410</v>
      </c>
      <c r="BB7" s="34">
        <f>BA7+N23</f>
        <v>-70030409</v>
      </c>
    </row>
    <row r="8" spans="2:54" x14ac:dyDescent="0.35">
      <c r="B8" s="7">
        <v>1</v>
      </c>
      <c r="C8" s="8" t="str">
        <f t="shared" ref="C8:G11" si="0">IFERROR(VLOOKUP($B8,$AN$7:$AS$11,C$5,FALSE),"")</f>
        <v>Croacia</v>
      </c>
      <c r="D8" s="9">
        <f t="shared" si="0"/>
        <v>7</v>
      </c>
      <c r="E8" s="9">
        <f t="shared" si="0"/>
        <v>6</v>
      </c>
      <c r="F8" s="9">
        <f t="shared" si="0"/>
        <v>2</v>
      </c>
      <c r="G8" s="10">
        <f t="shared" si="0"/>
        <v>4</v>
      </c>
      <c r="I8" s="18">
        <v>12</v>
      </c>
      <c r="J8" s="19">
        <v>44888</v>
      </c>
      <c r="K8" s="20" t="s">
        <v>48</v>
      </c>
      <c r="L8" s="21">
        <v>2</v>
      </c>
      <c r="M8" s="22">
        <v>0</v>
      </c>
      <c r="N8" s="18" t="s">
        <v>51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Belgica_Canada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Belgica</v>
      </c>
      <c r="AN8" s="34">
        <f>_xlfn.RANK.EQ(BB8,BB$7:BB$11,1)</f>
        <v>1</v>
      </c>
      <c r="AO8" s="34" t="s">
        <v>49</v>
      </c>
      <c r="AP8" s="34">
        <f>SUMIF($K$7:$K$12,AO8,$AJ$7:$AJ$12) + SUMIF($N$7:$N$12,AO8,$AK$7:$AK$12)</f>
        <v>7</v>
      </c>
      <c r="AQ8" s="34">
        <f>AR8-AS8</f>
        <v>4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Croacia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-70040600</v>
      </c>
      <c r="BA8" s="34">
        <f t="shared" ref="BA8:BA10" si="10">AZ8-AY8*10</f>
        <v>-70040610</v>
      </c>
      <c r="BB8" s="34">
        <f>BA8+N24</f>
        <v>-70040608</v>
      </c>
    </row>
    <row r="9" spans="2:54" x14ac:dyDescent="0.35">
      <c r="B9" s="11">
        <v>2</v>
      </c>
      <c r="C9" s="12" t="str">
        <f t="shared" si="0"/>
        <v>Belgica</v>
      </c>
      <c r="D9" s="13">
        <f t="shared" si="0"/>
        <v>7</v>
      </c>
      <c r="E9" s="13">
        <f t="shared" si="0"/>
        <v>4</v>
      </c>
      <c r="F9" s="13">
        <f t="shared" si="0"/>
        <v>1</v>
      </c>
      <c r="G9" s="14">
        <f t="shared" si="0"/>
        <v>3</v>
      </c>
      <c r="I9" s="23">
        <f>I7+16</f>
        <v>27</v>
      </c>
      <c r="J9" s="24">
        <v>44892</v>
      </c>
      <c r="K9" s="25" t="s">
        <v>48</v>
      </c>
      <c r="L9" s="21">
        <v>1</v>
      </c>
      <c r="M9" s="22">
        <v>0</v>
      </c>
      <c r="N9" s="23" t="s">
        <v>50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Belgica_Marruecos</v>
      </c>
      <c r="AJ9" s="34">
        <f t="shared" si="2"/>
        <v>3</v>
      </c>
      <c r="AK9" s="34">
        <f t="shared" si="3"/>
        <v>0</v>
      </c>
      <c r="AL9" s="34" t="str">
        <f t="shared" si="4"/>
        <v>Belgica</v>
      </c>
      <c r="AN9" s="34">
        <f>_xlfn.RANK.EQ(BB9,BB$7:BB$11,1)</f>
        <v>4</v>
      </c>
      <c r="AO9" s="34" t="s">
        <v>50</v>
      </c>
      <c r="AP9" s="34">
        <f>SUMIF($K$7:$K$12,AO9,$AJ$7:$AJ$12) + SUMIF($N$7:$N$12,AO9,$AK$7:$AK$12)</f>
        <v>0</v>
      </c>
      <c r="AQ9" s="34">
        <f t="shared" ref="AQ9:AQ10" si="11">AR9-AS9</f>
        <v>-4</v>
      </c>
      <c r="AR9" s="34">
        <f t="shared" si="5"/>
        <v>0</v>
      </c>
      <c r="AS9" s="34">
        <f t="shared" si="6"/>
        <v>4</v>
      </c>
      <c r="AV9" s="34" t="str">
        <f t="shared" si="7"/>
        <v>Marruecos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40000</v>
      </c>
      <c r="BA9" s="34">
        <f t="shared" si="10"/>
        <v>39990</v>
      </c>
      <c r="BB9" s="34">
        <f>BA9+N25</f>
        <v>39993</v>
      </c>
    </row>
    <row r="10" spans="2:54" x14ac:dyDescent="0.35">
      <c r="B10" s="48">
        <v>3</v>
      </c>
      <c r="C10" s="49" t="str">
        <f t="shared" si="0"/>
        <v>Canada</v>
      </c>
      <c r="D10" s="50">
        <f t="shared" si="0"/>
        <v>3</v>
      </c>
      <c r="E10" s="50">
        <f t="shared" si="0"/>
        <v>2</v>
      </c>
      <c r="F10" s="50">
        <f t="shared" si="0"/>
        <v>5</v>
      </c>
      <c r="G10" s="51">
        <f t="shared" si="0"/>
        <v>-3</v>
      </c>
      <c r="I10" s="18">
        <f>I8+16</f>
        <v>28</v>
      </c>
      <c r="J10" s="19">
        <v>44892</v>
      </c>
      <c r="K10" s="20" t="s">
        <v>49</v>
      </c>
      <c r="L10" s="21">
        <v>3</v>
      </c>
      <c r="M10" s="22">
        <v>1</v>
      </c>
      <c r="N10" s="18" t="s">
        <v>51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Croacia_Canada</v>
      </c>
      <c r="AJ10" s="34">
        <f t="shared" si="2"/>
        <v>3</v>
      </c>
      <c r="AK10" s="34">
        <f t="shared" si="3"/>
        <v>0</v>
      </c>
      <c r="AL10" s="34" t="str">
        <f t="shared" si="4"/>
        <v>Croacia</v>
      </c>
      <c r="AN10" s="34">
        <f>_xlfn.RANK.EQ(BB10,BB$7:BB$11,1)</f>
        <v>3</v>
      </c>
      <c r="AO10" s="34" t="s">
        <v>51</v>
      </c>
      <c r="AP10" s="34">
        <f>SUMIF($K$7:$K$12,AO10,$AJ$7:$AJ$12) + SUMIF($N$7:$N$12,AO10,$AK$7:$AK$12)</f>
        <v>3</v>
      </c>
      <c r="AQ10" s="34">
        <f t="shared" si="11"/>
        <v>-3</v>
      </c>
      <c r="AR10" s="34">
        <f>SUMIF($K$7:$K$12,AO10,$L$7:$L$12) + SUMIF($N$7:$N$12,AO10,$M$7:$M$12)</f>
        <v>2</v>
      </c>
      <c r="AS10" s="34">
        <f>SUMIF($K$7:$K$12,AO10,$M$7:$M$12) + SUMIF($N$7:$N$12,AO10,$L$7:$L$12)</f>
        <v>5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-29970200</v>
      </c>
      <c r="BA10" s="34">
        <f t="shared" si="10"/>
        <v>-29970210</v>
      </c>
      <c r="BB10" s="34">
        <f>BA10+N26</f>
        <v>-29970206</v>
      </c>
    </row>
    <row r="11" spans="2:54" ht="15" thickBot="1" x14ac:dyDescent="0.4">
      <c r="B11" s="52">
        <v>4</v>
      </c>
      <c r="C11" s="53" t="str">
        <f t="shared" si="0"/>
        <v>Marruecos</v>
      </c>
      <c r="D11" s="54">
        <f t="shared" si="0"/>
        <v>0</v>
      </c>
      <c r="E11" s="54">
        <f t="shared" si="0"/>
        <v>0</v>
      </c>
      <c r="F11" s="54">
        <f t="shared" si="0"/>
        <v>4</v>
      </c>
      <c r="G11" s="55">
        <f t="shared" si="0"/>
        <v>-4</v>
      </c>
      <c r="I11" s="23">
        <f>I9+16</f>
        <v>43</v>
      </c>
      <c r="J11" s="24">
        <v>44896</v>
      </c>
      <c r="K11" s="25" t="s">
        <v>49</v>
      </c>
      <c r="L11" s="21">
        <v>1</v>
      </c>
      <c r="M11" s="22">
        <v>1</v>
      </c>
      <c r="N11" s="23" t="s">
        <v>48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Croacia_Belgica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" thickBot="1" x14ac:dyDescent="0.4">
      <c r="I12" s="26">
        <f>I10+16</f>
        <v>44</v>
      </c>
      <c r="J12" s="27">
        <v>44896</v>
      </c>
      <c r="K12" s="28" t="s">
        <v>51</v>
      </c>
      <c r="L12" s="32">
        <v>1</v>
      </c>
      <c r="M12" s="33">
        <v>0</v>
      </c>
      <c r="N12" s="26" t="s">
        <v>50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Canada_Marruecos</v>
      </c>
      <c r="AJ12" s="34">
        <f t="shared" si="2"/>
        <v>3</v>
      </c>
      <c r="AK12" s="34">
        <f t="shared" si="3"/>
        <v>0</v>
      </c>
      <c r="AL12" s="34" t="str">
        <f t="shared" si="4"/>
        <v>Canada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48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49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50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51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A1F4-65BC-4F66-B10D-AC4CECED8DEE}">
  <dimension ref="A2:BB28"/>
  <sheetViews>
    <sheetView workbookViewId="0">
      <selection activeCell="L13" sqref="L13"/>
    </sheetView>
  </sheetViews>
  <sheetFormatPr baseColWidth="10" defaultColWidth="11.453125" defaultRowHeight="14.5" x14ac:dyDescent="0.35"/>
  <cols>
    <col min="1" max="2" width="10.90625" customWidth="1"/>
    <col min="3" max="3" width="13.7265625" bestFit="1" customWidth="1"/>
    <col min="4" max="10" width="10.90625"/>
    <col min="11" max="11" width="13.7265625" bestFit="1" customWidth="1"/>
    <col min="12" max="13" width="10.90625"/>
    <col min="14" max="14" width="13.7265625" bestFit="1" customWidth="1"/>
    <col min="15" max="34" width="13.7265625" style="78" customWidth="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6" t="s">
        <v>72</v>
      </c>
      <c r="C3" s="97"/>
      <c r="D3" s="97"/>
      <c r="E3" s="97"/>
      <c r="F3" s="97"/>
      <c r="G3" s="98"/>
    </row>
    <row r="4" spans="2:54" ht="15" thickBot="1" x14ac:dyDescent="0.4">
      <c r="B4" s="99"/>
      <c r="C4" s="100"/>
      <c r="D4" s="100"/>
      <c r="E4" s="100"/>
      <c r="F4" s="100"/>
      <c r="G4" s="101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1</v>
      </c>
      <c r="M7" s="31">
        <v>0</v>
      </c>
      <c r="N7" s="16" t="s">
        <v>54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Suiza_Camerun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Suiza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9</v>
      </c>
      <c r="AQ7" s="34">
        <f>AR7-AS7</f>
        <v>6</v>
      </c>
      <c r="AR7" s="34">
        <f>SUMIF($K$7:$K$12,AO7,$L$7:$L$12) + SUMIF($N$7:$N$12,AO7,$M$7:$M$12)</f>
        <v>8</v>
      </c>
      <c r="AS7" s="34">
        <f>SUMIF($K$7:$K$12,AO7,$M$7:$M$12) + SUMIF($N$7:$N$12,AO7,$L$7:$L$12)</f>
        <v>2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-90060800</v>
      </c>
      <c r="BA7" s="34">
        <f>AZ7-AY7*10</f>
        <v>-90060810</v>
      </c>
      <c r="BB7" s="34">
        <f>BA7+N23</f>
        <v>-90060809</v>
      </c>
    </row>
    <row r="8" spans="2:54" x14ac:dyDescent="0.35">
      <c r="B8" s="7">
        <v>1</v>
      </c>
      <c r="C8" s="8" t="str">
        <f t="shared" ref="C8:G11" si="0">IFERROR(VLOOKUP($B8,$AN$7:$AS$11,C$5,FALSE),"")</f>
        <v>Brasil</v>
      </c>
      <c r="D8" s="9">
        <f t="shared" si="0"/>
        <v>9</v>
      </c>
      <c r="E8" s="9">
        <f t="shared" si="0"/>
        <v>8</v>
      </c>
      <c r="F8" s="9">
        <f t="shared" si="0"/>
        <v>2</v>
      </c>
      <c r="G8" s="10">
        <f t="shared" si="0"/>
        <v>6</v>
      </c>
      <c r="I8" s="18">
        <v>14</v>
      </c>
      <c r="J8" s="19">
        <v>44889</v>
      </c>
      <c r="K8" s="20" t="s">
        <v>10</v>
      </c>
      <c r="L8" s="21">
        <v>3</v>
      </c>
      <c r="M8" s="22">
        <v>0</v>
      </c>
      <c r="N8" s="18" t="s">
        <v>53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2</v>
      </c>
      <c r="AO8" s="34" t="s">
        <v>52</v>
      </c>
      <c r="AP8" s="34">
        <f>SUMIF($K$7:$K$12,AO8,$AJ$7:$AJ$12) + SUMIF($N$7:$N$12,AO8,$AK$7:$AK$12)</f>
        <v>4</v>
      </c>
      <c r="AQ8" s="34">
        <f>AR8-AS8</f>
        <v>0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Suiza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-40000300</v>
      </c>
      <c r="BA8" s="34">
        <f t="shared" ref="BA8:BA10" si="10">AZ8-AY8*10</f>
        <v>-40000310</v>
      </c>
      <c r="BB8" s="34">
        <f>BA8+N24</f>
        <v>-40000308</v>
      </c>
    </row>
    <row r="9" spans="2:54" x14ac:dyDescent="0.35">
      <c r="B9" s="11">
        <v>2</v>
      </c>
      <c r="C9" s="12" t="str">
        <f t="shared" si="0"/>
        <v>Suiza</v>
      </c>
      <c r="D9" s="13">
        <f t="shared" si="0"/>
        <v>4</v>
      </c>
      <c r="E9" s="13">
        <f t="shared" si="0"/>
        <v>3</v>
      </c>
      <c r="F9" s="13">
        <f t="shared" si="0"/>
        <v>3</v>
      </c>
      <c r="G9" s="14">
        <f t="shared" si="0"/>
        <v>0</v>
      </c>
      <c r="I9" s="23">
        <f>I7+16</f>
        <v>29</v>
      </c>
      <c r="J9" s="24">
        <v>44893</v>
      </c>
      <c r="K9" s="25" t="s">
        <v>54</v>
      </c>
      <c r="L9" s="21">
        <v>1</v>
      </c>
      <c r="M9" s="22">
        <v>0</v>
      </c>
      <c r="N9" s="23" t="s">
        <v>53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Camerun_Serbia</v>
      </c>
      <c r="AJ9" s="34">
        <f t="shared" si="2"/>
        <v>3</v>
      </c>
      <c r="AK9" s="34">
        <f t="shared" si="3"/>
        <v>0</v>
      </c>
      <c r="AL9" s="34" t="str">
        <f t="shared" si="4"/>
        <v>Camerun</v>
      </c>
      <c r="AN9" s="34">
        <f>_xlfn.RANK.EQ(BB9,BB$7:BB$11,1)</f>
        <v>4</v>
      </c>
      <c r="AO9" s="34" t="s">
        <v>53</v>
      </c>
      <c r="AP9" s="34">
        <f>SUMIF($K$7:$K$12,AO9,$AJ$7:$AJ$12) + SUMIF($N$7:$N$12,AO9,$AK$7:$AK$12)</f>
        <v>1</v>
      </c>
      <c r="AQ9" s="34">
        <f t="shared" ref="AQ9:AQ10" si="11">AR9-AS9</f>
        <v>-4</v>
      </c>
      <c r="AR9" s="34">
        <f t="shared" si="5"/>
        <v>1</v>
      </c>
      <c r="AS9" s="34">
        <f t="shared" si="6"/>
        <v>5</v>
      </c>
      <c r="AV9" s="34" t="str">
        <f t="shared" si="7"/>
        <v>Serbia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-9960100</v>
      </c>
      <c r="BA9" s="34">
        <f t="shared" si="10"/>
        <v>-9960110</v>
      </c>
      <c r="BB9" s="34">
        <f>BA9+N25</f>
        <v>-9960107</v>
      </c>
    </row>
    <row r="10" spans="2:54" x14ac:dyDescent="0.35">
      <c r="B10" s="48">
        <v>3</v>
      </c>
      <c r="C10" s="49" t="str">
        <f t="shared" si="0"/>
        <v>Camerun</v>
      </c>
      <c r="D10" s="50">
        <f t="shared" si="0"/>
        <v>3</v>
      </c>
      <c r="E10" s="50">
        <f t="shared" si="0"/>
        <v>2</v>
      </c>
      <c r="F10" s="50">
        <f t="shared" si="0"/>
        <v>4</v>
      </c>
      <c r="G10" s="51">
        <f t="shared" si="0"/>
        <v>-2</v>
      </c>
      <c r="I10" s="18">
        <f>I8+16</f>
        <v>30</v>
      </c>
      <c r="J10" s="19">
        <v>44893</v>
      </c>
      <c r="K10" s="20" t="s">
        <v>10</v>
      </c>
      <c r="L10" s="21">
        <v>2</v>
      </c>
      <c r="M10" s="22">
        <v>1</v>
      </c>
      <c r="N10" s="18" t="s">
        <v>52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3</v>
      </c>
      <c r="AO10" s="34" t="s">
        <v>54</v>
      </c>
      <c r="AP10" s="34">
        <f>SUMIF($K$7:$K$12,AO10,$AJ$7:$AJ$12) + SUMIF($N$7:$N$12,AO10,$AK$7:$AK$12)</f>
        <v>3</v>
      </c>
      <c r="AQ10" s="34">
        <f t="shared" si="11"/>
        <v>-2</v>
      </c>
      <c r="AR10" s="34">
        <f>SUMIF($K$7:$K$12,AO10,$L$7:$L$12) + SUMIF($N$7:$N$12,AO10,$M$7:$M$12)</f>
        <v>2</v>
      </c>
      <c r="AS10" s="34">
        <f>SUMIF($K$7:$K$12,AO10,$M$7:$M$12) + SUMIF($N$7:$N$12,AO10,$L$7:$L$12)</f>
        <v>4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-29980200</v>
      </c>
      <c r="BA10" s="34">
        <f t="shared" si="10"/>
        <v>-29980210</v>
      </c>
      <c r="BB10" s="34">
        <f>BA10+N26</f>
        <v>-29980206</v>
      </c>
    </row>
    <row r="11" spans="2:54" ht="15" thickBot="1" x14ac:dyDescent="0.4">
      <c r="B11" s="52">
        <v>4</v>
      </c>
      <c r="C11" s="53" t="str">
        <f t="shared" si="0"/>
        <v>Serbia</v>
      </c>
      <c r="D11" s="54">
        <f t="shared" si="0"/>
        <v>1</v>
      </c>
      <c r="E11" s="54">
        <f t="shared" si="0"/>
        <v>1</v>
      </c>
      <c r="F11" s="54">
        <f t="shared" si="0"/>
        <v>5</v>
      </c>
      <c r="G11" s="55">
        <f t="shared" si="0"/>
        <v>-4</v>
      </c>
      <c r="I11" s="23">
        <f>I9+16</f>
        <v>45</v>
      </c>
      <c r="J11" s="24">
        <v>44897</v>
      </c>
      <c r="K11" s="25" t="s">
        <v>53</v>
      </c>
      <c r="L11" s="21">
        <v>1</v>
      </c>
      <c r="M11" s="22">
        <v>1</v>
      </c>
      <c r="N11" s="23" t="s">
        <v>52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Serbia_Suiza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" thickBot="1" x14ac:dyDescent="0.4">
      <c r="I12" s="26">
        <f>I10+16</f>
        <v>46</v>
      </c>
      <c r="J12" s="27">
        <v>44897</v>
      </c>
      <c r="K12" s="28" t="s">
        <v>54</v>
      </c>
      <c r="L12" s="32">
        <v>1</v>
      </c>
      <c r="M12" s="33">
        <v>3</v>
      </c>
      <c r="N12" s="26" t="s">
        <v>10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52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53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54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BF4D-23CA-4B41-9D92-D7CBA0020D94}">
  <dimension ref="A2:BB28"/>
  <sheetViews>
    <sheetView workbookViewId="0">
      <selection activeCell="M13" sqref="M13"/>
    </sheetView>
  </sheetViews>
  <sheetFormatPr baseColWidth="10" defaultColWidth="11.453125" defaultRowHeight="14.5" x14ac:dyDescent="0.35"/>
  <cols>
    <col min="1" max="2" width="10.90625" customWidth="1"/>
    <col min="3" max="3" width="13.7265625" bestFit="1" customWidth="1"/>
    <col min="4" max="10" width="10.90625"/>
    <col min="11" max="11" width="13.7265625" bestFit="1" customWidth="1"/>
    <col min="12" max="13" width="10.90625"/>
    <col min="14" max="14" width="13.7265625" bestFit="1" customWidth="1"/>
    <col min="15" max="34" width="13.7265625" style="78" customWidth="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6" t="s">
        <v>73</v>
      </c>
      <c r="C3" s="97"/>
      <c r="D3" s="97"/>
      <c r="E3" s="97"/>
      <c r="F3" s="97"/>
      <c r="G3" s="98"/>
    </row>
    <row r="4" spans="2:54" ht="15" thickBot="1" x14ac:dyDescent="0.4">
      <c r="B4" s="99"/>
      <c r="C4" s="100"/>
      <c r="D4" s="100"/>
      <c r="E4" s="100"/>
      <c r="F4" s="100"/>
      <c r="G4" s="101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1</v>
      </c>
      <c r="M7" s="31">
        <v>0</v>
      </c>
      <c r="N7" s="16" t="s">
        <v>56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Uruguay_Corea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Uruguay</v>
      </c>
      <c r="AN7" s="34">
        <f>_xlfn.RANK.EQ(BB7,BB$7:BB$11,1)</f>
        <v>1</v>
      </c>
      <c r="AO7" s="34" t="s">
        <v>57</v>
      </c>
      <c r="AP7" s="34">
        <f>SUMIF($K$7:$K$12,AO7,$AJ$7:$AJ$12) + SUMIF($N$7:$N$12,AO7,$AK$7:$AK$12)</f>
        <v>9</v>
      </c>
      <c r="AQ7" s="34">
        <f>AR7-AS7</f>
        <v>3</v>
      </c>
      <c r="AR7" s="34">
        <f>SUMIF($K$7:$K$12,AO7,$L$7:$L$12) + SUMIF($N$7:$N$12,AO7,$M$7:$M$12)</f>
        <v>5</v>
      </c>
      <c r="AS7" s="34">
        <f>SUMIF($K$7:$K$12,AO7,$M$7:$M$12) + SUMIF($N$7:$N$12,AO7,$L$7:$L$12)</f>
        <v>2</v>
      </c>
      <c r="AV7" s="34" t="str">
        <f>AO7</f>
        <v>Portugal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-90030500</v>
      </c>
      <c r="BA7" s="34">
        <f>AZ7-AY7*10</f>
        <v>-90030510</v>
      </c>
      <c r="BB7" s="34">
        <f>BA7+N23</f>
        <v>-90030509</v>
      </c>
    </row>
    <row r="8" spans="2:54" x14ac:dyDescent="0.35">
      <c r="B8" s="7">
        <v>1</v>
      </c>
      <c r="C8" s="8" t="str">
        <f t="shared" ref="C8:G11" si="0">IFERROR(VLOOKUP($B8,$AN$7:$AS$11,C$5,FALSE),"")</f>
        <v>Portugal</v>
      </c>
      <c r="D8" s="9">
        <f t="shared" si="0"/>
        <v>9</v>
      </c>
      <c r="E8" s="9">
        <f t="shared" si="0"/>
        <v>5</v>
      </c>
      <c r="F8" s="9">
        <f t="shared" si="0"/>
        <v>2</v>
      </c>
      <c r="G8" s="10">
        <f t="shared" si="0"/>
        <v>3</v>
      </c>
      <c r="I8" s="18">
        <v>16</v>
      </c>
      <c r="J8" s="19">
        <v>44889</v>
      </c>
      <c r="K8" s="20" t="s">
        <v>57</v>
      </c>
      <c r="L8" s="21">
        <v>1</v>
      </c>
      <c r="M8" s="22">
        <v>0</v>
      </c>
      <c r="N8" s="18" t="s">
        <v>58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Portugal_Gana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Portugal</v>
      </c>
      <c r="AN8" s="34">
        <f>_xlfn.RANK.EQ(BB8,BB$7:BB$11,1)</f>
        <v>2</v>
      </c>
      <c r="AO8" s="34" t="s">
        <v>55</v>
      </c>
      <c r="AP8" s="34">
        <f>SUMIF($K$7:$K$12,AO8,$AJ$7:$AJ$12) + SUMIF($N$7:$N$12,AO8,$AK$7:$AK$12)</f>
        <v>6</v>
      </c>
      <c r="AQ8" s="34">
        <f>AR8-AS8</f>
        <v>1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Uruguay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-60010300</v>
      </c>
      <c r="BA8" s="34">
        <f t="shared" ref="BA8:BA10" si="10">AZ8-AY8*10</f>
        <v>-60010310</v>
      </c>
      <c r="BB8" s="34">
        <f>BA8+N24</f>
        <v>-60010308</v>
      </c>
    </row>
    <row r="9" spans="2:54" x14ac:dyDescent="0.35">
      <c r="B9" s="11">
        <v>2</v>
      </c>
      <c r="C9" s="12" t="str">
        <f t="shared" si="0"/>
        <v>Uruguay</v>
      </c>
      <c r="D9" s="13">
        <f t="shared" si="0"/>
        <v>6</v>
      </c>
      <c r="E9" s="13">
        <f t="shared" si="0"/>
        <v>3</v>
      </c>
      <c r="F9" s="13">
        <f t="shared" si="0"/>
        <v>2</v>
      </c>
      <c r="G9" s="14">
        <f t="shared" si="0"/>
        <v>1</v>
      </c>
      <c r="I9" s="23">
        <f>I7+16</f>
        <v>31</v>
      </c>
      <c r="J9" s="24">
        <v>44893</v>
      </c>
      <c r="K9" s="25" t="s">
        <v>56</v>
      </c>
      <c r="L9" s="21">
        <v>1</v>
      </c>
      <c r="M9" s="22">
        <v>1</v>
      </c>
      <c r="N9" s="23" t="s">
        <v>58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Corea_Gana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3</v>
      </c>
      <c r="AO9" s="34" t="s">
        <v>56</v>
      </c>
      <c r="AP9" s="34">
        <f>SUMIF($K$7:$K$12,AO9,$AJ$7:$AJ$12) + SUMIF($N$7:$N$12,AO9,$AK$7:$AK$12)</f>
        <v>1</v>
      </c>
      <c r="AQ9" s="34">
        <f t="shared" ref="AQ9:AQ10" si="11">AR9-AS9</f>
        <v>-2</v>
      </c>
      <c r="AR9" s="34">
        <f t="shared" si="5"/>
        <v>2</v>
      </c>
      <c r="AS9" s="34">
        <f t="shared" si="6"/>
        <v>4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-9980200</v>
      </c>
      <c r="BA9" s="34">
        <f t="shared" si="10"/>
        <v>-9980210</v>
      </c>
      <c r="BB9" s="34">
        <f>BA9+N25</f>
        <v>-9980207</v>
      </c>
    </row>
    <row r="10" spans="2:54" x14ac:dyDescent="0.35">
      <c r="B10" s="48">
        <v>3</v>
      </c>
      <c r="C10" s="49" t="str">
        <f t="shared" si="0"/>
        <v>Corea</v>
      </c>
      <c r="D10" s="50">
        <f t="shared" si="0"/>
        <v>1</v>
      </c>
      <c r="E10" s="50">
        <f t="shared" si="0"/>
        <v>2</v>
      </c>
      <c r="F10" s="50">
        <f t="shared" si="0"/>
        <v>4</v>
      </c>
      <c r="G10" s="51">
        <f t="shared" si="0"/>
        <v>-2</v>
      </c>
      <c r="I10" s="18">
        <f>I8+16</f>
        <v>32</v>
      </c>
      <c r="J10" s="19">
        <v>44893</v>
      </c>
      <c r="K10" s="20" t="s">
        <v>57</v>
      </c>
      <c r="L10" s="21">
        <v>2</v>
      </c>
      <c r="M10" s="22">
        <v>1</v>
      </c>
      <c r="N10" s="18" t="s">
        <v>55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Portugal_Uruguay</v>
      </c>
      <c r="AJ10" s="34">
        <f t="shared" si="2"/>
        <v>3</v>
      </c>
      <c r="AK10" s="34">
        <f t="shared" si="3"/>
        <v>0</v>
      </c>
      <c r="AL10" s="34" t="str">
        <f t="shared" si="4"/>
        <v>Portugal</v>
      </c>
      <c r="AN10" s="34">
        <f>_xlfn.RANK.EQ(BB10,BB$7:BB$11,1)</f>
        <v>4</v>
      </c>
      <c r="AO10" s="34" t="s">
        <v>58</v>
      </c>
      <c r="AP10" s="34">
        <f>SUMIF($K$7:$K$12,AO10,$AJ$7:$AJ$12) + SUMIF($N$7:$N$12,AO10,$AK$7:$AK$12)</f>
        <v>1</v>
      </c>
      <c r="AQ10" s="34">
        <f t="shared" si="11"/>
        <v>-2</v>
      </c>
      <c r="AR10" s="34">
        <f>SUMIF($K$7:$K$12,AO10,$L$7:$L$12) + SUMIF($N$7:$N$12,AO10,$M$7:$M$12)</f>
        <v>1</v>
      </c>
      <c r="AS10" s="34">
        <f>SUMIF($K$7:$K$12,AO10,$M$7:$M$12) + SUMIF($N$7:$N$12,AO10,$L$7:$L$12)</f>
        <v>3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-9980100</v>
      </c>
      <c r="BA10" s="34">
        <f t="shared" si="10"/>
        <v>-9980110</v>
      </c>
      <c r="BB10" s="34">
        <f>BA10+N26</f>
        <v>-9980106</v>
      </c>
    </row>
    <row r="11" spans="2:54" ht="15" thickBot="1" x14ac:dyDescent="0.4">
      <c r="B11" s="52">
        <v>4</v>
      </c>
      <c r="C11" s="53" t="str">
        <f t="shared" si="0"/>
        <v>Gana</v>
      </c>
      <c r="D11" s="54">
        <f t="shared" si="0"/>
        <v>1</v>
      </c>
      <c r="E11" s="54">
        <f t="shared" si="0"/>
        <v>1</v>
      </c>
      <c r="F11" s="54">
        <f t="shared" si="0"/>
        <v>3</v>
      </c>
      <c r="G11" s="55">
        <f t="shared" si="0"/>
        <v>-2</v>
      </c>
      <c r="I11" s="23">
        <f>I9+16</f>
        <v>47</v>
      </c>
      <c r="J11" s="24">
        <v>44897</v>
      </c>
      <c r="K11" s="25" t="s">
        <v>58</v>
      </c>
      <c r="L11" s="21">
        <v>0</v>
      </c>
      <c r="M11" s="22">
        <v>1</v>
      </c>
      <c r="N11" s="23" t="s">
        <v>55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Gana_Uruguay</v>
      </c>
      <c r="AJ11" s="34">
        <f t="shared" si="2"/>
        <v>0</v>
      </c>
      <c r="AK11" s="34">
        <f t="shared" si="3"/>
        <v>3</v>
      </c>
      <c r="AL11" s="34" t="str">
        <f t="shared" si="4"/>
        <v>Uruguay</v>
      </c>
    </row>
    <row r="12" spans="2:54" ht="15" thickBot="1" x14ac:dyDescent="0.4">
      <c r="I12" s="26">
        <f>I10+16</f>
        <v>48</v>
      </c>
      <c r="J12" s="27">
        <v>44897</v>
      </c>
      <c r="K12" s="28" t="s">
        <v>56</v>
      </c>
      <c r="L12" s="32">
        <v>1</v>
      </c>
      <c r="M12" s="33">
        <v>2</v>
      </c>
      <c r="N12" s="26" t="s">
        <v>57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Corea_Portugal</v>
      </c>
      <c r="AJ12" s="34">
        <f t="shared" si="2"/>
        <v>0</v>
      </c>
      <c r="AK12" s="34">
        <f t="shared" si="3"/>
        <v>3</v>
      </c>
      <c r="AL12" s="34" t="str">
        <f t="shared" si="4"/>
        <v>Portugal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57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55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D6EA-A90C-43B7-9350-FAB891539352}">
  <dimension ref="B1:W35"/>
  <sheetViews>
    <sheetView tabSelected="1" topLeftCell="I15" workbookViewId="0">
      <selection activeCell="S31" sqref="S31"/>
    </sheetView>
  </sheetViews>
  <sheetFormatPr baseColWidth="10" defaultRowHeight="14.5" x14ac:dyDescent="0.35"/>
  <cols>
    <col min="3" max="3" width="11.26953125" bestFit="1" customWidth="1"/>
    <col min="4" max="4" width="9.1796875" bestFit="1" customWidth="1"/>
    <col min="9" max="9" width="9.1796875" bestFit="1" customWidth="1"/>
    <col min="14" max="14" width="9.1796875" bestFit="1" customWidth="1"/>
    <col min="22" max="22" width="13.1796875" bestFit="1" customWidth="1"/>
  </cols>
  <sheetData>
    <row r="1" spans="2:19" ht="15" thickBot="1" x14ac:dyDescent="0.4"/>
    <row r="2" spans="2:19" ht="15" thickBot="1" x14ac:dyDescent="0.4">
      <c r="B2" s="111" t="s">
        <v>69</v>
      </c>
      <c r="C2" s="112"/>
      <c r="D2" s="113"/>
    </row>
    <row r="3" spans="2:19" ht="15" thickBot="1" x14ac:dyDescent="0.4"/>
    <row r="4" spans="2:19" ht="15" thickBot="1" x14ac:dyDescent="0.4">
      <c r="G4" s="111" t="s">
        <v>59</v>
      </c>
      <c r="H4" s="112"/>
      <c r="I4" s="113"/>
    </row>
    <row r="5" spans="2:19" ht="15" thickBot="1" x14ac:dyDescent="0.4">
      <c r="B5" s="56">
        <v>49</v>
      </c>
      <c r="C5" s="57" t="s">
        <v>61</v>
      </c>
      <c r="D5" s="58" t="s">
        <v>62</v>
      </c>
    </row>
    <row r="6" spans="2:19" ht="15" thickBot="1" x14ac:dyDescent="0.4">
      <c r="B6" s="59" t="str">
        <f>'GRUPO A'!C8</f>
        <v>Holanda</v>
      </c>
      <c r="C6" s="60">
        <v>2</v>
      </c>
      <c r="D6" s="61"/>
    </row>
    <row r="7" spans="2:19" ht="15" thickBot="1" x14ac:dyDescent="0.4">
      <c r="B7" s="62" t="str">
        <f>'GRUPO B'!C9</f>
        <v>USA</v>
      </c>
      <c r="C7" s="63">
        <v>1</v>
      </c>
      <c r="D7" s="64"/>
      <c r="E7" s="65"/>
      <c r="G7" s="56">
        <v>57</v>
      </c>
      <c r="H7" s="57" t="s">
        <v>61</v>
      </c>
      <c r="I7" s="58" t="s">
        <v>62</v>
      </c>
    </row>
    <row r="8" spans="2:19" ht="15" thickBot="1" x14ac:dyDescent="0.4">
      <c r="E8" s="66"/>
      <c r="G8" s="59" t="str">
        <f>IF(C7&gt;C6,B7,IF(C6&gt;C7,B6,IF(D7&gt;D6,B7,IF(D6&gt;D7,B6,""))))</f>
        <v>Holanda</v>
      </c>
      <c r="H8" s="60">
        <v>1</v>
      </c>
      <c r="I8" s="61"/>
      <c r="L8" s="111" t="s">
        <v>60</v>
      </c>
      <c r="M8" s="112"/>
      <c r="N8" s="113"/>
    </row>
    <row r="9" spans="2:19" ht="15" thickBot="1" x14ac:dyDescent="0.4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Argentina</v>
      </c>
      <c r="H9" s="63">
        <v>2</v>
      </c>
      <c r="I9" s="64"/>
      <c r="J9" s="65"/>
    </row>
    <row r="10" spans="2:19" ht="15" thickBot="1" x14ac:dyDescent="0.4">
      <c r="B10" s="59" t="str">
        <f>'GRUPO C'!C8</f>
        <v>Argentina</v>
      </c>
      <c r="C10" s="60">
        <v>2</v>
      </c>
      <c r="D10" s="61"/>
      <c r="E10" s="69"/>
      <c r="J10" s="66"/>
    </row>
    <row r="11" spans="2:19" ht="15" thickBot="1" x14ac:dyDescent="0.4">
      <c r="B11" s="62" t="str">
        <f>'GRUPO D'!C9</f>
        <v>Australia</v>
      </c>
      <c r="C11" s="63">
        <v>0</v>
      </c>
      <c r="D11" s="64"/>
      <c r="E11" s="70"/>
      <c r="J11" s="66"/>
      <c r="L11" s="56">
        <v>61</v>
      </c>
      <c r="M11" s="57" t="s">
        <v>61</v>
      </c>
      <c r="N11" s="58" t="s">
        <v>62</v>
      </c>
    </row>
    <row r="12" spans="2:19" ht="15" thickBot="1" x14ac:dyDescent="0.4">
      <c r="J12" s="66"/>
      <c r="L12" s="59" t="str">
        <f>IF(H9&gt;H8,G9,IF(H8&gt;H9,G8,IF(I9&gt;I8,G9,IF(I8&gt;I9,G8,""))))</f>
        <v>Argentina</v>
      </c>
      <c r="M12" s="60">
        <v>1</v>
      </c>
      <c r="N12" s="61"/>
    </row>
    <row r="13" spans="2:19" ht="15" thickBot="1" x14ac:dyDescent="0.4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Brasil</v>
      </c>
      <c r="M13" s="63">
        <v>2</v>
      </c>
      <c r="N13" s="64"/>
      <c r="O13" s="65"/>
    </row>
    <row r="14" spans="2:19" ht="15" thickBot="1" x14ac:dyDescent="0.4">
      <c r="B14" s="59" t="str">
        <f>'GRUPO E'!C8</f>
        <v>España</v>
      </c>
      <c r="C14" s="60">
        <v>1</v>
      </c>
      <c r="D14" s="61">
        <v>3</v>
      </c>
      <c r="J14" s="66"/>
      <c r="O14" s="66"/>
    </row>
    <row r="15" spans="2:19" ht="15" thickBot="1" x14ac:dyDescent="0.4">
      <c r="B15" s="62" t="str">
        <f>'GRUPO F'!C9</f>
        <v>Belgica</v>
      </c>
      <c r="C15" s="63">
        <v>1</v>
      </c>
      <c r="D15" s="64">
        <v>4</v>
      </c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5" thickBot="1" x14ac:dyDescent="0.4">
      <c r="E16" s="66"/>
      <c r="G16" s="59" t="str">
        <f>IF(C15&gt;C14,B15,IF(C14&gt;C15,B14,IF(D15&gt;D14,B15,IF(D14&gt;D15,B14,""))))</f>
        <v>Belgica</v>
      </c>
      <c r="H16" s="60">
        <v>1</v>
      </c>
      <c r="I16" s="61"/>
      <c r="J16" s="69"/>
      <c r="O16" s="66"/>
      <c r="Q16" s="111" t="s">
        <v>63</v>
      </c>
      <c r="R16" s="112"/>
      <c r="S16" s="113"/>
    </row>
    <row r="17" spans="2:23" ht="15" thickBot="1" x14ac:dyDescent="0.4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Brasil</v>
      </c>
      <c r="H17" s="63">
        <v>2</v>
      </c>
      <c r="I17" s="64"/>
      <c r="O17" s="66"/>
    </row>
    <row r="18" spans="2:23" ht="15" thickBot="1" x14ac:dyDescent="0.4">
      <c r="B18" s="59" t="str">
        <f>'GRUPO G'!C8</f>
        <v>Brasil</v>
      </c>
      <c r="C18" s="60">
        <v>2</v>
      </c>
      <c r="D18" s="61"/>
      <c r="E18" s="69"/>
      <c r="O18" s="66"/>
    </row>
    <row r="19" spans="2:23" ht="15" thickBot="1" x14ac:dyDescent="0.4">
      <c r="B19" s="62" t="str">
        <f>'GRUPO H'!C9</f>
        <v>Uruguay</v>
      </c>
      <c r="C19" s="63">
        <v>1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5" thickBot="1" x14ac:dyDescent="0.4">
      <c r="O20" s="66"/>
      <c r="Q20" s="59" t="str">
        <f>IF(M13&gt;M12,L13,IF(M12&gt;M13,L12,IF(N13&gt;N12,L13,IF(N12&gt;N13,L12,""))))</f>
        <v>Brasil</v>
      </c>
      <c r="R20" s="60">
        <v>2</v>
      </c>
      <c r="S20" s="61"/>
    </row>
    <row r="21" spans="2:23" ht="15" thickBot="1" x14ac:dyDescent="0.4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Francia</v>
      </c>
      <c r="R21" s="63">
        <v>1</v>
      </c>
      <c r="S21" s="64"/>
    </row>
    <row r="22" spans="2:23" ht="15" thickBot="1" x14ac:dyDescent="0.4">
      <c r="B22" s="59" t="str">
        <f>'GRUPO B'!C8</f>
        <v>Inglaterra</v>
      </c>
      <c r="C22" s="60">
        <v>1</v>
      </c>
      <c r="D22" s="61"/>
      <c r="O22" s="66"/>
    </row>
    <row r="23" spans="2:23" ht="15" thickBot="1" x14ac:dyDescent="0.4">
      <c r="B23" s="62" t="str">
        <f>'GRUPO A'!C9</f>
        <v>Senegal</v>
      </c>
      <c r="C23" s="63">
        <v>0</v>
      </c>
      <c r="D23" s="64"/>
      <c r="E23" s="65"/>
      <c r="G23" s="56">
        <v>59</v>
      </c>
      <c r="H23" s="57" t="s">
        <v>61</v>
      </c>
      <c r="I23" s="58" t="s">
        <v>62</v>
      </c>
      <c r="O23" s="66"/>
      <c r="V23" s="114" t="s">
        <v>64</v>
      </c>
      <c r="W23" s="107"/>
    </row>
    <row r="24" spans="2:23" ht="15" thickBot="1" x14ac:dyDescent="0.4">
      <c r="E24" s="66"/>
      <c r="G24" s="59" t="str">
        <f>IF(C23&gt;C22,B23,IF(C22&gt;C23,B22,IF(D23&gt;D22,B23,IF(D22&gt;D23,B22,""))))</f>
        <v>Inglaterra</v>
      </c>
      <c r="H24" s="60">
        <v>0</v>
      </c>
      <c r="I24" s="61"/>
      <c r="O24" s="66"/>
      <c r="V24" s="59" t="s">
        <v>65</v>
      </c>
      <c r="W24" s="71" t="str">
        <f>IF(R20&gt;R21,Q20,IF(R21&gt;R20,Q21,IF(S20&gt;S21,Q20,IF(S21&gt;S20,Q21,""))))</f>
        <v>Brasil</v>
      </c>
    </row>
    <row r="25" spans="2:23" ht="15" thickBot="1" x14ac:dyDescent="0.4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Francia</v>
      </c>
      <c r="H25" s="63">
        <v>1</v>
      </c>
      <c r="I25" s="64"/>
      <c r="J25" s="65"/>
      <c r="O25" s="66"/>
      <c r="Q25" s="111" t="s">
        <v>66</v>
      </c>
      <c r="R25" s="112"/>
      <c r="S25" s="113"/>
      <c r="V25" s="72" t="s">
        <v>67</v>
      </c>
      <c r="W25" s="73" t="str">
        <f>IF(W24=Q20,Q21,IF(W24=Q21,Q20,""))</f>
        <v>Francia</v>
      </c>
    </row>
    <row r="26" spans="2:23" ht="15" thickBot="1" x14ac:dyDescent="0.4">
      <c r="B26" s="59" t="str">
        <f>'GRUPO D'!C8</f>
        <v>Francia</v>
      </c>
      <c r="C26" s="60">
        <v>2</v>
      </c>
      <c r="D26" s="61"/>
      <c r="E26" s="69"/>
      <c r="J26" s="66"/>
      <c r="O26" s="66"/>
      <c r="V26" s="62" t="s">
        <v>68</v>
      </c>
      <c r="W26" s="74" t="str">
        <f>IF(R29&gt;R30,Q29,IF(R30&gt;R29,Q30,IF(S29&gt;S30,Q29,IF(S30&gt;S29,Q30,""))))</f>
        <v>Argentina</v>
      </c>
    </row>
    <row r="27" spans="2:23" ht="15" thickBot="1" x14ac:dyDescent="0.4">
      <c r="B27" s="62" t="str">
        <f>'GRUPO C'!C9</f>
        <v>Polonia</v>
      </c>
      <c r="C27" s="63">
        <v>0</v>
      </c>
      <c r="D27" s="64"/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5" thickBot="1" x14ac:dyDescent="0.4">
      <c r="J28" s="66"/>
      <c r="L28" s="59" t="str">
        <f>IF(H25&gt;H24,G25,IF(H24&gt;H25,G24,IF(I25&gt;I24,G25,IF(I24&gt;I25,G24,""))))</f>
        <v>Francia</v>
      </c>
      <c r="M28" s="60">
        <v>1</v>
      </c>
      <c r="N28" s="61"/>
      <c r="O28" s="69"/>
      <c r="Q28" s="56">
        <v>63</v>
      </c>
      <c r="R28" s="57" t="s">
        <v>61</v>
      </c>
      <c r="S28" s="58" t="s">
        <v>62</v>
      </c>
    </row>
    <row r="29" spans="2:23" ht="15" thickBot="1" x14ac:dyDescent="0.4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Alemania</v>
      </c>
      <c r="M29" s="63">
        <v>0</v>
      </c>
      <c r="N29" s="64"/>
      <c r="Q29" s="59" t="str">
        <f>IF(Q20=L12,L13,IF(Q20=L13,L12,""))</f>
        <v>Argentina</v>
      </c>
      <c r="R29" s="60">
        <v>2</v>
      </c>
      <c r="S29" s="61">
        <v>3</v>
      </c>
    </row>
    <row r="30" spans="2:23" ht="15" thickBot="1" x14ac:dyDescent="0.4">
      <c r="B30" s="59" t="str">
        <f>'GRUPO F'!C8</f>
        <v>Croacia</v>
      </c>
      <c r="C30" s="60">
        <v>1</v>
      </c>
      <c r="D30" s="61"/>
      <c r="J30" s="66"/>
      <c r="Q30" s="62" t="str">
        <f>IF(Q21=L28,L29,IF(Q21=L29,L28,""))</f>
        <v>Alemania</v>
      </c>
      <c r="R30" s="63">
        <v>2</v>
      </c>
      <c r="S30" s="64">
        <v>2</v>
      </c>
    </row>
    <row r="31" spans="2:23" ht="15" thickBot="1" x14ac:dyDescent="0.4">
      <c r="B31" s="62" t="str">
        <f>'GRUPO E'!C9</f>
        <v>Alemania</v>
      </c>
      <c r="C31" s="63">
        <v>2</v>
      </c>
      <c r="D31" s="64"/>
      <c r="E31" s="65"/>
      <c r="G31" s="56">
        <v>60</v>
      </c>
      <c r="H31" s="57" t="s">
        <v>61</v>
      </c>
      <c r="I31" s="58" t="s">
        <v>62</v>
      </c>
      <c r="J31" s="66"/>
    </row>
    <row r="32" spans="2:23" ht="15" thickBot="1" x14ac:dyDescent="0.4">
      <c r="E32" s="66"/>
      <c r="G32" s="59" t="str">
        <f>IF(C31&gt;C30,B31,IF(C30&gt;C31,B30,IF(D31&gt;D30,B31,IF(D30&gt;D31,B30,""))))</f>
        <v>Alemania</v>
      </c>
      <c r="H32" s="60">
        <v>2</v>
      </c>
      <c r="I32" s="61"/>
      <c r="J32" s="69"/>
    </row>
    <row r="33" spans="2:9" ht="15" thickBot="1" x14ac:dyDescent="0.4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Portugal</v>
      </c>
      <c r="H33" s="63">
        <v>1</v>
      </c>
      <c r="I33" s="64"/>
    </row>
    <row r="34" spans="2:9" x14ac:dyDescent="0.35">
      <c r="B34" s="59" t="str">
        <f>'GRUPO H'!C8</f>
        <v>Portugal</v>
      </c>
      <c r="C34" s="60">
        <v>1</v>
      </c>
      <c r="D34" s="61"/>
      <c r="E34" s="69"/>
    </row>
    <row r="35" spans="2:9" ht="15" thickBot="1" x14ac:dyDescent="0.4">
      <c r="B35" s="62" t="str">
        <f>'GRUPO G'!C9</f>
        <v>Suiza</v>
      </c>
      <c r="C35" s="63">
        <v>0</v>
      </c>
      <c r="D35" s="64"/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Mauricio Tocornal</cp:lastModifiedBy>
  <dcterms:created xsi:type="dcterms:W3CDTF">2022-11-02T00:22:23Z</dcterms:created>
  <dcterms:modified xsi:type="dcterms:W3CDTF">2022-11-14T15:01:00Z</dcterms:modified>
</cp:coreProperties>
</file>