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/Downloads/"/>
    </mc:Choice>
  </mc:AlternateContent>
  <xr:revisionPtr revIDLastSave="0" documentId="13_ncr:1_{60FE500C-EF98-2F4E-805D-6B78EFBDBD84}" xr6:coauthVersionLast="47" xr6:coauthVersionMax="47" xr10:uidLastSave="{00000000-0000-0000-0000-000000000000}"/>
  <bookViews>
    <workbookView xWindow="0" yWindow="500" windowWidth="28800" windowHeight="1630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10" i="12" l="1"/>
  <c r="AP10" i="11"/>
  <c r="AP9" i="2"/>
  <c r="W24" i="16"/>
  <c r="AQ8" i="15"/>
  <c r="AQ7" i="15"/>
  <c r="AZ7" i="15" s="1"/>
  <c r="AQ9" i="15"/>
  <c r="AQ10" i="15"/>
  <c r="AK11" i="15"/>
  <c r="AP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5" l="1"/>
  <c r="AZ7" i="14"/>
  <c r="AZ8" i="14"/>
  <c r="AP10" i="13"/>
  <c r="AZ10" i="13" s="1"/>
  <c r="AZ8" i="13"/>
  <c r="AP8" i="12"/>
  <c r="AZ8" i="12" s="1"/>
  <c r="AW8" i="12" s="1"/>
  <c r="AX8" i="12" s="1"/>
  <c r="AY8" i="12" s="1"/>
  <c r="BA8" i="12" s="1"/>
  <c r="BB8" i="12" s="1"/>
  <c r="AZ10" i="12"/>
  <c r="AZ9" i="12"/>
  <c r="AZ10" i="11"/>
  <c r="AZ8" i="11"/>
  <c r="AP9" i="11"/>
  <c r="AZ9" i="11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N9" i="12" s="1"/>
  <c r="AW10" i="12"/>
  <c r="AX10" i="12" s="1"/>
  <c r="AY10" i="12" s="1"/>
  <c r="BA10" i="12" s="1"/>
  <c r="BB10" i="12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W8" i="11"/>
  <c r="AX8" i="11" s="1"/>
  <c r="AY8" i="11" s="1"/>
  <c r="BA8" i="11" s="1"/>
  <c r="BB8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7" i="11"/>
  <c r="AY7" i="11" s="1"/>
  <c r="BA7" i="11" s="1"/>
  <c r="BB7" i="11" s="1"/>
  <c r="AN9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5" l="1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G11" i="11" s="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G10" i="11"/>
  <c r="E8" i="11"/>
  <c r="E10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<sst xmlns="http://schemas.openxmlformats.org/spreadsheetml/2006/main" count="454" uniqueCount="79">
  <si>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</si>
  <si>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</si>
  <si>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</si>
  <si>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</si>
  <si>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</si>
  <si>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</si>
  <si>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</si>
  <si>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</si>
  <si>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</si>
  <si>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</si>
  <si>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</si>
  <si>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</si>
  <si>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</si>
  <si>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</si>
  <si>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</si>
  <si>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</si>
  <si>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</si>
  <si>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</si>
  <si>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</si>
  <si>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</si>
  <si>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</si>
  <si>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</si>
  <si>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</si>
  <si>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</si>
  <si>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</si>
  <si>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</si>
  <si>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</si>
  <si>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</si>
  <si>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</si>
  <si>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</si>
  <si>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</si>
  <si>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</si>
  <si>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</si>
  <si>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</si>
  <si>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</si>
  <si>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</si>
  <si>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</si>
  <si>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</si>
  <si>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</si>
  <si>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</si>
  <si>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</si>
  <si>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</si>
  <si>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</si>
  <si>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</si>
  <si>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</si>
  <si>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</si>
  <si>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</si>
  <si>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</si>
  <si>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</si>
  <si>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</si>
  <si>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</si>
  <si>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</si>
  <si>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</si>
  <si>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</si>
  <si>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</si>
  <si>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</si>
  <si>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</si>
  <si>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</si>
  <si>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</si>
  <si>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</si>
  <si>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</si>
  <si>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</si>
  <si>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</si>
  <si>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</si>
  <si>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</si>
  <si>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</si>
  <si>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</si>
  <si>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</si>
  <si>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</si>
  <si>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</si>
  <si>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</si>
  <si>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</si>
  <si>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</si>
  <si>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</si>
  <si>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</si>
  <si>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</si>
  <si>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</si>
  <si>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Cristóbal Cuneo</t>
  </si>
  <si>
    <t>cristobalcuneog@gmail.com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</si>
</sst>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istobalcuneog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C27" sqref="C27"/>
    </sheetView>
  </sheetViews>
  <sheetFormatPr baseColWidth="10" defaultRowHeight="15" x14ac:dyDescent="0.2"/>
  <cols>
    <col min="4" max="4" width="11.83203125" customWidth="1"/>
  </cols>
  <sheetData>
    <row r="1" spans="2:4" ht="16" thickBot="1" x14ac:dyDescent="0.25"/>
    <row r="2" spans="2:4" ht="16" thickBot="1" x14ac:dyDescent="0.25">
      <c r="B2" s="78" t="s">
        <v>74</v>
      </c>
      <c r="C2" s="79"/>
      <c r="D2" s="80"/>
    </row>
    <row r="3" spans="2:4" x14ac:dyDescent="0.2">
      <c r="B3" s="76" t="s">
        <v>75</v>
      </c>
      <c r="C3" s="81" t="s">
        <v>77</v>
      </c>
      <c r="D3" s="82"/>
    </row>
    <row r="4" spans="2:4" ht="16" thickBot="1" x14ac:dyDescent="0.25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CFDCA97A-5103-744A-A43B-7E20B2DDF1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K17" sqref="K17"/>
    </sheetView>
  </sheetViews>
  <sheetFormatPr baseColWidth="10" defaultColWidth="11.5" defaultRowHeight="15" x14ac:dyDescent="0.2"/>
  <cols>
    <col min="1" max="14" width="10.83203125" customWidth="1"/>
    <col min="15" max="34" width="11.5" style="34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0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0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60000</v>
      </c>
      <c r="BA7" s="34">
        <f>AZ7-AY7*10</f>
        <v>59990</v>
      </c>
      <c r="BB7" s="34">
        <f>BA7+N23</f>
        <v>59994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-90060709</v>
      </c>
    </row>
    <row r="9" spans="2:54" x14ac:dyDescent="0.2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5</v>
      </c>
      <c r="F9" s="13">
        <f t="shared" si="3"/>
        <v>3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-60020508</v>
      </c>
    </row>
    <row r="10" spans="2:54" x14ac:dyDescent="0.2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2</v>
      </c>
      <c r="F10" s="50">
        <f t="shared" si="3"/>
        <v>4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-29980207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0</v>
      </c>
      <c r="F11" s="54">
        <f t="shared" si="3"/>
        <v>6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4</v>
      </c>
      <c r="N23" s="35">
        <f>IF(J23="",0,M23)</f>
        <v>4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2</v>
      </c>
      <c r="N25" s="35">
        <f>IF(J25="",0,M25)</f>
        <v>2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3</v>
      </c>
      <c r="N26" s="35">
        <f>IF(J26="",0,M26)</f>
        <v>3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14" width="10.832031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29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1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-70020400</v>
      </c>
      <c r="BA7" s="34">
        <f>AZ7-AY7*10</f>
        <v>-70020410</v>
      </c>
      <c r="BB7" s="34">
        <f>BA7+N23</f>
        <v>-70020409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-40000307</v>
      </c>
    </row>
    <row r="9" spans="2:54" x14ac:dyDescent="0.2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40000</v>
      </c>
      <c r="BA9" s="34">
        <f t="shared" si="10"/>
        <v>39990</v>
      </c>
      <c r="BB9" s="34">
        <f>BA9+N25</f>
        <v>39994</v>
      </c>
    </row>
    <row r="10" spans="2:54" x14ac:dyDescent="0.2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2</v>
      </c>
      <c r="AR10" s="34">
        <f>SUMIF($K$7:$K$12,AO10,$L$7:$L$12) + SUMIF($N$7:$N$12,AO10,$M$7:$M$12)</f>
        <v>4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-50020400</v>
      </c>
      <c r="BA10" s="34">
        <f t="shared" si="10"/>
        <v>-50020410</v>
      </c>
      <c r="BB10" s="34">
        <f>BA10+N26</f>
        <v>-50020408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2</v>
      </c>
      <c r="N26" s="35">
        <f>IF(J26="",0,M26)</f>
        <v>2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34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1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-60010508</v>
      </c>
    </row>
    <row r="9" spans="2:54" x14ac:dyDescent="0.2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1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">
      <c r="B10" s="48">
        <v>3</v>
      </c>
      <c r="C10" s="49" t="str">
        <f t="shared" si="0"/>
        <v>Polonia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C1" workbookViewId="0">
      <selection activeCell="M27" sqref="M2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39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-9970106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-9970207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70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0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-70020308</v>
      </c>
    </row>
    <row r="9" spans="2:54" x14ac:dyDescent="0.2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39900</v>
      </c>
      <c r="BA10" s="34">
        <f t="shared" si="10"/>
        <v>39890</v>
      </c>
      <c r="BB10" s="34">
        <f>BA10+N26</f>
        <v>39894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1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71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>Croacia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-70030500</v>
      </c>
      <c r="BA7" s="34">
        <f>AZ7-AY7*10</f>
        <v>-70030500</v>
      </c>
      <c r="BB7" s="34">
        <f>BA7+N23</f>
        <v>-70030499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>Belgica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-70030500</v>
      </c>
      <c r="BA8" s="34">
        <f t="shared" ref="BA8:BA10" si="10">AZ8-AY8*10</f>
        <v>-70030500</v>
      </c>
      <c r="BB8" s="34">
        <f>BA8+N24</f>
        <v>-70030498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29800</v>
      </c>
      <c r="BA9" s="34">
        <f t="shared" si="10"/>
        <v>29790</v>
      </c>
      <c r="BB9" s="34">
        <f>BA9+N25</f>
        <v>29794</v>
      </c>
    </row>
    <row r="10" spans="2:54" x14ac:dyDescent="0.2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-29970100</v>
      </c>
      <c r="BA10" s="34">
        <f t="shared" si="10"/>
        <v>-29970110</v>
      </c>
      <c r="BB10" s="34">
        <f>BA10+N26</f>
        <v>-29970107</v>
      </c>
    </row>
    <row r="11" spans="2:54" ht="16" thickBot="1" x14ac:dyDescent="0.25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O19" sqref="O19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72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2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-9970300</v>
      </c>
      <c r="BA9" s="34">
        <f t="shared" si="10"/>
        <v>-9970310</v>
      </c>
      <c r="BB9" s="34">
        <f>BA9+N25</f>
        <v>-9970307</v>
      </c>
    </row>
    <row r="10" spans="2:54" x14ac:dyDescent="0.2">
      <c r="B10" s="48">
        <v>3</v>
      </c>
      <c r="C10" s="49" t="str">
        <f t="shared" si="0"/>
        <v>Serbia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6" thickBot="1" x14ac:dyDescent="0.25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27" sqref="M2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1" t="s">
        <v>73</v>
      </c>
      <c r="C3" s="92"/>
      <c r="D3" s="92"/>
      <c r="E3" s="92"/>
      <c r="F3" s="92"/>
      <c r="G3" s="93"/>
    </row>
    <row r="4" spans="2:54" ht="16" thickBot="1" x14ac:dyDescent="0.25">
      <c r="B4" s="94"/>
      <c r="C4" s="95"/>
      <c r="D4" s="95"/>
      <c r="E4" s="95"/>
      <c r="F4" s="95"/>
      <c r="G4" s="96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-60010300</v>
      </c>
      <c r="BA7" s="34">
        <f>AZ7-AY7*10</f>
        <v>-60010310</v>
      </c>
      <c r="BB7" s="34">
        <f>BA7+N23</f>
        <v>-60010308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-90030400</v>
      </c>
      <c r="BA8" s="34">
        <f t="shared" ref="BA8:BA10" si="10">AZ8-AY8*10</f>
        <v>-90030410</v>
      </c>
      <c r="BB8" s="34">
        <f>BA8+N24</f>
        <v>-90030409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-9980106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1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2</v>
      </c>
      <c r="N23" s="35">
        <f>IF(J23="",0,M23)</f>
        <v>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1</v>
      </c>
      <c r="N24" s="35">
        <f>IF(J24="",0,M24)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A13" workbookViewId="0">
      <selection activeCell="R31" sqref="R31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06" t="s">
        <v>69</v>
      </c>
      <c r="C2" s="107"/>
      <c r="D2" s="108"/>
    </row>
    <row r="3" spans="2:19" ht="16" thickBot="1" x14ac:dyDescent="0.25"/>
    <row r="4" spans="2:19" ht="16" thickBot="1" x14ac:dyDescent="0.25">
      <c r="G4" s="106" t="s">
        <v>59</v>
      </c>
      <c r="H4" s="107"/>
      <c r="I4" s="108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3</v>
      </c>
      <c r="D6" s="61"/>
    </row>
    <row r="7" spans="2:19" ht="16" thickBot="1" x14ac:dyDescent="0.25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2</v>
      </c>
      <c r="I8" s="61"/>
      <c r="L8" s="106" t="s">
        <v>60</v>
      </c>
      <c r="M8" s="107"/>
      <c r="N8" s="108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2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1</v>
      </c>
      <c r="N12" s="61">
        <v>3</v>
      </c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4</v>
      </c>
      <c r="O13" s="65"/>
    </row>
    <row r="14" spans="2:19" ht="16" thickBot="1" x14ac:dyDescent="0.25">
      <c r="B14" s="59" t="str">
        <f>'GRUPO E'!C8</f>
        <v>España</v>
      </c>
      <c r="C14" s="60">
        <v>3</v>
      </c>
      <c r="D14" s="61"/>
      <c r="J14" s="66"/>
      <c r="O14" s="66"/>
    </row>
    <row r="15" spans="2:19" ht="16" thickBot="1" x14ac:dyDescent="0.25">
      <c r="B15" s="62" t="str">
        <f>'GRUPO F'!C9</f>
        <v>Croacia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3</v>
      </c>
      <c r="D18" s="61"/>
      <c r="E18" s="69"/>
      <c r="O18" s="66"/>
    </row>
    <row r="19" spans="2:23" ht="16" thickBot="1" x14ac:dyDescent="0.25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Francia</v>
      </c>
    </row>
    <row r="26" spans="2:23" ht="16" thickBot="1" x14ac:dyDescent="0.25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6" thickBot="1" x14ac:dyDescent="0.25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/>
      <c r="Q29" s="59" t="str">
        <f>IF(Q20=L12,L13,IF(Q20=L13,L12,""))</f>
        <v>Argentina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Uruguay</v>
      </c>
      <c r="R30" s="63">
        <v>0</v>
      </c>
      <c r="S30" s="64"/>
    </row>
    <row r="31" spans="2:23" ht="16" thickBot="1" x14ac:dyDescent="0.25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Alemania</v>
      </c>
      <c r="H32" s="60">
        <v>0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">
      <c r="B34" s="59" t="str">
        <f>'GRUPO H'!C8</f>
        <v>Uruguay</v>
      </c>
      <c r="C34" s="60">
        <v>1</v>
      </c>
      <c r="D34" s="61"/>
      <c r="E34" s="69"/>
    </row>
    <row r="35" spans="2:9" ht="16" thickBot="1" x14ac:dyDescent="0.25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2022-11-02T00:22:23Z</dcterms:created>
  <dcterms:modified xsi:type="dcterms:W3CDTF">2022-11-19T21:35:26Z</dcterms:modified>
</cp:coreProperties>
</file>