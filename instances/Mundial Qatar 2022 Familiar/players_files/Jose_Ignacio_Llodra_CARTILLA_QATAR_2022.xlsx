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llodra/Downloads/"/>
    </mc:Choice>
  </mc:AlternateContent>
  <xr:revisionPtr revIDLastSave="0" documentId="8_{EC38133E-DF72-CC4A-AC6E-0A7876A562E0}" xr6:coauthVersionLast="47" xr6:coauthVersionMax="47" xr10:uidLastSave="{00000000-0000-0000-0000-000000000000}"/>
  <bookViews>
    <workbookView xWindow="0" yWindow="500" windowWidth="25600" windowHeight="14000" activeTab="9" xr2:uid="{00000000-000D-0000-FFFF-FFFF00000000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0" i="14"/>
  <c r="I12" i="14" s="1"/>
  <c r="I9" i="14"/>
  <c r="I11" i="14" s="1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K12" i="12"/>
  <c r="AP8" i="12" s="1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2" l="1"/>
  <c r="AZ8" i="10"/>
  <c r="AP9" i="11"/>
  <c r="AZ9" i="11" s="1"/>
  <c r="AZ7" i="15"/>
  <c r="AP7" i="14"/>
  <c r="AZ7" i="14" s="1"/>
  <c r="AP10" i="13"/>
  <c r="AZ10" i="13" s="1"/>
  <c r="AZ8" i="13"/>
  <c r="AZ10" i="12"/>
  <c r="AZ8" i="12"/>
  <c r="AP9" i="12"/>
  <c r="AZ9" i="12" s="1"/>
  <c r="AZ10" i="11"/>
  <c r="AZ8" i="1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10" i="11" l="1"/>
  <c r="AX10" i="11" s="1"/>
  <c r="AY10" i="11" s="1"/>
  <c r="BA10" i="11" s="1"/>
  <c r="BB10" i="11" s="1"/>
  <c r="AW7" i="14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9" i="2"/>
  <c r="AX9" i="2" s="1"/>
  <c r="AY9" i="2" s="1"/>
  <c r="BA9" i="2" s="1"/>
  <c r="BB9" i="2" s="1"/>
  <c r="AW7" i="2"/>
  <c r="AX7" i="2" s="1"/>
  <c r="AY7" i="2" s="1"/>
  <c r="BA7" i="2" s="1"/>
  <c r="BB7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F10" i="11"/>
  <c r="G11" i="11"/>
  <c r="E8" i="11"/>
  <c r="G8" i="11"/>
  <c r="G10" i="11"/>
  <c r="D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G32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G25" i="16" l="1"/>
  <c r="D10" i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<sst xmlns="http://schemas.openxmlformats.org/spreadsheetml/2006/main" count="455" uniqueCount="80">
  <si>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</si>
  <si>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</si>
  <si>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</si>
  <si>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</si>
  <si>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</si>
  <si>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</si>
  <si>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</si>
  <si>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</si>
  <si>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</si>
  <si>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</si>
  <si>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</si>
  <si>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</si>
  <si>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</si>
  <si>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</si>
  <si>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</si>
  <si>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</si>
  <si>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</si>
  <si>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</si>
  <si>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</si>
  <si>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</si>
  <si>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</si>
  <si>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</si>
  <si>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</si>
  <si>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</si>
  <si>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</si>
  <si>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</si>
  <si>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</si>
  <si>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</si>
  <si>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</si>
  <si>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</si>
  <si>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</si>
  <si>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</si>
  <si>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</si>
  <si>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</si>
  <si>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</si>
  <si>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</si>
  <si>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</si>
  <si>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</si>
  <si>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</si>
  <si>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</si>
  <si>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</si>
  <si>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</si>
  <si>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</si>
  <si>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</si>
  <si>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</si>
  <si>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</si>
  <si>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</si>
  <si>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</si>
  <si>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</si>
  <si>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</si>
  <si>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</si>
  <si>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</si>
  <si>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</si>
  <si>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</si>
  <si>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</si>
  <si>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</si>
  <si>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</si>
  <si>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</si>
  <si>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</si>
  <si>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</si>
  <si>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</si>
  <si>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</si>
  <si>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</si>
  <si>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</si>
  <si>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</si>
  <si>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</si>
  <si>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</si>
  <si>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</si>
  <si>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</si>
  <si>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</si>
  <si>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</si>
  <si>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</si>
  <si>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</si>
  <si>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</si>
  <si>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</si>
  <si>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</si>
  <si>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</si>
  <si>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Jose Ignacio Llodra</t>
  </si>
  <si>
    <t>jillodra@hks.harvard.edu</t>
  </si>
  <si>
    <t>Sí, es mi mail de Harvard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</si>
</sst>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vial1@miuande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workbookViewId="0">
      <selection activeCell="D12" sqref="D12"/>
    </sheetView>
  </sheetViews>
  <sheetFormatPr baseColWidth="10" defaultRowHeight="15" x14ac:dyDescent="0.2"/>
  <sheetData>
    <row r="1" spans="2:5" ht="16" thickBot="1" x14ac:dyDescent="0.25"/>
    <row r="2" spans="2:5" ht="16" thickBot="1" x14ac:dyDescent="0.25">
      <c r="B2" s="83" t="s">
        <v>74</v>
      </c>
      <c r="C2" s="84"/>
      <c r="D2" s="85"/>
    </row>
    <row r="3" spans="2:5" x14ac:dyDescent="0.2">
      <c r="B3" s="76" t="s">
        <v>75</v>
      </c>
      <c r="C3" s="86" t="s">
        <v>77</v>
      </c>
      <c r="D3" s="87"/>
    </row>
    <row r="4" spans="2:5" ht="16" thickBot="1" x14ac:dyDescent="0.25">
      <c r="B4" s="77" t="s">
        <v>76</v>
      </c>
      <c r="C4" s="88" t="s">
        <v>78</v>
      </c>
      <c r="D4" s="89"/>
      <c r="E4" t="s">
        <v>79</v>
      </c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display="cvial1@miuandes.c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28"/>
  <sheetViews>
    <sheetView topLeftCell="A4" workbookViewId="0">
      <selection activeCell="L13" sqref="L13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-4</v>
      </c>
      <c r="AR7" s="34">
        <f>SUMIF($K$7:$K$12,AO7,$L$7:$L$12) + SUMIF($N$7:$N$12,AO7,$M$7:$M$12)</f>
        <v>1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39900</v>
      </c>
      <c r="BA7" s="34">
        <f>AZ7-AY7*10</f>
        <v>39890</v>
      </c>
      <c r="BB7" s="34">
        <f>BA7+N23</f>
        <v>39894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5</v>
      </c>
      <c r="F8" s="9">
        <f t="shared" si="3"/>
        <v>1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-90040500</v>
      </c>
      <c r="BA8" s="34">
        <f t="shared" ref="BA8:BA10" si="10">AZ8-AY8*10</f>
        <v>-90040510</v>
      </c>
      <c r="BB8" s="34">
        <f>BA8+N24</f>
        <v>-90040509</v>
      </c>
    </row>
    <row r="9" spans="2:54" x14ac:dyDescent="0.2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-60010408</v>
      </c>
    </row>
    <row r="10" spans="2:54" x14ac:dyDescent="0.2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-29990300</v>
      </c>
      <c r="BA10" s="34">
        <f t="shared" si="10"/>
        <v>-29990310</v>
      </c>
      <c r="BB10" s="34">
        <f>BA10+N26</f>
        <v>-29990307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B28"/>
  <sheetViews>
    <sheetView workbookViewId="0">
      <selection activeCell="L14" sqref="L14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-90040700</v>
      </c>
      <c r="BA7" s="34">
        <f>AZ7-AY7*10</f>
        <v>-90040710</v>
      </c>
      <c r="BB7" s="34">
        <f>BA7+N23</f>
        <v>-90040709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2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-60030600</v>
      </c>
      <c r="BA8" s="34">
        <f t="shared" ref="BA8:BA10" si="10">AZ8-AY8*10</f>
        <v>-60030610</v>
      </c>
      <c r="BB8" s="34">
        <f>BA8+N24</f>
        <v>-60030608</v>
      </c>
    </row>
    <row r="9" spans="2:54" x14ac:dyDescent="0.2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49793</v>
      </c>
    </row>
    <row r="10" spans="2:54" x14ac:dyDescent="0.2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-29980206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3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6</v>
      </c>
      <c r="AQ7" s="34">
        <f>AR7-AS7</f>
        <v>5</v>
      </c>
      <c r="AR7" s="34">
        <f>SUMIF($K$7:$K$12,AO7,$L$7:$L$12) + SUMIF($N$7:$N$12,AO7,$M$7:$M$12)</f>
        <v>8</v>
      </c>
      <c r="AS7" s="34">
        <f>SUMIF($K$7:$K$12,AO7,$M$7:$M$12) + SUMIF($N$7:$N$12,AO7,$L$7:$L$12)</f>
        <v>3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-60050800</v>
      </c>
      <c r="BA7" s="34">
        <f>AZ7-AY7*10</f>
        <v>-60050810</v>
      </c>
      <c r="BB7" s="34">
        <f>BA7+N23</f>
        <v>-60050809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6</v>
      </c>
      <c r="E8" s="9">
        <f t="shared" si="0"/>
        <v>8</v>
      </c>
      <c r="F8" s="9">
        <f t="shared" si="0"/>
        <v>3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-60030600</v>
      </c>
      <c r="BA8" s="34">
        <f t="shared" ref="BA8:BA10" si="10">AZ8-AY8*10</f>
        <v>-60030610</v>
      </c>
      <c r="BB8" s="34">
        <f>BA8+N24</f>
        <v>-60030608</v>
      </c>
    </row>
    <row r="9" spans="2:54" x14ac:dyDescent="0.2">
      <c r="B9" s="11">
        <v>2</v>
      </c>
      <c r="C9" s="12" t="str">
        <f t="shared" si="0"/>
        <v>Mexico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-60000400</v>
      </c>
      <c r="BA9" s="34">
        <f t="shared" si="10"/>
        <v>-60000410</v>
      </c>
      <c r="BB9" s="34">
        <f>BA9+N25</f>
        <v>-60000407</v>
      </c>
    </row>
    <row r="10" spans="2:54" x14ac:dyDescent="0.2">
      <c r="B10" s="48">
        <v>3</v>
      </c>
      <c r="C10" s="49" t="str">
        <f t="shared" si="0"/>
        <v>Polonia</v>
      </c>
      <c r="D10" s="50">
        <f t="shared" si="0"/>
        <v>6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3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0</v>
      </c>
      <c r="AK10" s="34">
        <f t="shared" si="3"/>
        <v>3</v>
      </c>
      <c r="AL10" s="34" t="str">
        <f t="shared" si="4"/>
        <v>Mexico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-8</v>
      </c>
      <c r="AR10" s="34">
        <f>SUMIF($K$7:$K$12,AO10,$L$7:$L$12) + SUMIF($N$7:$N$12,AO10,$M$7:$M$12)</f>
        <v>0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80000</v>
      </c>
      <c r="BA10" s="34">
        <f t="shared" si="10"/>
        <v>79990</v>
      </c>
      <c r="BB10" s="34">
        <f>BA10+N26</f>
        <v>79994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8</v>
      </c>
      <c r="G11" s="55">
        <f t="shared" si="0"/>
        <v>-8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-29960100</v>
      </c>
      <c r="BA9" s="34">
        <f t="shared" si="10"/>
        <v>-29960110</v>
      </c>
      <c r="BB9" s="34">
        <f>BA9+N25</f>
        <v>-29960107</v>
      </c>
    </row>
    <row r="10" spans="2:54" x14ac:dyDescent="0.2">
      <c r="B10" s="48">
        <v>3</v>
      </c>
      <c r="C10" s="49" t="str">
        <f t="shared" si="0"/>
        <v>Tunez</v>
      </c>
      <c r="D10" s="50">
        <f t="shared" si="0"/>
        <v>3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6" thickBot="1" x14ac:dyDescent="0.25">
      <c r="B11" s="52">
        <v>4</v>
      </c>
      <c r="C11" s="53" t="str">
        <f t="shared" si="0"/>
        <v>Australia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28"/>
  <sheetViews>
    <sheetView workbookViewId="0">
      <selection activeCell="L14" sqref="L14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-60030500</v>
      </c>
      <c r="BA7" s="34">
        <f>AZ7-AY7*10</f>
        <v>-60030510</v>
      </c>
      <c r="BB7" s="34">
        <f>BA7+N23</f>
        <v>-60030509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5</v>
      </c>
      <c r="F8" s="9">
        <f t="shared" si="0"/>
        <v>0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3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-90050500</v>
      </c>
      <c r="BA8" s="34">
        <f t="shared" ref="BA8:BA10" si="10">AZ8-AY8*10</f>
        <v>-90050510</v>
      </c>
      <c r="BB8" s="34">
        <f>BA8+N24</f>
        <v>-90050508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49993</v>
      </c>
    </row>
    <row r="10" spans="2:54" x14ac:dyDescent="0.2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-29970200</v>
      </c>
      <c r="BA10" s="34">
        <f t="shared" si="10"/>
        <v>-29970210</v>
      </c>
      <c r="BB10" s="34">
        <f>BA10+N26</f>
        <v>-29970206</v>
      </c>
    </row>
    <row r="11" spans="2:54" ht="16" thickBot="1" x14ac:dyDescent="0.25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-70030507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3</v>
      </c>
      <c r="AO8" s="34" t="s">
        <v>49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-40010400</v>
      </c>
      <c r="BA8" s="34">
        <f t="shared" ref="BA8:BA10" si="10">AZ8-AY8*10</f>
        <v>-40010410</v>
      </c>
      <c r="BB8" s="34">
        <f>BA8+N24</f>
        <v>-40010408</v>
      </c>
    </row>
    <row r="9" spans="2:54" x14ac:dyDescent="0.2">
      <c r="B9" s="11">
        <v>2</v>
      </c>
      <c r="C9" s="12" t="str">
        <f t="shared" si="0"/>
        <v>Marruecos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2</v>
      </c>
      <c r="AO9" s="34" t="s">
        <v>50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-60010409</v>
      </c>
    </row>
    <row r="10" spans="2:54" x14ac:dyDescent="0.2">
      <c r="B10" s="48">
        <v>3</v>
      </c>
      <c r="C10" s="49" t="str">
        <f t="shared" si="0"/>
        <v>Croacia</v>
      </c>
      <c r="D10" s="50">
        <f t="shared" si="0"/>
        <v>4</v>
      </c>
      <c r="E10" s="50">
        <f t="shared" si="0"/>
        <v>4</v>
      </c>
      <c r="F10" s="50">
        <f t="shared" si="0"/>
        <v>3</v>
      </c>
      <c r="G10" s="51">
        <f t="shared" si="0"/>
        <v>1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6" thickBot="1" x14ac:dyDescent="0.25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3</v>
      </c>
      <c r="N23" s="35">
        <f>IF(J23="",0,M23)</f>
        <v>3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1</v>
      </c>
      <c r="N25" s="35">
        <f>IF(J25="",0,M25)</f>
        <v>1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B28"/>
  <sheetViews>
    <sheetView workbookViewId="0">
      <selection activeCell="M14" sqref="M14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-9970200</v>
      </c>
      <c r="BA8" s="34">
        <f t="shared" ref="BA8:BA10" si="10">AZ8-AY8*10</f>
        <v>-9970210</v>
      </c>
      <c r="BB8" s="34">
        <f>BA8+N24</f>
        <v>-9970208</v>
      </c>
    </row>
    <row r="9" spans="2:54" x14ac:dyDescent="0.2">
      <c r="B9" s="11">
        <v>2</v>
      </c>
      <c r="C9" s="12" t="str">
        <f t="shared" si="0"/>
        <v>Camerun</v>
      </c>
      <c r="D9" s="13">
        <f t="shared" si="0"/>
        <v>6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0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">
      <c r="B10" s="48">
        <v>3</v>
      </c>
      <c r="C10" s="49" t="str">
        <f t="shared" si="0"/>
        <v>Suiza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6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-60000400</v>
      </c>
      <c r="BA10" s="34">
        <f t="shared" si="10"/>
        <v>-60000410</v>
      </c>
      <c r="BB10" s="34">
        <f>BA10+N26</f>
        <v>-60000406</v>
      </c>
    </row>
    <row r="11" spans="2:54" ht="16" thickBot="1" x14ac:dyDescent="0.25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-70020600</v>
      </c>
      <c r="BA7" s="34">
        <f>AZ7-AY7*10</f>
        <v>-70020610</v>
      </c>
      <c r="BB7" s="34">
        <f>BA7+N23</f>
        <v>-70020609</v>
      </c>
    </row>
    <row r="8" spans="2:54" x14ac:dyDescent="0.2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-70030700</v>
      </c>
      <c r="BA8" s="34">
        <f t="shared" ref="BA8:BA10" si="10">AZ8-AY8*10</f>
        <v>-70030710</v>
      </c>
      <c r="BB8" s="34">
        <f>BA8+N24</f>
        <v>-70030708</v>
      </c>
    </row>
    <row r="9" spans="2:54" x14ac:dyDescent="0.2">
      <c r="B9" s="11">
        <v>2</v>
      </c>
      <c r="C9" s="12" t="str">
        <f t="shared" si="0"/>
        <v>Portugal</v>
      </c>
      <c r="D9" s="13">
        <f t="shared" si="0"/>
        <v>7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2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29800</v>
      </c>
      <c r="BA10" s="34">
        <f t="shared" si="10"/>
        <v>29790</v>
      </c>
      <c r="BB10" s="34">
        <f>BA10+N26</f>
        <v>29794</v>
      </c>
    </row>
    <row r="11" spans="2:54" ht="16" thickBot="1" x14ac:dyDescent="0.25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W35"/>
  <sheetViews>
    <sheetView tabSelected="1" topLeftCell="A16" workbookViewId="0">
      <selection activeCell="R31" sqref="R31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6" thickBot="1" x14ac:dyDescent="0.25">
      <c r="B10" s="59" t="str">
        <f>'GRUPO C'!C8</f>
        <v>Argentina</v>
      </c>
      <c r="C10" s="60">
        <v>2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2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2</v>
      </c>
      <c r="D14" s="61"/>
      <c r="J14" s="66"/>
      <c r="O14" s="66"/>
    </row>
    <row r="15" spans="2:19" ht="16" thickBot="1" x14ac:dyDescent="0.25">
      <c r="B15" s="62" t="str">
        <f>'GRUPO F'!C9</f>
        <v>Marruecos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Alemania</v>
      </c>
      <c r="H16" s="60">
        <v>3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2</v>
      </c>
      <c r="D18" s="61">
        <v>1</v>
      </c>
      <c r="E18" s="69"/>
      <c r="O18" s="66"/>
    </row>
    <row r="19" spans="2:23" ht="16" thickBot="1" x14ac:dyDescent="0.25">
      <c r="B19" s="62" t="str">
        <f>'GRUPO H'!C9</f>
        <v>Portugal</v>
      </c>
      <c r="C19" s="63">
        <v>2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Alemania</v>
      </c>
      <c r="R20" s="60">
        <v>2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1</v>
      </c>
      <c r="S21" s="64"/>
    </row>
    <row r="22" spans="2:23" ht="16" thickBot="1" x14ac:dyDescent="0.25">
      <c r="B22" s="59" t="str">
        <f>'GRUPO B'!C8</f>
        <v>Inglaterra</v>
      </c>
      <c r="C22" s="60">
        <v>2</v>
      </c>
      <c r="D22" s="61"/>
      <c r="O22" s="66"/>
    </row>
    <row r="23" spans="2:23" ht="16" thickBot="1" x14ac:dyDescent="0.25">
      <c r="B23" s="62" t="str">
        <f>'GRUPO A'!C9</f>
        <v>Senegal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Alemania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Inglaterra</v>
      </c>
    </row>
    <row r="26" spans="2:23" ht="16" thickBot="1" x14ac:dyDescent="0.25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6" thickBot="1" x14ac:dyDescent="0.25">
      <c r="B27" s="62" t="str">
        <f>'GRUPO C'!C9</f>
        <v>Mexico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Inglaterra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España</v>
      </c>
      <c r="M29" s="63">
        <v>1</v>
      </c>
      <c r="N29" s="64"/>
      <c r="Q29" s="59" t="str">
        <f>IF(Q20=L12,L13,IF(Q20=L13,L12,""))</f>
        <v>Argentina</v>
      </c>
      <c r="R29" s="60">
        <v>2</v>
      </c>
      <c r="S29" s="61"/>
    </row>
    <row r="30" spans="2:23" ht="16" thickBot="1" x14ac:dyDescent="0.25">
      <c r="B30" s="59" t="str">
        <f>'GRUPO F'!C8</f>
        <v>Belgica</v>
      </c>
      <c r="C30" s="60">
        <v>0</v>
      </c>
      <c r="D30" s="61"/>
      <c r="J30" s="66"/>
      <c r="Q30" s="62" t="str">
        <f>IF(Q21=L28,L29,IF(Q21=L29,L28,""))</f>
        <v>España</v>
      </c>
      <c r="R30" s="63">
        <v>1</v>
      </c>
      <c r="S30" s="64"/>
    </row>
    <row r="31" spans="2:23" ht="16" thickBot="1" x14ac:dyDescent="0.25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España</v>
      </c>
      <c r="H32" s="60">
        <v>2</v>
      </c>
      <c r="I32" s="61"/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">
      <c r="B34" s="59" t="str">
        <f>'GRUPO H'!C8</f>
        <v>Uruguay</v>
      </c>
      <c r="C34" s="60">
        <v>1</v>
      </c>
      <c r="D34" s="61">
        <v>1</v>
      </c>
      <c r="E34" s="69"/>
    </row>
    <row r="35" spans="2:9" ht="16" thickBot="1" x14ac:dyDescent="0.25">
      <c r="B35" s="62" t="str">
        <f>'GRUPO G'!C9</f>
        <v>Camerun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Comentarios</cp:lastModifiedBy>
  <dcterms:created xsi:type="dcterms:W3CDTF">2022-11-02T00:22:23Z</dcterms:created>
  <dcterms:modified xsi:type="dcterms:W3CDTF">2022-11-20T05:37:13Z</dcterms:modified>
</cp:coreProperties>
</file>