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28800" windowHeight="12300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L9" i="12"/>
  <c r="AK7" i="12"/>
  <c r="AL7" i="12" s="1"/>
  <c r="AK11" i="12"/>
  <c r="AP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7" i="14" l="1"/>
  <c r="AZ7" i="14" s="1"/>
  <c r="AP8" i="14"/>
  <c r="AZ8" i="14" s="1"/>
  <c r="AZ8" i="10"/>
  <c r="AZ7" i="15"/>
  <c r="AZ8" i="12"/>
  <c r="AP9" i="12"/>
  <c r="AZ9" i="12" s="1"/>
  <c r="AZ7" i="12"/>
  <c r="AZ8" i="13"/>
  <c r="AP9" i="11"/>
  <c r="AZ9" i="11" s="1"/>
  <c r="AZ10" i="11"/>
  <c r="AZ8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2" l="1"/>
  <c r="AX7" i="12" s="1"/>
  <c r="AY7" i="12" s="1"/>
  <c r="BA7" i="12" s="1"/>
  <c r="BB7" i="12" s="1"/>
  <c r="AW10" i="12"/>
  <c r="AX10" i="12" s="1"/>
  <c r="AY10" i="12" s="1"/>
  <c r="BA10" i="12" s="1"/>
  <c r="BB10" i="12" s="1"/>
  <c r="AW7" i="11"/>
  <c r="AX7" i="11" s="1"/>
  <c r="AY7" i="11" s="1"/>
  <c r="BA7" i="11" s="1"/>
  <c r="BB7" i="11" s="1"/>
  <c r="AW7" i="14"/>
  <c r="AX7" i="14" s="1"/>
  <c r="AY7" i="14" s="1"/>
  <c r="BA7" i="14" s="1"/>
  <c r="BB7" i="14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9" i="13"/>
  <c r="AX9" i="13" s="1"/>
  <c r="AY9" i="13" s="1"/>
  <c r="BA9" i="13" s="1"/>
  <c r="BB9" i="13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E10" i="11"/>
  <c r="E8" i="11"/>
  <c r="G8" i="11"/>
  <c r="G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<sst xmlns="http://schemas.openxmlformats.org/spreadsheetml/2006/main" count="455" uniqueCount="80">
  <si>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</si>
  <si>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</si>
  <si>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</si>
  <si>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</si>
  <si>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</si>
  <si>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</si>
  <si>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</si>
  <si>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</si>
  <si>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</si>
  <si>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</si>
  <si>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</si>
  <si>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</si>
  <si>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</si>
  <si>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</si>
  <si>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</si>
  <si>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</si>
  <si>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</si>
  <si>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</si>
  <si>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</si>
  <si>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</si>
  <si>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</si>
  <si>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</si>
  <si>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</si>
  <si>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</si>
  <si>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</si>
  <si>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</si>
  <si>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</si>
  <si>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</si>
  <si>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</si>
  <si>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</si>
  <si>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</si>
  <si>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</si>
  <si>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</si>
  <si>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</si>
  <si>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</si>
  <si>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</si>
  <si>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</si>
  <si>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</si>
  <si>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</si>
  <si>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</si>
  <si>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</si>
  <si>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</si>
  <si>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</si>
  <si>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</si>
  <si>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</si>
  <si>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</si>
  <si>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</si>
  <si>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</si>
  <si>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</si>
  <si>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</si>
  <si>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</si>
  <si>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</si>
  <si>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</si>
  <si>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</si>
  <si>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</si>
  <si>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</si>
  <si>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</si>
  <si>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</si>
  <si>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</si>
  <si>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</si>
  <si>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</si>
  <si>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</si>
  <si>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</si>
  <si>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</si>
  <si>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</si>
  <si>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</si>
  <si>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</si>
  <si>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</si>
  <si>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</si>
  <si>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</si>
  <si>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</si>
  <si>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</si>
  <si>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</si>
  <si>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</si>
  <si>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</si>
  <si>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</si>
  <si>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</si>
  <si>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Álvaro González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</si>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</sst>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workbookViewId="0">
      <selection activeCell="C3" sqref="C3:D3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2" sqref="M12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0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3</v>
      </c>
      <c r="AK7" s="34">
        <f>IF(AJ7=3,0,IF(AJ7=1,1,3))</f>
        <v>0</v>
      </c>
      <c r="AL7" s="34" t="str">
        <f t="shared" ref="AL7:AL12" si="2">IF(AJ7&gt;AK7,K7,IF(AK7&gt;AJ7,N7,"SIN GANADOR"))</f>
        <v>Senegal</v>
      </c>
      <c r="AN7" s="34">
        <f>_xlfn.RANK.EQ(BB7,BB$7:BB$11,1)</f>
        <v>2</v>
      </c>
      <c r="AO7" s="34" t="s">
        <v>14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-40000400</v>
      </c>
      <c r="BA7" s="34">
        <f>AZ7-AY7*10</f>
        <v>-40000410</v>
      </c>
      <c r="BB7" s="34">
        <f>BA7+N23</f>
        <v>-40000409</v>
      </c>
    </row>
    <row r="8" spans="2:54" x14ac:dyDescent="0.25">
      <c r="B8" s="7">
        <v>1</v>
      </c>
      <c r="C8" s="8" t="str">
        <f t="shared" ref="C8:G11" si="3">IFERROR(VLOOKUP($B8,$AN$7:$AS$11,C$5,FALSE),"")</f>
        <v>Ecuador</v>
      </c>
      <c r="D8" s="9">
        <f t="shared" si="3"/>
        <v>6</v>
      </c>
      <c r="E8" s="9">
        <f t="shared" si="3"/>
        <v>4</v>
      </c>
      <c r="F8" s="9">
        <f t="shared" si="3"/>
        <v>4</v>
      </c>
      <c r="G8" s="10">
        <f t="shared" si="3"/>
        <v>0</v>
      </c>
      <c r="I8" s="18">
        <v>2</v>
      </c>
      <c r="J8" s="19">
        <v>44886</v>
      </c>
      <c r="K8" s="20" t="s">
        <v>14</v>
      </c>
      <c r="L8" s="21">
        <v>3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4</v>
      </c>
      <c r="AO8" s="34" t="s">
        <v>13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-30000300</v>
      </c>
      <c r="BA8" s="34">
        <f t="shared" ref="BA8:BA10" si="10">AZ8-AY8*10</f>
        <v>-30000310</v>
      </c>
      <c r="BB8" s="34">
        <f>BA8+N24</f>
        <v>-30000308</v>
      </c>
    </row>
    <row r="9" spans="2:54" x14ac:dyDescent="0.25">
      <c r="B9" s="11">
        <v>2</v>
      </c>
      <c r="C9" s="12" t="str">
        <f t="shared" si="3"/>
        <v>Qatar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2</v>
      </c>
      <c r="F10" s="50">
        <f t="shared" si="3"/>
        <v>2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2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0</v>
      </c>
      <c r="AK10" s="34">
        <f t="shared" si="4"/>
        <v>3</v>
      </c>
      <c r="AL10" s="34" t="str">
        <f t="shared" si="2"/>
        <v>Ecuador</v>
      </c>
      <c r="AN10" s="34">
        <f>_xlfn.RANK.EQ(BB10,BB$7:BB$11,1)</f>
        <v>1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-60000400</v>
      </c>
      <c r="BA10" s="34">
        <f t="shared" si="10"/>
        <v>-60000410</v>
      </c>
      <c r="BB10" s="34">
        <f>BA10+N26</f>
        <v>-60000406</v>
      </c>
    </row>
    <row r="11" spans="2:54" ht="15.75" thickBot="1" x14ac:dyDescent="0.3">
      <c r="B11" s="52">
        <v>4</v>
      </c>
      <c r="C11" s="53" t="str">
        <f t="shared" si="3"/>
        <v>Holanda</v>
      </c>
      <c r="D11" s="54">
        <f t="shared" si="3"/>
        <v>3</v>
      </c>
      <c r="E11" s="54">
        <f t="shared" si="3"/>
        <v>3</v>
      </c>
      <c r="F11" s="54">
        <f t="shared" si="3"/>
        <v>3</v>
      </c>
      <c r="G11" s="55">
        <f t="shared" si="3"/>
        <v>0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2" sqref="M12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2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7</v>
      </c>
      <c r="AS7" s="34">
        <f>SUMIF($K$7:$K$12,AO7,$M$7:$M$12) + SUMIF($N$7:$N$12,AO7,$L$7:$L$12)</f>
        <v>5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-70020700</v>
      </c>
      <c r="BA7" s="34">
        <f>AZ7-AY7*10</f>
        <v>-70020710</v>
      </c>
      <c r="BB7" s="34">
        <f>BA7+N23</f>
        <v>-70020709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7</v>
      </c>
      <c r="F8" s="9">
        <f t="shared" si="0"/>
        <v>5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1</v>
      </c>
      <c r="M8" s="22">
        <v>3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4</v>
      </c>
      <c r="AO8" s="34" t="s">
        <v>31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-9970400</v>
      </c>
      <c r="BA8" s="34">
        <f t="shared" ref="BA8:BA10" si="10">AZ8-AY8*10</f>
        <v>-9970410</v>
      </c>
      <c r="BB8" s="34">
        <f>BA8+N24</f>
        <v>-9970408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3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6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-40000600</v>
      </c>
      <c r="BA9" s="34">
        <f t="shared" si="10"/>
        <v>-40000610</v>
      </c>
      <c r="BB9" s="34">
        <f>BA9+N25</f>
        <v>-40000607</v>
      </c>
    </row>
    <row r="10" spans="2:54" x14ac:dyDescent="0.25">
      <c r="B10" s="48">
        <v>3</v>
      </c>
      <c r="C10" s="49" t="str">
        <f t="shared" si="0"/>
        <v>Iran</v>
      </c>
      <c r="D10" s="50">
        <f t="shared" si="0"/>
        <v>4</v>
      </c>
      <c r="E10" s="50">
        <f t="shared" si="0"/>
        <v>6</v>
      </c>
      <c r="F10" s="50">
        <f t="shared" si="0"/>
        <v>6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2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6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-40010600</v>
      </c>
      <c r="BA10" s="34">
        <f t="shared" si="10"/>
        <v>-40010610</v>
      </c>
      <c r="BB10" s="34">
        <f>BA10+N26</f>
        <v>-40010606</v>
      </c>
    </row>
    <row r="11" spans="2:54" ht="15.75" thickBot="1" x14ac:dyDescent="0.3">
      <c r="B11" s="52">
        <v>4</v>
      </c>
      <c r="C11" s="53" t="str">
        <f t="shared" si="0"/>
        <v>USA</v>
      </c>
      <c r="D11" s="54">
        <f t="shared" si="0"/>
        <v>1</v>
      </c>
      <c r="E11" s="54">
        <f t="shared" si="0"/>
        <v>4</v>
      </c>
      <c r="F11" s="54">
        <f t="shared" si="0"/>
        <v>7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-70060900</v>
      </c>
      <c r="BA7" s="34">
        <f>AZ7-AY7*10</f>
        <v>-70060910</v>
      </c>
      <c r="BB7" s="34">
        <f>BA7+N23</f>
        <v>-70060909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-50010500</v>
      </c>
      <c r="BA8" s="34">
        <f t="shared" ref="BA8:BA10" si="10">AZ8-AY8*10</f>
        <v>-50010510</v>
      </c>
      <c r="BB8" s="34">
        <f>BA8+N24</f>
        <v>-50010508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5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2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7</v>
      </c>
      <c r="AS9" s="34">
        <f t="shared" si="6"/>
        <v>9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-39980700</v>
      </c>
      <c r="BA9" s="34">
        <f t="shared" si="10"/>
        <v>-39980710</v>
      </c>
      <c r="BB9" s="34">
        <f>BA9+N25</f>
        <v>-39980707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7</v>
      </c>
      <c r="F10" s="50">
        <f t="shared" si="0"/>
        <v>9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3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49700</v>
      </c>
      <c r="BA10" s="34">
        <f t="shared" si="10"/>
        <v>49690</v>
      </c>
      <c r="BB10" s="34">
        <f>BA10+N26</f>
        <v>49694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3</v>
      </c>
      <c r="F11" s="54">
        <f t="shared" si="0"/>
        <v>8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5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-29980400</v>
      </c>
      <c r="BA10" s="34">
        <f t="shared" si="10"/>
        <v>-29980410</v>
      </c>
      <c r="BB10" s="34">
        <f>BA10+N26</f>
        <v>-29980406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3</v>
      </c>
      <c r="AO7" s="34" t="s">
        <v>44</v>
      </c>
      <c r="AP7" s="34">
        <f>SUMIF($K$7:$K$12,AO7,$AJ$7:$AJ$12) + SUMIF($N$7:$N$12,AO7,$AK$7:$AK$12)</f>
        <v>2</v>
      </c>
      <c r="AQ7" s="34">
        <f>AR7-AS7</f>
        <v>-1</v>
      </c>
      <c r="AR7" s="34">
        <f>SUMIF($K$7:$K$12,AO7,$L$7:$L$12) + SUMIF($N$7:$N$12,AO7,$M$7:$M$12)</f>
        <v>5</v>
      </c>
      <c r="AS7" s="34">
        <f>SUMIF($K$7:$K$12,AO7,$M$7:$M$12) + SUMIF($N$7:$N$12,AO7,$L$7:$L$12)</f>
        <v>6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-19990500</v>
      </c>
      <c r="BA7" s="34">
        <f>AZ7-AY7*10</f>
        <v>-19990510</v>
      </c>
      <c r="BB7" s="34">
        <f>BA7+N23</f>
        <v>-19990509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2</v>
      </c>
      <c r="M8" s="22">
        <v>2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-70030700</v>
      </c>
      <c r="BA8" s="34">
        <f t="shared" ref="BA8:BA10" si="10">AZ8-AY8*10</f>
        <v>-70030710</v>
      </c>
      <c r="BB8" s="34">
        <f>BA8+N24</f>
        <v>-70030708</v>
      </c>
    </row>
    <row r="9" spans="2:54" x14ac:dyDescent="0.25">
      <c r="B9" s="11">
        <v>2</v>
      </c>
      <c r="C9" s="12" t="str">
        <f t="shared" si="0"/>
        <v>Japon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46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5">
      <c r="B10" s="48">
        <v>3</v>
      </c>
      <c r="C10" s="49" t="str">
        <f t="shared" si="0"/>
        <v>España</v>
      </c>
      <c r="D10" s="50">
        <f t="shared" si="0"/>
        <v>2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-19980400</v>
      </c>
      <c r="BA10" s="34">
        <f t="shared" si="10"/>
        <v>-19980410</v>
      </c>
      <c r="BB10" s="34">
        <f>BA10+N26</f>
        <v>-19980406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2</v>
      </c>
      <c r="E11" s="54">
        <f t="shared" si="0"/>
        <v>4</v>
      </c>
      <c r="F11" s="54">
        <f t="shared" si="0"/>
        <v>6</v>
      </c>
      <c r="G11" s="55">
        <f t="shared" si="0"/>
        <v>-2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3</v>
      </c>
      <c r="AK11" s="34">
        <f t="shared" si="3"/>
        <v>0</v>
      </c>
      <c r="AL11" s="34" t="str">
        <f t="shared" si="4"/>
        <v>Japon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5" sqref="M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25">
      <c r="B8" s="7">
        <v>1</v>
      </c>
      <c r="C8" s="8" t="str">
        <f t="shared" ref="C8:G11" si="0">IFERROR(VLOOKUP($B8,$AN$7:$AS$11,C$5,FALSE),"")</f>
        <v>Marruecos</v>
      </c>
      <c r="D8" s="9">
        <f t="shared" si="0"/>
        <v>7</v>
      </c>
      <c r="E8" s="9">
        <f t="shared" si="0"/>
        <v>7</v>
      </c>
      <c r="F8" s="9">
        <f t="shared" si="0"/>
        <v>5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4</v>
      </c>
      <c r="AO8" s="34" t="s">
        <v>49</v>
      </c>
      <c r="AP8" s="34">
        <f>SUMIF($K$7:$K$12,AO8,$AJ$7:$AJ$12) + SUMIF($N$7:$N$12,AO8,$AK$7:$AK$12)</f>
        <v>0</v>
      </c>
      <c r="AQ8" s="34">
        <f>AR8-AS8</f>
        <v>-5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49800</v>
      </c>
      <c r="BA8" s="34">
        <f t="shared" ref="BA8:BA10" si="10">AZ8-AY8*10</f>
        <v>49790</v>
      </c>
      <c r="BB8" s="34">
        <f>BA8+N24</f>
        <v>49792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3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0</v>
      </c>
      <c r="AK9" s="34">
        <f t="shared" si="3"/>
        <v>3</v>
      </c>
      <c r="AL9" s="34" t="str">
        <f t="shared" si="4"/>
        <v>Marruecos</v>
      </c>
      <c r="AN9" s="34">
        <f>_xlfn.RANK.EQ(BB9,BB$7:BB$11,1)</f>
        <v>1</v>
      </c>
      <c r="AO9" s="34" t="s">
        <v>50</v>
      </c>
      <c r="AP9" s="34">
        <f>SUMIF($K$7:$K$12,AO9,$AJ$7:$AJ$12) + SUMIF($N$7:$N$12,AO9,$AK$7:$AK$12)</f>
        <v>7</v>
      </c>
      <c r="AQ9" s="34">
        <f t="shared" ref="AQ9:AQ10" si="11">AR9-AS9</f>
        <v>2</v>
      </c>
      <c r="AR9" s="34">
        <f t="shared" si="5"/>
        <v>7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-70020700</v>
      </c>
      <c r="BA9" s="34">
        <f t="shared" si="10"/>
        <v>-70020710</v>
      </c>
      <c r="BB9" s="34">
        <f>BA9+N25</f>
        <v>-70020707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4</v>
      </c>
      <c r="E10" s="50">
        <f t="shared" si="0"/>
        <v>5</v>
      </c>
      <c r="F10" s="50">
        <f t="shared" si="0"/>
        <v>4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0</v>
      </c>
      <c r="M10" s="22">
        <v>3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0</v>
      </c>
      <c r="AK10" s="34">
        <f t="shared" si="3"/>
        <v>3</v>
      </c>
      <c r="AL10" s="34" t="str">
        <f t="shared" si="4"/>
        <v>Canada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-40010500</v>
      </c>
      <c r="BA10" s="34">
        <f t="shared" si="10"/>
        <v>-40010510</v>
      </c>
      <c r="BB10" s="34">
        <f>BA10+N26</f>
        <v>-40010506</v>
      </c>
    </row>
    <row r="11" spans="2:54" ht="15.75" thickBot="1" x14ac:dyDescent="0.3">
      <c r="B11" s="52">
        <v>4</v>
      </c>
      <c r="C11" s="53" t="str">
        <f t="shared" si="0"/>
        <v>Croacia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Brasil</v>
      </c>
      <c r="AW7" s="34" t="str">
        <f>IF(AZ7=AZ8,AV8,IF(AZ7=AZ9,AV9,IF(AZ7=AZ10,AV10,"")))</f>
        <v>Suiza</v>
      </c>
      <c r="AX7" s="34" t="str">
        <f>IF(AW7="","",IFERROR(VLOOKUP(CONCATENATE(AV7,"_",AW7),$AI$7:$AL$16,4,FALSE),VLOOKUP(CONCATENATE(AW7,"_",AV7),$AI$7:$AL$16,4,FALSE)))</f>
        <v>Brasil</v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6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14</v>
      </c>
      <c r="J8" s="19">
        <v>44889</v>
      </c>
      <c r="K8" s="20" t="s">
        <v>10</v>
      </c>
      <c r="L8" s="21">
        <v>0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Serbia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>Brasil</v>
      </c>
      <c r="AX8" s="34" t="str">
        <f>IF(AW8="","",IFERROR(VLOOKUP(CONCATENATE(AV8,"_",AW8),$AI$7:$AL$16,4,FALSE),VLOOKUP(CONCATENATE(AW8,"_",AV8),$AI$7:$AL$16,4,FALSE)))</f>
        <v>Brasil</v>
      </c>
      <c r="AY8" s="34">
        <f t="shared" ref="AY8:AY10" si="8">IF(AX8="",1,IF(AX8=AV8,1,0))</f>
        <v>0</v>
      </c>
      <c r="AZ8" s="34">
        <f t="shared" ref="AZ8:AZ10" si="9">-AP8*10000000 - AQ8*10000 - AR8*100</f>
        <v>-60020600</v>
      </c>
      <c r="BA8" s="34">
        <f t="shared" ref="BA8:BA10" si="10">AZ8-AY8*10</f>
        <v>-60020600</v>
      </c>
      <c r="BB8" s="34">
        <f>BA8+N24</f>
        <v>-60020598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3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2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3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Corea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0</v>
      </c>
      <c r="AR7" s="34">
        <f>SUMIF($K$7:$K$12,AO7,$L$7:$L$12) + SUMIF($N$7:$N$12,AO7,$M$7:$M$12)</f>
        <v>5</v>
      </c>
      <c r="AS7" s="34">
        <f>SUMIF($K$7:$K$12,AO7,$M$7:$M$12) + SUMIF($N$7:$N$12,AO7,$L$7:$L$12)</f>
        <v>5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-60000500</v>
      </c>
      <c r="BA7" s="34">
        <f>AZ7-AY7*10</f>
        <v>-60000510</v>
      </c>
      <c r="BB7" s="34">
        <f>BA7+N23</f>
        <v>-60000509</v>
      </c>
    </row>
    <row r="8" spans="2:54" x14ac:dyDescent="0.25">
      <c r="B8" s="7">
        <v>1</v>
      </c>
      <c r="C8" s="8" t="str">
        <f t="shared" ref="C8:G11" si="0">IFERROR(VLOOKUP($B8,$AN$7:$AS$11,C$5,FALSE),"")</f>
        <v>Corea</v>
      </c>
      <c r="D8" s="9">
        <f t="shared" si="0"/>
        <v>6</v>
      </c>
      <c r="E8" s="9">
        <f t="shared" si="0"/>
        <v>8</v>
      </c>
      <c r="F8" s="9">
        <f t="shared" si="0"/>
        <v>7</v>
      </c>
      <c r="G8" s="10">
        <f t="shared" si="0"/>
        <v>1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3</v>
      </c>
      <c r="AO8" s="34" t="s">
        <v>55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-40010700</v>
      </c>
      <c r="BA8" s="34">
        <f t="shared" ref="BA8:BA10" si="10">AZ8-AY8*10</f>
        <v>-40010710</v>
      </c>
      <c r="BB8" s="34">
        <f>BA8+N24</f>
        <v>-40010708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3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1</v>
      </c>
      <c r="AO9" s="34" t="s">
        <v>56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8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-60010800</v>
      </c>
      <c r="BA9" s="34">
        <f t="shared" si="10"/>
        <v>-60010810</v>
      </c>
      <c r="BB9" s="34">
        <f>BA9+N25</f>
        <v>-60010807</v>
      </c>
    </row>
    <row r="10" spans="2:54" x14ac:dyDescent="0.25">
      <c r="B10" s="48">
        <v>3</v>
      </c>
      <c r="C10" s="49" t="str">
        <f t="shared" si="0"/>
        <v>Uruguay</v>
      </c>
      <c r="D10" s="50">
        <f t="shared" si="0"/>
        <v>4</v>
      </c>
      <c r="E10" s="50">
        <f t="shared" si="0"/>
        <v>7</v>
      </c>
      <c r="F10" s="50">
        <f t="shared" si="0"/>
        <v>6</v>
      </c>
      <c r="G10" s="51">
        <f t="shared" si="0"/>
        <v>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3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-9980400</v>
      </c>
      <c r="BA10" s="34">
        <f t="shared" si="10"/>
        <v>-9980410</v>
      </c>
      <c r="BB10" s="34">
        <f>BA10+N26</f>
        <v>-9980406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4</v>
      </c>
      <c r="F11" s="54">
        <f t="shared" si="0"/>
        <v>6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2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workbookViewId="0">
      <selection activeCell="R32" sqref="R32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Ecuador</v>
      </c>
      <c r="C6" s="60">
        <v>3</v>
      </c>
      <c r="D6" s="61"/>
    </row>
    <row r="7" spans="2:19" ht="15.75" thickBot="1" x14ac:dyDescent="0.3">
      <c r="B7" s="62" t="str">
        <f>'GRUPO B'!C9</f>
        <v>Gales</v>
      </c>
      <c r="C7" s="63">
        <v>2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Ecuador</v>
      </c>
      <c r="H8" s="60">
        <v>3</v>
      </c>
      <c r="I8" s="61">
        <v>4</v>
      </c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>
        <v>5</v>
      </c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>
        <v>4</v>
      </c>
      <c r="E10" s="69"/>
      <c r="J10" s="66"/>
    </row>
    <row r="11" spans="2:19" ht="15.75" thickBot="1" x14ac:dyDescent="0.3">
      <c r="B11" s="62" t="str">
        <f>'GRUPO D'!C9</f>
        <v>Francia</v>
      </c>
      <c r="C11" s="63">
        <v>1</v>
      </c>
      <c r="D11" s="64">
        <v>3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Portugal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Portugal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1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2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Portugal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Qatar</v>
      </c>
      <c r="C23" s="63">
        <v>0</v>
      </c>
      <c r="D23" s="64" t="s">
        <v>78</v>
      </c>
      <c r="E23" s="65" t="s">
        <v>79</v>
      </c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>
        <v>5</v>
      </c>
      <c r="O24" s="66"/>
      <c r="V24" s="59" t="s">
        <v>65</v>
      </c>
      <c r="W24" s="71" t="str">
        <f>IF(R20&gt;R21,Q20,IF(R21&gt;R20,Q21,IF(S20&gt;S21,Q20,IF(S21&gt;S20,Q21,""))))</f>
        <v>Portugal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>
        <v>4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5.75" thickBot="1" x14ac:dyDescent="0.3">
      <c r="B26" s="59" t="str">
        <f>'GRUPO D'!C8</f>
        <v>Dinamarca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Japon</v>
      </c>
      <c r="M29" s="63">
        <v>1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Marruecos</v>
      </c>
      <c r="C30" s="60">
        <v>0</v>
      </c>
      <c r="D30" s="61"/>
      <c r="J30" s="66"/>
      <c r="Q30" s="62" t="str">
        <f>IF(Q21=L28,L29,IF(Q21=L29,L28,""))</f>
        <v>Japon</v>
      </c>
      <c r="R30" s="63">
        <v>1</v>
      </c>
      <c r="S30" s="64"/>
    </row>
    <row r="31" spans="2:23" ht="15.75" thickBot="1" x14ac:dyDescent="0.3">
      <c r="B31" s="62" t="str">
        <f>'GRUPO E'!C9</f>
        <v>Japon</v>
      </c>
      <c r="C31" s="63">
        <v>3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Japon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Suiza</v>
      </c>
      <c r="H33" s="63">
        <v>1</v>
      </c>
      <c r="I33" s="64"/>
    </row>
    <row r="34" spans="2:9" x14ac:dyDescent="0.25">
      <c r="B34" s="59" t="str">
        <f>'GRUPO H'!C8</f>
        <v>Corea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3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2022-11-02T00:22:23Z</dcterms:created>
  <dcterms:modified xsi:type="dcterms:W3CDTF">2022-11-19T21:35:31Z</dcterms:modified>
</cp:coreProperties>
</file>