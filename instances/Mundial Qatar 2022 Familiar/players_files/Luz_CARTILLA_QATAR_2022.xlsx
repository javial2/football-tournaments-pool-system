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0" yWindow="0" windowWidth="9420" windowHeight="7590" firstSheet="2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K11" i="13"/>
  <c r="AL11" i="13" s="1"/>
  <c r="AK12" i="13"/>
  <c r="AL12" i="13" s="1"/>
  <c r="AQ9" i="12"/>
  <c r="AQ8" i="12"/>
  <c r="AQ7" i="12"/>
  <c r="AK10" i="12"/>
  <c r="AL10" i="12" s="1"/>
  <c r="AQ10" i="12"/>
  <c r="AZ10" i="12" s="1"/>
  <c r="AP9" i="12"/>
  <c r="AZ9" i="12" s="1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10" i="13" l="1"/>
  <c r="AZ10" i="13" s="1"/>
  <c r="AP8" i="13"/>
  <c r="AZ8" i="13" s="1"/>
  <c r="AP8" i="12"/>
  <c r="AZ8" i="12" s="1"/>
  <c r="AZ7" i="12"/>
  <c r="AZ10" i="11"/>
  <c r="AP9" i="11"/>
  <c r="AZ9" i="11" s="1"/>
  <c r="AZ8" i="11"/>
  <c r="AZ8" i="10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D8" i="12" s="1"/>
  <c r="AN10" i="11"/>
  <c r="F10" i="11" s="1"/>
  <c r="AN8" i="11"/>
  <c r="AN7" i="11"/>
  <c r="G8" i="11" s="1"/>
  <c r="E8" i="11"/>
  <c r="D8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C8" i="12"/>
  <c r="B14" i="16" s="1"/>
  <c r="G10" i="11"/>
  <c r="E10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<sst xmlns="http://schemas.openxmlformats.org/spreadsheetml/2006/main" count="453" uniqueCount="78">
  <si>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</si>
  <si>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</si>
  <si>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</si>
  <si>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</si>
  <si>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</si>
  <si>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</si>
  <si>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</si>
  <si>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</si>
  <si>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</si>
  <si>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</si>
  <si>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</si>
  <si>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</si>
  <si>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</si>
  <si>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</si>
  <si>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</si>
  <si>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</si>
  <si>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</si>
  <si>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</si>
  <si>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</si>
  <si>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</si>
  <si>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</si>
  <si>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</si>
  <si>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</si>
  <si>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</si>
  <si>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</si>
  <si>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</si>
  <si>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</si>
  <si>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</si>
  <si>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</si>
  <si>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</si>
  <si>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</si>
  <si>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</si>
  <si>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</si>
  <si>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</si>
  <si>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</si>
  <si>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</si>
  <si>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</si>
  <si>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</si>
  <si>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</si>
  <si>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</si>
  <si>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</si>
  <si>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</si>
  <si>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</si>
  <si>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</si>
  <si>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</si>
  <si>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</si>
  <si>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</si>
  <si>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</si>
  <si>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</si>
  <si>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</si>
  <si>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</si>
  <si>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</si>
  <si>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</si>
  <si>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</si>
  <si>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</si>
  <si>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</si>
  <si>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</si>
  <si>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</si>
  <si>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</si>
  <si>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</si>
  <si>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</si>
  <si>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</si>
  <si>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</si>
  <si>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</si>
  <si>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</si>
  <si>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</si>
  <si>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</si>
  <si>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</si>
  <si>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</si>
  <si>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</si>
  <si>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</si>
  <si>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</si>
  <si>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</si>
  <si>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</si>
  <si>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</si>
  <si>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</si>
  <si>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</si>
  <si>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Luz Admas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</si>
</sst>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workbookViewId="0">
      <selection activeCell="C3" sqref="C3:D3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8" workbookViewId="0">
      <selection activeCell="M27" sqref="M27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-3</v>
      </c>
      <c r="AR7" s="34">
        <f>SUMIF($K$7:$K$12,AO7,$L$7:$L$12) + SUMIF($N$7:$N$12,AO7,$M$7:$M$12)</f>
        <v>1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29900</v>
      </c>
      <c r="BA7" s="34">
        <f>AZ7-AY7*10</f>
        <v>29890</v>
      </c>
      <c r="BB7" s="34">
        <f>BA7+N23</f>
        <v>29894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5</v>
      </c>
      <c r="F8" s="9">
        <f t="shared" si="3"/>
        <v>1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-90040500</v>
      </c>
      <c r="BA8" s="34">
        <f t="shared" ref="BA8:BA10" si="10">AZ8-AY8*10</f>
        <v>-90040510</v>
      </c>
      <c r="BB8" s="34">
        <f>BA8+N24</f>
        <v>-90040509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2</v>
      </c>
      <c r="F10" s="50">
        <f t="shared" si="3"/>
        <v>4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4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2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6" workbookViewId="0">
      <selection activeCell="M27" sqref="M27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2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-60030700</v>
      </c>
      <c r="BA8" s="34">
        <f t="shared" ref="BA8:BA10" si="10">AZ8-AY8*10</f>
        <v>-60030710</v>
      </c>
      <c r="BB8" s="34">
        <f>BA8+N24</f>
        <v>-60030708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49894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2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-29970100</v>
      </c>
      <c r="BA10" s="34">
        <f t="shared" si="10"/>
        <v>-29970110</v>
      </c>
      <c r="BB10" s="34">
        <f>BA10+N26</f>
        <v>-29970107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3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J17" sqref="J1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2</v>
      </c>
      <c r="AO7" s="34" t="s">
        <v>35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7</v>
      </c>
      <c r="AS7" s="34">
        <f>SUMIF($K$7:$K$12,AO7,$M$7:$M$12) + SUMIF($N$7:$N$12,AO7,$L$7:$L$12)</f>
        <v>5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-70020700</v>
      </c>
      <c r="BA7" s="34">
        <f>AZ7-AY7*10</f>
        <v>-70020710</v>
      </c>
      <c r="BB7" s="34">
        <f>BA7+N23</f>
        <v>-70020709</v>
      </c>
    </row>
    <row r="8" spans="2:54" x14ac:dyDescent="0.25">
      <c r="B8" s="7">
        <v>1</v>
      </c>
      <c r="C8" s="8" t="str">
        <f t="shared" ref="C8:G11" si="0">IFERROR(VLOOKUP($B8,$AN$7:$AS$11,C$5,FALSE),"")</f>
        <v>Mexico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3</v>
      </c>
      <c r="M8" s="22">
        <v>2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1</v>
      </c>
      <c r="AO8" s="34" t="s">
        <v>36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-70040700</v>
      </c>
      <c r="BA8" s="34">
        <f t="shared" ref="BA8:BA10" si="10">AZ8-AY8*10</f>
        <v>-70040710</v>
      </c>
      <c r="BB8" s="34">
        <f>BA8+N24</f>
        <v>-70040708</v>
      </c>
    </row>
    <row r="9" spans="2:54" x14ac:dyDescent="0.25">
      <c r="B9" s="11">
        <v>2</v>
      </c>
      <c r="C9" s="12" t="str">
        <f t="shared" si="0"/>
        <v>Argentina</v>
      </c>
      <c r="D9" s="13">
        <f t="shared" si="0"/>
        <v>7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2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4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39600</v>
      </c>
      <c r="BA10" s="34">
        <f t="shared" si="10"/>
        <v>39590</v>
      </c>
      <c r="BB10" s="34">
        <f>BA10+N26</f>
        <v>39594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4</v>
      </c>
      <c r="F11" s="54">
        <f t="shared" si="0"/>
        <v>8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5"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-90040700</v>
      </c>
      <c r="BA7" s="34">
        <f>AZ7-AY7*10</f>
        <v>-90040710</v>
      </c>
      <c r="BB7" s="34">
        <f>BA7+N23</f>
        <v>-90040709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4</v>
      </c>
      <c r="AO8" s="34" t="s">
        <v>41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-29980400</v>
      </c>
      <c r="BA8" s="34">
        <f t="shared" ref="BA8:BA10" si="10">AZ8-AY8*10</f>
        <v>-29980410</v>
      </c>
      <c r="BB8" s="34">
        <f>BA8+N24</f>
        <v>-29980408</v>
      </c>
    </row>
    <row r="9" spans="2:54" x14ac:dyDescent="0.25">
      <c r="B9" s="11">
        <v>2</v>
      </c>
      <c r="C9" s="12" t="str">
        <f t="shared" si="0"/>
        <v>Tunez</v>
      </c>
      <c r="D9" s="13">
        <f t="shared" si="0"/>
        <v>3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2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5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-29990500</v>
      </c>
      <c r="BA9" s="34">
        <f t="shared" si="10"/>
        <v>-29990510</v>
      </c>
      <c r="BB9" s="34">
        <f>BA9+N25</f>
        <v>-29990507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-29990306</v>
      </c>
    </row>
    <row r="11" spans="2:54" ht="15.75" thickBot="1" x14ac:dyDescent="0.3">
      <c r="B11" s="52">
        <v>4</v>
      </c>
      <c r="C11" s="53" t="str">
        <f t="shared" si="0"/>
        <v>Dinamarca</v>
      </c>
      <c r="D11" s="54">
        <f t="shared" si="0"/>
        <v>3</v>
      </c>
      <c r="E11" s="54">
        <f t="shared" si="0"/>
        <v>4</v>
      </c>
      <c r="F11" s="54">
        <f t="shared" si="0"/>
        <v>6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2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3</v>
      </c>
      <c r="AK12" s="34">
        <f t="shared" si="3"/>
        <v>0</v>
      </c>
      <c r="AL12" s="34" t="str">
        <f t="shared" si="4"/>
        <v>Australia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J16" sqref="J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2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7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-70020700</v>
      </c>
      <c r="BA7" s="34">
        <f>AZ7-AY7*10</f>
        <v>-70020710</v>
      </c>
      <c r="BB7" s="34">
        <f>BA7+N23</f>
        <v>-70020709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7</v>
      </c>
      <c r="F8" s="9">
        <f t="shared" si="0"/>
        <v>5</v>
      </c>
      <c r="G8" s="10">
        <f t="shared" si="0"/>
        <v>2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-60020700</v>
      </c>
      <c r="BA8" s="34">
        <f t="shared" ref="BA8:BA10" si="10">AZ8-AY8*10</f>
        <v>-60020710</v>
      </c>
      <c r="BB8" s="34">
        <f>BA8+N24</f>
        <v>-60020708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2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5</v>
      </c>
      <c r="AS9" s="34">
        <f t="shared" si="6"/>
        <v>7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-9980500</v>
      </c>
      <c r="BA9" s="34">
        <f t="shared" si="10"/>
        <v>-9980510</v>
      </c>
      <c r="BB9" s="34">
        <f>BA9+N25</f>
        <v>-9980507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3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1</v>
      </c>
      <c r="E11" s="54">
        <f t="shared" si="0"/>
        <v>5</v>
      </c>
      <c r="F11" s="54">
        <f t="shared" si="0"/>
        <v>7</v>
      </c>
      <c r="G11" s="55">
        <f t="shared" si="0"/>
        <v>-2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J15" sqref="J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7</v>
      </c>
      <c r="AS7" s="34">
        <f>SUMIF($K$7:$K$12,AO7,$M$7:$M$12) + SUMIF($N$7:$N$12,AO7,$L$7:$L$12)</f>
        <v>5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-70020700</v>
      </c>
      <c r="BA7" s="34">
        <f>AZ7-AY7*10</f>
        <v>-70020710</v>
      </c>
      <c r="BB7" s="34">
        <f>BA7+N23</f>
        <v>-70020709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5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2</v>
      </c>
      <c r="M8" s="22">
        <v>2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49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-29990500</v>
      </c>
      <c r="BA8" s="34">
        <f t="shared" ref="BA8:BA10" si="10">AZ8-AY8*10</f>
        <v>-29990510</v>
      </c>
      <c r="BB8" s="34">
        <f>BA8+N24</f>
        <v>-29990508</v>
      </c>
    </row>
    <row r="9" spans="2:54" x14ac:dyDescent="0.25">
      <c r="B9" s="11">
        <v>2</v>
      </c>
      <c r="C9" s="12" t="str">
        <f t="shared" si="0"/>
        <v>Canada</v>
      </c>
      <c r="D9" s="13">
        <f t="shared" si="0"/>
        <v>7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29700</v>
      </c>
      <c r="BA9" s="34">
        <f t="shared" si="10"/>
        <v>29690</v>
      </c>
      <c r="BB9" s="34">
        <f>BA9+N25</f>
        <v>29693</v>
      </c>
    </row>
    <row r="10" spans="2:54" x14ac:dyDescent="0.25">
      <c r="B10" s="48">
        <v>3</v>
      </c>
      <c r="C10" s="49" t="str">
        <f t="shared" si="0"/>
        <v>Croacia</v>
      </c>
      <c r="D10" s="50">
        <f t="shared" si="0"/>
        <v>3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2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0</v>
      </c>
      <c r="AK10" s="34">
        <f t="shared" si="3"/>
        <v>3</v>
      </c>
      <c r="AL10" s="34" t="str">
        <f t="shared" si="4"/>
        <v>Canada</v>
      </c>
      <c r="AN10" s="34">
        <f>_xlfn.RANK.EQ(BB10,BB$7:BB$11,1)</f>
        <v>2</v>
      </c>
      <c r="AO10" s="34" t="s">
        <v>51</v>
      </c>
      <c r="AP10" s="34">
        <f>SUMIF($K$7:$K$12,AO10,$AJ$7:$AJ$12) + SUMIF($N$7:$N$12,AO10,$AK$7:$AK$12)</f>
        <v>7</v>
      </c>
      <c r="AQ10" s="34">
        <f t="shared" si="11"/>
        <v>2</v>
      </c>
      <c r="AR10" s="34">
        <f>SUMIF($K$7:$K$12,AO10,$L$7:$L$12) + SUMIF($N$7:$N$12,AO10,$M$7:$M$12)</f>
        <v>6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-70020600</v>
      </c>
      <c r="BA10" s="34">
        <f t="shared" si="10"/>
        <v>-70020610</v>
      </c>
      <c r="BB10" s="34">
        <f>BA10+N26</f>
        <v>-70020606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3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K13" sqref="K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2</v>
      </c>
      <c r="AO7" s="34" t="s">
        <v>10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8</v>
      </c>
      <c r="AS7" s="34">
        <f>SUMIF($K$7:$K$12,AO7,$M$7:$M$12) + SUMIF($N$7:$N$12,AO7,$L$7:$L$12)</f>
        <v>5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-60030800</v>
      </c>
      <c r="BA7" s="34">
        <f>AZ7-AY7*10</f>
        <v>-60030810</v>
      </c>
      <c r="BB7" s="34">
        <f>BA7+N23</f>
        <v>-60030809</v>
      </c>
    </row>
    <row r="8" spans="2:54" x14ac:dyDescent="0.25">
      <c r="B8" s="7">
        <v>1</v>
      </c>
      <c r="C8" s="8" t="str">
        <f t="shared" ref="C8:G11" si="0">IFERROR(VLOOKUP($B8,$AN$7:$AS$11,C$5,FALSE),"")</f>
        <v>Camerun</v>
      </c>
      <c r="D8" s="9">
        <f t="shared" si="0"/>
        <v>9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Suiza</v>
      </c>
      <c r="AW8" s="34" t="str">
        <f>IF(AZ8=AZ9,AV9,IF(AZ8=AZ10,AV10,IF(AZ8=AZ7,AV7,"")))</f>
        <v>Serbia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-9970400</v>
      </c>
      <c r="BA8" s="34">
        <f t="shared" ref="BA8:BA10" si="10">AZ8-AY8*10</f>
        <v>-9970400</v>
      </c>
      <c r="BB8" s="34">
        <f>BA8+N24</f>
        <v>-9970398</v>
      </c>
    </row>
    <row r="9" spans="2:54" x14ac:dyDescent="0.25">
      <c r="B9" s="11">
        <v>2</v>
      </c>
      <c r="C9" s="12" t="str">
        <f t="shared" si="0"/>
        <v>Brasil</v>
      </c>
      <c r="D9" s="13">
        <f t="shared" si="0"/>
        <v>6</v>
      </c>
      <c r="E9" s="13">
        <f t="shared" si="0"/>
        <v>8</v>
      </c>
      <c r="F9" s="13">
        <f t="shared" si="0"/>
        <v>5</v>
      </c>
      <c r="G9" s="14">
        <f t="shared" si="0"/>
        <v>3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4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>Suiza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-9970400</v>
      </c>
      <c r="BA9" s="34">
        <f t="shared" si="10"/>
        <v>-9970400</v>
      </c>
      <c r="BB9" s="34">
        <f>BA9+N25</f>
        <v>-9970397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1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1</v>
      </c>
      <c r="AO10" s="34" t="s">
        <v>54</v>
      </c>
      <c r="AP10" s="34">
        <f>SUMIF($K$7:$K$12,AO10,$AJ$7:$AJ$12) + SUMIF($N$7:$N$12,AO10,$AK$7:$AK$12)</f>
        <v>9</v>
      </c>
      <c r="AQ10" s="34">
        <f t="shared" si="11"/>
        <v>3</v>
      </c>
      <c r="AR10" s="34">
        <f>SUMIF($K$7:$K$12,AO10,$L$7:$L$12) + SUMIF($N$7:$N$12,AO10,$M$7:$M$12)</f>
        <v>7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-90030700</v>
      </c>
      <c r="BA10" s="34">
        <f t="shared" si="10"/>
        <v>-90030710</v>
      </c>
      <c r="BB10" s="34">
        <f>BA10+N26</f>
        <v>-90030706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4</v>
      </c>
      <c r="F11" s="54">
        <f t="shared" si="0"/>
        <v>7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3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3</v>
      </c>
      <c r="AK12" s="34">
        <f t="shared" si="3"/>
        <v>0</v>
      </c>
      <c r="AL12" s="34" t="str">
        <f t="shared" si="4"/>
        <v>Camerun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5" workbookViewId="0">
      <selection activeCell="M20" sqref="M2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8</v>
      </c>
      <c r="AS7" s="34">
        <f>SUMIF($K$7:$K$12,AO7,$M$7:$M$12) + SUMIF($N$7:$N$12,AO7,$L$7:$L$12)</f>
        <v>6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-60020800</v>
      </c>
      <c r="BA7" s="34">
        <f>AZ7-AY7*10</f>
        <v>-60020810</v>
      </c>
      <c r="BB7" s="34">
        <f>BA7+N23</f>
        <v>-60020808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6</v>
      </c>
      <c r="E8" s="9">
        <f t="shared" si="0"/>
        <v>8</v>
      </c>
      <c r="F8" s="9">
        <f t="shared" si="0"/>
        <v>6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3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-40010600</v>
      </c>
      <c r="BA8" s="34">
        <f t="shared" ref="BA8:BA10" si="10">AZ8-AY8*10</f>
        <v>-40010610</v>
      </c>
      <c r="BB8" s="34">
        <f>BA8+N24</f>
        <v>-40010609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4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-29980400</v>
      </c>
      <c r="BA9" s="34">
        <f t="shared" si="10"/>
        <v>-29980410</v>
      </c>
      <c r="BB9" s="34">
        <f>BA9+N25</f>
        <v>-29980407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4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3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5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-39990500</v>
      </c>
      <c r="BA10" s="34">
        <f t="shared" si="10"/>
        <v>-39990510</v>
      </c>
      <c r="BB10" s="34">
        <f>BA10+N26</f>
        <v>-39990506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3</v>
      </c>
      <c r="E11" s="54">
        <f t="shared" si="0"/>
        <v>4</v>
      </c>
      <c r="F11" s="54">
        <f t="shared" si="0"/>
        <v>6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3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3</v>
      </c>
      <c r="AK12" s="34">
        <f t="shared" si="3"/>
        <v>0</v>
      </c>
      <c r="AL12" s="34" t="str">
        <f t="shared" si="4"/>
        <v>Corea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abSelected="1" topLeftCell="G8" workbookViewId="0">
      <selection activeCell="R51" sqref="R5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2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Mexico</v>
      </c>
      <c r="H9" s="63">
        <v>1</v>
      </c>
      <c r="I9" s="64"/>
      <c r="J9" s="65"/>
    </row>
    <row r="10" spans="2:19" ht="15.75" thickBot="1" x14ac:dyDescent="0.3">
      <c r="B10" s="59" t="str">
        <f>'GRUPO C'!C8</f>
        <v>Mexico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Tunez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Holanda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España</v>
      </c>
      <c r="M13" s="63">
        <v>3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Canada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3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Uruguay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Camerun</v>
      </c>
      <c r="C18" s="60">
        <v>1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2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España</v>
      </c>
      <c r="R20" s="60">
        <v>2</v>
      </c>
      <c r="S20" s="61">
        <v>4</v>
      </c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Argentina</v>
      </c>
      <c r="R21" s="63">
        <v>2</v>
      </c>
      <c r="S21" s="64">
        <v>5</v>
      </c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3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Senegal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Argentina</v>
      </c>
      <c r="H25" s="63">
        <v>3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España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Argentina</v>
      </c>
      <c r="C27" s="63">
        <v>3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Argentina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Brasil</v>
      </c>
      <c r="M29" s="63">
        <v>2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Brasil</v>
      </c>
      <c r="R30" s="63">
        <v>3</v>
      </c>
      <c r="S30" s="64"/>
    </row>
    <row r="31" spans="2:23" ht="15.75" thickBot="1" x14ac:dyDescent="0.3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Alemania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Brasil</v>
      </c>
      <c r="H33" s="63">
        <v>3</v>
      </c>
      <c r="I33" s="64"/>
    </row>
    <row r="34" spans="2:9" x14ac:dyDescent="0.25">
      <c r="B34" s="59" t="str">
        <f>'GRUPO H'!C8</f>
        <v>Portugal</v>
      </c>
      <c r="C34" s="60">
        <v>1</v>
      </c>
      <c r="D34" s="61"/>
      <c r="E34" s="69"/>
    </row>
    <row r="35" spans="2:9" ht="15.75" thickBot="1" x14ac:dyDescent="0.3">
      <c r="B35" s="62" t="str">
        <f>'GRUPO G'!C9</f>
        <v>Brasil</v>
      </c>
      <c r="C35" s="63">
        <v>3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2022-11-02T00:22:23Z</dcterms:created>
  <dcterms:modified xsi:type="dcterms:W3CDTF">2022-11-14T19:02:34Z</dcterms:modified>
</cp:coreProperties>
</file>