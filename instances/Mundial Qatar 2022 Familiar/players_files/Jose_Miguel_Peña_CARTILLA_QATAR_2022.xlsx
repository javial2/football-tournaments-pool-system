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enac\Desktop\"/>
    </mc:Choice>
  </mc:AlternateContent>
  <bookViews>
    <workbookView xWindow="0" yWindow="0" windowWidth="20490" windowHeight="7755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P10" i="13"/>
  <c r="AZ10" i="13" s="1"/>
  <c r="AZ8" i="13"/>
  <c r="AZ7" i="12"/>
  <c r="AP8" i="12"/>
  <c r="AZ8" i="12"/>
  <c r="AP9" i="12"/>
  <c r="AZ9" i="12" s="1"/>
  <c r="AZ10" i="11"/>
  <c r="AZ8" i="11"/>
  <c r="AP9" i="11"/>
  <c r="AZ9" i="11" s="1"/>
  <c r="AZ8" i="10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C8" i="12"/>
  <c r="B14" i="16" s="1"/>
  <c r="E10" i="11"/>
  <c r="F10" i="11"/>
  <c r="E8" i="11"/>
  <c r="G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8" i="1" s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<sst xmlns="http://schemas.openxmlformats.org/spreadsheetml/2006/main" count="454" uniqueCount="79">
  <si>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</si>
  <si>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</si>
  <si>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</si>
  <si>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</si>
  <si>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</si>
  <si>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</si>
  <si>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</si>
  <si>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</si>
  <si>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</si>
  <si>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</si>
  <si>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</si>
  <si>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</si>
  <si>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</si>
  <si>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</si>
  <si>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</si>
  <si>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</si>
  <si>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</si>
  <si>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</si>
  <si>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</si>
  <si>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</si>
  <si>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</si>
  <si>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</si>
  <si>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</si>
  <si>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</si>
  <si>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</si>
  <si>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</si>
  <si>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</si>
  <si>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</si>
  <si>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</si>
  <si>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</si>
  <si>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</si>
  <si>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</si>
  <si>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</si>
  <si>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</si>
  <si>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</si>
  <si>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</si>
  <si>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</si>
  <si>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</si>
  <si>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</si>
  <si>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</si>
  <si>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</si>
  <si>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</si>
  <si>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</si>
  <si>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</si>
  <si>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</si>
  <si>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</si>
  <si>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</si>
  <si>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</si>
  <si>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</si>
  <si>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</si>
  <si>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</si>
  <si>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</si>
  <si>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</si>
  <si>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</si>
  <si>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</si>
  <si>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</si>
  <si>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</si>
  <si>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</si>
  <si>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</si>
  <si>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</si>
  <si>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</si>
  <si>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</si>
  <si>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</si>
  <si>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</si>
  <si>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</si>
  <si>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</si>
  <si>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</si>
  <si>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</si>
  <si>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</si>
  <si>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</si>
  <si>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</si>
  <si>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</si>
  <si>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</si>
  <si>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</si>
  <si>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</si>
  <si>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</si>
  <si>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</si>
  <si>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José Miguel Peña Colodro</t>
  </si>
  <si>
    <t>jmcolodro@hotmail.com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</si>
</sst>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mcolodro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D4"/>
  <sheetViews>
    <sheetView workbookViewId="0">
      <selection activeCell="G11" sqref="G11"/>
    </sheetView>
  </sheetViews>
  <sheetFormatPr baseColWidth="10" defaultRowHeight="15" x14ac:dyDescent="0.25"/>
  <cols>
    <col min="4" max="4" width="13.28515625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BB28"/>
  <sheetViews>
    <sheetView workbookViewId="0">
      <selection activeCell="M1" sqref="M1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-9950100</v>
      </c>
      <c r="BA7" s="34">
        <f>AZ7-AY7*10</f>
        <v>-9950110</v>
      </c>
      <c r="BB7" s="34">
        <f>BA7+N23</f>
        <v>-9950106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>IFERROR(VLOOKUP($B8,$AN$7:$AS$11,D$5,FALSE),"")</f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2</v>
      </c>
      <c r="F9" s="13">
        <f t="shared" si="3"/>
        <v>3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-30000300</v>
      </c>
      <c r="BA9" s="34">
        <f t="shared" si="10"/>
        <v>-30000310</v>
      </c>
      <c r="BB9" s="34">
        <f>BA9+N25</f>
        <v>-30000308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2:BB28"/>
  <sheetViews>
    <sheetView workbookViewId="0">
      <selection activeCell="M1" sqref="M1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-70050600</v>
      </c>
      <c r="BA7" s="34">
        <f>AZ7-AY7*10</f>
        <v>-70050610</v>
      </c>
      <c r="BB7" s="34">
        <f>BA7+N23</f>
        <v>-70050609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-50010500</v>
      </c>
      <c r="BA8" s="34">
        <f t="shared" ref="BA8:BA10" si="10">AZ8-AY8*10</f>
        <v>-50010510</v>
      </c>
      <c r="BB8" s="34">
        <f>BA8+N24</f>
        <v>-50010508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5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2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-19980300</v>
      </c>
      <c r="BA10" s="34">
        <f t="shared" si="10"/>
        <v>-19980310</v>
      </c>
      <c r="BB10" s="34">
        <f>BA10+N26</f>
        <v>-19980307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BB28"/>
  <sheetViews>
    <sheetView workbookViewId="0">
      <selection activeCell="L1" sqref="L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4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2:BB28"/>
  <sheetViews>
    <sheetView workbookViewId="0">
      <selection activeCell="N10" sqref="N1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-70030508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-70040609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4</v>
      </c>
      <c r="AS10" s="34">
        <f>SUMIF($K$7:$K$12,AO10,$M$7:$M$12) + SUMIF($N$7:$N$12,AO10,$L$7:$L$12)</f>
        <v>7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-9970400</v>
      </c>
      <c r="BA10" s="34">
        <f t="shared" si="10"/>
        <v>-9970410</v>
      </c>
      <c r="BB10" s="34">
        <f>BA10+N26</f>
        <v>-9970406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:BB28"/>
  <sheetViews>
    <sheetView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3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-9950000</v>
      </c>
      <c r="BA10" s="34">
        <f t="shared" si="10"/>
        <v>-9950010</v>
      </c>
      <c r="BB10" s="34">
        <f>BA10+N26</f>
        <v>-9950006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2:BB28"/>
  <sheetViews>
    <sheetView workbookViewId="0">
      <selection activeCell="M28" sqref="M2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-70050600</v>
      </c>
      <c r="BA7" s="34">
        <f>AZ7-AY7*10</f>
        <v>-70050610</v>
      </c>
      <c r="BB7" s="34">
        <f>BA7+N23</f>
        <v>-70050609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4</v>
      </c>
      <c r="F9" s="13">
        <f t="shared" si="0"/>
        <v>1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2:BB28"/>
  <sheetViews>
    <sheetView workbookViewId="0">
      <selection activeCell="M18" sqref="M1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39800</v>
      </c>
      <c r="BA8" s="34">
        <f t="shared" ref="BA8:BA10" si="10">AZ8-AY8*10</f>
        <v>39790</v>
      </c>
      <c r="BB8" s="34">
        <f>BA8+N24</f>
        <v>39794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3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-60010508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-29960207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0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-50010400</v>
      </c>
      <c r="BA7" s="34">
        <f>AZ7-AY7*10</f>
        <v>-50010410</v>
      </c>
      <c r="BB7" s="34">
        <f>BA7+N23</f>
        <v>-50010408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-9980400</v>
      </c>
      <c r="BA10" s="34">
        <f t="shared" si="10"/>
        <v>-9980410</v>
      </c>
      <c r="BB10" s="34">
        <f>BA10+N26</f>
        <v>-9980406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4</v>
      </c>
      <c r="F11" s="54">
        <f t="shared" si="0"/>
        <v>6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B1:W35"/>
  <sheetViews>
    <sheetView tabSelected="1" topLeftCell="H13" workbookViewId="0">
      <selection activeCell="S4" sqref="S4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>
        <v>1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0</v>
      </c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España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>
        <v>0</v>
      </c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1</v>
      </c>
      <c r="I25" s="64">
        <v>1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España</v>
      </c>
    </row>
    <row r="26" spans="2:23" ht="15.75" thickBot="1" x14ac:dyDescent="0.3">
      <c r="B26" s="59" t="str">
        <f>'GRUPO D'!C8</f>
        <v>Dinamarca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2</v>
      </c>
      <c r="N29" s="64"/>
      <c r="Q29" s="59" t="str">
        <f>IF(Q20=L12,L13,IF(Q20=L13,L12,""))</f>
        <v>Brasil</v>
      </c>
      <c r="R29" s="60">
        <v>3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>
        <v>0</v>
      </c>
      <c r="J30" s="66"/>
      <c r="Q30" s="62" t="str">
        <f>IF(Q21=L28,L29,IF(Q21=L29,L28,""))</f>
        <v>Dinamarca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>
        <v>1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1</v>
      </c>
      <c r="D34" s="61">
        <v>1</v>
      </c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>
        <v>0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Miguel Peña Colodro</cp:lastModifiedBy>
  <dcterms:created xsi:type="dcterms:W3CDTF">2022-11-02T00:22:23Z</dcterms:created>
  <dcterms:modified xsi:type="dcterms:W3CDTF">2022-11-19T12:50:27Z</dcterms:modified>
</cp:coreProperties>
</file>