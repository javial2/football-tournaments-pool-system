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_\Downloads\"/>
    </mc:Choice>
  </mc:AlternateContent>
  <xr:revisionPtr revIDLastSave="0" documentId="13_ncr:1_{D5C7E8CC-9105-4D05-BA52-705FA29DF77E}" xr6:coauthVersionLast="47" xr6:coauthVersionMax="47" xr10:uidLastSave="{00000000-0000-0000-0000-000000000000}"/>
  <bookViews>
    <workbookView xWindow="-120" yWindow="-120" windowWidth="20730" windowHeight="11160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Z10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Z9" i="2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7" i="14"/>
  <c r="AZ7" i="14" s="1"/>
  <c r="AZ10" i="12"/>
  <c r="AZ7" i="12"/>
  <c r="AW10" i="12" s="1"/>
  <c r="AX10" i="12" s="1"/>
  <c r="AY10" i="12" s="1"/>
  <c r="BA10" i="12" s="1"/>
  <c r="BB10" i="12" s="1"/>
  <c r="AZ8" i="10"/>
  <c r="AP10" i="15"/>
  <c r="AZ10" i="15" s="1"/>
  <c r="AP7" i="13"/>
  <c r="AZ7" i="13" s="1"/>
  <c r="AZ7" i="11"/>
  <c r="AW10" i="11" s="1"/>
  <c r="AX10" i="11" s="1"/>
  <c r="AY10" i="11" s="1"/>
  <c r="BA10" i="11" s="1"/>
  <c r="BB10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9" i="12"/>
  <c r="AX9" i="12" s="1"/>
  <c r="AY9" i="12" s="1"/>
  <c r="BA9" i="12" s="1"/>
  <c r="BB9" i="12" s="1"/>
  <c r="AW7" i="12"/>
  <c r="AX7" i="12" s="1"/>
  <c r="AY7" i="12" s="1"/>
  <c r="BA7" i="12" s="1"/>
  <c r="BB7" i="12" s="1"/>
  <c r="AW8" i="12"/>
  <c r="AX8" i="12" s="1"/>
  <c r="AY8" i="12" s="1"/>
  <c r="BA8" i="12" s="1"/>
  <c r="BB8" i="12" s="1"/>
  <c r="AW7" i="1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9" i="2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7" i="11"/>
  <c r="AY7" i="11" s="1"/>
  <c r="BA7" i="11" s="1"/>
  <c r="BB7" i="1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9" i="2"/>
  <c r="AY9" i="2" s="1"/>
  <c r="BA9" i="2" s="1"/>
  <c r="BB9" i="2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D8" i="11" s="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D8" i="12"/>
  <c r="F8" i="12"/>
  <c r="G8" i="12"/>
  <c r="F10" i="11"/>
  <c r="G11" i="11"/>
  <c r="E10" i="11"/>
  <c r="E8" i="11"/>
  <c r="G8" i="11"/>
  <c r="G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<sst xmlns="http://schemas.openxmlformats.org/spreadsheetml/2006/main" count="454" uniqueCount="79">
  <si>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</si>
  <si>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</si>
  <si>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</si>
  <si>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</si>
  <si>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</si>
  <si>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</si>
  <si>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</si>
  <si>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</si>
  <si>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</si>
  <si>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</si>
  <si>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</si>
  <si>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</si>
  <si>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</si>
  <si>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</si>
  <si>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</si>
  <si>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</si>
  <si>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</si>
  <si>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</si>
  <si>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</si>
  <si>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</si>
  <si>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</si>
  <si>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</si>
  <si>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</si>
  <si>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</si>
  <si>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</si>
  <si>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</si>
  <si>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</si>
  <si>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</si>
  <si>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</si>
  <si>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</si>
  <si>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</si>
  <si>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</si>
  <si>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</si>
  <si>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</si>
  <si>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</si>
  <si>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</si>
  <si>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</si>
  <si>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</si>
  <si>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</si>
  <si>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</si>
  <si>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</si>
  <si>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</si>
  <si>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</si>
  <si>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</si>
  <si>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</si>
  <si>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</si>
  <si>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</si>
  <si>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</si>
  <si>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</si>
  <si>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</si>
  <si>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</si>
  <si>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</si>
  <si>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</si>
  <si>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</si>
  <si>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</si>
  <si>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</si>
  <si>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</si>
  <si>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</si>
  <si>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</si>
  <si>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</si>
  <si>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</si>
  <si>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</si>
  <si>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</si>
  <si>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</si>
  <si>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</si>
  <si>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</si>
  <si>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</si>
  <si>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</si>
  <si>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</si>
  <si>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</si>
  <si>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</si>
  <si>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</si>
  <si>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</si>
  <si>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</si>
  <si>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</si>
  <si>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</si>
  <si>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</si>
  <si>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Ángela Vial</t>
  </si>
  <si>
    <t>avial6@miuandes.cl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</si>
</sst>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vial6@miuandes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tabSelected="1" workbookViewId="0">
      <selection activeCell="F12" sqref="F12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78" t="s">
        <v>74</v>
      </c>
      <c r="C2" s="79"/>
      <c r="D2" s="80"/>
    </row>
    <row r="3" spans="2:4" x14ac:dyDescent="0.25">
      <c r="B3" s="76" t="s">
        <v>75</v>
      </c>
      <c r="C3" s="81" t="s">
        <v>77</v>
      </c>
      <c r="D3" s="82"/>
    </row>
    <row r="4" spans="2:4" ht="15.75" thickBot="1" x14ac:dyDescent="0.3">
      <c r="B4" s="77" t="s">
        <v>76</v>
      </c>
      <c r="C4" s="83" t="s">
        <v>78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6D1CDC19-CFB2-42FD-8641-CE656B026F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F13" sqref="F13"/>
    </sheetView>
  </sheetViews>
  <sheetFormatPr baseColWidth="10" defaultRowHeight="15" x14ac:dyDescent="0.25"/>
  <cols>
    <col min="15" max="34" width="11.42578125" style="34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3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-5</v>
      </c>
      <c r="AR7" s="34">
        <f>SUMIF($K$7:$K$12,AO7,$L$7:$L$12) + SUMIF($N$7:$N$12,AO7,$M$7:$M$12)</f>
        <v>2</v>
      </c>
      <c r="AS7" s="34">
        <f>SUMIF($K$7:$K$12,AO7,$M$7:$M$12) + SUMIF($N$7:$N$12,AO7,$L$7:$L$12)</f>
        <v>7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49800</v>
      </c>
      <c r="BA7" s="34">
        <f>AZ7-AY7*10</f>
        <v>49790</v>
      </c>
      <c r="BB7" s="34">
        <f>BA7+N23</f>
        <v>49791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8</v>
      </c>
      <c r="F8" s="9">
        <f t="shared" si="3"/>
        <v>2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1</v>
      </c>
      <c r="M8" s="22">
        <v>3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-90060800</v>
      </c>
      <c r="BA8" s="34">
        <f t="shared" ref="BA8:BA10" si="10">AZ8-AY8*10</f>
        <v>-90060810</v>
      </c>
      <c r="BB8" s="34">
        <f>BA8+N24</f>
        <v>-90060808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6</v>
      </c>
      <c r="E9" s="13">
        <f t="shared" si="3"/>
        <v>6</v>
      </c>
      <c r="F9" s="13">
        <f t="shared" si="3"/>
        <v>4</v>
      </c>
      <c r="G9" s="14">
        <f t="shared" si="3"/>
        <v>2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1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-29970200</v>
      </c>
      <c r="BA9" s="34">
        <f t="shared" si="10"/>
        <v>-29970210</v>
      </c>
      <c r="BB9" s="34">
        <f>BA9+N25</f>
        <v>-29970207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3</v>
      </c>
      <c r="E10" s="50">
        <f t="shared" si="3"/>
        <v>2</v>
      </c>
      <c r="F10" s="50">
        <f t="shared" si="3"/>
        <v>5</v>
      </c>
      <c r="G10" s="51">
        <f t="shared" si="3"/>
        <v>-3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6</v>
      </c>
      <c r="AQ10" s="34">
        <f t="shared" si="11"/>
        <v>2</v>
      </c>
      <c r="AR10" s="34">
        <f>SUMIF($K$7:$K$12,AO10,$L$7:$L$12) + SUMIF($N$7:$N$12,AO10,$M$7:$M$12)</f>
        <v>6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-60020600</v>
      </c>
      <c r="BA10" s="34">
        <f t="shared" si="10"/>
        <v>-60020610</v>
      </c>
      <c r="BB10" s="34">
        <f>BA10+N26</f>
        <v>-60020606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2</v>
      </c>
      <c r="F11" s="54">
        <f t="shared" si="3"/>
        <v>7</v>
      </c>
      <c r="G11" s="55">
        <f t="shared" si="3"/>
        <v>-5</v>
      </c>
      <c r="I11" s="23">
        <f>I9+16</f>
        <v>33</v>
      </c>
      <c r="J11" s="24">
        <v>44894</v>
      </c>
      <c r="K11" s="25" t="s">
        <v>11</v>
      </c>
      <c r="L11" s="21">
        <v>2</v>
      </c>
      <c r="M11" s="22">
        <v>1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1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L12" sqref="L12"/>
    </sheetView>
  </sheetViews>
  <sheetFormatPr baseColWidth="10" defaultRowHeight="15" x14ac:dyDescent="0.25"/>
  <cols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29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1</v>
      </c>
      <c r="M7" s="31">
        <v>0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-90040500</v>
      </c>
      <c r="BA7" s="34">
        <f>AZ7-AY7*10</f>
        <v>-90040510</v>
      </c>
      <c r="BB7" s="34">
        <f>BA7+N23</f>
        <v>-90040509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4</v>
      </c>
      <c r="J8" s="19">
        <v>44886</v>
      </c>
      <c r="K8" s="20" t="s">
        <v>31</v>
      </c>
      <c r="L8" s="21">
        <v>0</v>
      </c>
      <c r="M8" s="22">
        <v>1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Gales</v>
      </c>
      <c r="AN8" s="34">
        <f>_xlfn.RANK.EQ(BB8,BB$7:BB$11,1)</f>
        <v>4</v>
      </c>
      <c r="AO8" s="34" t="s">
        <v>31</v>
      </c>
      <c r="AP8" s="34">
        <f>SUMIF($K$7:$K$12,AO8,$AJ$7:$AJ$12) + SUMIF($N$7:$N$12,AO8,$AK$7:$AK$12)</f>
        <v>0</v>
      </c>
      <c r="AQ8" s="34">
        <f>AR8-AS8</f>
        <v>-4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39900</v>
      </c>
      <c r="BA8" s="34">
        <f t="shared" ref="BA8:BA10" si="10">AZ8-AY8*10</f>
        <v>39890</v>
      </c>
      <c r="BB8" s="34">
        <f>BA8+N24</f>
        <v>39892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0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3</v>
      </c>
      <c r="AO9" s="34" t="s">
        <v>32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-29980200</v>
      </c>
      <c r="BA9" s="34">
        <f t="shared" si="10"/>
        <v>-29980210</v>
      </c>
      <c r="BB9" s="34">
        <f>BA9+N25</f>
        <v>-29980207</v>
      </c>
    </row>
    <row r="10" spans="2:54" x14ac:dyDescent="0.25">
      <c r="B10" s="48">
        <v>3</v>
      </c>
      <c r="C10" s="49" t="str">
        <f t="shared" si="0"/>
        <v>Iran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0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6</v>
      </c>
      <c r="AQ10" s="34">
        <f t="shared" si="11"/>
        <v>2</v>
      </c>
      <c r="AR10" s="34">
        <f>SUMIF($K$7:$K$12,AO10,$L$7:$L$12) + SUMIF($N$7:$N$12,AO10,$M$7:$M$12)</f>
        <v>4</v>
      </c>
      <c r="AS10" s="34">
        <f>SUMIF($K$7:$K$12,AO10,$M$7:$M$12) + SUMIF($N$7:$N$12,AO10,$L$7:$L$12)</f>
        <v>2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-60020400</v>
      </c>
      <c r="BA10" s="34">
        <f t="shared" si="10"/>
        <v>-60020410</v>
      </c>
      <c r="BB10" s="34">
        <f>BA10+N26</f>
        <v>-60020406</v>
      </c>
    </row>
    <row r="11" spans="2:54" ht="15.75" thickBot="1" x14ac:dyDescent="0.3">
      <c r="B11" s="52">
        <v>4</v>
      </c>
      <c r="C11" s="53" t="str">
        <f t="shared" si="0"/>
        <v>USA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2</v>
      </c>
      <c r="M12" s="33">
        <v>1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3</v>
      </c>
      <c r="AK12" s="34">
        <f t="shared" si="3"/>
        <v>0</v>
      </c>
      <c r="AL12" s="34" t="str">
        <f t="shared" si="4"/>
        <v>Iran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34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2</v>
      </c>
      <c r="M7" s="31">
        <v>2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10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-90081000</v>
      </c>
      <c r="BA7" s="34">
        <f>AZ7-AY7*10</f>
        <v>-90081010</v>
      </c>
      <c r="BB7" s="34">
        <f>BA7+N23</f>
        <v>-90081009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10</v>
      </c>
      <c r="F8" s="9">
        <f t="shared" si="0"/>
        <v>2</v>
      </c>
      <c r="G8" s="10">
        <f t="shared" si="0"/>
        <v>8</v>
      </c>
      <c r="I8" s="18">
        <v>6</v>
      </c>
      <c r="J8" s="19">
        <v>44887</v>
      </c>
      <c r="K8" s="20" t="s">
        <v>35</v>
      </c>
      <c r="L8" s="21">
        <v>4</v>
      </c>
      <c r="M8" s="22">
        <v>0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-39990400</v>
      </c>
      <c r="BA8" s="34">
        <f t="shared" ref="BA8:BA10" si="10">AZ8-AY8*10</f>
        <v>-39990410</v>
      </c>
      <c r="BB8" s="34">
        <f>BA8+N24</f>
        <v>-39990408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4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5</v>
      </c>
      <c r="AS9" s="34">
        <f t="shared" si="6"/>
        <v>5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-40000500</v>
      </c>
      <c r="BA9" s="34">
        <f t="shared" si="10"/>
        <v>-40000510</v>
      </c>
      <c r="BB9" s="34">
        <f>BA9+N25</f>
        <v>-40000507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4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0</v>
      </c>
      <c r="AS10" s="34">
        <f>SUMIF($K$7:$K$12,AO10,$M$7:$M$12) + SUMIF($N$7:$N$12,AO10,$L$7:$L$12)</f>
        <v>7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70000</v>
      </c>
      <c r="BA10" s="34">
        <f t="shared" si="10"/>
        <v>69990</v>
      </c>
      <c r="BB10" s="34">
        <f>BA10+N26</f>
        <v>69994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0</v>
      </c>
      <c r="F11" s="54">
        <f t="shared" si="0"/>
        <v>7</v>
      </c>
      <c r="G11" s="55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3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1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2</v>
      </c>
      <c r="AO7" s="34" t="s">
        <v>40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4</v>
      </c>
      <c r="AS7" s="34">
        <f>SUMIF($K$7:$K$12,AO7,$M$7:$M$12) + SUMIF($N$7:$N$12,AO7,$L$7:$L$12)</f>
        <v>3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-60010400</v>
      </c>
      <c r="BA7" s="34">
        <f>AZ7-AY7*10</f>
        <v>-60010410</v>
      </c>
      <c r="BB7" s="34">
        <f>BA7+N23</f>
        <v>-60010409</v>
      </c>
    </row>
    <row r="8" spans="2:54" x14ac:dyDescent="0.2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1</v>
      </c>
      <c r="M8" s="22">
        <v>0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-90050700</v>
      </c>
      <c r="BA8" s="34">
        <f t="shared" ref="BA8:BA10" si="10">AZ8-AY8*10</f>
        <v>-90050710</v>
      </c>
      <c r="BB8" s="34">
        <f>BA8+N24</f>
        <v>-90050708</v>
      </c>
    </row>
    <row r="9" spans="2:54" x14ac:dyDescent="0.25">
      <c r="B9" s="11">
        <v>2</v>
      </c>
      <c r="C9" s="12" t="str">
        <f t="shared" si="0"/>
        <v>Francia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23</v>
      </c>
      <c r="J9" s="24">
        <v>44891</v>
      </c>
      <c r="K9" s="25" t="s">
        <v>42</v>
      </c>
      <c r="L9" s="21">
        <v>2</v>
      </c>
      <c r="M9" s="22">
        <v>0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3</v>
      </c>
      <c r="AK9" s="34">
        <f t="shared" si="3"/>
        <v>0</v>
      </c>
      <c r="AL9" s="34" t="str">
        <f t="shared" si="4"/>
        <v>Tunez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-30000400</v>
      </c>
      <c r="BA9" s="34">
        <f t="shared" si="10"/>
        <v>-30000410</v>
      </c>
      <c r="BB9" s="34">
        <f>BA9+N25</f>
        <v>-30000407</v>
      </c>
    </row>
    <row r="10" spans="2:54" x14ac:dyDescent="0.25">
      <c r="B10" s="48">
        <v>3</v>
      </c>
      <c r="C10" s="49" t="str">
        <f t="shared" si="0"/>
        <v>Tunez</v>
      </c>
      <c r="D10" s="50">
        <f t="shared" si="0"/>
        <v>3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2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0</v>
      </c>
      <c r="AK10" s="34">
        <f t="shared" si="3"/>
        <v>3</v>
      </c>
      <c r="AL10" s="34" t="str">
        <f t="shared" si="4"/>
        <v>Dinamarca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0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60000</v>
      </c>
      <c r="BA10" s="34">
        <f t="shared" si="10"/>
        <v>59990</v>
      </c>
      <c r="BB10" s="34">
        <f>BA10+N26</f>
        <v>59994</v>
      </c>
    </row>
    <row r="11" spans="2:54" ht="15.75" thickBot="1" x14ac:dyDescent="0.3">
      <c r="B11" s="52">
        <v>4</v>
      </c>
      <c r="C11" s="53" t="str">
        <f t="shared" si="0"/>
        <v>Australia</v>
      </c>
      <c r="D11" s="54">
        <f t="shared" si="0"/>
        <v>0</v>
      </c>
      <c r="E11" s="54">
        <f t="shared" si="0"/>
        <v>0</v>
      </c>
      <c r="F11" s="54">
        <f t="shared" si="0"/>
        <v>6</v>
      </c>
      <c r="G11" s="55">
        <f t="shared" si="0"/>
        <v>-6</v>
      </c>
      <c r="I11" s="23">
        <f>I9+16</f>
        <v>39</v>
      </c>
      <c r="J11" s="24">
        <v>44895</v>
      </c>
      <c r="K11" s="25" t="s">
        <v>42</v>
      </c>
      <c r="L11" s="21">
        <v>1</v>
      </c>
      <c r="M11" s="22">
        <v>2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3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2" sqref="L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5</v>
      </c>
      <c r="AQ7" s="34">
        <f>AR7-AS7</f>
        <v>1</v>
      </c>
      <c r="AR7" s="34">
        <f>SUMIF($K$7:$K$12,AO7,$L$7:$L$12) + SUMIF($N$7:$N$12,AO7,$M$7:$M$12)</f>
        <v>6</v>
      </c>
      <c r="AS7" s="34">
        <f>SUMIF($K$7:$K$12,AO7,$M$7:$M$12) + SUMIF($N$7:$N$12,AO7,$L$7:$L$12)</f>
        <v>5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-50010600</v>
      </c>
      <c r="BA7" s="34">
        <f>AZ7-AY7*10</f>
        <v>-50010610</v>
      </c>
      <c r="BB7" s="34">
        <f>BA7+N23</f>
        <v>-50010609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2</v>
      </c>
      <c r="M8" s="22">
        <v>1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-70040700</v>
      </c>
      <c r="BA8" s="34">
        <f t="shared" ref="BA8:BA10" si="10">AZ8-AY8*10</f>
        <v>-70040710</v>
      </c>
      <c r="BB8" s="34">
        <f>BA8+N24</f>
        <v>-70040708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5</v>
      </c>
      <c r="E9" s="13">
        <f t="shared" si="0"/>
        <v>6</v>
      </c>
      <c r="F9" s="13">
        <f t="shared" si="0"/>
        <v>5</v>
      </c>
      <c r="G9" s="14">
        <f t="shared" si="0"/>
        <v>1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0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4</v>
      </c>
      <c r="AQ9" s="34">
        <f t="shared" ref="AQ9:AQ10" si="11">AR9-AS9</f>
        <v>1</v>
      </c>
      <c r="AR9" s="34">
        <f t="shared" si="5"/>
        <v>5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-40010500</v>
      </c>
      <c r="BA9" s="34">
        <f t="shared" si="10"/>
        <v>-40010510</v>
      </c>
      <c r="BB9" s="34">
        <f>BA9+N25</f>
        <v>-40010507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4</v>
      </c>
      <c r="E10" s="50">
        <f t="shared" si="0"/>
        <v>5</v>
      </c>
      <c r="F10" s="50">
        <f t="shared" si="0"/>
        <v>4</v>
      </c>
      <c r="G10" s="51">
        <f t="shared" si="0"/>
        <v>1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2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1</v>
      </c>
      <c r="AS10" s="34">
        <f>SUMIF($K$7:$K$12,AO10,$M$7:$M$12) + SUMIF($N$7:$N$12,AO10,$L$7:$L$12)</f>
        <v>7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59900</v>
      </c>
      <c r="BA10" s="34">
        <f t="shared" si="10"/>
        <v>59890</v>
      </c>
      <c r="BB10" s="34">
        <f>BA10+N26</f>
        <v>59894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41</v>
      </c>
      <c r="J11" s="24">
        <v>44896</v>
      </c>
      <c r="K11" s="25" t="s">
        <v>46</v>
      </c>
      <c r="L11" s="21">
        <v>2</v>
      </c>
      <c r="M11" s="22">
        <v>2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3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71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3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-60020500</v>
      </c>
      <c r="BA7" s="34">
        <f>AZ7-AY7*10</f>
        <v>-60020510</v>
      </c>
      <c r="BB7" s="34">
        <f>BA7+N23</f>
        <v>-60020509</v>
      </c>
    </row>
    <row r="8" spans="2:54" x14ac:dyDescent="0.25">
      <c r="B8" s="7">
        <v>1</v>
      </c>
      <c r="C8" s="8" t="str">
        <f t="shared" ref="C8:G11" si="0">IFERROR(VLOOKUP($B8,$AN$7:$AS$11,C$5,FALSE),"")</f>
        <v>Croacia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-90060800</v>
      </c>
      <c r="BA8" s="34">
        <f t="shared" ref="BA8:BA10" si="10">AZ8-AY8*10</f>
        <v>-90060810</v>
      </c>
      <c r="BB8" s="34">
        <f>BA8+N24</f>
        <v>-90060808</v>
      </c>
    </row>
    <row r="9" spans="2:54" x14ac:dyDescent="0.25">
      <c r="B9" s="11">
        <v>2</v>
      </c>
      <c r="C9" s="12" t="str">
        <f t="shared" si="0"/>
        <v>Belgica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4</v>
      </c>
      <c r="AS9" s="34">
        <f t="shared" si="6"/>
        <v>6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-29980400</v>
      </c>
      <c r="BA9" s="34">
        <f t="shared" si="10"/>
        <v>-29980410</v>
      </c>
      <c r="BB9" s="34">
        <f>BA9+N25</f>
        <v>-29980407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3</v>
      </c>
      <c r="M10" s="22">
        <v>0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1</v>
      </c>
      <c r="AS10" s="34">
        <f>SUMIF($K$7:$K$12,AO10,$M$7:$M$12) + SUMIF($N$7:$N$12,AO10,$L$7:$L$12)</f>
        <v>7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59900</v>
      </c>
      <c r="BA10" s="34">
        <f t="shared" si="10"/>
        <v>59890</v>
      </c>
      <c r="BB10" s="34">
        <f>BA10+N26</f>
        <v>59894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1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3</v>
      </c>
      <c r="AK11" s="34">
        <f t="shared" si="3"/>
        <v>0</v>
      </c>
      <c r="AL11" s="34" t="str">
        <f t="shared" si="4"/>
        <v>Croacia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2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72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10</v>
      </c>
      <c r="AR7" s="34">
        <f>SUMIF($K$7:$K$12,AO7,$L$7:$L$12) + SUMIF($N$7:$N$12,AO7,$M$7:$M$12)</f>
        <v>11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-90101100</v>
      </c>
      <c r="BA7" s="34">
        <f>AZ7-AY7*10</f>
        <v>-90101110</v>
      </c>
      <c r="BB7" s="34">
        <f>BA7+N23</f>
        <v>-90101109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11</v>
      </c>
      <c r="F8" s="9">
        <f t="shared" si="0"/>
        <v>1</v>
      </c>
      <c r="G8" s="10">
        <f t="shared" si="0"/>
        <v>10</v>
      </c>
      <c r="I8" s="18">
        <v>14</v>
      </c>
      <c r="J8" s="19">
        <v>44889</v>
      </c>
      <c r="K8" s="20" t="s">
        <v>10</v>
      </c>
      <c r="L8" s="21">
        <v>4</v>
      </c>
      <c r="M8" s="22">
        <v>0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6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-60000300</v>
      </c>
      <c r="BA8" s="34">
        <f t="shared" ref="BA8:BA10" si="10">AZ8-AY8*10</f>
        <v>-60000310</v>
      </c>
      <c r="BB8" s="34">
        <f>BA8+N24</f>
        <v>-60000308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6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2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-29970200</v>
      </c>
      <c r="BA9" s="34">
        <f t="shared" si="10"/>
        <v>-29970210</v>
      </c>
      <c r="BB9" s="34">
        <f>BA9+N25</f>
        <v>-29970207</v>
      </c>
    </row>
    <row r="10" spans="2:54" x14ac:dyDescent="0.25">
      <c r="B10" s="48">
        <v>3</v>
      </c>
      <c r="C10" s="49" t="str">
        <f t="shared" si="0"/>
        <v>Serbia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1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0</v>
      </c>
      <c r="AS10" s="34">
        <f>SUMIF($K$7:$K$12,AO10,$M$7:$M$12) + SUMIF($N$7:$N$12,AO10,$L$7:$L$12)</f>
        <v>7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70000</v>
      </c>
      <c r="BA10" s="34">
        <f t="shared" si="10"/>
        <v>69990</v>
      </c>
      <c r="BB10" s="34">
        <f>BA10+N26</f>
        <v>69994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0</v>
      </c>
      <c r="F11" s="54">
        <f t="shared" si="0"/>
        <v>7</v>
      </c>
      <c r="G11" s="55">
        <f t="shared" si="0"/>
        <v>-7</v>
      </c>
      <c r="I11" s="23">
        <f>I9+16</f>
        <v>45</v>
      </c>
      <c r="J11" s="24">
        <v>44897</v>
      </c>
      <c r="K11" s="25" t="s">
        <v>53</v>
      </c>
      <c r="L11" s="21">
        <v>0</v>
      </c>
      <c r="M11" s="22">
        <v>1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4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73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0</v>
      </c>
      <c r="AR7" s="34">
        <f>SUMIF($K$7:$K$12,AO7,$L$7:$L$12) + SUMIF($N$7:$N$12,AO7,$M$7:$M$12)</f>
        <v>6</v>
      </c>
      <c r="AS7" s="34">
        <f>SUMIF($K$7:$K$12,AO7,$M$7:$M$12) + SUMIF($N$7:$N$12,AO7,$L$7:$L$12)</f>
        <v>6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-60000600</v>
      </c>
      <c r="BA7" s="34">
        <f>AZ7-AY7*10</f>
        <v>-60000610</v>
      </c>
      <c r="BB7" s="34">
        <f>BA7+N23</f>
        <v>-60000609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-90060700</v>
      </c>
      <c r="BA8" s="34">
        <f t="shared" ref="BA8:BA10" si="10">AZ8-AY8*10</f>
        <v>-90060710</v>
      </c>
      <c r="BB8" s="34">
        <f>BA8+N24</f>
        <v>-90060708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6</v>
      </c>
      <c r="F9" s="13">
        <f t="shared" si="0"/>
        <v>6</v>
      </c>
      <c r="G9" s="14">
        <f t="shared" si="0"/>
        <v>0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0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-29990400</v>
      </c>
      <c r="BA9" s="34">
        <f t="shared" si="10"/>
        <v>-29990410</v>
      </c>
      <c r="BB9" s="34">
        <f>BA9+N25</f>
        <v>-29990407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3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2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2</v>
      </c>
      <c r="M12" s="33">
        <v>3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opLeftCell="A17" zoomScale="120" workbookViewId="0">
      <selection activeCell="R34" sqref="R34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06" t="s">
        <v>69</v>
      </c>
      <c r="C2" s="107"/>
      <c r="D2" s="108"/>
    </row>
    <row r="3" spans="2:19" ht="15.75" thickBot="1" x14ac:dyDescent="0.3"/>
    <row r="4" spans="2:19" ht="15.75" thickBot="1" x14ac:dyDescent="0.3">
      <c r="G4" s="106" t="s">
        <v>59</v>
      </c>
      <c r="H4" s="107"/>
      <c r="I4" s="108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Gales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/>
      <c r="L8" s="106" t="s">
        <v>60</v>
      </c>
      <c r="M8" s="107"/>
      <c r="N8" s="108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Francia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2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3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Belgica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0</v>
      </c>
      <c r="I16" s="61"/>
      <c r="J16" s="69"/>
      <c r="O16" s="66"/>
      <c r="Q16" s="106" t="s">
        <v>63</v>
      </c>
      <c r="R16" s="107"/>
      <c r="S16" s="108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3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Uruguay</v>
      </c>
      <c r="R21" s="63">
        <v>2</v>
      </c>
      <c r="S21" s="64"/>
    </row>
    <row r="22" spans="2:23" ht="15.75" thickBot="1" x14ac:dyDescent="0.3">
      <c r="B22" s="59" t="str">
        <f>'GRUPO B'!C8</f>
        <v>Inglaterra</v>
      </c>
      <c r="C22" s="60">
        <v>1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2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Uruguay</v>
      </c>
    </row>
    <row r="26" spans="2:23" ht="15.75" thickBot="1" x14ac:dyDescent="0.3">
      <c r="B26" s="59" t="str">
        <f>'GRUPO D'!C8</f>
        <v>Dinamarca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.75" thickBot="1" x14ac:dyDescent="0.3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Dinamarca</v>
      </c>
      <c r="M28" s="60">
        <v>2</v>
      </c>
      <c r="N28" s="61">
        <v>0</v>
      </c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2</v>
      </c>
      <c r="N29" s="64">
        <v>1</v>
      </c>
      <c r="Q29" s="59" t="str">
        <f>IF(Q20=L12,L13,IF(Q20=L13,L12,""))</f>
        <v>Argentina</v>
      </c>
      <c r="R29" s="60">
        <v>2</v>
      </c>
      <c r="S29" s="61"/>
    </row>
    <row r="30" spans="2:23" ht="15.75" thickBot="1" x14ac:dyDescent="0.3">
      <c r="B30" s="59" t="str">
        <f>'GRUPO F'!C8</f>
        <v>Croacia</v>
      </c>
      <c r="C30" s="60">
        <v>1</v>
      </c>
      <c r="D30" s="61">
        <v>1</v>
      </c>
      <c r="J30" s="66"/>
      <c r="Q30" s="62" t="str">
        <f>IF(Q21=L28,L29,IF(Q21=L29,L28,""))</f>
        <v>Dinamarca</v>
      </c>
      <c r="R30" s="63">
        <v>1</v>
      </c>
      <c r="S30" s="64"/>
    </row>
    <row r="31" spans="2:23" ht="15.75" thickBot="1" x14ac:dyDescent="0.3">
      <c r="B31" s="62" t="str">
        <f>'GRUPO E'!C9</f>
        <v>España</v>
      </c>
      <c r="C31" s="63">
        <v>1</v>
      </c>
      <c r="D31" s="64">
        <v>0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Croacia</v>
      </c>
      <c r="H32" s="60">
        <v>0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25">
      <c r="B34" s="59" t="str">
        <f>'GRUPO H'!C8</f>
        <v>Uruguay</v>
      </c>
      <c r="C34" s="60">
        <v>1</v>
      </c>
      <c r="D34" s="61"/>
      <c r="E34" s="69"/>
    </row>
    <row r="35" spans="2:9" ht="15.75" thickBot="1" x14ac:dyDescent="0.3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angela vial</cp:lastModifiedBy>
  <dcterms:created xsi:type="dcterms:W3CDTF">2022-11-02T00:22:23Z</dcterms:created>
  <dcterms:modified xsi:type="dcterms:W3CDTF">2022-11-16T23:49:48Z</dcterms:modified>
</cp:coreProperties>
</file>