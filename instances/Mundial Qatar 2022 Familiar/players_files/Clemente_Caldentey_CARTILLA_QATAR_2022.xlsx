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eme\OneDrive\Escritorio\"/>
    </mc:Choice>
  </mc:AlternateContent>
  <xr:revisionPtr revIDLastSave="0" documentId="8_{36A05C17-C803-4EA9-9833-B72E0A1BE349}" xr6:coauthVersionLast="47" xr6:coauthVersionMax="47" xr10:uidLastSave="{00000000-0000-0000-0000-000000000000}"/>
  <bookViews>
    <workbookView xWindow="-120" yWindow="-120" windowWidth="20730" windowHeight="1104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Z10" i="11" s="1"/>
  <c r="AP9" i="2"/>
  <c r="AZ9" i="2" s="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P8" i="14"/>
  <c r="AZ8" i="14" s="1"/>
  <c r="AP10" i="13"/>
  <c r="AZ10" i="13" s="1"/>
  <c r="AZ8" i="12"/>
  <c r="AZ7" i="12"/>
  <c r="AZ10" i="12"/>
  <c r="AP9" i="12"/>
  <c r="AZ9" i="12" s="1"/>
  <c r="AW9" i="12" s="1"/>
  <c r="AZ9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F10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E8" i="11"/>
  <c r="G8" i="11"/>
  <c r="G10" i="11"/>
  <c r="D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<sst xmlns="http://schemas.openxmlformats.org/spreadsheetml/2006/main" count="454" uniqueCount="79">
  <si>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</si>
  <si>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</si>
  <si>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</si>
  <si>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</si>
  <si>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</si>
  <si>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</si>
  <si>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</si>
  <si>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</si>
  <si>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</si>
  <si>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</si>
  <si>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</si>
  <si>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</si>
  <si>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</si>
  <si>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</si>
  <si>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</si>
  <si>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</si>
  <si>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</si>
  <si>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</si>
  <si>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</si>
  <si>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</si>
  <si>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</si>
  <si>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</si>
  <si>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</si>
  <si>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</si>
  <si>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</si>
  <si>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</si>
  <si>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</si>
  <si>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</si>
  <si>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</si>
  <si>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</si>
  <si>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</si>
  <si>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</si>
  <si>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</si>
  <si>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</si>
  <si>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</si>
  <si>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</si>
  <si>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</si>
  <si>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</si>
  <si>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</si>
  <si>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</si>
  <si>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</si>
  <si>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</si>
  <si>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</si>
  <si>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</si>
  <si>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</si>
  <si>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</si>
  <si>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</si>
  <si>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</si>
  <si>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</si>
  <si>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</si>
  <si>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</si>
  <si>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</si>
  <si>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</si>
  <si>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</si>
  <si>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</si>
  <si>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</si>
  <si>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</si>
  <si>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</si>
  <si>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</si>
  <si>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</si>
  <si>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</si>
  <si>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</si>
  <si>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</si>
  <si>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</si>
  <si>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</si>
  <si>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</si>
  <si>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</si>
  <si>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</si>
  <si>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</si>
  <si>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</si>
  <si>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</si>
  <si>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</si>
  <si>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</si>
  <si>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</si>
  <si>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</si>
  <si>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</si>
  <si>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</si>
  <si>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Clemente Caldentey</t>
  </si>
  <si>
    <t>clementecaldentey@gmail.cpm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</si>
</sst>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ementecaldentey@gmail.cp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F8" sqref="F8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9DE66D2C-588E-4B02-9BAF-9F76AB52E8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A9" workbookViewId="0">
      <selection activeCell="M25" sqref="M25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2</v>
      </c>
      <c r="AO7" s="34" t="s">
        <v>14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2</v>
      </c>
      <c r="AS7" s="34">
        <f>SUMIF($K$7:$K$12,AO7,$M$7:$M$12) + SUMIF($N$7:$N$12,AO7,$L$7:$L$12)</f>
        <v>3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-39990200</v>
      </c>
      <c r="BA7" s="34">
        <f>AZ7-AY7*10</f>
        <v>-39990210</v>
      </c>
      <c r="BB7" s="34">
        <f>BA7+N23</f>
        <v>-39990208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1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0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-90050609</v>
      </c>
    </row>
    <row r="9" spans="2:54" x14ac:dyDescent="0.25">
      <c r="B9" s="11">
        <v>2</v>
      </c>
      <c r="C9" s="12" t="str">
        <f t="shared" si="3"/>
        <v>Qatar</v>
      </c>
      <c r="D9" s="13">
        <f t="shared" si="3"/>
        <v>4</v>
      </c>
      <c r="E9" s="13">
        <f t="shared" si="3"/>
        <v>2</v>
      </c>
      <c r="F9" s="13">
        <f t="shared" si="3"/>
        <v>3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3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-30000300</v>
      </c>
      <c r="BA10" s="34">
        <f t="shared" si="10"/>
        <v>-30000310</v>
      </c>
      <c r="BB10" s="34">
        <f>BA10+N26</f>
        <v>-30000306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2</v>
      </c>
      <c r="N23" s="35">
        <f>IF(J23="",0,M23)</f>
        <v>2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13" workbookViewId="0">
      <selection activeCell="M26" sqref="M26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-60010500</v>
      </c>
      <c r="BA8" s="34">
        <f t="shared" ref="BA8:BA10" si="10">AZ8-AY8*10</f>
        <v>-60010510</v>
      </c>
      <c r="BB8" s="34">
        <f>BA8+N24</f>
        <v>-60010508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-9960200</v>
      </c>
      <c r="BA9" s="34">
        <f t="shared" si="10"/>
        <v>-9960210</v>
      </c>
      <c r="BB9" s="34">
        <f>BA9+N25</f>
        <v>-9960206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3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11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10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-90061000</v>
      </c>
      <c r="BA7" s="34">
        <f>AZ7-AY7*10</f>
        <v>-90061010</v>
      </c>
      <c r="BB7" s="34">
        <f>BA7+N23</f>
        <v>-90061009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4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4</v>
      </c>
      <c r="M8" s="22">
        <v>1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-29990500</v>
      </c>
      <c r="BA8" s="34">
        <f t="shared" ref="BA8:BA10" si="10">AZ8-AY8*10</f>
        <v>-29990510</v>
      </c>
      <c r="BB8" s="34">
        <f>BA8+N24</f>
        <v>-29990507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6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-60020600</v>
      </c>
      <c r="BA9" s="34">
        <f t="shared" si="10"/>
        <v>-60020610</v>
      </c>
      <c r="BB9" s="34">
        <f>BA9+N25</f>
        <v>-60020608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2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69800</v>
      </c>
      <c r="BA10" s="34">
        <f t="shared" si="10"/>
        <v>69790</v>
      </c>
      <c r="BB10" s="34">
        <f>BA10+N26</f>
        <v>69794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9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6" workbookViewId="0">
      <selection activeCell="M12" sqref="M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8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-90040800</v>
      </c>
      <c r="BA7" s="34">
        <f>AZ7-AY7*10</f>
        <v>-90040810</v>
      </c>
      <c r="BB7" s="34">
        <f>BA7+N23</f>
        <v>-90040809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8</v>
      </c>
      <c r="F8" s="9">
        <f t="shared" si="0"/>
        <v>4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2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11" workbookViewId="0">
      <selection activeCell="M24" sqref="M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2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4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-39990400</v>
      </c>
      <c r="BA7" s="34">
        <f>AZ7-AY7*10</f>
        <v>-39990410</v>
      </c>
      <c r="BB7" s="34">
        <f>BA7+N23</f>
        <v>-39990408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9</v>
      </c>
      <c r="F8" s="9">
        <f t="shared" si="0"/>
        <v>3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1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-90060900</v>
      </c>
      <c r="BA8" s="34">
        <f t="shared" ref="BA8:BA10" si="10">AZ8-AY8*10</f>
        <v>-90060910</v>
      </c>
      <c r="BB8" s="34">
        <f>BA8+N24</f>
        <v>-90060909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29700</v>
      </c>
      <c r="BA9" s="34">
        <f t="shared" si="10"/>
        <v>29690</v>
      </c>
      <c r="BB9" s="34">
        <f>BA9+N25</f>
        <v>29693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4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4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-39980200</v>
      </c>
      <c r="BA10" s="34">
        <f t="shared" si="10"/>
        <v>-39980210</v>
      </c>
      <c r="BB10" s="34">
        <f>BA10+N26</f>
        <v>-39980206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2</v>
      </c>
      <c r="N23" s="35">
        <f>IF(J23="",0,M23)</f>
        <v>2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1</v>
      </c>
      <c r="N24" s="35">
        <f>IF(J24="",0,M24)</f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A6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3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8</v>
      </c>
      <c r="AS7" s="34">
        <f>SUMIF($K$7:$K$12,AO7,$M$7:$M$12) + SUMIF($N$7:$N$12,AO7,$L$7:$L$12)</f>
        <v>5</v>
      </c>
      <c r="AV7" s="34" t="str">
        <f>AO7</f>
        <v>Belgica</v>
      </c>
      <c r="AW7" s="34" t="str">
        <f>IF(AZ7=AZ8,AV8,IF(AZ7=AZ9,AV9,IF(AZ7=AZ10,AV10,"")))</f>
        <v>Croacia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-70030800</v>
      </c>
      <c r="BA7" s="34">
        <f>AZ7-AY7*10</f>
        <v>-70030800</v>
      </c>
      <c r="BB7" s="34">
        <f>BA7+N23</f>
        <v>-70030799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8</v>
      </c>
      <c r="F8" s="9">
        <f t="shared" si="0"/>
        <v>5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>Belgica</v>
      </c>
      <c r="AX8" s="34" t="str">
        <f>IF(AW8="","",IFERROR(VLOOKUP(CONCATENATE(AV8,"_",AW8),$AI$7:$AL$16,4,FALSE),VLOOKUP(CONCATENATE(AW8,"_",AV8),$AI$7:$AL$16,4,FALSE)))</f>
        <v>SIN GANADOR</v>
      </c>
      <c r="AY8" s="34">
        <f t="shared" ref="AY8:AY10" si="8">IF(AX8="",1,IF(AX8=AV8,1,0))</f>
        <v>0</v>
      </c>
      <c r="AZ8" s="34">
        <f t="shared" ref="AZ8:AZ10" si="9">-AP8*10000000 - AQ8*10000 - AR8*100</f>
        <v>-70030800</v>
      </c>
      <c r="BA8" s="34">
        <f t="shared" ref="BA8:BA10" si="10">AZ8-AY8*10</f>
        <v>-70030800</v>
      </c>
      <c r="BB8" s="34">
        <f>BA8+N24</f>
        <v>-70030798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8</v>
      </c>
      <c r="F9" s="13">
        <f t="shared" si="0"/>
        <v>5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4</v>
      </c>
      <c r="AS9" s="34">
        <f t="shared" si="6"/>
        <v>8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39600</v>
      </c>
      <c r="BA9" s="34">
        <f t="shared" si="10"/>
        <v>39590</v>
      </c>
      <c r="BB9" s="34">
        <f>BA9+N25</f>
        <v>39593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4</v>
      </c>
      <c r="F11" s="54">
        <f t="shared" si="0"/>
        <v>8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3</v>
      </c>
      <c r="M11" s="22">
        <v>3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A9" workbookViewId="0">
      <selection activeCell="M24" sqref="M2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10</v>
      </c>
      <c r="AS7" s="34">
        <f>SUMIF($K$7:$K$12,AO7,$M$7:$M$12) + SUMIF($N$7:$N$12,AO7,$L$7:$L$12)</f>
        <v>5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-90051000</v>
      </c>
      <c r="BA7" s="34">
        <f>AZ7-AY7*10</f>
        <v>-90051010</v>
      </c>
      <c r="BB7" s="34">
        <f>BA7+N23</f>
        <v>-90051009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5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-29980500</v>
      </c>
      <c r="BA8" s="34">
        <f t="shared" ref="BA8:BA10" si="10">AZ8-AY8*10</f>
        <v>-29980510</v>
      </c>
      <c r="BB8" s="34">
        <f>BA8+N24</f>
        <v>-29980507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-60010500</v>
      </c>
      <c r="BA9" s="34">
        <f t="shared" si="10"/>
        <v>-60010510</v>
      </c>
      <c r="BB9" s="34">
        <f>BA9+N25</f>
        <v>-60010508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5</v>
      </c>
      <c r="F10" s="50">
        <f t="shared" si="0"/>
        <v>7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4</v>
      </c>
      <c r="M10" s="22">
        <v>2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3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39700</v>
      </c>
      <c r="BA10" s="34">
        <f t="shared" si="10"/>
        <v>39690</v>
      </c>
      <c r="BB10" s="34">
        <f>BA10+N26</f>
        <v>39694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2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3</v>
      </c>
      <c r="N24" s="35">
        <f>IF(J24="",0,M24)</f>
        <v>3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2</v>
      </c>
      <c r="N25" s="35">
        <f>IF(J25="",0,M25)</f>
        <v>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13" workbookViewId="0">
      <selection activeCell="I33" sqref="I3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-90040700</v>
      </c>
      <c r="BA7" s="34">
        <f>AZ7-AY7*10</f>
        <v>-90040710</v>
      </c>
      <c r="BB7" s="34">
        <f>BA7+N23</f>
        <v>-90040709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2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-9970300</v>
      </c>
      <c r="BA9" s="34">
        <f t="shared" si="10"/>
        <v>-9970310</v>
      </c>
      <c r="BB9" s="34">
        <f>BA9+N25</f>
        <v>-9970306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2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5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-19990500</v>
      </c>
      <c r="BA10" s="34">
        <f t="shared" si="10"/>
        <v>-19990510</v>
      </c>
      <c r="BB10" s="34">
        <f>BA10+N26</f>
        <v>-19990507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L19" workbookViewId="0">
      <selection activeCell="T30" sqref="T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3</v>
      </c>
      <c r="D6" s="61"/>
    </row>
    <row r="7" spans="2:19" ht="15.75" thickBot="1" x14ac:dyDescent="0.3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2</v>
      </c>
      <c r="I8" s="61">
        <v>7</v>
      </c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>
        <v>8</v>
      </c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Qatar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Polonia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Francia</v>
      </c>
      <c r="C26" s="60">
        <v>2</v>
      </c>
      <c r="D26" s="61">
        <v>3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Polonia</v>
      </c>
      <c r="C27" s="63">
        <v>2</v>
      </c>
      <c r="D27" s="64">
        <v>5</v>
      </c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2</v>
      </c>
      <c r="N28" s="61">
        <v>7</v>
      </c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>
        <v>6</v>
      </c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Portugal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25">
      <c r="B34" s="59" t="str">
        <f>'GRUPO H'!C8</f>
        <v>Portugal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2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clemente caldentey lara</cp:lastModifiedBy>
  <dcterms:created xsi:type="dcterms:W3CDTF">2022-11-02T00:22:23Z</dcterms:created>
  <dcterms:modified xsi:type="dcterms:W3CDTF">2022-11-20T12:39:41Z</dcterms:modified>
</cp:coreProperties>
</file>