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i\Downloads\"/>
    </mc:Choice>
  </mc:AlternateContent>
  <xr:revisionPtr revIDLastSave="0" documentId="8_{35A65901-9677-4D7B-B1EC-03A59296F6D6}" xr6:coauthVersionLast="47" xr6:coauthVersionMax="47" xr10:uidLastSave="{00000000-0000-0000-0000-000000000000}"/>
  <bookViews>
    <workbookView xWindow="-120" yWindow="-120" windowWidth="20730" windowHeight="1116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P10" i="12"/>
  <c r="AP10" i="11"/>
  <c r="AP9" i="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K12" i="14"/>
  <c r="AP9" i="14" s="1"/>
  <c r="AQ10" i="13"/>
  <c r="AQ8" i="13"/>
  <c r="AQ7" i="13"/>
  <c r="AQ9" i="13"/>
  <c r="AL8" i="13"/>
  <c r="AK10" i="13"/>
  <c r="AK7" i="13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Z10" i="12" s="1"/>
  <c r="AL9" i="12"/>
  <c r="AK7" i="12"/>
  <c r="AK11" i="12"/>
  <c r="AP7" i="12" s="1"/>
  <c r="AZ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P7" i="14" l="1"/>
  <c r="AZ7" i="14" s="1"/>
  <c r="AP8" i="14"/>
  <c r="AZ8" i="14" s="1"/>
  <c r="AP9" i="13"/>
  <c r="AL10" i="13"/>
  <c r="AP10" i="13"/>
  <c r="AZ10" i="13" s="1"/>
  <c r="AL7" i="12"/>
  <c r="AP9" i="12"/>
  <c r="AZ9" i="12" s="1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W9" i="13" s="1"/>
  <c r="AX9" i="13" s="1"/>
  <c r="AY9" i="13" s="1"/>
  <c r="BA9" i="13" s="1"/>
  <c r="BB9" i="13" s="1"/>
  <c r="AL7" i="13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9" i="12"/>
  <c r="AW7" i="12"/>
  <c r="AX7" i="12" s="1"/>
  <c r="AY7" i="12" s="1"/>
  <c r="BA7" i="12" s="1"/>
  <c r="BB7" i="12" s="1"/>
  <c r="AL11" i="12"/>
  <c r="AL12" i="12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L12" i="11"/>
  <c r="AW7" i="11"/>
  <c r="AL11" i="11"/>
  <c r="AW9" i="11"/>
  <c r="AX9" i="11" s="1"/>
  <c r="AY9" i="11" s="1"/>
  <c r="BA9" i="11" s="1"/>
  <c r="BB9" i="11" s="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2" l="1"/>
  <c r="AW8" i="2"/>
  <c r="AW7" i="2"/>
  <c r="AX7" i="2" s="1"/>
  <c r="AY7" i="2" s="1"/>
  <c r="BA7" i="2" s="1"/>
  <c r="BB7" i="2" s="1"/>
  <c r="AW10" i="15"/>
  <c r="AX10" i="15" s="1"/>
  <c r="AY10" i="15" s="1"/>
  <c r="BA10" i="15" s="1"/>
  <c r="BB10" i="15" s="1"/>
  <c r="AW10" i="2"/>
  <c r="AX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X7" i="11"/>
  <c r="AY7" i="11" s="1"/>
  <c r="BA7" i="11" s="1"/>
  <c r="BB7" i="11" s="1"/>
  <c r="AN9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Y10" i="2"/>
  <c r="BA10" i="2" s="1"/>
  <c r="BB10" i="2" s="1"/>
  <c r="AX8" i="2"/>
  <c r="AY8" i="2" s="1"/>
  <c r="BA8" i="2" s="1"/>
  <c r="BB8" i="2" s="1"/>
  <c r="AX9" i="2"/>
  <c r="AY9" i="2" s="1"/>
  <c r="BA9" i="2" s="1"/>
  <c r="BB9" i="2" s="1"/>
  <c r="AN9" i="15" l="1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G8" i="12"/>
  <c r="D8" i="12"/>
  <c r="F8" i="12"/>
  <c r="AN10" i="11"/>
  <c r="AN8" i="11"/>
  <c r="AN7" i="11"/>
  <c r="E10" i="11" s="1"/>
  <c r="G11" i="11"/>
  <c r="G10" i="11"/>
  <c r="E8" i="11"/>
  <c r="F10" i="11"/>
  <c r="D8" i="11"/>
  <c r="G8" i="11"/>
  <c r="AN9" i="10"/>
  <c r="AN7" i="10"/>
  <c r="AN8" i="10"/>
  <c r="AN10" i="10"/>
  <c r="AN8" i="2"/>
  <c r="AN7" i="2"/>
  <c r="AN9" i="2"/>
  <c r="AN10" i="2"/>
  <c r="BA7" i="1"/>
  <c r="BB7" i="1" s="1"/>
  <c r="AN7" i="1" s="1"/>
  <c r="E8" i="12" l="1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<sst xmlns="http://schemas.openxmlformats.org/spreadsheetml/2006/main" count="454" uniqueCount="79">
  <si>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</si>
  <si>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</si>
  <si>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</si>
  <si>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</si>
  <si>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</si>
  <si>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</si>
  <si>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</si>
  <si>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</si>
  <si>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</si>
  <si>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</si>
  <si>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</si>
  <si>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</si>
  <si>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</si>
  <si>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</si>
  <si>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</si>
  <si>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</si>
  <si>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</si>
  <si>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</si>
  <si>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</si>
  <si>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</si>
  <si>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</si>
  <si>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</si>
  <si>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</si>
  <si>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</si>
  <si>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</si>
  <si>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</si>
  <si>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</si>
  <si>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</si>
  <si>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</si>
  <si>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</si>
  <si>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</si>
  <si>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</si>
  <si>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</si>
  <si>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</si>
  <si>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</si>
  <si>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</si>
  <si>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</si>
  <si>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</si>
  <si>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</si>
  <si>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</si>
  <si>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</si>
  <si>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</si>
  <si>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</si>
  <si>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</si>
  <si>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</si>
  <si>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</si>
  <si>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</si>
  <si>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</si>
  <si>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</si>
  <si>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</si>
  <si>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</si>
  <si>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</si>
  <si>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</si>
  <si>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</si>
  <si>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</si>
  <si>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</si>
  <si>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</si>
  <si>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</si>
  <si>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</si>
  <si>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</si>
  <si>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</si>
  <si>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</si>
  <si>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</si>
  <si>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</si>
  <si>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</si>
  <si>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</si>
  <si>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</si>
  <si>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</si>
  <si>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</si>
  <si>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</si>
  <si>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</si>
  <si>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</si>
  <si>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</si>
  <si>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</si>
  <si>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</si>
  <si>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</si>
  <si>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</si>
  <si>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Agustina Ried Gana</t>
  </si>
  <si>
    <t>agustina.ried@uc.cl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</si>
</sst>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gustina.ried@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60EE7233-489C-480C-B63E-73C517F43B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zoomScale="65" workbookViewId="0">
      <selection activeCell="F15" sqref="F15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1</v>
      </c>
      <c r="AO7" s="34" t="s">
        <v>14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-70040500</v>
      </c>
      <c r="BA7" s="34">
        <f>AZ7-AY7*10</f>
        <v>-70040510</v>
      </c>
      <c r="BB7" s="34">
        <f>BA7+N23</f>
        <v>-70040509</v>
      </c>
    </row>
    <row r="8" spans="2:54" x14ac:dyDescent="0.25">
      <c r="B8" s="7">
        <v>1</v>
      </c>
      <c r="C8" s="8" t="str">
        <f t="shared" ref="C8:G11" si="3">IFERROR(VLOOKUP($B8,$AN$7:$AS$11,C$5,FALSE),"")</f>
        <v>Qatar</v>
      </c>
      <c r="D8" s="9">
        <f t="shared" si="3"/>
        <v>7</v>
      </c>
      <c r="E8" s="9">
        <f t="shared" si="3"/>
        <v>5</v>
      </c>
      <c r="F8" s="9">
        <f t="shared" si="3"/>
        <v>1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2</v>
      </c>
      <c r="M8" s="22">
        <v>0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3</v>
      </c>
      <c r="AK8" s="34">
        <f t="shared" ref="AK8:AK12" si="4">IF(AJ8=3,0,IF(AJ8=1,1,3))</f>
        <v>0</v>
      </c>
      <c r="AL8" s="34" t="str">
        <f t="shared" si="2"/>
        <v>Qatar</v>
      </c>
      <c r="AN8" s="34">
        <f>_xlfn.RANK.EQ(BB8,BB$7:BB$11,1)</f>
        <v>3</v>
      </c>
      <c r="AO8" s="34" t="s">
        <v>13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-29980200</v>
      </c>
      <c r="BA8" s="34">
        <f t="shared" ref="BA8:BA10" si="10">AZ8-AY8*10</f>
        <v>-29980210</v>
      </c>
      <c r="BB8" s="34">
        <f>BA8+N24</f>
        <v>-29980208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-9980200</v>
      </c>
      <c r="BA9" s="34">
        <f t="shared" si="10"/>
        <v>-9980210</v>
      </c>
      <c r="BB9" s="34">
        <f>BA9+N25</f>
        <v>-9980206</v>
      </c>
    </row>
    <row r="10" spans="2:54" x14ac:dyDescent="0.25">
      <c r="B10" s="48">
        <v>3</v>
      </c>
      <c r="C10" s="49" t="str">
        <f t="shared" si="3"/>
        <v>Holanda</v>
      </c>
      <c r="D10" s="50">
        <f t="shared" si="3"/>
        <v>3</v>
      </c>
      <c r="E10" s="50">
        <f t="shared" si="3"/>
        <v>2</v>
      </c>
      <c r="F10" s="50">
        <f t="shared" si="3"/>
        <v>4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2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0</v>
      </c>
      <c r="AK10" s="34">
        <f t="shared" si="4"/>
        <v>3</v>
      </c>
      <c r="AL10" s="34" t="str">
        <f t="shared" si="2"/>
        <v>Ecuador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-60000400</v>
      </c>
      <c r="BA10" s="34">
        <f t="shared" si="10"/>
        <v>-60000410</v>
      </c>
      <c r="BB10" s="34">
        <f>BA10+N26</f>
        <v>-60000407</v>
      </c>
    </row>
    <row r="11" spans="2:54" ht="15.75" thickBot="1" x14ac:dyDescent="0.3">
      <c r="B11" s="52">
        <v>4</v>
      </c>
      <c r="C11" s="53" t="str">
        <f t="shared" si="3"/>
        <v>Senegal</v>
      </c>
      <c r="D11" s="54">
        <f t="shared" si="3"/>
        <v>1</v>
      </c>
      <c r="E11" s="54">
        <f t="shared" si="3"/>
        <v>2</v>
      </c>
      <c r="F11" s="54">
        <f t="shared" si="3"/>
        <v>4</v>
      </c>
      <c r="G11" s="55">
        <f t="shared" si="3"/>
        <v>-2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0</v>
      </c>
      <c r="M12" s="33">
        <v>2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0</v>
      </c>
      <c r="AK12" s="34">
        <f t="shared" si="4"/>
        <v>3</v>
      </c>
      <c r="AL12" s="34" t="str">
        <f t="shared" si="2"/>
        <v>Qatar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4</v>
      </c>
      <c r="N25" s="35">
        <f>IF(J25="",0,M25)</f>
        <v>4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11" workbookViewId="0">
      <selection activeCell="M26" sqref="M26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-50020400</v>
      </c>
      <c r="BA7" s="34">
        <f>AZ7-AY7*10</f>
        <v>-50020410</v>
      </c>
      <c r="BB7" s="34">
        <f>BA7+N23</f>
        <v>-50020409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5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-30000200</v>
      </c>
      <c r="BA8" s="34">
        <f t="shared" ref="BA8:BA10" si="10">AZ8-AY8*10</f>
        <v>-30000210</v>
      </c>
      <c r="BB8" s="34">
        <f>BA8+N24</f>
        <v>-30000207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3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2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-19980200</v>
      </c>
      <c r="BA9" s="34">
        <f t="shared" si="10"/>
        <v>-19980210</v>
      </c>
      <c r="BB9" s="34">
        <f>BA9+N25</f>
        <v>-19980206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-30000400</v>
      </c>
      <c r="BA10" s="34">
        <f t="shared" si="10"/>
        <v>-30000410</v>
      </c>
      <c r="BB10" s="34">
        <f>BA10+N26</f>
        <v>-30000408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2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0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2" workbookViewId="0">
      <selection activeCell="C10" sqref="C1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8</v>
      </c>
      <c r="AS7" s="34">
        <f>SUMIF($K$7:$K$12,AO7,$M$7:$M$12) + SUMIF($N$7:$N$12,AO7,$L$7:$L$12)</f>
        <v>4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-90040800</v>
      </c>
      <c r="BA7" s="34">
        <f>AZ7-AY7*10</f>
        <v>-90040810</v>
      </c>
      <c r="BB7" s="34">
        <f>BA7+N23</f>
        <v>-90040809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4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3</v>
      </c>
      <c r="M8" s="22">
        <v>2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4</v>
      </c>
      <c r="AO8" s="34" t="s">
        <v>36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-9970200</v>
      </c>
      <c r="BA8" s="34">
        <f t="shared" ref="BA8:BA10" si="10">AZ8-AY8*10</f>
        <v>-9970210</v>
      </c>
      <c r="BB8" s="34">
        <f>BA8+N24</f>
        <v>-9970208</v>
      </c>
    </row>
    <row r="9" spans="2:54" x14ac:dyDescent="0.25">
      <c r="B9" s="11">
        <v>2</v>
      </c>
      <c r="C9" s="12" t="str">
        <f t="shared" si="0"/>
        <v>Arabia Saudita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2</v>
      </c>
      <c r="AO10" s="34" t="s">
        <v>38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-40000406</v>
      </c>
    </row>
    <row r="11" spans="2:54" ht="15.75" thickBot="1" x14ac:dyDescent="0.3">
      <c r="B11" s="52">
        <v>4</v>
      </c>
      <c r="C11" s="53" t="str">
        <f t="shared" si="0"/>
        <v>Mexico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0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3</v>
      </c>
      <c r="AK12" s="34">
        <f t="shared" si="3"/>
        <v>0</v>
      </c>
      <c r="AL12" s="34" t="str">
        <f t="shared" si="4"/>
        <v>Arabia Saudita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11"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5</v>
      </c>
      <c r="AS7" s="34">
        <f>SUMIF($K$7:$K$12,AO7,$M$7:$M$12) + SUMIF($N$7:$N$12,AO7,$L$7:$L$12)</f>
        <v>4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-50010500</v>
      </c>
      <c r="BA7" s="34">
        <f>AZ7-AY7*10</f>
        <v>-50010510</v>
      </c>
      <c r="BB7" s="34">
        <f>BA7+N23</f>
        <v>-50010509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5</v>
      </c>
      <c r="E8" s="9">
        <f t="shared" si="0"/>
        <v>5</v>
      </c>
      <c r="F8" s="9">
        <f t="shared" si="0"/>
        <v>4</v>
      </c>
      <c r="G8" s="10">
        <f t="shared" si="0"/>
        <v>1</v>
      </c>
      <c r="I8" s="18">
        <v>8</v>
      </c>
      <c r="J8" s="19">
        <v>44887</v>
      </c>
      <c r="K8" s="20" t="s">
        <v>40</v>
      </c>
      <c r="L8" s="21">
        <v>2</v>
      </c>
      <c r="M8" s="22">
        <v>2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4</v>
      </c>
      <c r="AO8" s="34" t="s">
        <v>41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-19990300</v>
      </c>
      <c r="BA8" s="34">
        <f t="shared" ref="BA8:BA10" si="10">AZ8-AY8*10</f>
        <v>-19990310</v>
      </c>
      <c r="BB8" s="34">
        <f>BA8+N24</f>
        <v>-19990308</v>
      </c>
    </row>
    <row r="9" spans="2:54" x14ac:dyDescent="0.25">
      <c r="B9" s="11">
        <v>2</v>
      </c>
      <c r="C9" s="12" t="str">
        <f t="shared" si="0"/>
        <v>Australia</v>
      </c>
      <c r="D9" s="13">
        <f t="shared" si="0"/>
        <v>3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-30000300</v>
      </c>
      <c r="BA9" s="34">
        <f t="shared" si="10"/>
        <v>-30000310</v>
      </c>
      <c r="BB9" s="34">
        <f>BA9+N25</f>
        <v>-30000307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-30000400</v>
      </c>
      <c r="BA10" s="34">
        <f t="shared" si="10"/>
        <v>-30000410</v>
      </c>
      <c r="BB10" s="34">
        <f>BA10+N26</f>
        <v>-30000406</v>
      </c>
    </row>
    <row r="11" spans="2:54" ht="15.75" thickBot="1" x14ac:dyDescent="0.3">
      <c r="B11" s="52">
        <v>4</v>
      </c>
      <c r="C11" s="53" t="str">
        <f t="shared" si="0"/>
        <v>Dinamarca</v>
      </c>
      <c r="D11" s="54">
        <f t="shared" si="0"/>
        <v>2</v>
      </c>
      <c r="E11" s="54">
        <f t="shared" si="0"/>
        <v>3</v>
      </c>
      <c r="F11" s="54">
        <f t="shared" si="0"/>
        <v>4</v>
      </c>
      <c r="G11" s="55">
        <f t="shared" si="0"/>
        <v>-1</v>
      </c>
      <c r="I11" s="23">
        <f>I9+16</f>
        <v>39</v>
      </c>
      <c r="J11" s="24">
        <v>44895</v>
      </c>
      <c r="K11" s="25" t="s">
        <v>42</v>
      </c>
      <c r="L11" s="21">
        <v>2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2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A6"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3</v>
      </c>
      <c r="AQ7" s="34">
        <f>AR7-AS7</f>
        <v>-2</v>
      </c>
      <c r="AR7" s="34">
        <f>SUMIF($K$7:$K$12,AO7,$L$7:$L$12) + SUMIF($N$7:$N$12,AO7,$M$7:$M$12)</f>
        <v>3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-29980300</v>
      </c>
      <c r="BA7" s="34">
        <f>AZ7-AY7*10</f>
        <v>-29980310</v>
      </c>
      <c r="BB7" s="34">
        <f>BA7+N23</f>
        <v>-29980308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-90070800</v>
      </c>
      <c r="BA8" s="34">
        <f t="shared" ref="BA8:BA10" si="10">AZ8-AY8*10</f>
        <v>-90070810</v>
      </c>
      <c r="BB8" s="34">
        <f>BA8+N24</f>
        <v>-90070809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3</v>
      </c>
      <c r="E9" s="13">
        <f t="shared" si="0"/>
        <v>3</v>
      </c>
      <c r="F9" s="13">
        <f t="shared" si="0"/>
        <v>5</v>
      </c>
      <c r="G9" s="14">
        <f t="shared" si="0"/>
        <v>-2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-29970206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-29980100</v>
      </c>
      <c r="BA10" s="34">
        <f t="shared" si="10"/>
        <v>-29980110</v>
      </c>
      <c r="BB10" s="34">
        <f>BA10+N26</f>
        <v>-29980107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3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2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3</v>
      </c>
      <c r="AK11" s="34">
        <f t="shared" si="3"/>
        <v>0</v>
      </c>
      <c r="AL11" s="34" t="str">
        <f t="shared" si="4"/>
        <v>Japon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A8"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29800</v>
      </c>
      <c r="BA9" s="34">
        <f t="shared" si="10"/>
        <v>29790</v>
      </c>
      <c r="BB9" s="34">
        <f>BA9+N25</f>
        <v>29793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-39990200</v>
      </c>
      <c r="BA10" s="34">
        <f t="shared" si="10"/>
        <v>-39990210</v>
      </c>
      <c r="BB10" s="34">
        <f>BA10+N26</f>
        <v>-39990206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B1" zoomScale="110"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-9950200</v>
      </c>
      <c r="BA9" s="34">
        <f t="shared" si="10"/>
        <v>-9950210</v>
      </c>
      <c r="BB9" s="34">
        <f>BA9+N25</f>
        <v>-9950207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3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D14" zoomScale="130"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4</v>
      </c>
      <c r="AQ7" s="34">
        <f>AR7-AS7</f>
        <v>-1</v>
      </c>
      <c r="AR7" s="34">
        <f>SUMIF($K$7:$K$12,AO7,$L$7:$L$12) + SUMIF($N$7:$N$12,AO7,$M$7:$M$12)</f>
        <v>3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-39990300</v>
      </c>
      <c r="BA7" s="34">
        <f>AZ7-AY7*10</f>
        <v>-39990310</v>
      </c>
      <c r="BB7" s="34">
        <f>BA7+N23</f>
        <v>-39990308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1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4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-29980200</v>
      </c>
      <c r="BA9" s="34">
        <f t="shared" si="10"/>
        <v>-29980210</v>
      </c>
      <c r="BB9" s="34">
        <f>BA9+N25</f>
        <v>-29980206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3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-9980307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H11" zoomScale="81" workbookViewId="0">
      <selection activeCell="R29" sqref="R29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Qatar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Qatar</v>
      </c>
      <c r="H8" s="60">
        <v>2</v>
      </c>
      <c r="I8" s="61">
        <v>4</v>
      </c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>
        <v>3</v>
      </c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Australia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Qatar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3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Alemania</v>
      </c>
      <c r="R20" s="60">
        <v>3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2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Alemania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Arabia Saudita</v>
      </c>
      <c r="H25" s="63">
        <v>0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Uruguay</v>
      </c>
    </row>
    <row r="26" spans="2:23" ht="15.75" thickBot="1" x14ac:dyDescent="0.3">
      <c r="B26" s="59" t="str">
        <f>'GRUPO D'!C8</f>
        <v>Francia</v>
      </c>
      <c r="C26" s="60">
        <v>1</v>
      </c>
      <c r="D26" s="61">
        <v>3</v>
      </c>
      <c r="E26" s="69"/>
      <c r="J26" s="66"/>
      <c r="O26" s="66"/>
      <c r="V26" s="62" t="s">
        <v>68</v>
      </c>
      <c r="W26" s="74" t="str">
        <f>IF(R29&gt;R30,Q29,IF(R30&gt;R29,Q30,IF(S29&gt;S30,Q29,IF(S30&gt;S29,Q30,""))))</f>
        <v>Qatar</v>
      </c>
    </row>
    <row r="27" spans="2:23" ht="15.75" thickBot="1" x14ac:dyDescent="0.3">
      <c r="B27" s="62" t="str">
        <f>'GRUPO C'!C9</f>
        <v>Arabia Saudita</v>
      </c>
      <c r="C27" s="63">
        <v>1</v>
      </c>
      <c r="D27" s="64">
        <v>4</v>
      </c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2</v>
      </c>
      <c r="N29" s="64"/>
      <c r="Q29" s="59" t="str">
        <f>IF(Q20=L12,L13,IF(Q20=L13,L12,""))</f>
        <v>Qatar</v>
      </c>
      <c r="R29" s="60">
        <v>2</v>
      </c>
      <c r="S29" s="61"/>
    </row>
    <row r="30" spans="2:23" ht="15.75" thickBot="1" x14ac:dyDescent="0.3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Inglaterra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3</v>
      </c>
      <c r="I33" s="64"/>
    </row>
    <row r="34" spans="2:9" x14ac:dyDescent="0.25">
      <c r="B34" s="59" t="str">
        <f>'GRUPO H'!C8</f>
        <v>Uruguay</v>
      </c>
      <c r="C34" s="60">
        <v>3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2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agustina ried</cp:lastModifiedBy>
  <dcterms:created xsi:type="dcterms:W3CDTF">2022-11-02T00:22:23Z</dcterms:created>
  <dcterms:modified xsi:type="dcterms:W3CDTF">2022-11-20T00:16:39Z</dcterms:modified>
</cp:coreProperties>
</file>