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en\Downloads\"/>
    </mc:Choice>
  </mc:AlternateContent>
  <xr:revisionPtr revIDLastSave="0" documentId="13_ncr:1_{81749A34-B3EA-40AB-A95D-652B9A8A52B5}" xr6:coauthVersionLast="47" xr6:coauthVersionMax="47" xr10:uidLastSave="{00000000-0000-0000-0000-000000000000}"/>
  <bookViews>
    <workbookView xWindow="-108" yWindow="-108" windowWidth="23256" windowHeight="12456" tabRatio="658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AP10" i="11"/>
  <c r="AZ10" i="11" s="1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Z9" i="2"/>
  <c r="AK11" i="2"/>
  <c r="AL11" i="2" s="1"/>
  <c r="AP7" i="1"/>
  <c r="AP9" i="1"/>
  <c r="AP8" i="1"/>
  <c r="AQ7" i="1"/>
  <c r="AQ8" i="1"/>
  <c r="AQ10" i="1"/>
  <c r="AQ9" i="1"/>
  <c r="AK8" i="1"/>
  <c r="AP10" i="1" s="1"/>
  <c r="AZ8" i="14" l="1"/>
  <c r="AZ7" i="12"/>
  <c r="AZ10" i="12"/>
  <c r="AZ9" i="12"/>
  <c r="AP10" i="15"/>
  <c r="AZ10" i="15" s="1"/>
  <c r="AP7" i="13"/>
  <c r="AZ7" i="13" s="1"/>
  <c r="AZ7" i="11"/>
  <c r="AW7" i="11" s="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8" i="12"/>
  <c r="AX8" i="12" s="1"/>
  <c r="AY8" i="12" s="1"/>
  <c r="BA8" i="12" s="1"/>
  <c r="BB8" i="12" s="1"/>
  <c r="AW10" i="12"/>
  <c r="AX10" i="12" s="1"/>
  <c r="AY10" i="12" s="1"/>
  <c r="BA10" i="12" s="1"/>
  <c r="BB10" i="12" s="1"/>
  <c r="AW7" i="12"/>
  <c r="AX7" i="12" s="1"/>
  <c r="AY7" i="12" s="1"/>
  <c r="BA7" i="12" s="1"/>
  <c r="BB7" i="12" s="1"/>
  <c r="AW9" i="12"/>
  <c r="AX9" i="12" s="1"/>
  <c r="AY9" i="12" s="1"/>
  <c r="BA9" i="12" s="1"/>
  <c r="BB9" i="12" s="1"/>
  <c r="AW10" i="11"/>
  <c r="AX10" i="11" s="1"/>
  <c r="AY10" i="11" s="1"/>
  <c r="BA10" i="11" s="1"/>
  <c r="BB10" i="11" s="1"/>
  <c r="AW9" i="11"/>
  <c r="AX9" i="11" s="1"/>
  <c r="AY9" i="11" s="1"/>
  <c r="BA9" i="11" s="1"/>
  <c r="BB9" i="11" s="1"/>
  <c r="AW8" i="11"/>
  <c r="AX8" i="11" s="1"/>
  <c r="AY8" i="11" s="1"/>
  <c r="BA8" i="11" s="1"/>
  <c r="BB8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7" i="11"/>
  <c r="AY7" i="11" s="1"/>
  <c r="BA7" i="11" s="1"/>
  <c r="BB7" i="11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D8" i="12" l="1"/>
  <c r="F8" i="12"/>
  <c r="G8" i="12"/>
  <c r="G11" i="11"/>
  <c r="G8" i="11"/>
  <c r="F10" i="11"/>
  <c r="E8" i="11"/>
  <c r="G10" i="11"/>
  <c r="D8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W24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<sst xmlns="http://schemas.openxmlformats.org/spreadsheetml/2006/main" count="454" uniqueCount="79">
  <si>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</si>
  <si>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</si>
  <si>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</si>
  <si>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</si>
  <si>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</si>
  <si>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</si>
  <si>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</si>
  <si>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</si>
  <si>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</si>
  <si>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</si>
  <si>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</si>
  <si>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</si>
  <si>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</si>
  <si>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</si>
  <si>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</si>
  <si>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</si>
  <si>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</si>
  <si>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</si>
  <si>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</si>
  <si>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</si>
  <si>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</si>
  <si>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</si>
  <si>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</si>
  <si>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</si>
  <si>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</si>
  <si>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</si>
  <si>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</si>
  <si>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</si>
  <si>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</si>
  <si>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</si>
  <si>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</si>
  <si>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</si>
  <si>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</si>
  <si>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</si>
  <si>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</si>
  <si>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</si>
  <si>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</si>
  <si>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</si>
  <si>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</si>
  <si>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</si>
  <si>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</si>
  <si>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</si>
  <si>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</si>
  <si>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</si>
  <si>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</si>
  <si>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</si>
  <si>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</si>
  <si>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</si>
  <si>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</si>
  <si>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</si>
  <si>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</si>
  <si>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</si>
  <si>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</si>
  <si>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</si>
  <si>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</si>
  <si>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</si>
  <si>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</si>
  <si>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</si>
  <si>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</si>
  <si>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</si>
  <si>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</si>
  <si>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</si>
  <si>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</si>
  <si>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</si>
  <si>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</si>
  <si>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</si>
  <si>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</si>
  <si>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</si>
  <si>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</si>
  <si>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</si>
  <si>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</si>
  <si>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</si>
  <si>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</si>
  <si>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</si>
  <si>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</si>
  <si>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</si>
  <si>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</si>
  <si>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Vicente Bascuñán</t>
  </si>
  <si>
    <t>vbascunan97@gmail.com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</si>
</sst>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bascunan97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18" sqref="C18"/>
    </sheetView>
  </sheetViews>
  <sheetFormatPr baseColWidth="10" defaultRowHeight="14.4" x14ac:dyDescent="0.3"/>
  <sheetData>
    <row r="1" spans="2:4" ht="15" thickBot="1" x14ac:dyDescent="0.35"/>
    <row r="2" spans="2:4" ht="15" thickBot="1" x14ac:dyDescent="0.35">
      <c r="B2" s="78" t="s">
        <v>74</v>
      </c>
      <c r="C2" s="79"/>
      <c r="D2" s="80"/>
    </row>
    <row r="3" spans="2:4" x14ac:dyDescent="0.3">
      <c r="B3" s="76" t="s">
        <v>75</v>
      </c>
      <c r="C3" s="81" t="s">
        <v>77</v>
      </c>
      <c r="D3" s="82"/>
    </row>
    <row r="4" spans="2:4" ht="15" thickBot="1" x14ac:dyDescent="0.35">
      <c r="B4" s="77" t="s">
        <v>76</v>
      </c>
      <c r="C4" s="83" t="s">
        <v>78</v>
      </c>
      <c r="D4" s="84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62BD71C7-6228-4414-8824-88EDDF8FB6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A12" sqref="A12"/>
    </sheetView>
  </sheetViews>
  <sheetFormatPr baseColWidth="10" defaultColWidth="11.44140625" defaultRowHeight="14.4" x14ac:dyDescent="0.3"/>
  <cols>
    <col min="1" max="14" width="11.5546875" customWidth="1"/>
    <col min="15" max="34" width="11.44140625" style="34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0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-7</v>
      </c>
      <c r="AR7" s="34">
        <f>SUMIF($K$7:$K$12,AO7,$L$7:$L$12) + SUMIF($N$7:$N$12,AO7,$M$7:$M$12)</f>
        <v>0</v>
      </c>
      <c r="AS7" s="34">
        <f>SUMIF($K$7:$K$12,AO7,$M$7:$M$12) + SUMIF($N$7:$N$12,AO7,$L$7:$L$12)</f>
        <v>7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70000</v>
      </c>
      <c r="BA7" s="34">
        <f>AZ7-AY7*10</f>
        <v>69990</v>
      </c>
      <c r="BB7" s="34">
        <f>BA7+N23</f>
        <v>69994</v>
      </c>
    </row>
    <row r="8" spans="2:54" x14ac:dyDescent="0.3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7</v>
      </c>
      <c r="F8" s="9">
        <f t="shared" si="3"/>
        <v>1</v>
      </c>
      <c r="G8" s="10">
        <f t="shared" si="3"/>
        <v>6</v>
      </c>
      <c r="I8" s="18">
        <v>2</v>
      </c>
      <c r="J8" s="19">
        <v>44886</v>
      </c>
      <c r="K8" s="20" t="s">
        <v>14</v>
      </c>
      <c r="L8" s="21">
        <v>0</v>
      </c>
      <c r="M8" s="22">
        <v>2</v>
      </c>
      <c r="N8" s="18" t="s">
        <v>11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-90060700</v>
      </c>
      <c r="BA8" s="34">
        <f t="shared" ref="BA8:BA10" si="10">AZ8-AY8*10</f>
        <v>-90060710</v>
      </c>
      <c r="BB8" s="34">
        <f>BA8+N24</f>
        <v>-90060709</v>
      </c>
    </row>
    <row r="9" spans="2:54" x14ac:dyDescent="0.3">
      <c r="B9" s="11">
        <v>2</v>
      </c>
      <c r="C9" s="12" t="str">
        <f t="shared" si="3"/>
        <v>Ecuador</v>
      </c>
      <c r="D9" s="13">
        <f t="shared" si="3"/>
        <v>4</v>
      </c>
      <c r="E9" s="13">
        <f t="shared" si="3"/>
        <v>4</v>
      </c>
      <c r="F9" s="13">
        <f t="shared" si="3"/>
        <v>3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2</v>
      </c>
      <c r="N9" s="23" t="s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3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-40000300</v>
      </c>
      <c r="BA9" s="34">
        <f t="shared" si="10"/>
        <v>-40000310</v>
      </c>
      <c r="BB9" s="34">
        <f>BA9+N25</f>
        <v>-40000307</v>
      </c>
    </row>
    <row r="10" spans="2:54" x14ac:dyDescent="0.3">
      <c r="B10" s="48">
        <v>3</v>
      </c>
      <c r="C10" s="49" t="str">
        <f t="shared" si="3"/>
        <v>Senegal</v>
      </c>
      <c r="D10" s="50">
        <f t="shared" si="3"/>
        <v>4</v>
      </c>
      <c r="E10" s="50">
        <f t="shared" si="3"/>
        <v>3</v>
      </c>
      <c r="F10" s="50">
        <f t="shared" si="3"/>
        <v>3</v>
      </c>
      <c r="G10" s="51">
        <f t="shared" si="3"/>
        <v>0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-40010400</v>
      </c>
      <c r="BA10" s="34">
        <f t="shared" si="10"/>
        <v>-40010410</v>
      </c>
      <c r="BB10" s="34">
        <f>BA10+N26</f>
        <v>-40010408</v>
      </c>
    </row>
    <row r="11" spans="2:54" ht="15" thickBot="1" x14ac:dyDescent="0.35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0</v>
      </c>
      <c r="F11" s="54">
        <f t="shared" si="3"/>
        <v>7</v>
      </c>
      <c r="G11" s="55">
        <f t="shared" si="3"/>
        <v>-7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" thickBot="1" x14ac:dyDescent="0.35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14" ht="15" thickBot="1" x14ac:dyDescent="0.35"/>
    <row r="22" spans="2:1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1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14</v>
      </c>
      <c r="K23" s="104"/>
      <c r="L23" s="105"/>
      <c r="M23" s="42">
        <v>4</v>
      </c>
      <c r="N23" s="35">
        <f>IF(J23="",0,M23)</f>
        <v>4</v>
      </c>
    </row>
    <row r="24" spans="2:1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13</v>
      </c>
      <c r="K24" s="86"/>
      <c r="L24" s="87"/>
      <c r="M24" s="43">
        <v>1</v>
      </c>
      <c r="N24" s="35">
        <f>IF(J24="",0,M24)</f>
        <v>1</v>
      </c>
    </row>
    <row r="25" spans="2:1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12</v>
      </c>
      <c r="K25" s="86"/>
      <c r="L25" s="87"/>
      <c r="M25" s="43">
        <v>3</v>
      </c>
      <c r="N25" s="35">
        <f>IF(J25="",0,M25)</f>
        <v>3</v>
      </c>
    </row>
    <row r="26" spans="2:1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11</v>
      </c>
      <c r="K26" s="89"/>
      <c r="L26" s="90"/>
      <c r="M26" s="44">
        <v>2</v>
      </c>
      <c r="N26" s="35">
        <f>IF(J26="",0,M26)</f>
        <v>2</v>
      </c>
    </row>
    <row r="27" spans="2:1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topLeftCell="G1" workbookViewId="0">
      <selection activeCell="M17" sqref="M17"/>
    </sheetView>
  </sheetViews>
  <sheetFormatPr baseColWidth="10" defaultColWidth="11.44140625" defaultRowHeight="14.4" x14ac:dyDescent="0.3"/>
  <cols>
    <col min="1" max="14" width="11.554687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29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0</v>
      </c>
      <c r="N7" s="16" t="s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3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-39990200</v>
      </c>
      <c r="BA8" s="34">
        <f t="shared" ref="BA8:BA10" si="10">AZ8-AY8*10</f>
        <v>-39990210</v>
      </c>
      <c r="BB8" s="34">
        <f>BA8+N24</f>
        <v>-39990207</v>
      </c>
    </row>
    <row r="9" spans="2:54" x14ac:dyDescent="0.3">
      <c r="B9" s="11">
        <v>2</v>
      </c>
      <c r="C9" s="12" t="str">
        <f t="shared" si="0"/>
        <v>Gales</v>
      </c>
      <c r="D9" s="13">
        <f t="shared" si="0"/>
        <v>4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0</v>
      </c>
      <c r="N9" s="23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0</v>
      </c>
      <c r="AS9" s="34">
        <f t="shared" si="6"/>
        <v>6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60000</v>
      </c>
      <c r="BA9" s="34">
        <f t="shared" si="10"/>
        <v>59990</v>
      </c>
      <c r="BB9" s="34">
        <f>BA9+N25</f>
        <v>59994</v>
      </c>
    </row>
    <row r="10" spans="2:54" x14ac:dyDescent="0.3">
      <c r="B10" s="48">
        <v>3</v>
      </c>
      <c r="C10" s="49" t="str">
        <f t="shared" si="0"/>
        <v>USA</v>
      </c>
      <c r="D10" s="50">
        <f t="shared" si="0"/>
        <v>4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0</v>
      </c>
      <c r="N10" s="18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-40010400</v>
      </c>
      <c r="BA10" s="34">
        <f t="shared" si="10"/>
        <v>-40010410</v>
      </c>
      <c r="BB10" s="34">
        <f>BA10+N26</f>
        <v>-40010408</v>
      </c>
    </row>
    <row r="11" spans="2:54" ht="15" thickBot="1" x14ac:dyDescent="0.35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0</v>
      </c>
      <c r="F11" s="54">
        <f t="shared" si="0"/>
        <v>6</v>
      </c>
      <c r="G11" s="55">
        <f t="shared" si="0"/>
        <v>-6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" thickBot="1" x14ac:dyDescent="0.35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31</v>
      </c>
      <c r="K24" s="86"/>
      <c r="L24" s="87"/>
      <c r="M24" s="43">
        <v>3</v>
      </c>
      <c r="N24" s="35">
        <f>IF(J24="",0,M24)</f>
        <v>3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32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33</v>
      </c>
      <c r="K26" s="89"/>
      <c r="L26" s="90"/>
      <c r="M26" s="44">
        <v>2</v>
      </c>
      <c r="N26" s="35">
        <f>IF(J26="",0,M26)</f>
        <v>2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topLeftCell="H1" workbookViewId="0">
      <selection activeCell="M18" sqref="M18"/>
    </sheetView>
  </sheetViews>
  <sheetFormatPr baseColWidth="10" defaultColWidth="11.44140625" defaultRowHeight="14.4" x14ac:dyDescent="0.3"/>
  <cols>
    <col min="1" max="2" width="11.5546875" customWidth="1"/>
    <col min="3" max="3" width="13.6640625" bestFit="1" customWidth="1"/>
    <col min="4" max="10" width="11.5546875"/>
    <col min="11" max="11" width="13.6640625" bestFit="1" customWidth="1"/>
    <col min="12" max="13" width="11.5546875"/>
    <col min="14" max="14" width="13.6640625" bestFit="1" customWidth="1"/>
    <col min="15" max="34" width="13.664062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34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1</v>
      </c>
      <c r="N7" s="16" t="s">
        <v>37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6</v>
      </c>
      <c r="AS7" s="34">
        <f>SUMIF($K$7:$K$12,AO7,$M$7:$M$12) + SUMIF($N$7:$N$12,AO7,$L$7:$L$12)</f>
        <v>0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-90060600</v>
      </c>
      <c r="BA7" s="34">
        <f>AZ7-AY7*10</f>
        <v>-90060610</v>
      </c>
      <c r="BB7" s="34">
        <f>BA7+N23</f>
        <v>-90060609</v>
      </c>
    </row>
    <row r="8" spans="2:54" x14ac:dyDescent="0.3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6</v>
      </c>
      <c r="F8" s="9">
        <f t="shared" si="0"/>
        <v>0</v>
      </c>
      <c r="G8" s="10">
        <f t="shared" si="0"/>
        <v>6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-39990200</v>
      </c>
      <c r="BA8" s="34">
        <f t="shared" ref="BA8:BA10" si="10">AZ8-AY8*10</f>
        <v>-39990210</v>
      </c>
      <c r="BB8" s="34">
        <f>BA8+N24</f>
        <v>-39990207</v>
      </c>
    </row>
    <row r="9" spans="2:54" x14ac:dyDescent="0.3">
      <c r="B9" s="11">
        <v>2</v>
      </c>
      <c r="C9" s="12" t="str">
        <f t="shared" si="0"/>
        <v>Polonia</v>
      </c>
      <c r="D9" s="13">
        <f t="shared" si="0"/>
        <v>4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21</v>
      </c>
      <c r="J9" s="24">
        <v>44891</v>
      </c>
      <c r="K9" s="25" t="s">
        <v>37</v>
      </c>
      <c r="L9" s="21">
        <v>3</v>
      </c>
      <c r="M9" s="22">
        <v>0</v>
      </c>
      <c r="N9" s="23" t="s"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2</v>
      </c>
      <c r="AR9" s="34">
        <f t="shared" si="5"/>
        <v>4</v>
      </c>
      <c r="AS9" s="34">
        <f t="shared" si="6"/>
        <v>2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-40020400</v>
      </c>
      <c r="BA9" s="34">
        <f t="shared" si="10"/>
        <v>-40020410</v>
      </c>
      <c r="BB9" s="34">
        <f>BA9+N25</f>
        <v>-40020408</v>
      </c>
    </row>
    <row r="10" spans="2:54" x14ac:dyDescent="0.3">
      <c r="B10" s="48">
        <v>3</v>
      </c>
      <c r="C10" s="49" t="str">
        <f t="shared" si="0"/>
        <v>Mexico</v>
      </c>
      <c r="D10" s="50">
        <f t="shared" si="0"/>
        <v>4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0</v>
      </c>
      <c r="N10" s="18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0</v>
      </c>
      <c r="AS10" s="34">
        <f>SUMIF($K$7:$K$12,AO10,$M$7:$M$12) + SUMIF($N$7:$N$12,AO10,$L$7:$L$12)</f>
        <v>7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70000</v>
      </c>
      <c r="BA10" s="34">
        <f t="shared" si="10"/>
        <v>69990</v>
      </c>
      <c r="BB10" s="34">
        <f>BA10+N26</f>
        <v>69994</v>
      </c>
    </row>
    <row r="11" spans="2:54" ht="15" thickBot="1" x14ac:dyDescent="0.35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0</v>
      </c>
      <c r="F11" s="54">
        <f t="shared" si="0"/>
        <v>7</v>
      </c>
      <c r="G11" s="55">
        <f t="shared" si="0"/>
        <v>-7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1</v>
      </c>
      <c r="N11" s="23" t="s">
        <v>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" thickBot="1" x14ac:dyDescent="0.35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1</v>
      </c>
      <c r="N12" s="2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35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36</v>
      </c>
      <c r="K24" s="86"/>
      <c r="L24" s="87"/>
      <c r="M24" s="43">
        <v>3</v>
      </c>
      <c r="N24" s="35">
        <f>IF(J24="",0,M24)</f>
        <v>3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37</v>
      </c>
      <c r="K25" s="86"/>
      <c r="L25" s="87"/>
      <c r="M25" s="43">
        <v>2</v>
      </c>
      <c r="N25" s="35">
        <f>IF(J25="",0,M25)</f>
        <v>2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A24" sqref="A24"/>
    </sheetView>
  </sheetViews>
  <sheetFormatPr baseColWidth="10" defaultColWidth="11.44140625" defaultRowHeight="14.4" x14ac:dyDescent="0.3"/>
  <cols>
    <col min="1" max="2" width="11.5546875" customWidth="1"/>
    <col min="3" max="3" width="13.6640625" bestFit="1" customWidth="1"/>
    <col min="4" max="10" width="11.5546875"/>
    <col min="11" max="11" width="13.6640625" bestFit="1" customWidth="1"/>
    <col min="12" max="13" width="11.5546875"/>
    <col min="14" max="14" width="13.6640625" bestFit="1" customWidth="1"/>
    <col min="15" max="34" width="13.664062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39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0</v>
      </c>
      <c r="N7" s="16" t="s">
        <v>42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2</v>
      </c>
      <c r="AO7" s="34" t="s">
        <v>40</v>
      </c>
      <c r="AP7" s="34">
        <f>SUMIF($K$7:$K$12,AO7,$AJ$7:$AJ$12) + SUMIF($N$7:$N$12,AO7,$AK$7:$AK$12)</f>
        <v>5</v>
      </c>
      <c r="AQ7" s="34">
        <f>AR7-AS7</f>
        <v>2</v>
      </c>
      <c r="AR7" s="34">
        <f>SUMIF($K$7:$K$12,AO7,$L$7:$L$12) + SUMIF($N$7:$N$12,AO7,$M$7:$M$12)</f>
        <v>4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-50020400</v>
      </c>
      <c r="BA7" s="34">
        <f>AZ7-AY7*10</f>
        <v>-50020410</v>
      </c>
      <c r="BB7" s="34">
        <f>BA7+N23</f>
        <v>-50020408</v>
      </c>
    </row>
    <row r="8" spans="2:54" x14ac:dyDescent="0.3">
      <c r="B8" s="7">
        <v>1</v>
      </c>
      <c r="C8" s="8" t="str">
        <f t="shared" ref="C8:G11" si="0">IFERROR(VLOOKUP($B8,$AN$7:$AS$11,C$5,FALSE),"")</f>
        <v>Dinamarca</v>
      </c>
      <c r="D8" s="9">
        <f t="shared" si="0"/>
        <v>7</v>
      </c>
      <c r="E8" s="9">
        <f t="shared" si="0"/>
        <v>4</v>
      </c>
      <c r="F8" s="9">
        <f t="shared" si="0"/>
        <v>1</v>
      </c>
      <c r="G8" s="10">
        <f t="shared" si="0"/>
        <v>3</v>
      </c>
      <c r="I8" s="18">
        <v>8</v>
      </c>
      <c r="J8" s="19">
        <v>44887</v>
      </c>
      <c r="K8" s="20" t="s">
        <v>40</v>
      </c>
      <c r="L8" s="21">
        <v>2</v>
      </c>
      <c r="M8" s="22">
        <v>0</v>
      </c>
      <c r="N8" s="18" t="s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1</v>
      </c>
      <c r="AO8" s="34" t="s">
        <v>41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-70030400</v>
      </c>
      <c r="BA8" s="34">
        <f t="shared" ref="BA8:BA10" si="10">AZ8-AY8*10</f>
        <v>-70030410</v>
      </c>
      <c r="BB8" s="34">
        <f>BA8+N24</f>
        <v>-70030409</v>
      </c>
    </row>
    <row r="9" spans="2:54" x14ac:dyDescent="0.3">
      <c r="B9" s="11">
        <v>2</v>
      </c>
      <c r="C9" s="12" t="str">
        <f t="shared" si="0"/>
        <v>Francia</v>
      </c>
      <c r="D9" s="13">
        <f t="shared" si="0"/>
        <v>5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0</v>
      </c>
      <c r="N9" s="23" t="s">
        <v>43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Tunez_Australia</v>
      </c>
      <c r="AJ9" s="34">
        <f t="shared" si="2"/>
        <v>3</v>
      </c>
      <c r="AK9" s="34">
        <f t="shared" si="3"/>
        <v>0</v>
      </c>
      <c r="AL9" s="34" t="str">
        <f t="shared" si="4"/>
        <v>Tunez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2</v>
      </c>
      <c r="AS9" s="34">
        <f t="shared" si="6"/>
        <v>2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-40000200</v>
      </c>
      <c r="BA9" s="34">
        <f t="shared" si="10"/>
        <v>-40000210</v>
      </c>
      <c r="BB9" s="34">
        <f>BA9+N25</f>
        <v>-40000207</v>
      </c>
    </row>
    <row r="10" spans="2:54" x14ac:dyDescent="0.3">
      <c r="B10" s="48">
        <v>3</v>
      </c>
      <c r="C10" s="49" t="str">
        <f t="shared" si="0"/>
        <v>Tunez</v>
      </c>
      <c r="D10" s="50">
        <f t="shared" si="0"/>
        <v>4</v>
      </c>
      <c r="E10" s="50">
        <f t="shared" si="0"/>
        <v>2</v>
      </c>
      <c r="F10" s="50">
        <f t="shared" si="0"/>
        <v>2</v>
      </c>
      <c r="G10" s="51">
        <f t="shared" si="0"/>
        <v>0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1</v>
      </c>
      <c r="N10" s="18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Francia_Dinamarca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50000</v>
      </c>
      <c r="BA10" s="34">
        <f t="shared" si="10"/>
        <v>49990</v>
      </c>
      <c r="BB10" s="34">
        <f>BA10+N26</f>
        <v>49994</v>
      </c>
    </row>
    <row r="11" spans="2:54" ht="15" thickBot="1" x14ac:dyDescent="0.35">
      <c r="B11" s="52">
        <v>4</v>
      </c>
      <c r="C11" s="53" t="str">
        <f t="shared" si="0"/>
        <v>Australia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39</v>
      </c>
      <c r="J11" s="24">
        <v>44895</v>
      </c>
      <c r="K11" s="25" t="s">
        <v>42</v>
      </c>
      <c r="L11" s="21">
        <v>1</v>
      </c>
      <c r="M11" s="22">
        <v>1</v>
      </c>
      <c r="N11" s="23" t="s">
        <v>40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Tunez_Francia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35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2</v>
      </c>
      <c r="N12" s="26" t="s">
        <v>41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40</v>
      </c>
      <c r="K23" s="104"/>
      <c r="L23" s="105"/>
      <c r="M23" s="42">
        <v>2</v>
      </c>
      <c r="N23" s="35">
        <f>IF(J23="",0,M23)</f>
        <v>2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41</v>
      </c>
      <c r="K24" s="86"/>
      <c r="L24" s="87"/>
      <c r="M24" s="43">
        <v>1</v>
      </c>
      <c r="N24" s="35">
        <f>IF(J24="",0,M24)</f>
        <v>1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J22" sqref="J22:M22"/>
    </sheetView>
  </sheetViews>
  <sheetFormatPr baseColWidth="10" defaultColWidth="11.44140625" defaultRowHeight="14.4" x14ac:dyDescent="0.3"/>
  <cols>
    <col min="1" max="2" width="11.5546875" customWidth="1"/>
    <col min="3" max="3" width="13.6640625" bestFit="1" customWidth="1"/>
    <col min="4" max="10" width="11.5546875"/>
    <col min="11" max="11" width="13.6640625" bestFit="1" customWidth="1"/>
    <col min="12" max="13" width="11.5546875"/>
    <col min="14" max="14" width="13.6640625" bestFit="1" customWidth="1"/>
    <col min="15" max="34" width="13.664062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70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0</v>
      </c>
      <c r="N7" s="16" t="s">
        <v>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9</v>
      </c>
      <c r="AQ7" s="34">
        <f>AR7-AS7</f>
        <v>3</v>
      </c>
      <c r="AR7" s="34">
        <f>SUMIF($K$7:$K$12,AO7,$L$7:$L$12) + SUMIF($N$7:$N$12,AO7,$M$7:$M$12)</f>
        <v>4</v>
      </c>
      <c r="AS7" s="34">
        <f>SUMIF($K$7:$K$12,AO7,$M$7:$M$12) + SUMIF($N$7:$N$12,AO7,$L$7:$L$12)</f>
        <v>1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-90030400</v>
      </c>
      <c r="BA7" s="34">
        <f>AZ7-AY7*10</f>
        <v>-90030410</v>
      </c>
      <c r="BB7" s="34">
        <f>BA7+N23</f>
        <v>-90030409</v>
      </c>
    </row>
    <row r="8" spans="2:54" x14ac:dyDescent="0.3">
      <c r="B8" s="7">
        <v>1</v>
      </c>
      <c r="C8" s="8" t="str">
        <f t="shared" ref="C8:G11" si="0">IFERROR(VLOOKUP($B8,$AN$7:$AS$11,C$5,FALSE),"")</f>
        <v>España</v>
      </c>
      <c r="D8" s="9">
        <f t="shared" si="0"/>
        <v>9</v>
      </c>
      <c r="E8" s="9">
        <f t="shared" si="0"/>
        <v>4</v>
      </c>
      <c r="F8" s="9">
        <f t="shared" si="0"/>
        <v>1</v>
      </c>
      <c r="G8" s="10">
        <f t="shared" si="0"/>
        <v>3</v>
      </c>
      <c r="I8" s="18">
        <v>10</v>
      </c>
      <c r="J8" s="19">
        <v>44888</v>
      </c>
      <c r="K8" s="20" t="s">
        <v>44</v>
      </c>
      <c r="L8" s="21">
        <v>1</v>
      </c>
      <c r="M8" s="22">
        <v>0</v>
      </c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-60030500</v>
      </c>
      <c r="BA8" s="34">
        <f t="shared" ref="BA8:BA10" si="10">AZ8-AY8*10</f>
        <v>-60030510</v>
      </c>
      <c r="BB8" s="34">
        <f>BA8+N24</f>
        <v>-60030508</v>
      </c>
    </row>
    <row r="9" spans="2:54" x14ac:dyDescent="0.3">
      <c r="B9" s="11">
        <v>2</v>
      </c>
      <c r="C9" s="12" t="str">
        <f t="shared" si="0"/>
        <v>Alemania</v>
      </c>
      <c r="D9" s="13">
        <f t="shared" si="0"/>
        <v>6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0</v>
      </c>
      <c r="N9" s="23" t="s">
        <v>47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-29980100</v>
      </c>
      <c r="BA9" s="34">
        <f t="shared" si="10"/>
        <v>-29980110</v>
      </c>
      <c r="BB9" s="34">
        <f>BA9+N25</f>
        <v>-29980107</v>
      </c>
    </row>
    <row r="10" spans="2:54" x14ac:dyDescent="0.3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1</v>
      </c>
      <c r="N10" s="18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España_Alemania</v>
      </c>
      <c r="AJ10" s="34">
        <f t="shared" si="2"/>
        <v>3</v>
      </c>
      <c r="AK10" s="34">
        <f t="shared" si="3"/>
        <v>0</v>
      </c>
      <c r="AL10" s="34" t="str">
        <f t="shared" si="4"/>
        <v>España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40000</v>
      </c>
      <c r="BA10" s="34">
        <f t="shared" si="10"/>
        <v>39990</v>
      </c>
      <c r="BB10" s="34">
        <f>BA10+N26</f>
        <v>39994</v>
      </c>
    </row>
    <row r="11" spans="2:54" ht="15" thickBot="1" x14ac:dyDescent="0.35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1</v>
      </c>
      <c r="N11" s="23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" thickBot="1" x14ac:dyDescent="0.35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44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topLeftCell="F1" workbookViewId="0">
      <selection activeCell="L14" sqref="L14"/>
    </sheetView>
  </sheetViews>
  <sheetFormatPr baseColWidth="10" defaultColWidth="11.44140625" defaultRowHeight="14.4" x14ac:dyDescent="0.3"/>
  <cols>
    <col min="1" max="2" width="11.5546875" customWidth="1"/>
    <col min="3" max="3" width="13.6640625" bestFit="1" customWidth="1"/>
    <col min="4" max="10" width="11.5546875"/>
    <col min="11" max="11" width="13.6640625" bestFit="1" customWidth="1"/>
    <col min="12" max="13" width="11.5546875"/>
    <col min="14" max="14" width="13.6640625" bestFit="1" customWidth="1"/>
    <col min="15" max="34" width="13.664062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71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2</v>
      </c>
      <c r="N7" s="16" t="s">
        <v>49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-70030500</v>
      </c>
      <c r="BA7" s="34">
        <f>AZ7-AY7*10</f>
        <v>-70030510</v>
      </c>
      <c r="BB7" s="34">
        <f>BA7+N23</f>
        <v>-70030509</v>
      </c>
    </row>
    <row r="8" spans="2:54" x14ac:dyDescent="0.3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-70020400</v>
      </c>
      <c r="BA8" s="34">
        <f t="shared" ref="BA8:BA10" si="10">AZ8-AY8*10</f>
        <v>-70020410</v>
      </c>
      <c r="BB8" s="34">
        <f>BA8+N24</f>
        <v>-70020408</v>
      </c>
    </row>
    <row r="9" spans="2:54" x14ac:dyDescent="0.3">
      <c r="B9" s="11">
        <v>2</v>
      </c>
      <c r="C9" s="12" t="str">
        <f t="shared" si="0"/>
        <v>Croacia</v>
      </c>
      <c r="D9" s="13">
        <f t="shared" si="0"/>
        <v>7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1</v>
      </c>
      <c r="N9" s="23" t="s">
        <v>50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-29990300</v>
      </c>
      <c r="BA9" s="34">
        <f t="shared" si="10"/>
        <v>-29990310</v>
      </c>
      <c r="BB9" s="34">
        <f>BA9+N25</f>
        <v>-29990307</v>
      </c>
    </row>
    <row r="10" spans="2:54" x14ac:dyDescent="0.3">
      <c r="B10" s="48">
        <v>3</v>
      </c>
      <c r="C10" s="49" t="str">
        <f t="shared" si="0"/>
        <v>Marruecos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0</v>
      </c>
      <c r="N10" s="18" t="s">
        <v>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40000</v>
      </c>
      <c r="BA10" s="34">
        <f t="shared" si="10"/>
        <v>39990</v>
      </c>
      <c r="BB10" s="34">
        <f>BA10+N26</f>
        <v>39994</v>
      </c>
    </row>
    <row r="11" spans="2:54" ht="15" thickBot="1" x14ac:dyDescent="0.35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35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1</v>
      </c>
      <c r="N12" s="26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48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50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51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topLeftCell="H1" workbookViewId="0">
      <selection activeCell="M19" sqref="M19"/>
    </sheetView>
  </sheetViews>
  <sheetFormatPr baseColWidth="10" defaultColWidth="11.44140625" defaultRowHeight="14.4" x14ac:dyDescent="0.3"/>
  <cols>
    <col min="1" max="2" width="11.5546875" customWidth="1"/>
    <col min="3" max="3" width="13.6640625" bestFit="1" customWidth="1"/>
    <col min="4" max="10" width="11.5546875"/>
    <col min="11" max="11" width="13.6640625" bestFit="1" customWidth="1"/>
    <col min="12" max="13" width="11.5546875"/>
    <col min="14" max="14" width="13.6640625" bestFit="1" customWidth="1"/>
    <col min="15" max="34" width="13.664062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72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1</v>
      </c>
      <c r="N7" s="16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Suiza_Camerun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-90040600</v>
      </c>
      <c r="BA7" s="34">
        <f>AZ7-AY7*10</f>
        <v>-90040610</v>
      </c>
      <c r="BB7" s="34">
        <f>BA7+N23</f>
        <v>-90040609</v>
      </c>
    </row>
    <row r="8" spans="2:54" x14ac:dyDescent="0.3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14</v>
      </c>
      <c r="J8" s="19">
        <v>44889</v>
      </c>
      <c r="K8" s="20" t="s">
        <v>10</v>
      </c>
      <c r="L8" s="21">
        <v>2</v>
      </c>
      <c r="M8" s="22">
        <v>0</v>
      </c>
      <c r="N8" s="18" t="s">
        <v>53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-40000300</v>
      </c>
      <c r="BA8" s="34">
        <f t="shared" ref="BA8:BA10" si="10">AZ8-AY8*10</f>
        <v>-40000310</v>
      </c>
      <c r="BB8" s="34">
        <f>BA8+N24</f>
        <v>-40000308</v>
      </c>
    </row>
    <row r="9" spans="2:54" x14ac:dyDescent="0.3">
      <c r="B9" s="11">
        <v>2</v>
      </c>
      <c r="C9" s="12" t="str">
        <f t="shared" si="0"/>
        <v>Suiza</v>
      </c>
      <c r="D9" s="13">
        <f t="shared" si="0"/>
        <v>4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1</v>
      </c>
      <c r="N9" s="23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Camerun_Serbia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-9970100</v>
      </c>
      <c r="BA9" s="34">
        <f t="shared" si="10"/>
        <v>-9970110</v>
      </c>
      <c r="BB9" s="34">
        <f>BA9+N25</f>
        <v>-9970107</v>
      </c>
    </row>
    <row r="10" spans="2:54" x14ac:dyDescent="0.3">
      <c r="B10" s="48">
        <v>3</v>
      </c>
      <c r="C10" s="49" t="str">
        <f t="shared" si="0"/>
        <v>Camerun</v>
      </c>
      <c r="D10" s="50">
        <f t="shared" si="0"/>
        <v>2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1</v>
      </c>
      <c r="N10" s="18" t="s">
        <v>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2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-19990300</v>
      </c>
      <c r="BA10" s="34">
        <f t="shared" si="10"/>
        <v>-19990310</v>
      </c>
      <c r="BB10" s="34">
        <f>BA10+N26</f>
        <v>-19990306</v>
      </c>
    </row>
    <row r="11" spans="2:54" ht="15" thickBot="1" x14ac:dyDescent="0.35">
      <c r="B11" s="52">
        <v>4</v>
      </c>
      <c r="C11" s="53" t="str">
        <f t="shared" si="0"/>
        <v>Serbia</v>
      </c>
      <c r="D11" s="54">
        <f t="shared" si="0"/>
        <v>1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45</v>
      </c>
      <c r="J11" s="24">
        <v>44897</v>
      </c>
      <c r="K11" s="25" t="s">
        <v>53</v>
      </c>
      <c r="L11" s="21">
        <v>0</v>
      </c>
      <c r="M11" s="22">
        <v>1</v>
      </c>
      <c r="N11" s="23" t="s">
        <v>52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5" thickBot="1" x14ac:dyDescent="0.35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2</v>
      </c>
      <c r="N12" s="26" t="s">
        <v>10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52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53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54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topLeftCell="I1" workbookViewId="0">
      <selection activeCell="L16" sqref="L16"/>
    </sheetView>
  </sheetViews>
  <sheetFormatPr baseColWidth="10" defaultColWidth="11.44140625" defaultRowHeight="14.4" x14ac:dyDescent="0.3"/>
  <cols>
    <col min="1" max="2" width="11.5546875" customWidth="1"/>
    <col min="3" max="3" width="13.6640625" bestFit="1" customWidth="1"/>
    <col min="4" max="10" width="11.5546875"/>
    <col min="11" max="11" width="13.6640625" bestFit="1" customWidth="1"/>
    <col min="12" max="13" width="11.5546875"/>
    <col min="14" max="14" width="13.6640625" bestFit="1" customWidth="1"/>
    <col min="15" max="34" width="13.664062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73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1</v>
      </c>
      <c r="M7" s="31">
        <v>1</v>
      </c>
      <c r="N7" s="16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Uruguay_Corea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5</v>
      </c>
      <c r="AQ7" s="34">
        <f>AR7-AS7</f>
        <v>1</v>
      </c>
      <c r="AR7" s="34">
        <f>SUMIF($K$7:$K$12,AO7,$L$7:$L$12) + SUMIF($N$7:$N$12,AO7,$M$7:$M$12)</f>
        <v>4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>Uruguay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-50010400</v>
      </c>
      <c r="BA7" s="34">
        <f>AZ7-AY7*10</f>
        <v>-50010400</v>
      </c>
      <c r="BB7" s="34">
        <f>BA7+N23</f>
        <v>-50010399</v>
      </c>
    </row>
    <row r="8" spans="2:54" x14ac:dyDescent="0.3">
      <c r="B8" s="7">
        <v>1</v>
      </c>
      <c r="C8" s="8" t="str">
        <f t="shared" ref="C8:G11" si="0">IFERROR(VLOOKUP($B8,$AN$7:$AS$11,C$5,FALSE),"")</f>
        <v>Portugal</v>
      </c>
      <c r="D8" s="9">
        <f t="shared" si="0"/>
        <v>5</v>
      </c>
      <c r="E8" s="9">
        <f t="shared" si="0"/>
        <v>4</v>
      </c>
      <c r="F8" s="9">
        <f t="shared" si="0"/>
        <v>3</v>
      </c>
      <c r="G8" s="10">
        <f t="shared" si="0"/>
        <v>1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5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Uruguay</v>
      </c>
      <c r="AW8" s="34" t="str">
        <f>IF(AZ8=AZ9,AV9,IF(AZ8=AZ10,AV10,IF(AZ8=AZ7,AV7,"")))</f>
        <v>Portugal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-50010400</v>
      </c>
      <c r="BA8" s="34">
        <f t="shared" ref="BA8:BA10" si="10">AZ8-AY8*10</f>
        <v>-50010400</v>
      </c>
      <c r="BB8" s="34">
        <f>BA8+N24</f>
        <v>-50010398</v>
      </c>
    </row>
    <row r="9" spans="2:54" x14ac:dyDescent="0.3">
      <c r="B9" s="11">
        <v>2</v>
      </c>
      <c r="C9" s="12" t="str">
        <f t="shared" si="0"/>
        <v>Uruguay</v>
      </c>
      <c r="D9" s="13">
        <f t="shared" si="0"/>
        <v>5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0</v>
      </c>
      <c r="M9" s="22">
        <v>1</v>
      </c>
      <c r="N9" s="23" t="s">
        <v>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-19990200</v>
      </c>
      <c r="BA9" s="34">
        <f t="shared" si="10"/>
        <v>-19990210</v>
      </c>
      <c r="BB9" s="34">
        <f>BA9+N25</f>
        <v>-19990206</v>
      </c>
    </row>
    <row r="10" spans="2:54" x14ac:dyDescent="0.3">
      <c r="B10" s="48">
        <v>3</v>
      </c>
      <c r="C10" s="49" t="str">
        <f t="shared" si="0"/>
        <v>Gana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1</v>
      </c>
      <c r="N10" s="18" t="s">
        <v>55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-29990300</v>
      </c>
      <c r="BA10" s="34">
        <f t="shared" si="10"/>
        <v>-29990310</v>
      </c>
      <c r="BB10" s="34">
        <f>BA10+N26</f>
        <v>-29990307</v>
      </c>
    </row>
    <row r="11" spans="2:54" ht="15" thickBot="1" x14ac:dyDescent="0.35">
      <c r="B11" s="52">
        <v>4</v>
      </c>
      <c r="C11" s="53" t="str">
        <f t="shared" si="0"/>
        <v>Corea</v>
      </c>
      <c r="D11" s="54">
        <f t="shared" si="0"/>
        <v>2</v>
      </c>
      <c r="E11" s="54">
        <f t="shared" si="0"/>
        <v>2</v>
      </c>
      <c r="F11" s="54">
        <f t="shared" si="0"/>
        <v>3</v>
      </c>
      <c r="G11" s="55">
        <f t="shared" si="0"/>
        <v>-1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2</v>
      </c>
      <c r="N11" s="23" t="s">
        <v>55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" thickBot="1" x14ac:dyDescent="0.35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1</v>
      </c>
      <c r="N12" s="26" t="s">
        <v>57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Corea_Portugal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57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56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58</v>
      </c>
      <c r="K26" s="89"/>
      <c r="L26" s="90"/>
      <c r="M26" s="44">
        <v>3</v>
      </c>
      <c r="N26" s="35">
        <f>IF(J26="",0,M26)</f>
        <v>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zoomScale="76" workbookViewId="0">
      <selection activeCell="M11" sqref="M11"/>
    </sheetView>
  </sheetViews>
  <sheetFormatPr baseColWidth="10" defaultRowHeight="14.4" x14ac:dyDescent="0.3"/>
  <cols>
    <col min="3" max="3" width="11.33203125" bestFit="1" customWidth="1"/>
    <col min="4" max="4" width="9.109375" bestFit="1" customWidth="1"/>
    <col min="9" max="9" width="9.109375" bestFit="1" customWidth="1"/>
    <col min="14" max="14" width="9.109375" bestFit="1" customWidth="1"/>
    <col min="22" max="22" width="13.6640625" customWidth="1"/>
  </cols>
  <sheetData>
    <row r="1" spans="2:19" ht="15" thickBot="1" x14ac:dyDescent="0.35"/>
    <row r="2" spans="2:19" ht="15" thickBot="1" x14ac:dyDescent="0.35">
      <c r="B2" s="106" t="s">
        <v>69</v>
      </c>
      <c r="C2" s="107"/>
      <c r="D2" s="108"/>
    </row>
    <row r="3" spans="2:19" ht="15" thickBot="1" x14ac:dyDescent="0.35"/>
    <row r="4" spans="2:19" ht="15" thickBot="1" x14ac:dyDescent="0.35">
      <c r="G4" s="106" t="s">
        <v>59</v>
      </c>
      <c r="H4" s="107"/>
      <c r="I4" s="108"/>
    </row>
    <row r="5" spans="2:19" ht="15" thickBot="1" x14ac:dyDescent="0.35">
      <c r="B5" s="56">
        <v>49</v>
      </c>
      <c r="C5" s="57" t="s">
        <v>61</v>
      </c>
      <c r="D5" s="58" t="s">
        <v>62</v>
      </c>
    </row>
    <row r="6" spans="2:19" ht="15" thickBot="1" x14ac:dyDescent="0.35">
      <c r="B6" s="59" t="str">
        <f>'GRUPO A'!C8</f>
        <v>Holanda</v>
      </c>
      <c r="C6" s="60">
        <v>2</v>
      </c>
      <c r="D6" s="61"/>
    </row>
    <row r="7" spans="2:19" ht="15" thickBot="1" x14ac:dyDescent="0.35">
      <c r="B7" s="62" t="str">
        <f>'GRUPO B'!C9</f>
        <v>Gales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" thickBot="1" x14ac:dyDescent="0.35">
      <c r="E8" s="66"/>
      <c r="G8" s="59" t="str">
        <f>IF(C7&gt;C6,B7,IF(C6&gt;C7,B6,IF(D7&gt;D6,B7,IF(D6&gt;D7,B6,""))))</f>
        <v>Holanda</v>
      </c>
      <c r="H8" s="60">
        <v>0</v>
      </c>
      <c r="I8" s="61"/>
      <c r="L8" s="106" t="s">
        <v>60</v>
      </c>
      <c r="M8" s="107"/>
      <c r="N8" s="108"/>
    </row>
    <row r="9" spans="2:19" ht="15" thickBot="1" x14ac:dyDescent="0.35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1</v>
      </c>
      <c r="I9" s="64"/>
      <c r="J9" s="65"/>
    </row>
    <row r="10" spans="2:19" ht="15" thickBot="1" x14ac:dyDescent="0.35">
      <c r="B10" s="59" t="str">
        <f>'GRUPO C'!C8</f>
        <v>Argentina</v>
      </c>
      <c r="C10" s="60">
        <v>2</v>
      </c>
      <c r="D10" s="61"/>
      <c r="E10" s="69"/>
      <c r="J10" s="66"/>
    </row>
    <row r="11" spans="2:19" ht="15" thickBot="1" x14ac:dyDescent="0.35">
      <c r="B11" s="62" t="str">
        <f>'GRUPO D'!C9</f>
        <v>Francia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" thickBot="1" x14ac:dyDescent="0.35">
      <c r="J12" s="66"/>
      <c r="L12" s="59" t="str">
        <f>IF(H9&gt;H8,G9,IF(H8&gt;H9,G8,IF(I9&gt;I8,G9,IF(I8&gt;I9,G8,""))))</f>
        <v>Argentina</v>
      </c>
      <c r="M12" s="60">
        <v>2</v>
      </c>
      <c r="N12" s="61">
        <v>4</v>
      </c>
    </row>
    <row r="13" spans="2:19" ht="15" thickBot="1" x14ac:dyDescent="0.35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>
        <v>5</v>
      </c>
      <c r="O13" s="65"/>
    </row>
    <row r="14" spans="2:19" ht="15" thickBot="1" x14ac:dyDescent="0.35">
      <c r="B14" s="59" t="str">
        <f>'GRUPO E'!C8</f>
        <v>España</v>
      </c>
      <c r="C14" s="60">
        <v>1</v>
      </c>
      <c r="D14" s="61"/>
      <c r="J14" s="66"/>
      <c r="O14" s="66"/>
    </row>
    <row r="15" spans="2:19" ht="15" thickBot="1" x14ac:dyDescent="0.35">
      <c r="B15" s="62" t="str">
        <f>'GRUPO F'!C9</f>
        <v>Croacia</v>
      </c>
      <c r="C15" s="63">
        <v>0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" thickBot="1" x14ac:dyDescent="0.35">
      <c r="E16" s="66"/>
      <c r="G16" s="59" t="str">
        <f>IF(C15&gt;C14,B15,IF(C14&gt;C15,B14,IF(D15&gt;D14,B15,IF(D14&gt;D15,B14,""))))</f>
        <v>España</v>
      </c>
      <c r="H16" s="60">
        <v>1</v>
      </c>
      <c r="I16" s="61"/>
      <c r="J16" s="69"/>
      <c r="O16" s="66"/>
      <c r="Q16" s="106" t="s">
        <v>63</v>
      </c>
      <c r="R16" s="107"/>
      <c r="S16" s="108"/>
    </row>
    <row r="17" spans="2:23" ht="15" thickBot="1" x14ac:dyDescent="0.35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" thickBot="1" x14ac:dyDescent="0.35">
      <c r="B18" s="59" t="str">
        <f>'GRUPO G'!C8</f>
        <v>Brasil</v>
      </c>
      <c r="C18" s="60">
        <v>2</v>
      </c>
      <c r="D18" s="61"/>
      <c r="E18" s="69"/>
      <c r="O18" s="66"/>
    </row>
    <row r="19" spans="2:23" ht="15" thickBot="1" x14ac:dyDescent="0.35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" thickBot="1" x14ac:dyDescent="0.35">
      <c r="O20" s="66"/>
      <c r="Q20" s="59" t="str">
        <f>IF(M13&gt;M12,L13,IF(M12&gt;M13,L12,IF(N13&gt;N12,L13,IF(N12&gt;N13,L12,""))))</f>
        <v>Brasil</v>
      </c>
      <c r="R20" s="60">
        <v>1</v>
      </c>
      <c r="S20" s="61"/>
    </row>
    <row r="21" spans="2:23" ht="15" thickBot="1" x14ac:dyDescent="0.35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Inglaterra</v>
      </c>
      <c r="R21" s="63">
        <v>2</v>
      </c>
      <c r="S21" s="64"/>
    </row>
    <row r="22" spans="2:23" ht="15" thickBot="1" x14ac:dyDescent="0.35">
      <c r="B22" s="59" t="str">
        <f>'GRUPO B'!C8</f>
        <v>Inglaterra</v>
      </c>
      <c r="C22" s="60">
        <v>2</v>
      </c>
      <c r="D22" s="61"/>
      <c r="O22" s="66"/>
    </row>
    <row r="23" spans="2:23" ht="15" thickBot="1" x14ac:dyDescent="0.35">
      <c r="B23" s="62" t="str">
        <f>'GRUPO A'!C9</f>
        <v>Ecuador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09" t="s">
        <v>64</v>
      </c>
      <c r="W23" s="102"/>
    </row>
    <row r="24" spans="2:23" ht="15" thickBot="1" x14ac:dyDescent="0.35">
      <c r="E24" s="66"/>
      <c r="G24" s="59" t="str">
        <f>IF(C23&gt;C22,B23,IF(C22&gt;C23,B22,IF(D23&gt;D22,B23,IF(D22&gt;D23,B22,""))))</f>
        <v>Inglaterra</v>
      </c>
      <c r="H24" s="60">
        <v>2</v>
      </c>
      <c r="I24" s="61"/>
      <c r="O24" s="66"/>
      <c r="V24" s="59" t="s">
        <v>65</v>
      </c>
      <c r="W24" s="71" t="str">
        <f>IF(R20&gt;R21,Q20,IF(R21&gt;R20,Q21,IF(S20&gt;S21,Q20,IF(S21&gt;S20,Q21,""))))</f>
        <v>Inglaterra</v>
      </c>
    </row>
    <row r="25" spans="2:23" ht="15" thickBot="1" x14ac:dyDescent="0.35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Dinamarca</v>
      </c>
      <c r="H25" s="63">
        <v>1</v>
      </c>
      <c r="I25" s="64"/>
      <c r="J25" s="65"/>
      <c r="O25" s="66"/>
      <c r="Q25" s="106" t="s">
        <v>66</v>
      </c>
      <c r="R25" s="107"/>
      <c r="S25" s="108"/>
      <c r="V25" s="72" t="s">
        <v>67</v>
      </c>
      <c r="W25" s="73" t="str">
        <f>IF(W24=Q20,Q21,IF(W24=Q21,Q20,""))</f>
        <v>Brasil</v>
      </c>
    </row>
    <row r="26" spans="2:23" ht="15" thickBot="1" x14ac:dyDescent="0.35">
      <c r="B26" s="59" t="str">
        <f>'GRUPO D'!C8</f>
        <v>Dinamarca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Alemania</v>
      </c>
    </row>
    <row r="27" spans="2:23" ht="15" thickBot="1" x14ac:dyDescent="0.35">
      <c r="B27" s="62" t="str">
        <f>'GRUPO C'!C9</f>
        <v>Polonia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" thickBot="1" x14ac:dyDescent="0.35">
      <c r="J28" s="66"/>
      <c r="L28" s="59" t="str">
        <f>IF(H25&gt;H24,G25,IF(H24&gt;H25,G24,IF(I25&gt;I24,G25,IF(I24&gt;I25,G24,""))))</f>
        <v>Inglaterra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" thickBot="1" x14ac:dyDescent="0.35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Alemania</v>
      </c>
      <c r="M29" s="63">
        <v>0</v>
      </c>
      <c r="N29" s="64"/>
      <c r="Q29" s="59" t="str">
        <f>IF(Q20=L12,L13,IF(Q20=L13,L12,""))</f>
        <v>Argentina</v>
      </c>
      <c r="R29" s="60">
        <v>1</v>
      </c>
      <c r="S29" s="61"/>
    </row>
    <row r="30" spans="2:23" ht="15" thickBot="1" x14ac:dyDescent="0.35">
      <c r="B30" s="59" t="str">
        <f>'GRUPO F'!C8</f>
        <v>Belgica</v>
      </c>
      <c r="C30" s="60">
        <v>0</v>
      </c>
      <c r="D30" s="61"/>
      <c r="J30" s="66"/>
      <c r="Q30" s="62" t="str">
        <f>IF(Q21=L28,L29,IF(Q21=L29,L28,""))</f>
        <v>Alemania</v>
      </c>
      <c r="R30" s="63">
        <v>2</v>
      </c>
      <c r="S30" s="64"/>
    </row>
    <row r="31" spans="2:23" ht="15" thickBot="1" x14ac:dyDescent="0.35">
      <c r="B31" s="62" t="str">
        <f>'GRUPO E'!C9</f>
        <v>Alemania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" thickBot="1" x14ac:dyDescent="0.35">
      <c r="E32" s="66"/>
      <c r="G32" s="59" t="str">
        <f>IF(C31&gt;C30,B31,IF(C30&gt;C31,B30,IF(D31&gt;D30,B31,IF(D30&gt;D31,B30,""))))</f>
        <v>Alemania</v>
      </c>
      <c r="H32" s="60">
        <v>1</v>
      </c>
      <c r="I32" s="61"/>
      <c r="J32" s="69"/>
    </row>
    <row r="33" spans="2:9" ht="15" thickBot="1" x14ac:dyDescent="0.35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0</v>
      </c>
      <c r="I33" s="64"/>
    </row>
    <row r="34" spans="2:9" x14ac:dyDescent="0.3">
      <c r="B34" s="59" t="str">
        <f>'GRUPO H'!C8</f>
        <v>Portugal</v>
      </c>
      <c r="C34" s="60">
        <v>2</v>
      </c>
      <c r="D34" s="61"/>
      <c r="E34" s="69"/>
    </row>
    <row r="35" spans="2:9" ht="15" thickBot="1" x14ac:dyDescent="0.35">
      <c r="B35" s="62" t="str">
        <f>'GRUPO G'!C9</f>
        <v>Suiza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Ingenieria GHI Proyectos</cp:lastModifiedBy>
  <dcterms:created xsi:type="dcterms:W3CDTF">2022-11-02T00:22:23Z</dcterms:created>
  <dcterms:modified xsi:type="dcterms:W3CDTF">2022-11-16T16:59:10Z</dcterms:modified>
</cp:coreProperties>
</file>