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basura/"/>
    </mc:Choice>
  </mc:AlternateContent>
  <xr:revisionPtr revIDLastSave="65" documentId="8_{5F386D20-1C62-4763-BF6E-16AE6C896770}" xr6:coauthVersionLast="47" xr6:coauthVersionMax="47" xr10:uidLastSave="{07AFC78C-F527-404E-BD90-4BD39DF1A723}"/>
  <bookViews>
    <workbookView xWindow="-110" yWindow="-110" windowWidth="19420" windowHeight="1042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E8" i="1"/>
  <c r="F8" i="1"/>
  <c r="F9" i="1"/>
  <c r="G8" i="1"/>
  <c r="F11" i="1"/>
  <c r="D11" i="1"/>
  <c r="G12" i="1"/>
  <c r="E10" i="1"/>
  <c r="D10" i="1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10" i="3" s="1"/>
  <c r="G9" i="3" l="1"/>
  <c r="L13" i="3" s="1"/>
  <c r="L22" i="3" s="1"/>
  <c r="B15" i="3"/>
  <c r="G17" i="3" s="1"/>
  <c r="L14" i="3" l="1"/>
  <c r="R17" i="3" s="1"/>
  <c r="R18" i="3" s="1"/>
  <c r="L23" i="3" l="1"/>
  <c r="R19" i="3" s="1"/>
</calcChain>
</file>

<file path=xl/sharedStrings.xml><?xml version="1.0" encoding="utf-8"?>
<sst xmlns="http://schemas.openxmlformats.org/spreadsheetml/2006/main" count="196" uniqueCount="84">
  <si>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</si>
  <si>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</si>
  <si>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</si>
  <si>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</si>
  <si>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</si>
  <si>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</si>
  <si>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</si>
  <si>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</si>
  <si>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</si>
  <si>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</si>
  <si>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</si>
  <si>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</si>
  <si>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</si>
  <si>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</si>
  <si>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</si>
  <si>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</si>
  <si>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</si>
  <si>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</si>
  <si>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</si>
  <si>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</si>
  <si>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</si>
  <si>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</si>
  <si>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</si>
  <si>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</si>
  <si>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</si>
  <si>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</si>
  <si>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</si>
  <si>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</si>
  <si>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</si>
  <si>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</si>
  <si>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</si>
  <si>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</si>
  <si>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</si>
  <si>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</si>
  <si>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</si>
  <si>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</si>
  <si>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</si>
  <si>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</si>
  <si>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</si>
  <si>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</si>
  <si>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</si>
  <si>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</si>
  <si>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</si>
  <si>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</si>
  <si>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</si>
  <si>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</si>
  <si>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</si>
  <si>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</si>
  <si>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</si>
  <si>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</si>
  <si>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</si>
  <si>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</si>
  <si>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</si>
  <si>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</si>
  <si>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</si>
  <si>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</si>
  <si>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</si>
  <si>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</si>
  <si>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</si>
  <si>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</si>
  <si>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</si>
  <si>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</si>
  <si>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</si>
  <si>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</si>
  <si>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</si>
  <si>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</si>
  <si>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</si>
  <si>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</si>
  <si>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</si>
  <si>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</si>
  <si>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</si>
  <si>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</si>
  <si>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</si>
  <si>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</si>
  <si>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</si>
  <si>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</si>
  <si>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</si>
  <si>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</si>
  <si>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</si>
  <si>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</si>
  <si>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</si>
  <si>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 xml:space="preserve"> </t>
  </si>
  <si>
    <t>Francisca Gil</t>
  </si>
  <si>
    <t>franciscagil@gmail.com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</si>
</sst>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5" sqref="C5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82</v>
      </c>
      <c r="D3" s="106"/>
    </row>
    <row r="4" spans="2:7" x14ac:dyDescent="0.35">
      <c r="B4" s="94" t="s">
        <v>58</v>
      </c>
      <c r="C4" s="107" t="s">
        <v>83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76</v>
      </c>
      <c r="G5" s="91" t="s">
        <v>60</v>
      </c>
    </row>
    <row r="6" spans="2:7" ht="30.75" customHeight="1" thickBot="1" x14ac:dyDescent="0.4">
      <c r="B6" s="98" t="s">
        <v>80</v>
      </c>
      <c r="C6" s="100" t="s">
        <v>26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F4" zoomScale="140" zoomScaleNormal="140" workbookViewId="0">
      <selection activeCell="I6" sqref="I6:N16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12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-120091200</v>
      </c>
      <c r="AG7" s="91">
        <f>AF7-AE7*10</f>
        <v>-120091210</v>
      </c>
      <c r="AH7" s="91">
        <f>AG7+N23</f>
        <v>-120091209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12</v>
      </c>
      <c r="F8" s="33">
        <f t="shared" si="1"/>
        <v>3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3</v>
      </c>
      <c r="X8" s="91">
        <f>SUMIF($K$7:$K$16,U8,$L$7:$L$16) + SUMIF($N$7:$N$16,U8,$M$7:$M$16)</f>
        <v>7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-90030700</v>
      </c>
      <c r="AG8" s="91">
        <f t="shared" ref="AG8:AG11" si="8">AF8-AE8*10</f>
        <v>-90030710</v>
      </c>
      <c r="AH8" s="91">
        <f>AG8+N24</f>
        <v>-90030708</v>
      </c>
    </row>
    <row r="9" spans="2:35" x14ac:dyDescent="0.3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-2</v>
      </c>
      <c r="X9" s="91">
        <f>SUMIF($K$7:$K$16,U9,$L$7:$L$16) + SUMIF($N$7:$N$16,U9,$M$7:$M$16)</f>
        <v>5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-39980500</v>
      </c>
      <c r="AG9" s="91">
        <f t="shared" si="8"/>
        <v>-39980510</v>
      </c>
      <c r="AH9" s="91">
        <f>AG9+N25</f>
        <v>-39980507</v>
      </c>
    </row>
    <row r="10" spans="2:35" x14ac:dyDescent="0.3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5</v>
      </c>
      <c r="F10" s="60">
        <f t="shared" si="1"/>
        <v>7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4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-39960300</v>
      </c>
      <c r="AG10" s="91">
        <f t="shared" si="8"/>
        <v>-39960310</v>
      </c>
      <c r="AH10" s="91">
        <f>AG10+N26</f>
        <v>-39960306</v>
      </c>
    </row>
    <row r="11" spans="2:35" x14ac:dyDescent="0.3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-6</v>
      </c>
      <c r="X11" s="91">
        <f>SUMIF($K$7:$K$16,U11,$L$7:$L$16) + SUMIF($N$7:$N$16,U11,$M$7:$M$16)</f>
        <v>2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59800</v>
      </c>
      <c r="AG11" s="91">
        <f t="shared" si="8"/>
        <v>59790</v>
      </c>
      <c r="AH11" s="91">
        <f>AG11+N27</f>
        <v>59795</v>
      </c>
    </row>
    <row r="12" spans="2:35" s="1" customFormat="1" ht="15" thickBot="1" x14ac:dyDescent="0.4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8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G18" sqref="G18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7</v>
      </c>
      <c r="W7" s="91">
        <f>X7-Y7</f>
        <v>3</v>
      </c>
      <c r="X7" s="91">
        <f>SUMIF($K$7:$K$16,U7,$L$7:$L$16) + SUMIF($N$7:$N$16,U7,$M$7:$M$16)</f>
        <v>8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-70030800</v>
      </c>
      <c r="AG7" s="91">
        <f>AF7-AE7*10</f>
        <v>-70030810</v>
      </c>
      <c r="AH7" s="91">
        <f>AG7+N23</f>
        <v>-70030809</v>
      </c>
    </row>
    <row r="8" spans="2:34" x14ac:dyDescent="0.35">
      <c r="B8" s="50">
        <v>1</v>
      </c>
      <c r="C8" s="32" t="str">
        <f t="shared" ref="C8:G12" si="1">IFERROR(VLOOKUP($B8,$T$7:$Y$11,C$5,FALSE),"")</f>
        <v>Chile</v>
      </c>
      <c r="D8" s="33">
        <f t="shared" si="1"/>
        <v>10</v>
      </c>
      <c r="E8" s="33">
        <f t="shared" si="1"/>
        <v>8</v>
      </c>
      <c r="F8" s="33">
        <f t="shared" si="1"/>
        <v>4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1</v>
      </c>
      <c r="Y8" s="91">
        <f>SUMIF($K$7:$K$16,U8,$M$7:$M$16) + SUMIF($N$7:$N$16,U8,$L$7:$L$16)</f>
        <v>11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99900</v>
      </c>
      <c r="AG8" s="91">
        <f t="shared" ref="AG8:AG11" si="8">AF8-AE8*10</f>
        <v>99890</v>
      </c>
      <c r="AH8" s="91">
        <f>AG8+N24</f>
        <v>99895</v>
      </c>
    </row>
    <row r="9" spans="2:34" x14ac:dyDescent="0.3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9</v>
      </c>
      <c r="F9" s="64">
        <f t="shared" si="1"/>
        <v>5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10</v>
      </c>
      <c r="W9" s="91">
        <f t="shared" ref="W9:W11" si="9">X9-Y9</f>
        <v>4</v>
      </c>
      <c r="X9" s="91">
        <f>SUMIF($K$7:$K$16,U9,$L$7:$L$16) + SUMIF($N$7:$N$16,U9,$M$7:$M$16)</f>
        <v>8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-100040800</v>
      </c>
      <c r="AG9" s="91">
        <f t="shared" si="8"/>
        <v>-100040810</v>
      </c>
      <c r="AH9" s="91">
        <f>AG9+N25</f>
        <v>-100040808</v>
      </c>
    </row>
    <row r="10" spans="2:34" x14ac:dyDescent="0.35">
      <c r="B10" s="58">
        <v>3</v>
      </c>
      <c r="C10" s="59" t="str">
        <f t="shared" si="1"/>
        <v>Argentina</v>
      </c>
      <c r="D10" s="60">
        <f t="shared" si="1"/>
        <v>7</v>
      </c>
      <c r="E10" s="60">
        <f t="shared" si="1"/>
        <v>8</v>
      </c>
      <c r="F10" s="60">
        <f t="shared" si="1"/>
        <v>5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-1</v>
      </c>
      <c r="X10" s="91">
        <f>SUMIF($K$7:$K$16,U10,$L$7:$L$16) + SUMIF($N$7:$N$16,U10,$M$7:$M$16)</f>
        <v>6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-29990600</v>
      </c>
      <c r="AG10" s="91">
        <f t="shared" si="8"/>
        <v>-29990610</v>
      </c>
      <c r="AH10" s="91">
        <f>AG10+N26</f>
        <v>-29990606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6</v>
      </c>
      <c r="F11" s="68">
        <f t="shared" si="1"/>
        <v>7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9</v>
      </c>
      <c r="Y11" s="91">
        <f>SUMIF($K$7:$K$16,U11,$M$7:$M$16) + SUMIF($N$7:$N$16,U11,$L$7:$L$16)</f>
        <v>5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-80040900</v>
      </c>
      <c r="AG11" s="91">
        <f t="shared" si="8"/>
        <v>-80040910</v>
      </c>
      <c r="AH11" s="91">
        <f>AG11+N27</f>
        <v>-80040907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3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G12" zoomScale="140" zoomScaleNormal="140" workbookViewId="0">
      <selection activeCell="J24" sqref="J24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Chile</v>
      </c>
      <c r="C7" s="41">
        <v>3</v>
      </c>
      <c r="D7" s="75" t="s">
        <v>81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Peru</v>
      </c>
      <c r="C8" s="42">
        <v>1</v>
      </c>
      <c r="D8" s="77" t="s">
        <v>81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Chile</v>
      </c>
      <c r="H9" s="41">
        <v>1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3</v>
      </c>
      <c r="J10" s="78"/>
    </row>
    <row r="11" spans="2:43" ht="15" thickBot="1" x14ac:dyDescent="0.4">
      <c r="B11" s="74" t="str">
        <f>'Grupo B'!C9</f>
        <v>Uruguay</v>
      </c>
      <c r="C11" s="41">
        <v>2</v>
      </c>
      <c r="D11" s="75" t="s">
        <v>81</v>
      </c>
      <c r="E11" s="82"/>
      <c r="J11" s="79"/>
    </row>
    <row r="12" spans="2:43" ht="15" thickBot="1" x14ac:dyDescent="0.4">
      <c r="B12" s="76" t="str">
        <f>'Grupo A'!C10</f>
        <v>Ecuador</v>
      </c>
      <c r="C12" s="42">
        <v>1</v>
      </c>
      <c r="D12" s="77" t="s">
        <v>81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Chile</v>
      </c>
      <c r="M13" s="41">
        <v>1</v>
      </c>
      <c r="N13" s="75">
        <v>5</v>
      </c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>
        <v>4</v>
      </c>
    </row>
    <row r="15" spans="2:43" ht="15" thickBot="1" x14ac:dyDescent="0.4">
      <c r="B15" s="74" t="str">
        <f>'Grupo A'!C9</f>
        <v>Colombia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Argentina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Argentina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4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" thickBot="1" x14ac:dyDescent="0.4">
      <c r="B20" s="76" t="str">
        <f>'Grupo B'!C11</f>
        <v>Paraguay</v>
      </c>
      <c r="C20" s="42">
        <v>2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Uruguay</v>
      </c>
      <c r="M22" s="41">
        <v>1</v>
      </c>
      <c r="N22" s="75" t="s">
        <v>81</v>
      </c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Argentina</v>
      </c>
      <c r="M23" s="42">
        <v>0</v>
      </c>
      <c r="N23" s="77" t="s">
        <v>81</v>
      </c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2021-06-12T21:41:03Z</dcterms:modified>
</cp:coreProperties>
</file>