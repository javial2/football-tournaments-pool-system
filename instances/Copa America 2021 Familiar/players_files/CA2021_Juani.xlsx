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"/>
    </mc:Choice>
  </mc:AlternateContent>
  <xr:revisionPtr revIDLastSave="0" documentId="13_ncr:1_{669047AB-B466-4803-B8E0-DDCC6603B4ED}" xr6:coauthVersionLast="47" xr6:coauthVersionMax="47" xr10:uidLastSave="{00000000-0000-0000-0000-000000000000}"/>
  <bookViews>
    <workbookView xWindow="-120" yWindow="-120" windowWidth="20730" windowHeight="1131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G10" i="2" s="1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D10" i="2" l="1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R17" i="3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<sst xmlns="http://schemas.openxmlformats.org/spreadsheetml/2006/main" count="190" uniqueCount="84">
  <si>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</si>
  <si>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</si>
  <si>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</si>
  <si>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</si>
  <si>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</si>
  <si>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</si>
  <si>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</si>
  <si>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</si>
  <si>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</si>
  <si>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</si>
  <si>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</si>
  <si>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</si>
  <si>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</si>
  <si>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</si>
  <si>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</si>
  <si>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</si>
  <si>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</si>
  <si>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</si>
  <si>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</si>
  <si>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</si>
  <si>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</si>
  <si>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</si>
  <si>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</si>
  <si>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</si>
  <si>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</si>
  <si>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</si>
  <si>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</si>
  <si>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</si>
  <si>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</si>
  <si>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</si>
  <si>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</si>
  <si>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</si>
  <si>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</si>
  <si>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</si>
  <si>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</si>
  <si>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</si>
  <si>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</si>
  <si>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</si>
  <si>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</si>
  <si>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</si>
  <si>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</si>
  <si>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</si>
  <si>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</si>
  <si>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</si>
  <si>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</si>
  <si>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</si>
  <si>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</si>
  <si>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</si>
  <si>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</si>
  <si>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</si>
  <si>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</si>
  <si>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</si>
  <si>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</si>
  <si>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</si>
  <si>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</si>
  <si>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</si>
  <si>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</si>
  <si>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</si>
  <si>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</si>
  <si>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</si>
  <si>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</si>
  <si>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</si>
  <si>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</si>
  <si>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</si>
  <si>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</si>
  <si>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</si>
  <si>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</si>
  <si>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</si>
  <si>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</si>
  <si>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</si>
  <si>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</si>
  <si>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</si>
  <si>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</si>
  <si>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</si>
  <si>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</si>
  <si>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</si>
  <si>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</si>
  <si>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</si>
  <si>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</si>
  <si>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</si>
  <si>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</si>
  <si>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anibalrodriguez97@gmail.com</t>
  </si>
  <si>
    <t>chile</t>
  </si>
  <si>
    <t>Juani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</si>
</sst>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86" zoomScaleNormal="86" workbookViewId="0">
      <selection activeCell="C20" sqref="C20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83</v>
      </c>
      <c r="D3" s="106"/>
    </row>
    <row r="4" spans="2:7" x14ac:dyDescent="0.25">
      <c r="B4" s="94" t="s">
        <v>58</v>
      </c>
      <c r="C4" s="107" t="s">
        <v>81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74</v>
      </c>
      <c r="G5" s="91" t="s">
        <v>60</v>
      </c>
    </row>
    <row r="6" spans="2:7" ht="30.75" customHeight="1" thickBot="1" x14ac:dyDescent="0.3">
      <c r="B6" s="98" t="s">
        <v>80</v>
      </c>
      <c r="C6" s="100" t="s">
        <v>82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86" zoomScaleNormal="86" workbookViewId="0">
      <selection activeCell="L18" sqref="L18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11</v>
      </c>
      <c r="X7" s="91">
        <f>SUMIF($K$7:$K$16,U7,$L$7:$L$16) + SUMIF($N$7:$N$16,U7,$M$7:$M$16)</f>
        <v>11</v>
      </c>
      <c r="Y7" s="91">
        <f>SUMIF($K$7:$K$16,U7,$M$7:$M$16) + SUMIF($N$7:$N$16,U7,$L$7:$L$16)</f>
        <v>0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-120111100</v>
      </c>
      <c r="AG7" s="91">
        <f>AF7-AE7*10</f>
        <v>-120111110</v>
      </c>
      <c r="AH7" s="91">
        <f>AG7+N23</f>
        <v>-120111109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11</v>
      </c>
      <c r="F8" s="33">
        <f t="shared" si="1"/>
        <v>0</v>
      </c>
      <c r="G8" s="34">
        <f t="shared" si="1"/>
        <v>11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0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2</v>
      </c>
      <c r="X8" s="91">
        <f>SUMIF($K$7:$K$16,U8,$L$7:$L$16) + SUMIF($N$7:$N$16,U8,$M$7:$M$16)</f>
        <v>6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-90020600</v>
      </c>
      <c r="AG8" s="91">
        <f t="shared" ref="AG8:AG11" si="8">AF8-AE8*10</f>
        <v>-90020610</v>
      </c>
      <c r="AH8" s="91">
        <f>AG8+N24</f>
        <v>-90020608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6</v>
      </c>
      <c r="F9" s="64">
        <f t="shared" si="1"/>
        <v>4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3</v>
      </c>
      <c r="W9" s="91">
        <f t="shared" ref="W9:W11" si="9">X9-Y9</f>
        <v>-5</v>
      </c>
      <c r="X9" s="91">
        <f>SUMIF($K$7:$K$16,U9,$L$7:$L$16) + SUMIF($N$7:$N$16,U9,$M$7:$M$16)</f>
        <v>2</v>
      </c>
      <c r="Y9" s="91">
        <f>SUMIF($K$7:$K$16,U9,$M$7:$M$16) + SUMIF($N$7:$N$16,U9,$L$7:$L$16)</f>
        <v>7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-29950200</v>
      </c>
      <c r="AG9" s="91">
        <f t="shared" si="8"/>
        <v>-29950210</v>
      </c>
      <c r="AH9" s="91">
        <f>AG9+N25</f>
        <v>-29950207</v>
      </c>
    </row>
    <row r="10" spans="2:35" x14ac:dyDescent="0.25">
      <c r="B10" s="58">
        <v>3</v>
      </c>
      <c r="C10" s="59" t="str">
        <f t="shared" si="1"/>
        <v>Venezuela</v>
      </c>
      <c r="D10" s="60">
        <f t="shared" si="1"/>
        <v>6</v>
      </c>
      <c r="E10" s="60">
        <f t="shared" si="1"/>
        <v>5</v>
      </c>
      <c r="F10" s="60">
        <f t="shared" si="1"/>
        <v>7</v>
      </c>
      <c r="G10" s="61">
        <f t="shared" si="1"/>
        <v>-2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5</v>
      </c>
      <c r="U10" s="91" t="s">
        <v>5</v>
      </c>
      <c r="V10" s="91">
        <f>SUMIF($K$7:$K$16,U10,$P$7:$P$16) + SUMIF($N$7:$N$16,U10,$Q$7:$Q$16)</f>
        <v>0</v>
      </c>
      <c r="W10" s="91">
        <f t="shared" si="9"/>
        <v>-6</v>
      </c>
      <c r="X10" s="91">
        <f>SUMIF($K$7:$K$16,U10,$L$7:$L$16) + SUMIF($N$7:$N$16,U10,$M$7:$M$16)</f>
        <v>2</v>
      </c>
      <c r="Y10" s="91">
        <f>SUMIF($K$7:$K$16,U10,$M$7:$M$16) + SUMIF($N$7:$N$16,U10,$L$7:$L$16)</f>
        <v>8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59800</v>
      </c>
      <c r="AG10" s="91">
        <f t="shared" si="8"/>
        <v>59790</v>
      </c>
      <c r="AH10" s="91">
        <f>AG10+N26</f>
        <v>59794</v>
      </c>
    </row>
    <row r="11" spans="2:35" x14ac:dyDescent="0.25">
      <c r="B11" s="66">
        <v>4</v>
      </c>
      <c r="C11" s="67" t="str">
        <f t="shared" si="1"/>
        <v>Ecuador</v>
      </c>
      <c r="D11" s="68">
        <f t="shared" si="1"/>
        <v>3</v>
      </c>
      <c r="E11" s="68">
        <f t="shared" si="1"/>
        <v>2</v>
      </c>
      <c r="F11" s="68">
        <f t="shared" si="1"/>
        <v>7</v>
      </c>
      <c r="G11" s="69">
        <f t="shared" si="1"/>
        <v>-5</v>
      </c>
      <c r="H11" s="71"/>
      <c r="I11" s="9">
        <v>9</v>
      </c>
      <c r="J11" s="13">
        <v>44367</v>
      </c>
      <c r="K11" s="8" t="s">
        <v>4</v>
      </c>
      <c r="L11" s="20">
        <v>2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3</v>
      </c>
      <c r="Q11" s="91">
        <f t="shared" si="3"/>
        <v>0</v>
      </c>
      <c r="R11" s="91" t="str">
        <f t="shared" si="4"/>
        <v>Venezuela</v>
      </c>
      <c r="T11" s="91">
        <f>_xlfn.RANK.EQ(AH11,AH$7:AH$11,1)</f>
        <v>3</v>
      </c>
      <c r="U11" s="91" t="s">
        <v>4</v>
      </c>
      <c r="V11" s="91">
        <f>SUMIF($K$7:$K$16,U11,$P$7:$P$16) + SUMIF($N$7:$N$16,U11,$Q$7:$Q$16)</f>
        <v>6</v>
      </c>
      <c r="W11" s="91">
        <f t="shared" si="9"/>
        <v>-2</v>
      </c>
      <c r="X11" s="91">
        <f>SUMIF($K$7:$K$16,U11,$L$7:$L$16) + SUMIF($N$7:$N$16,U11,$M$7:$M$16)</f>
        <v>5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-59980500</v>
      </c>
      <c r="AG11" s="91">
        <f t="shared" si="8"/>
        <v>-59980510</v>
      </c>
      <c r="AH11" s="91">
        <f>AG11+N27</f>
        <v>-59980505</v>
      </c>
    </row>
    <row r="12" spans="2:35" s="1" customFormat="1" ht="15.75" thickBot="1" x14ac:dyDescent="0.3">
      <c r="B12" s="54">
        <v>5</v>
      </c>
      <c r="C12" s="55" t="str">
        <f t="shared" si="1"/>
        <v>Peru</v>
      </c>
      <c r="D12" s="56">
        <f t="shared" si="1"/>
        <v>0</v>
      </c>
      <c r="E12" s="56">
        <f t="shared" si="1"/>
        <v>2</v>
      </c>
      <c r="F12" s="56">
        <f t="shared" si="1"/>
        <v>8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0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2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3</v>
      </c>
      <c r="Q16" s="91">
        <f t="shared" si="3"/>
        <v>0</v>
      </c>
      <c r="R16" s="91" t="str">
        <f t="shared" si="4"/>
        <v>Venezuela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6" zoomScale="89" zoomScaleNormal="89" workbookViewId="0">
      <selection activeCell="G20" sqref="G20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12</v>
      </c>
      <c r="W7" s="91">
        <f>X7-Y7</f>
        <v>6</v>
      </c>
      <c r="X7" s="91">
        <f>SUMIF($K$7:$K$16,U7,$L$7:$L$16) + SUMIF($N$7:$N$16,U7,$M$7:$M$16)</f>
        <v>7</v>
      </c>
      <c r="Y7" s="91">
        <f>SUMIF($K$7:$K$16,U7,$M$7:$M$16) + SUMIF($N$7:$N$16,U7,$L$7:$L$16)</f>
        <v>1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-120060700</v>
      </c>
      <c r="AG7" s="91">
        <f>AF7-AE7*10</f>
        <v>-120060710</v>
      </c>
      <c r="AH7" s="91">
        <f>AG7+N23</f>
        <v>-120060709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12</v>
      </c>
      <c r="E8" s="33">
        <f t="shared" si="1"/>
        <v>7</v>
      </c>
      <c r="F8" s="33">
        <f t="shared" si="1"/>
        <v>1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1</v>
      </c>
      <c r="W8" s="91">
        <f>X8-Y8</f>
        <v>-6</v>
      </c>
      <c r="X8" s="91">
        <f>SUMIF($K$7:$K$16,U8,$L$7:$L$16) + SUMIF($N$7:$N$16,U8,$M$7:$M$16)</f>
        <v>1</v>
      </c>
      <c r="Y8" s="91">
        <f>SUMIF($K$7:$K$16,U8,$M$7:$M$16) + SUMIF($N$7:$N$16,U8,$L$7:$L$16)</f>
        <v>7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-9940100</v>
      </c>
      <c r="AG8" s="91">
        <f t="shared" ref="AG8:AG11" si="8">AF8-AE8*10</f>
        <v>-9940110</v>
      </c>
      <c r="AH8" s="91">
        <f>AG8+N24</f>
        <v>-9940105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9</v>
      </c>
      <c r="E9" s="64">
        <f t="shared" si="1"/>
        <v>6</v>
      </c>
      <c r="F9" s="64">
        <f t="shared" si="1"/>
        <v>2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0</v>
      </c>
      <c r="X9" s="91">
        <f>SUMIF($K$7:$K$16,U9,$L$7:$L$16) + SUMIF($N$7:$N$16,U9,$M$7:$M$16)</f>
        <v>4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-60000400</v>
      </c>
      <c r="AG9" s="91">
        <f t="shared" si="8"/>
        <v>-60000410</v>
      </c>
      <c r="AH9" s="91">
        <f>AG9+N25</f>
        <v>-60000407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4</v>
      </c>
      <c r="F10" s="60">
        <f t="shared" si="1"/>
        <v>4</v>
      </c>
      <c r="G10" s="61">
        <f t="shared" si="1"/>
        <v>0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1</v>
      </c>
      <c r="W10" s="91">
        <f t="shared" si="9"/>
        <v>-4</v>
      </c>
      <c r="X10" s="91">
        <f>SUMIF($K$7:$K$16,U10,$L$7:$L$16) + SUMIF($N$7:$N$16,U10,$M$7:$M$16)</f>
        <v>1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-9960100</v>
      </c>
      <c r="AG10" s="91">
        <f t="shared" si="8"/>
        <v>-9960110</v>
      </c>
      <c r="AH10" s="91">
        <f>AG10+N26</f>
        <v>-9960106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1</v>
      </c>
      <c r="E11" s="68">
        <f t="shared" si="1"/>
        <v>1</v>
      </c>
      <c r="F11" s="68">
        <f t="shared" si="1"/>
        <v>5</v>
      </c>
      <c r="G11" s="69">
        <f t="shared" si="1"/>
        <v>-4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9</v>
      </c>
      <c r="W11" s="91">
        <f t="shared" si="9"/>
        <v>4</v>
      </c>
      <c r="X11" s="91">
        <f>SUMIF($K$7:$K$16,U11,$L$7:$L$16) + SUMIF($N$7:$N$16,U11,$M$7:$M$16)</f>
        <v>6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-90040600</v>
      </c>
      <c r="AG11" s="91">
        <f t="shared" si="8"/>
        <v>-90040610</v>
      </c>
      <c r="AH11" s="91">
        <f>AG11+N27</f>
        <v>-90040608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1</v>
      </c>
      <c r="E12" s="56">
        <f t="shared" si="1"/>
        <v>1</v>
      </c>
      <c r="F12" s="56">
        <f t="shared" si="1"/>
        <v>7</v>
      </c>
      <c r="G12" s="57">
        <f t="shared" si="1"/>
        <v>-6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3</v>
      </c>
      <c r="N25" s="1">
        <f>IF(J25="",0,M25)</f>
        <v>3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2</v>
      </c>
      <c r="N27" s="1">
        <f>IF(J27="",0,M27)</f>
        <v>2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77" zoomScaleNormal="77" workbookViewId="0">
      <selection activeCell="J24" sqref="J24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Ecuador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>
        <v>5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>
        <v>4</v>
      </c>
      <c r="J10" s="78"/>
    </row>
    <row r="11" spans="2:43" ht="15.75" thickBot="1" x14ac:dyDescent="0.3">
      <c r="B11" s="74" t="str">
        <f>'Grupo B'!C9</f>
        <v>Uruguay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Venezuela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0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Colombia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Chile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2</v>
      </c>
      <c r="N22" s="75">
        <v>4</v>
      </c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Chile</v>
      </c>
      <c r="M23" s="42">
        <v>2</v>
      </c>
      <c r="N23" s="77">
        <v>5</v>
      </c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Nicolas</cp:lastModifiedBy>
  <dcterms:created xsi:type="dcterms:W3CDTF">2021-05-30T22:13:47Z</dcterms:created>
  <dcterms:modified xsi:type="dcterms:W3CDTF">2021-06-13T15:44:24Z</dcterms:modified>
</cp:coreProperties>
</file>