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ON" sheetId="1" r:id="rId4"/>
    <sheet state="visible" name="Grupo A" sheetId="2" r:id="rId5"/>
    <sheet state="visible" name="Grupo B" sheetId="3" r:id="rId6"/>
    <sheet state="visible" name="Play-Off" sheetId="4" r:id="rId7"/>
  </sheets>
  <definedNames/>
  <calcPr/>
  <extLst>
    <ext uri="GoogleSheetsCustomDataVersion1">
      <go:sheetsCustomData xmlns:go="http://customooxmlschemas.google.com/" r:id="rId8" roundtripDataSignature="AMtx7mipTd9sed27emhpKu4LhKWlvRXw3w=="/>
    </ext>
  </extLst>
</workbook>
</file>

<file path=xl/sharedStrings.xml><?xml version="1.0" encoding="utf-8"?>
<sst xmlns="http://schemas.openxmlformats.org/spreadsheetml/2006/main" count="189" uniqueCount="84">
  <si>
    <t>Información del Jugador</t>
  </si>
  <si>
    <t>Nombre</t>
  </si>
  <si>
    <t>Sara Vial</t>
  </si>
  <si>
    <t>Mail</t>
  </si>
  <si>
    <t>saravialfigueroa@gmail.com</t>
  </si>
  <si>
    <t xml:space="preserve">¿Cuál es el mejor equipo del mundo? </t>
  </si>
  <si>
    <t>Chelsea</t>
  </si>
  <si>
    <t>Si no existiera Brasil, quien ganaría la copa?</t>
  </si>
  <si>
    <t>Yo,  obvio</t>
  </si>
  <si>
    <t>Barcelona</t>
  </si>
  <si>
    <t>PSG</t>
  </si>
  <si>
    <t>Bayern Munich</t>
  </si>
  <si>
    <t>Real Madrid</t>
  </si>
  <si>
    <t>Arsenal</t>
  </si>
  <si>
    <t>Atl. Madrid</t>
  </si>
  <si>
    <t>Liverpool</t>
  </si>
  <si>
    <t>Man United</t>
  </si>
  <si>
    <t>Boca</t>
  </si>
  <si>
    <t>River</t>
  </si>
  <si>
    <t>Santos</t>
  </si>
  <si>
    <t>Independiente</t>
  </si>
  <si>
    <t>Palmeiras</t>
  </si>
  <si>
    <t>Flamengo</t>
  </si>
  <si>
    <t>Juventus</t>
  </si>
  <si>
    <t>Mila</t>
  </si>
  <si>
    <t>Inter</t>
  </si>
  <si>
    <t>Napoli</t>
  </si>
  <si>
    <t>Totti</t>
  </si>
  <si>
    <t>GRUPO A</t>
  </si>
  <si>
    <t>Tabla de Posiciones</t>
  </si>
  <si>
    <t>Fecha</t>
  </si>
  <si>
    <t>Partidos</t>
  </si>
  <si>
    <t>Ganador</t>
  </si>
  <si>
    <t>Orden</t>
  </si>
  <si>
    <t>Equipo</t>
  </si>
  <si>
    <t>Puntos</t>
  </si>
  <si>
    <t>DG</t>
  </si>
  <si>
    <t>GF</t>
  </si>
  <si>
    <t>GC</t>
  </si>
  <si>
    <t>Empatado Con</t>
  </si>
  <si>
    <t xml:space="preserve">Ganador? </t>
  </si>
  <si>
    <t>Formula Rank</t>
  </si>
  <si>
    <t>Formula Rank Con Duelo Directo</t>
  </si>
  <si>
    <t>Formula Rank Con Prioridad</t>
  </si>
  <si>
    <t>Posición</t>
  </si>
  <si>
    <t>Brasil</t>
  </si>
  <si>
    <t>Venezuela</t>
  </si>
  <si>
    <t>Colombia</t>
  </si>
  <si>
    <t>Ecuador</t>
  </si>
  <si>
    <t>Peru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</si>
  <si>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</si>
  <si>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</si>
  <si>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</si>
  <si>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</si>
  <si>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</si>
  <si>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</si>
  <si>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</si>
  <si>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</si>
  <si>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Argentina</t>
  </si>
  <si>
    <t>Chile</t>
  </si>
  <si>
    <t>Paraguay</t>
  </si>
  <si>
    <t>Bolivia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</si>
  <si>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</si>
  <si>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</si>
  <si>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</si>
  <si>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</si>
  <si>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</si>
  <si>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</si>
  <si>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</si>
  <si>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</si>
  <si>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</si>
  <si>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Japon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</si>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</sst>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</font>
    <font>
      <sz val="11.0"/>
      <color theme="0"/>
      <name val="Calibri"/>
    </font>
    <font>
      <sz val="11.0"/>
      <color theme="1"/>
      <name val="Calibri"/>
    </font>
    <font/>
    <font>
      <u/>
      <sz val="11.0"/>
      <color rgb="FF0563C1"/>
      <name val="Calibri"/>
    </font>
    <font>
      <b/>
      <sz val="11.0"/>
      <color theme="1"/>
      <name val="Calibri"/>
    </font>
    <font>
      <sz val="20.0"/>
      <color theme="1"/>
      <name val="Calibri"/>
    </font>
    <font>
      <color theme="1"/>
      <name val="Calibri"/>
    </font>
    <font>
      <sz val="11.0"/>
      <color theme="1"/>
    </font>
  </fonts>
  <fills count="15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rgb="FFE7E6E6"/>
        <bgColor rgb="FFE7E6E6"/>
      </patternFill>
    </fill>
    <fill>
      <patternFill patternType="solid">
        <fgColor rgb="FFEAEAEA"/>
        <bgColor rgb="FFEAEAEA"/>
      </patternFill>
    </fill>
    <fill>
      <patternFill patternType="solid">
        <fgColor theme="0"/>
        <bgColor theme="0"/>
      </patternFill>
    </fill>
    <fill>
      <patternFill patternType="solid">
        <fgColor rgb="FF99FF33"/>
        <bgColor rgb="FF99FF33"/>
      </patternFill>
    </fill>
    <fill>
      <patternFill patternType="solid">
        <fgColor rgb="FFFFFF00"/>
        <bgColor rgb="FFFFFF00"/>
      </patternFill>
    </fill>
  </fills>
  <borders count="77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3" fontId="2" numFmtId="0" xfId="0" applyAlignment="1" applyBorder="1" applyFill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6" fillId="0" fontId="3" numFmtId="0" xfId="0" applyBorder="1" applyFont="1"/>
    <xf borderId="7" fillId="4" fontId="2" numFmtId="0" xfId="0" applyAlignment="1" applyBorder="1" applyFill="1" applyFont="1">
      <alignment horizontal="center" vertical="center"/>
    </xf>
    <xf borderId="8" fillId="0" fontId="4" numFmtId="0" xfId="0" applyAlignment="1" applyBorder="1" applyFont="1">
      <alignment horizontal="center" readingOrder="0" vertical="center"/>
    </xf>
    <xf borderId="9" fillId="0" fontId="3" numFmtId="0" xfId="0" applyBorder="1" applyFont="1"/>
    <xf borderId="0" fillId="0" fontId="2" numFmtId="0" xfId="0" applyFont="1"/>
    <xf borderId="10" fillId="3" fontId="2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12" fillId="0" fontId="1" numFmtId="0" xfId="0" applyBorder="1" applyFont="1"/>
    <xf borderId="13" fillId="4" fontId="2" numFmtId="0" xfId="0" applyAlignment="1" applyBorder="1" applyFont="1">
      <alignment shrinkToFit="0" wrapText="1"/>
    </xf>
    <xf borderId="14" fillId="0" fontId="2" numFmtId="0" xfId="0" applyAlignment="1" applyBorder="1" applyFont="1">
      <alignment horizontal="center" readingOrder="0"/>
    </xf>
    <xf borderId="15" fillId="0" fontId="3" numFmtId="0" xfId="0" applyBorder="1" applyFont="1"/>
    <xf borderId="16" fillId="3" fontId="6" numFmtId="0" xfId="0" applyAlignment="1" applyBorder="1" applyFont="1">
      <alignment horizontal="center"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22" fillId="2" fontId="2" numFmtId="0" xfId="0" applyAlignment="1" applyBorder="1" applyFont="1">
      <alignment horizontal="center"/>
    </xf>
    <xf borderId="23" fillId="0" fontId="3" numFmtId="0" xfId="0" applyBorder="1" applyFont="1"/>
    <xf borderId="24" fillId="0" fontId="3" numFmtId="0" xfId="0" applyBorder="1" applyFont="1"/>
    <xf borderId="25" fillId="3" fontId="2" numFmtId="0" xfId="0" applyAlignment="1" applyBorder="1" applyFont="1">
      <alignment horizontal="center"/>
    </xf>
    <xf borderId="26" fillId="2" fontId="2" numFmtId="0" xfId="0" applyAlignment="1" applyBorder="1" applyFont="1">
      <alignment horizontal="center"/>
    </xf>
    <xf borderId="25" fillId="4" fontId="2" numFmtId="0" xfId="0" applyAlignment="1" applyBorder="1" applyFont="1">
      <alignment horizontal="center"/>
    </xf>
    <xf borderId="27" fillId="4" fontId="2" numFmtId="0" xfId="0" applyAlignment="1" applyBorder="1" applyFont="1">
      <alignment horizontal="center"/>
    </xf>
    <xf borderId="28" fillId="4" fontId="2" numFmtId="0" xfId="0" applyAlignment="1" applyBorder="1" applyFont="1">
      <alignment horizontal="center"/>
    </xf>
    <xf borderId="29" fillId="4" fontId="2" numFmtId="0" xfId="0" applyAlignment="1" applyBorder="1" applyFont="1">
      <alignment horizontal="center"/>
    </xf>
    <xf borderId="30" fillId="3" fontId="2" numFmtId="0" xfId="0" applyAlignment="1" applyBorder="1" applyFont="1">
      <alignment horizontal="center"/>
    </xf>
    <xf borderId="31" fillId="4" fontId="2" numFmtId="16" xfId="0" applyAlignment="1" applyBorder="1" applyFont="1" applyNumberFormat="1">
      <alignment horizontal="center"/>
    </xf>
    <xf borderId="32" fillId="3" fontId="2" numFmtId="0" xfId="0" applyAlignment="1" applyBorder="1" applyFont="1">
      <alignment horizontal="center"/>
    </xf>
    <xf borderId="33" fillId="0" fontId="2" numFmtId="0" xfId="0" applyAlignment="1" applyBorder="1" applyFont="1">
      <alignment horizontal="center" readingOrder="0"/>
    </xf>
    <xf borderId="34" fillId="0" fontId="2" numFmtId="0" xfId="0" applyAlignment="1" applyBorder="1" applyFont="1">
      <alignment horizontal="center" readingOrder="0"/>
    </xf>
    <xf borderId="4" fillId="5" fontId="2" numFmtId="0" xfId="0" applyAlignment="1" applyBorder="1" applyFill="1" applyFont="1">
      <alignment horizontal="center"/>
    </xf>
    <xf borderId="33" fillId="5" fontId="2" numFmtId="0" xfId="0" applyAlignment="1" applyBorder="1" applyFont="1">
      <alignment horizontal="center"/>
    </xf>
    <xf borderId="35" fillId="5" fontId="2" numFmtId="0" xfId="0" applyAlignment="1" applyBorder="1" applyFont="1">
      <alignment horizontal="center"/>
    </xf>
    <xf borderId="34" fillId="5" fontId="2" numFmtId="0" xfId="0" applyAlignment="1" applyBorder="1" applyFont="1">
      <alignment horizontal="center"/>
    </xf>
    <xf borderId="36" fillId="4" fontId="2" numFmtId="0" xfId="0" applyAlignment="1" applyBorder="1" applyFont="1">
      <alignment horizontal="center"/>
    </xf>
    <xf borderId="36" fillId="3" fontId="2" numFmtId="16" xfId="0" applyAlignment="1" applyBorder="1" applyFont="1" applyNumberFormat="1">
      <alignment horizontal="center"/>
    </xf>
    <xf borderId="37" fillId="4" fontId="2" numFmtId="0" xfId="0" applyAlignment="1" applyBorder="1" applyFont="1">
      <alignment horizontal="center"/>
    </xf>
    <xf borderId="38" fillId="0" fontId="2" numFmtId="0" xfId="0" applyAlignment="1" applyBorder="1" applyFont="1">
      <alignment horizontal="center" readingOrder="0"/>
    </xf>
    <xf borderId="39" fillId="0" fontId="2" numFmtId="0" xfId="0" applyAlignment="1" applyBorder="1" applyFont="1">
      <alignment horizontal="center" readingOrder="0"/>
    </xf>
    <xf borderId="7" fillId="6" fontId="2" numFmtId="0" xfId="0" applyAlignment="1" applyBorder="1" applyFill="1" applyFont="1">
      <alignment horizontal="center"/>
    </xf>
    <xf borderId="38" fillId="6" fontId="2" numFmtId="0" xfId="0" applyAlignment="1" applyBorder="1" applyFont="1">
      <alignment horizontal="center"/>
    </xf>
    <xf borderId="40" fillId="6" fontId="2" numFmtId="0" xfId="0" applyAlignment="1" applyBorder="1" applyFont="1">
      <alignment horizontal="center"/>
    </xf>
    <xf borderId="39" fillId="6" fontId="2" numFmtId="0" xfId="0" applyAlignment="1" applyBorder="1" applyFont="1">
      <alignment horizontal="center"/>
    </xf>
    <xf borderId="36" fillId="3" fontId="2" numFmtId="0" xfId="0" applyAlignment="1" applyBorder="1" applyFont="1">
      <alignment horizontal="center"/>
    </xf>
    <xf borderId="36" fillId="4" fontId="2" numFmtId="16" xfId="0" applyAlignment="1" applyBorder="1" applyFont="1" applyNumberFormat="1">
      <alignment horizontal="center"/>
    </xf>
    <xf borderId="37" fillId="3" fontId="2" numFmtId="0" xfId="0" applyAlignment="1" applyBorder="1" applyFont="1">
      <alignment horizontal="center"/>
    </xf>
    <xf borderId="7" fillId="7" fontId="2" numFmtId="0" xfId="0" applyAlignment="1" applyBorder="1" applyFill="1" applyFont="1">
      <alignment horizontal="center"/>
    </xf>
    <xf borderId="38" fillId="7" fontId="2" numFmtId="0" xfId="0" applyAlignment="1" applyBorder="1" applyFont="1">
      <alignment horizontal="center"/>
    </xf>
    <xf borderId="40" fillId="7" fontId="2" numFmtId="0" xfId="0" applyAlignment="1" applyBorder="1" applyFont="1">
      <alignment horizontal="center"/>
    </xf>
    <xf borderId="39" fillId="7" fontId="2" numFmtId="0" xfId="0" applyAlignment="1" applyBorder="1" applyFont="1">
      <alignment horizontal="center"/>
    </xf>
    <xf borderId="10" fillId="8" fontId="2" numFmtId="0" xfId="0" applyAlignment="1" applyBorder="1" applyFill="1" applyFont="1">
      <alignment horizontal="center"/>
    </xf>
    <xf borderId="38" fillId="8" fontId="2" numFmtId="0" xfId="0" applyAlignment="1" applyBorder="1" applyFont="1">
      <alignment horizontal="center"/>
    </xf>
    <xf borderId="40" fillId="8" fontId="2" numFmtId="0" xfId="0" applyAlignment="1" applyBorder="1" applyFont="1">
      <alignment horizontal="center"/>
    </xf>
    <xf borderId="39" fillId="8" fontId="2" numFmtId="0" xfId="0" applyAlignment="1" applyBorder="1" applyFont="1">
      <alignment horizontal="center"/>
    </xf>
    <xf borderId="41" fillId="0" fontId="2" numFmtId="0" xfId="0" applyAlignment="1" applyBorder="1" applyFont="1">
      <alignment horizontal="center"/>
    </xf>
    <xf borderId="13" fillId="0" fontId="2" numFmtId="0" xfId="0" applyAlignment="1" applyBorder="1" applyFont="1">
      <alignment horizontal="center"/>
    </xf>
    <xf borderId="42" fillId="0" fontId="2" numFmtId="0" xfId="0" applyAlignment="1" applyBorder="1" applyFont="1">
      <alignment horizontal="center"/>
    </xf>
    <xf borderId="43" fillId="0" fontId="2" numFmtId="0" xfId="0" applyAlignment="1" applyBorder="1" applyFont="1">
      <alignment horizontal="center"/>
    </xf>
    <xf borderId="44" fillId="4" fontId="2" numFmtId="0" xfId="0" applyAlignment="1" applyBorder="1" applyFont="1">
      <alignment horizontal="center"/>
    </xf>
    <xf borderId="44" fillId="3" fontId="2" numFmtId="16" xfId="0" applyAlignment="1" applyBorder="1" applyFont="1" applyNumberFormat="1">
      <alignment horizontal="center"/>
    </xf>
    <xf borderId="45" fillId="4" fontId="2" numFmtId="0" xfId="0" applyAlignment="1" applyBorder="1" applyFont="1">
      <alignment horizontal="center"/>
    </xf>
    <xf borderId="46" fillId="0" fontId="2" numFmtId="0" xfId="0" applyAlignment="1" applyBorder="1" applyFont="1">
      <alignment horizontal="center" readingOrder="0"/>
    </xf>
    <xf borderId="47" fillId="0" fontId="2" numFmtId="0" xfId="0" applyAlignment="1" applyBorder="1" applyFont="1">
      <alignment horizontal="center" readingOrder="0"/>
    </xf>
    <xf borderId="44" fillId="3" fontId="2" numFmtId="0" xfId="0" applyAlignment="1" applyBorder="1" applyFont="1">
      <alignment horizontal="center"/>
    </xf>
    <xf borderId="44" fillId="4" fontId="2" numFmtId="16" xfId="0" applyAlignment="1" applyBorder="1" applyFont="1" applyNumberFormat="1">
      <alignment horizontal="center"/>
    </xf>
    <xf borderId="45" fillId="3" fontId="2" numFmtId="0" xfId="0" applyAlignment="1" applyBorder="1" applyFont="1">
      <alignment horizontal="center"/>
    </xf>
    <xf borderId="48" fillId="4" fontId="2" numFmtId="0" xfId="0" applyAlignment="1" applyBorder="1" applyFont="1">
      <alignment horizontal="center"/>
    </xf>
    <xf borderId="48" fillId="3" fontId="2" numFmtId="16" xfId="0" applyAlignment="1" applyBorder="1" applyFont="1" applyNumberFormat="1">
      <alignment horizontal="center"/>
    </xf>
    <xf borderId="49" fillId="4" fontId="2" numFmtId="0" xfId="0" applyAlignment="1" applyBorder="1" applyFont="1">
      <alignment horizontal="center"/>
    </xf>
    <xf borderId="13" fillId="0" fontId="2" numFmtId="0" xfId="0" applyAlignment="1" applyBorder="1" applyFont="1">
      <alignment horizontal="center" readingOrder="0"/>
    </xf>
    <xf borderId="43" fillId="0" fontId="2" numFmtId="0" xfId="0" applyAlignment="1" applyBorder="1" applyFont="1">
      <alignment horizontal="center" readingOrder="0"/>
    </xf>
    <xf borderId="50" fillId="9" fontId="2" numFmtId="0" xfId="0" applyBorder="1" applyFill="1" applyFont="1"/>
    <xf borderId="51" fillId="9" fontId="2" numFmtId="0" xfId="0" applyBorder="1" applyFont="1"/>
    <xf borderId="52" fillId="9" fontId="2" numFmtId="0" xfId="0" applyBorder="1" applyFont="1"/>
    <xf borderId="53" fillId="9" fontId="2" numFmtId="0" xfId="0" applyBorder="1" applyFont="1"/>
    <xf borderId="54" fillId="9" fontId="2" numFmtId="0" xfId="0" applyBorder="1" applyFont="1"/>
    <xf borderId="55" fillId="9" fontId="2" numFmtId="0" xfId="0" applyBorder="1" applyFont="1"/>
    <xf borderId="56" fillId="3" fontId="2" numFmtId="0" xfId="0" applyAlignment="1" applyBorder="1" applyFont="1">
      <alignment horizontal="center"/>
    </xf>
    <xf borderId="57" fillId="0" fontId="3" numFmtId="0" xfId="0" applyBorder="1" applyFont="1"/>
    <xf borderId="6" fillId="0" fontId="2" numFmtId="0" xfId="0" applyBorder="1" applyFont="1"/>
    <xf borderId="0" fillId="0" fontId="7" numFmtId="0" xfId="0" applyFont="1"/>
    <xf borderId="58" fillId="3" fontId="2" numFmtId="0" xfId="0" applyAlignment="1" applyBorder="1" applyFont="1">
      <alignment horizontal="center"/>
    </xf>
    <xf borderId="59" fillId="0" fontId="3" numFmtId="0" xfId="0" applyBorder="1" applyFont="1"/>
    <xf borderId="9" fillId="0" fontId="2" numFmtId="0" xfId="0" applyBorder="1" applyFont="1"/>
    <xf borderId="41" fillId="3" fontId="2" numFmtId="0" xfId="0" applyAlignment="1" applyBorder="1" applyFont="1">
      <alignment horizontal="center"/>
    </xf>
    <xf borderId="60" fillId="0" fontId="3" numFmtId="0" xfId="0" applyBorder="1" applyFont="1"/>
    <xf borderId="15" fillId="0" fontId="2" numFmtId="0" xfId="0" applyBorder="1" applyFont="1"/>
    <xf borderId="61" fillId="9" fontId="2" numFmtId="0" xfId="0" applyBorder="1" applyFont="1"/>
    <xf borderId="62" fillId="9" fontId="2" numFmtId="0" xfId="0" applyBorder="1" applyFont="1"/>
    <xf borderId="63" fillId="9" fontId="2" numFmtId="0" xfId="0" applyBorder="1" applyFont="1"/>
    <xf borderId="25" fillId="10" fontId="2" numFmtId="0" xfId="0" applyAlignment="1" applyBorder="1" applyFill="1" applyFont="1">
      <alignment horizontal="center"/>
    </xf>
    <xf borderId="25" fillId="3" fontId="2" numFmtId="0" xfId="0" applyBorder="1" applyFont="1"/>
    <xf borderId="64" fillId="3" fontId="2" numFmtId="0" xfId="0" applyBorder="1" applyFont="1"/>
    <xf borderId="30" fillId="3" fontId="2" numFmtId="0" xfId="0" applyBorder="1" applyFont="1"/>
    <xf borderId="30" fillId="0" fontId="8" numFmtId="0" xfId="0" applyAlignment="1" applyBorder="1" applyFont="1">
      <alignment readingOrder="0"/>
    </xf>
    <xf borderId="65" fillId="11" fontId="2" numFmtId="0" xfId="0" applyAlignment="1" applyBorder="1" applyFill="1" applyFont="1">
      <alignment readingOrder="0"/>
    </xf>
    <xf borderId="54" fillId="12" fontId="1" numFmtId="0" xfId="0" applyBorder="1" applyFill="1" applyFont="1"/>
    <xf borderId="48" fillId="3" fontId="2" numFmtId="0" xfId="0" applyBorder="1" applyFont="1"/>
    <xf borderId="48" fillId="0" fontId="8" numFmtId="0" xfId="0" applyAlignment="1" applyBorder="1" applyFont="1">
      <alignment readingOrder="0"/>
    </xf>
    <xf borderId="66" fillId="11" fontId="2" numFmtId="0" xfId="0" applyAlignment="1" applyBorder="1" applyFont="1">
      <alignment readingOrder="0"/>
    </xf>
    <xf borderId="46" fillId="0" fontId="2" numFmtId="0" xfId="0" applyBorder="1" applyFont="1"/>
    <xf borderId="67" fillId="0" fontId="2" numFmtId="0" xfId="0" applyBorder="1" applyFont="1"/>
    <xf borderId="68" fillId="0" fontId="2" numFmtId="0" xfId="0" applyBorder="1" applyFont="1"/>
    <xf borderId="12" fillId="0" fontId="2" numFmtId="0" xfId="0" applyBorder="1" applyFont="1"/>
    <xf borderId="65" fillId="11" fontId="8" numFmtId="0" xfId="0" applyBorder="1" applyFont="1"/>
    <xf borderId="69" fillId="0" fontId="2" numFmtId="0" xfId="0" applyBorder="1" applyFont="1"/>
    <xf borderId="66" fillId="11" fontId="8" numFmtId="0" xfId="0" applyBorder="1" applyFont="1"/>
    <xf borderId="70" fillId="0" fontId="2" numFmtId="0" xfId="0" applyBorder="1" applyFont="1"/>
    <xf borderId="71" fillId="5" fontId="2" numFmtId="0" xfId="0" applyBorder="1" applyFont="1"/>
    <xf borderId="36" fillId="3" fontId="2" numFmtId="0" xfId="0" applyBorder="1" applyFont="1"/>
    <xf borderId="72" fillId="13" fontId="2" numFmtId="0" xfId="0" applyBorder="1" applyFill="1" applyFont="1"/>
    <xf borderId="66" fillId="14" fontId="2" numFmtId="0" xfId="0" applyBorder="1" applyFill="1" applyFont="1"/>
    <xf borderId="73" fillId="2" fontId="2" numFmtId="0" xfId="0" applyAlignment="1" applyBorder="1" applyFont="1">
      <alignment horizontal="center"/>
    </xf>
    <xf borderId="74" fillId="0" fontId="3" numFmtId="0" xfId="0" applyBorder="1" applyFont="1"/>
    <xf borderId="75" fillId="0" fontId="3" numFmtId="0" xfId="0" applyBorder="1" applyFont="1"/>
    <xf borderId="76" fillId="0" fontId="2" numFmtId="0" xfId="0" applyBorder="1" applyFont="1"/>
    <xf borderId="58" fillId="4" fontId="2" numFmtId="0" xfId="0" applyAlignment="1" applyBorder="1" applyFont="1">
      <alignment horizontal="center"/>
    </xf>
    <xf borderId="21" fillId="0" fontId="2" numFmtId="0" xfId="0" applyBorder="1" applyFont="1"/>
  </cellXfs>
  <cellStyles count="1">
    <cellStyle xfId="0" name="Normal" builtinId="0"/>
  </cellStyles>
  <dxfs count="2">
    <dxf>
      <font>
        <color theme="0"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13"/>
    <col customWidth="1" min="2" max="2" width="28.88"/>
    <col customWidth="1" min="3" max="3" width="30.38"/>
    <col customWidth="1" min="4" max="4" width="2.88"/>
    <col customWidth="1" min="5" max="6" width="9.38"/>
    <col customWidth="1" min="7" max="7" width="10.0"/>
    <col customWidth="1" min="8" max="26" width="9.38"/>
  </cols>
  <sheetData>
    <row r="1">
      <c r="G1" s="1"/>
    </row>
    <row r="2">
      <c r="B2" s="2" t="s">
        <v>0</v>
      </c>
      <c r="C2" s="3"/>
      <c r="D2" s="4"/>
      <c r="G2" s="1"/>
    </row>
    <row r="3">
      <c r="B3" s="5" t="s">
        <v>1</v>
      </c>
      <c r="C3" s="6" t="s">
        <v>2</v>
      </c>
      <c r="D3" s="7"/>
      <c r="G3" s="1"/>
    </row>
    <row r="4">
      <c r="B4" s="8" t="s">
        <v>3</v>
      </c>
      <c r="C4" s="9" t="s">
        <v>4</v>
      </c>
      <c r="D4" s="10"/>
      <c r="G4" s="1"/>
    </row>
    <row r="5">
      <c r="A5" s="11"/>
      <c r="B5" s="12" t="s">
        <v>5</v>
      </c>
      <c r="C5" s="13" t="str">
        <f>IF(D5="","Seleccione de la lista -&gt;","Real Madrid")</f>
        <v>Seleccione de la lista -&gt;</v>
      </c>
      <c r="D5" s="14"/>
      <c r="E5" s="11"/>
      <c r="F5" s="11"/>
      <c r="G5" s="1" t="s">
        <v>6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0.75" customHeight="1">
      <c r="B6" s="15" t="s">
        <v>7</v>
      </c>
      <c r="C6" s="16" t="s">
        <v>8</v>
      </c>
      <c r="D6" s="17"/>
      <c r="G6" s="1" t="s">
        <v>9</v>
      </c>
    </row>
    <row r="7">
      <c r="G7" s="1" t="s">
        <v>10</v>
      </c>
    </row>
    <row r="8">
      <c r="G8" s="1" t="s">
        <v>11</v>
      </c>
    </row>
    <row r="9">
      <c r="G9" s="1" t="s">
        <v>12</v>
      </c>
    </row>
    <row r="10">
      <c r="G10" s="1" t="s">
        <v>13</v>
      </c>
    </row>
    <row r="11">
      <c r="G11" s="1" t="s">
        <v>14</v>
      </c>
    </row>
    <row r="12">
      <c r="G12" s="1" t="s">
        <v>15</v>
      </c>
    </row>
    <row r="13">
      <c r="G13" s="1" t="s">
        <v>16</v>
      </c>
    </row>
    <row r="14">
      <c r="G14" s="1" t="s">
        <v>17</v>
      </c>
    </row>
    <row r="15">
      <c r="G15" s="1" t="s">
        <v>18</v>
      </c>
    </row>
    <row r="16">
      <c r="G16" s="1" t="s">
        <v>19</v>
      </c>
    </row>
    <row r="17">
      <c r="G17" s="1" t="s">
        <v>20</v>
      </c>
    </row>
    <row r="18">
      <c r="G18" s="1" t="s">
        <v>21</v>
      </c>
    </row>
    <row r="19">
      <c r="G19" s="1" t="s">
        <v>22</v>
      </c>
    </row>
    <row r="20">
      <c r="G20" s="1" t="s">
        <v>23</v>
      </c>
    </row>
    <row r="21" ht="15.75" customHeight="1">
      <c r="G21" s="1" t="s">
        <v>24</v>
      </c>
    </row>
    <row r="22" ht="15.75" customHeight="1">
      <c r="G22" s="1" t="s">
        <v>25</v>
      </c>
    </row>
    <row r="23" ht="15.75" customHeight="1">
      <c r="G23" s="1" t="s">
        <v>26</v>
      </c>
    </row>
    <row r="24" ht="15.75" customHeight="1">
      <c r="G24" s="1" t="s">
        <v>27</v>
      </c>
    </row>
    <row r="25" ht="15.75" customHeight="1">
      <c r="G25" s="1"/>
    </row>
    <row r="26" ht="15.75" customHeight="1">
      <c r="G26" s="1"/>
    </row>
    <row r="27" ht="15.75" customHeight="1">
      <c r="G27" s="1"/>
    </row>
    <row r="28" ht="15.75" customHeight="1">
      <c r="G28" s="1"/>
    </row>
    <row r="29" ht="15.75" customHeight="1">
      <c r="G29" s="1"/>
    </row>
    <row r="30" ht="15.75" customHeight="1">
      <c r="G30" s="1"/>
    </row>
    <row r="31" ht="15.75" customHeight="1">
      <c r="G31" s="1"/>
    </row>
    <row r="32" ht="15.75" customHeight="1">
      <c r="G32" s="1"/>
    </row>
    <row r="33" ht="15.75" customHeight="1">
      <c r="G33" s="1"/>
    </row>
    <row r="34" ht="15.75" customHeight="1">
      <c r="G34" s="1"/>
    </row>
    <row r="35" ht="15.75" customHeight="1">
      <c r="G35" s="1"/>
    </row>
    <row r="36" ht="15.75" customHeight="1">
      <c r="G36" s="1"/>
    </row>
    <row r="37" ht="15.75" customHeight="1">
      <c r="G37" s="1"/>
    </row>
    <row r="38" ht="15.75" customHeight="1">
      <c r="G38" s="1"/>
    </row>
    <row r="39" ht="15.75" customHeight="1">
      <c r="G39" s="1"/>
    </row>
    <row r="40" ht="15.75" customHeight="1">
      <c r="G40" s="1"/>
    </row>
    <row r="41" ht="15.75" customHeight="1">
      <c r="G41" s="1"/>
    </row>
    <row r="42" ht="15.75" customHeight="1">
      <c r="G42" s="1"/>
    </row>
    <row r="43" ht="15.75" customHeight="1">
      <c r="G43" s="1"/>
    </row>
    <row r="44" ht="15.75" customHeight="1">
      <c r="G44" s="1"/>
    </row>
    <row r="45" ht="15.75" customHeight="1">
      <c r="G45" s="1"/>
    </row>
    <row r="46" ht="15.75" customHeight="1">
      <c r="G46" s="1"/>
    </row>
    <row r="47" ht="15.75" customHeight="1">
      <c r="G47" s="1"/>
    </row>
    <row r="48" ht="15.75" customHeight="1">
      <c r="G48" s="1"/>
    </row>
    <row r="49" ht="15.75" customHeight="1">
      <c r="G49" s="1"/>
    </row>
    <row r="50" ht="15.75" customHeight="1">
      <c r="G50" s="1"/>
    </row>
    <row r="51" ht="15.75" customHeight="1">
      <c r="G51" s="1"/>
    </row>
    <row r="52" ht="15.75" customHeight="1">
      <c r="G52" s="1"/>
    </row>
    <row r="53" ht="15.75" customHeight="1">
      <c r="G53" s="1"/>
    </row>
    <row r="54" ht="15.75" customHeight="1">
      <c r="G54" s="1"/>
    </row>
    <row r="55" ht="15.75" customHeight="1">
      <c r="G55" s="1"/>
    </row>
    <row r="56" ht="15.75" customHeight="1">
      <c r="G56" s="1"/>
    </row>
    <row r="57" ht="15.75" customHeight="1">
      <c r="G57" s="1"/>
    </row>
    <row r="58" ht="15.75" customHeight="1">
      <c r="G58" s="1"/>
    </row>
    <row r="59" ht="15.75" customHeight="1">
      <c r="G59" s="1"/>
    </row>
    <row r="60" ht="15.75" customHeight="1">
      <c r="G60" s="1"/>
    </row>
    <row r="61" ht="15.75" customHeight="1">
      <c r="G61" s="1"/>
    </row>
    <row r="62" ht="15.75" customHeight="1">
      <c r="G62" s="1"/>
    </row>
    <row r="63" ht="15.75" customHeight="1">
      <c r="G63" s="1"/>
    </row>
    <row r="64" ht="15.75" customHeight="1">
      <c r="G64" s="1"/>
    </row>
    <row r="65" ht="15.75" customHeight="1">
      <c r="G65" s="1"/>
    </row>
    <row r="66" ht="15.75" customHeight="1">
      <c r="G66" s="1"/>
    </row>
    <row r="67" ht="15.75" customHeight="1">
      <c r="G67" s="1"/>
    </row>
    <row r="68" ht="15.75" customHeight="1">
      <c r="G68" s="1"/>
    </row>
    <row r="69" ht="15.75" customHeight="1">
      <c r="G69" s="1"/>
    </row>
    <row r="70" ht="15.75" customHeight="1">
      <c r="G70" s="1"/>
    </row>
    <row r="71" ht="15.75" customHeight="1">
      <c r="G71" s="1"/>
    </row>
    <row r="72" ht="15.75" customHeight="1">
      <c r="G72" s="1"/>
    </row>
    <row r="73" ht="15.75" customHeight="1">
      <c r="G73" s="1"/>
    </row>
    <row r="74" ht="15.75" customHeight="1">
      <c r="G74" s="1"/>
    </row>
    <row r="75" ht="15.75" customHeight="1">
      <c r="G75" s="1"/>
    </row>
    <row r="76" ht="15.75" customHeight="1">
      <c r="G76" s="1"/>
    </row>
    <row r="77" ht="15.75" customHeight="1">
      <c r="G77" s="1"/>
    </row>
    <row r="78" ht="15.75" customHeight="1">
      <c r="G78" s="1"/>
    </row>
    <row r="79" ht="15.75" customHeight="1">
      <c r="G79" s="1"/>
    </row>
    <row r="80" ht="15.75" customHeight="1">
      <c r="G80" s="1"/>
    </row>
    <row r="81" ht="15.75" customHeight="1">
      <c r="G81" s="1"/>
    </row>
    <row r="82" ht="15.75" customHeight="1">
      <c r="G82" s="1"/>
    </row>
    <row r="83" ht="15.75" customHeight="1">
      <c r="G83" s="1"/>
    </row>
    <row r="84" ht="15.75" customHeight="1">
      <c r="G84" s="1"/>
    </row>
    <row r="85" ht="15.75" customHeight="1">
      <c r="G85" s="1"/>
    </row>
    <row r="86" ht="15.75" customHeight="1">
      <c r="G86" s="1"/>
    </row>
    <row r="87" ht="15.75" customHeight="1">
      <c r="G87" s="1"/>
    </row>
    <row r="88" ht="15.75" customHeight="1">
      <c r="G88" s="1"/>
    </row>
    <row r="89" ht="15.75" customHeight="1">
      <c r="G89" s="1"/>
    </row>
    <row r="90" ht="15.75" customHeight="1">
      <c r="G90" s="1"/>
    </row>
    <row r="91" ht="15.75" customHeight="1">
      <c r="G91" s="1"/>
    </row>
    <row r="92" ht="15.75" customHeight="1">
      <c r="G92" s="1"/>
    </row>
    <row r="93" ht="15.75" customHeight="1">
      <c r="G93" s="1"/>
    </row>
    <row r="94" ht="15.75" customHeight="1">
      <c r="G94" s="1"/>
    </row>
    <row r="95" ht="15.75" customHeight="1">
      <c r="G95" s="1"/>
    </row>
    <row r="96" ht="15.75" customHeight="1">
      <c r="G96" s="1"/>
    </row>
    <row r="97" ht="15.75" customHeight="1">
      <c r="G97" s="1"/>
    </row>
    <row r="98" ht="15.75" customHeight="1">
      <c r="G98" s="1"/>
    </row>
    <row r="99" ht="15.75" customHeight="1">
      <c r="G99" s="1"/>
    </row>
    <row r="100" ht="15.75" customHeight="1">
      <c r="G100" s="1"/>
    </row>
    <row r="101" ht="15.75" customHeight="1">
      <c r="G101" s="1"/>
    </row>
    <row r="102" ht="15.75" customHeight="1">
      <c r="G102" s="1"/>
    </row>
    <row r="103" ht="15.75" customHeight="1">
      <c r="G103" s="1"/>
    </row>
    <row r="104" ht="15.75" customHeight="1">
      <c r="G104" s="1"/>
    </row>
    <row r="105" ht="15.75" customHeight="1">
      <c r="G105" s="1"/>
    </row>
    <row r="106" ht="15.75" customHeight="1">
      <c r="G106" s="1"/>
    </row>
    <row r="107" ht="15.75" customHeight="1">
      <c r="G107" s="1"/>
    </row>
    <row r="108" ht="15.75" customHeight="1">
      <c r="G108" s="1"/>
    </row>
    <row r="109" ht="15.75" customHeight="1">
      <c r="G109" s="1"/>
    </row>
    <row r="110" ht="15.75" customHeight="1">
      <c r="G110" s="1"/>
    </row>
    <row r="111" ht="15.75" customHeight="1">
      <c r="G111" s="1"/>
    </row>
    <row r="112" ht="15.75" customHeight="1">
      <c r="G112" s="1"/>
    </row>
    <row r="113" ht="15.75" customHeight="1">
      <c r="G113" s="1"/>
    </row>
    <row r="114" ht="15.75" customHeight="1">
      <c r="G114" s="1"/>
    </row>
    <row r="115" ht="15.75" customHeight="1">
      <c r="G115" s="1"/>
    </row>
    <row r="116" ht="15.75" customHeight="1">
      <c r="G116" s="1"/>
    </row>
    <row r="117" ht="15.75" customHeight="1">
      <c r="G117" s="1"/>
    </row>
    <row r="118" ht="15.75" customHeight="1">
      <c r="G118" s="1"/>
    </row>
    <row r="119" ht="15.75" customHeight="1">
      <c r="G119" s="1"/>
    </row>
    <row r="120" ht="15.75" customHeight="1">
      <c r="G120" s="1"/>
    </row>
    <row r="121" ht="15.75" customHeight="1">
      <c r="G121" s="1"/>
    </row>
    <row r="122" ht="15.75" customHeight="1">
      <c r="G122" s="1"/>
    </row>
    <row r="123" ht="15.75" customHeight="1">
      <c r="G123" s="1"/>
    </row>
    <row r="124" ht="15.75" customHeight="1">
      <c r="G124" s="1"/>
    </row>
    <row r="125" ht="15.75" customHeight="1">
      <c r="G125" s="1"/>
    </row>
    <row r="126" ht="15.75" customHeight="1">
      <c r="G126" s="1"/>
    </row>
    <row r="127" ht="15.75" customHeight="1">
      <c r="G127" s="1"/>
    </row>
    <row r="128" ht="15.75" customHeight="1">
      <c r="G128" s="1"/>
    </row>
    <row r="129" ht="15.75" customHeight="1">
      <c r="G129" s="1"/>
    </row>
    <row r="130" ht="15.75" customHeight="1">
      <c r="G130" s="1"/>
    </row>
    <row r="131" ht="15.75" customHeight="1">
      <c r="G131" s="1"/>
    </row>
    <row r="132" ht="15.75" customHeight="1">
      <c r="G132" s="1"/>
    </row>
    <row r="133" ht="15.75" customHeight="1">
      <c r="G133" s="1"/>
    </row>
    <row r="134" ht="15.75" customHeight="1">
      <c r="G134" s="1"/>
    </row>
    <row r="135" ht="15.75" customHeight="1">
      <c r="G135" s="1"/>
    </row>
    <row r="136" ht="15.75" customHeight="1">
      <c r="G136" s="1"/>
    </row>
    <row r="137" ht="15.75" customHeight="1">
      <c r="G137" s="1"/>
    </row>
    <row r="138" ht="15.75" customHeight="1">
      <c r="G138" s="1"/>
    </row>
    <row r="139" ht="15.75" customHeight="1">
      <c r="G139" s="1"/>
    </row>
    <row r="140" ht="15.75" customHeight="1">
      <c r="G140" s="1"/>
    </row>
    <row r="141" ht="15.75" customHeight="1">
      <c r="G141" s="1"/>
    </row>
    <row r="142" ht="15.75" customHeight="1">
      <c r="G142" s="1"/>
    </row>
    <row r="143" ht="15.75" customHeight="1">
      <c r="G143" s="1"/>
    </row>
    <row r="144" ht="15.75" customHeight="1">
      <c r="G144" s="1"/>
    </row>
    <row r="145" ht="15.75" customHeight="1">
      <c r="G145" s="1"/>
    </row>
    <row r="146" ht="15.75" customHeight="1">
      <c r="G146" s="1"/>
    </row>
    <row r="147" ht="15.75" customHeight="1">
      <c r="G147" s="1"/>
    </row>
    <row r="148" ht="15.75" customHeight="1">
      <c r="G148" s="1"/>
    </row>
    <row r="149" ht="15.75" customHeight="1">
      <c r="G149" s="1"/>
    </row>
    <row r="150" ht="15.75" customHeight="1">
      <c r="G150" s="1"/>
    </row>
    <row r="151" ht="15.75" customHeight="1">
      <c r="G151" s="1"/>
    </row>
    <row r="152" ht="15.75" customHeight="1">
      <c r="G152" s="1"/>
    </row>
    <row r="153" ht="15.75" customHeight="1">
      <c r="G153" s="1"/>
    </row>
    <row r="154" ht="15.75" customHeight="1">
      <c r="G154" s="1"/>
    </row>
    <row r="155" ht="15.75" customHeight="1">
      <c r="G155" s="1"/>
    </row>
    <row r="156" ht="15.75" customHeight="1">
      <c r="G156" s="1"/>
    </row>
    <row r="157" ht="15.75" customHeight="1">
      <c r="G157" s="1"/>
    </row>
    <row r="158" ht="15.75" customHeight="1">
      <c r="G158" s="1"/>
    </row>
    <row r="159" ht="15.75" customHeight="1">
      <c r="G159" s="1"/>
    </row>
    <row r="160" ht="15.75" customHeight="1">
      <c r="G160" s="1"/>
    </row>
    <row r="161" ht="15.75" customHeight="1">
      <c r="G161" s="1"/>
    </row>
    <row r="162" ht="15.75" customHeight="1">
      <c r="G162" s="1"/>
    </row>
    <row r="163" ht="15.75" customHeight="1">
      <c r="G163" s="1"/>
    </row>
    <row r="164" ht="15.75" customHeight="1">
      <c r="G164" s="1"/>
    </row>
    <row r="165" ht="15.75" customHeight="1">
      <c r="G165" s="1"/>
    </row>
    <row r="166" ht="15.75" customHeight="1">
      <c r="G166" s="1"/>
    </row>
    <row r="167" ht="15.75" customHeight="1">
      <c r="G167" s="1"/>
    </row>
    <row r="168" ht="15.75" customHeight="1">
      <c r="G168" s="1"/>
    </row>
    <row r="169" ht="15.75" customHeight="1">
      <c r="G169" s="1"/>
    </row>
    <row r="170" ht="15.75" customHeight="1">
      <c r="G170" s="1"/>
    </row>
    <row r="171" ht="15.75" customHeight="1">
      <c r="G171" s="1"/>
    </row>
    <row r="172" ht="15.75" customHeight="1">
      <c r="G172" s="1"/>
    </row>
    <row r="173" ht="15.75" customHeight="1">
      <c r="G173" s="1"/>
    </row>
    <row r="174" ht="15.75" customHeight="1">
      <c r="G174" s="1"/>
    </row>
    <row r="175" ht="15.75" customHeight="1">
      <c r="G175" s="1"/>
    </row>
    <row r="176" ht="15.75" customHeight="1">
      <c r="G176" s="1"/>
    </row>
    <row r="177" ht="15.75" customHeight="1">
      <c r="G177" s="1"/>
    </row>
    <row r="178" ht="15.75" customHeight="1">
      <c r="G178" s="1"/>
    </row>
    <row r="179" ht="15.75" customHeight="1">
      <c r="G179" s="1"/>
    </row>
    <row r="180" ht="15.75" customHeight="1">
      <c r="G180" s="1"/>
    </row>
    <row r="181" ht="15.75" customHeight="1">
      <c r="G181" s="1"/>
    </row>
    <row r="182" ht="15.75" customHeight="1">
      <c r="G182" s="1"/>
    </row>
    <row r="183" ht="15.75" customHeight="1">
      <c r="G183" s="1"/>
    </row>
    <row r="184" ht="15.75" customHeight="1">
      <c r="G184" s="1"/>
    </row>
    <row r="185" ht="15.75" customHeight="1">
      <c r="G185" s="1"/>
    </row>
    <row r="186" ht="15.75" customHeight="1">
      <c r="G186" s="1"/>
    </row>
    <row r="187" ht="15.75" customHeight="1">
      <c r="G187" s="1"/>
    </row>
    <row r="188" ht="15.75" customHeight="1">
      <c r="G188" s="1"/>
    </row>
    <row r="189" ht="15.75" customHeight="1">
      <c r="G189" s="1"/>
    </row>
    <row r="190" ht="15.75" customHeight="1">
      <c r="G190" s="1"/>
    </row>
    <row r="191" ht="15.75" customHeight="1">
      <c r="G191" s="1"/>
    </row>
    <row r="192" ht="15.75" customHeight="1">
      <c r="G192" s="1"/>
    </row>
    <row r="193" ht="15.75" customHeight="1">
      <c r="G193" s="1"/>
    </row>
    <row r="194" ht="15.75" customHeight="1">
      <c r="G194" s="1"/>
    </row>
    <row r="195" ht="15.75" customHeight="1">
      <c r="G195" s="1"/>
    </row>
    <row r="196" ht="15.75" customHeight="1">
      <c r="G196" s="1"/>
    </row>
    <row r="197" ht="15.75" customHeight="1">
      <c r="G197" s="1"/>
    </row>
    <row r="198" ht="15.75" customHeight="1">
      <c r="G198" s="1"/>
    </row>
    <row r="199" ht="15.75" customHeight="1">
      <c r="G199" s="1"/>
    </row>
    <row r="200" ht="15.75" customHeight="1">
      <c r="G200" s="1"/>
    </row>
    <row r="201" ht="15.75" customHeight="1">
      <c r="G201" s="1"/>
    </row>
    <row r="202" ht="15.75" customHeight="1">
      <c r="G202" s="1"/>
    </row>
    <row r="203" ht="15.75" customHeight="1">
      <c r="G203" s="1"/>
    </row>
    <row r="204" ht="15.75" customHeight="1">
      <c r="G204" s="1"/>
    </row>
    <row r="205" ht="15.75" customHeight="1">
      <c r="G205" s="1"/>
    </row>
    <row r="206" ht="15.75" customHeight="1">
      <c r="G206" s="1"/>
    </row>
    <row r="207" ht="15.75" customHeight="1">
      <c r="G207" s="1"/>
    </row>
    <row r="208" ht="15.75" customHeight="1">
      <c r="G208" s="1"/>
    </row>
    <row r="209" ht="15.75" customHeight="1">
      <c r="G209" s="1"/>
    </row>
    <row r="210" ht="15.75" customHeight="1">
      <c r="G210" s="1"/>
    </row>
    <row r="211" ht="15.75" customHeight="1">
      <c r="G211" s="1"/>
    </row>
    <row r="212" ht="15.75" customHeight="1">
      <c r="G212" s="1"/>
    </row>
    <row r="213" ht="15.75" customHeight="1">
      <c r="G213" s="1"/>
    </row>
    <row r="214" ht="15.75" customHeight="1">
      <c r="G214" s="1"/>
    </row>
    <row r="215" ht="15.75" customHeight="1">
      <c r="G215" s="1"/>
    </row>
    <row r="216" ht="15.75" customHeight="1">
      <c r="G216" s="1"/>
    </row>
    <row r="217" ht="15.75" customHeight="1">
      <c r="G217" s="1"/>
    </row>
    <row r="218" ht="15.75" customHeight="1">
      <c r="G218" s="1"/>
    </row>
    <row r="219" ht="15.75" customHeight="1">
      <c r="G219" s="1"/>
    </row>
    <row r="220" ht="15.75" customHeight="1">
      <c r="G220" s="1"/>
    </row>
    <row r="221" ht="15.75" customHeight="1">
      <c r="G221" s="1"/>
    </row>
    <row r="222" ht="15.75" customHeight="1">
      <c r="G222" s="1"/>
    </row>
    <row r="223" ht="15.75" customHeight="1">
      <c r="G223" s="1"/>
    </row>
    <row r="224" ht="15.75" customHeight="1">
      <c r="G224" s="1"/>
    </row>
    <row r="225" ht="15.75" customHeight="1">
      <c r="G225" s="1"/>
    </row>
    <row r="226" ht="15.75" customHeight="1">
      <c r="G226" s="1"/>
    </row>
    <row r="227" ht="15.75" customHeight="1">
      <c r="G227" s="1"/>
    </row>
    <row r="228" ht="15.75" customHeight="1">
      <c r="G228" s="1"/>
    </row>
    <row r="229" ht="15.75" customHeight="1">
      <c r="G229" s="1"/>
    </row>
    <row r="230" ht="15.75" customHeight="1">
      <c r="G230" s="1"/>
    </row>
    <row r="231" ht="15.75" customHeight="1">
      <c r="G231" s="1"/>
    </row>
    <row r="232" ht="15.75" customHeight="1">
      <c r="G232" s="1"/>
    </row>
    <row r="233" ht="15.75" customHeight="1">
      <c r="G233" s="1"/>
    </row>
    <row r="234" ht="15.75" customHeight="1">
      <c r="G234" s="1"/>
    </row>
    <row r="235" ht="15.75" customHeight="1">
      <c r="G235" s="1"/>
    </row>
    <row r="236" ht="15.75" customHeight="1">
      <c r="G236" s="1"/>
    </row>
    <row r="237" ht="15.75" customHeight="1">
      <c r="G237" s="1"/>
    </row>
    <row r="238" ht="15.75" customHeight="1">
      <c r="G238" s="1"/>
    </row>
    <row r="239" ht="15.75" customHeight="1">
      <c r="G239" s="1"/>
    </row>
    <row r="240" ht="15.75" customHeight="1">
      <c r="G240" s="1"/>
    </row>
    <row r="241" ht="15.75" customHeight="1">
      <c r="G241" s="1"/>
    </row>
    <row r="242" ht="15.75" customHeight="1">
      <c r="G242" s="1"/>
    </row>
    <row r="243" ht="15.75" customHeight="1">
      <c r="G243" s="1"/>
    </row>
    <row r="244" ht="15.75" customHeight="1">
      <c r="G244" s="1"/>
    </row>
    <row r="245" ht="15.75" customHeight="1">
      <c r="G245" s="1"/>
    </row>
    <row r="246" ht="15.75" customHeight="1">
      <c r="G246" s="1"/>
    </row>
    <row r="247" ht="15.75" customHeight="1">
      <c r="G247" s="1"/>
    </row>
    <row r="248" ht="15.75" customHeight="1">
      <c r="G248" s="1"/>
    </row>
    <row r="249" ht="15.75" customHeight="1">
      <c r="G249" s="1"/>
    </row>
    <row r="250" ht="15.75" customHeight="1">
      <c r="G250" s="1"/>
    </row>
    <row r="251" ht="15.75" customHeight="1">
      <c r="G251" s="1"/>
    </row>
    <row r="252" ht="15.75" customHeight="1">
      <c r="G252" s="1"/>
    </row>
    <row r="253" ht="15.75" customHeight="1">
      <c r="G253" s="1"/>
    </row>
    <row r="254" ht="15.75" customHeight="1">
      <c r="G254" s="1"/>
    </row>
    <row r="255" ht="15.75" customHeight="1">
      <c r="G255" s="1"/>
    </row>
    <row r="256" ht="15.75" customHeight="1">
      <c r="G256" s="1"/>
    </row>
    <row r="257" ht="15.75" customHeight="1">
      <c r="G257" s="1"/>
    </row>
    <row r="258" ht="15.75" customHeight="1">
      <c r="G258" s="1"/>
    </row>
    <row r="259" ht="15.75" customHeight="1">
      <c r="G259" s="1"/>
    </row>
    <row r="260" ht="15.75" customHeight="1">
      <c r="G260" s="1"/>
    </row>
    <row r="261" ht="15.75" customHeight="1">
      <c r="G261" s="1"/>
    </row>
    <row r="262" ht="15.75" customHeight="1">
      <c r="G262" s="1"/>
    </row>
    <row r="263" ht="15.75" customHeight="1">
      <c r="G263" s="1"/>
    </row>
    <row r="264" ht="15.75" customHeight="1">
      <c r="G264" s="1"/>
    </row>
    <row r="265" ht="15.75" customHeight="1">
      <c r="G265" s="1"/>
    </row>
    <row r="266" ht="15.75" customHeight="1">
      <c r="G266" s="1"/>
    </row>
    <row r="267" ht="15.75" customHeight="1">
      <c r="G267" s="1"/>
    </row>
    <row r="268" ht="15.75" customHeight="1">
      <c r="G268" s="1"/>
    </row>
    <row r="269" ht="15.75" customHeight="1">
      <c r="G269" s="1"/>
    </row>
    <row r="270" ht="15.75" customHeight="1">
      <c r="G270" s="1"/>
    </row>
    <row r="271" ht="15.75" customHeight="1">
      <c r="G271" s="1"/>
    </row>
    <row r="272" ht="15.75" customHeight="1">
      <c r="G272" s="1"/>
    </row>
    <row r="273" ht="15.75" customHeight="1">
      <c r="G273" s="1"/>
    </row>
    <row r="274" ht="15.75" customHeight="1">
      <c r="G274" s="1"/>
    </row>
    <row r="275" ht="15.75" customHeight="1">
      <c r="G275" s="1"/>
    </row>
    <row r="276" ht="15.75" customHeight="1">
      <c r="G276" s="1"/>
    </row>
    <row r="277" ht="15.75" customHeight="1">
      <c r="G277" s="1"/>
    </row>
    <row r="278" ht="15.75" customHeight="1">
      <c r="G278" s="1"/>
    </row>
    <row r="279" ht="15.75" customHeight="1">
      <c r="G279" s="1"/>
    </row>
    <row r="280" ht="15.75" customHeight="1">
      <c r="G280" s="1"/>
    </row>
    <row r="281" ht="15.75" customHeight="1">
      <c r="G281" s="1"/>
    </row>
    <row r="282" ht="15.75" customHeight="1">
      <c r="G282" s="1"/>
    </row>
    <row r="283" ht="15.75" customHeight="1">
      <c r="G283" s="1"/>
    </row>
    <row r="284" ht="15.75" customHeight="1">
      <c r="G284" s="1"/>
    </row>
    <row r="285" ht="15.75" customHeight="1">
      <c r="G285" s="1"/>
    </row>
    <row r="286" ht="15.75" customHeight="1">
      <c r="G286" s="1"/>
    </row>
    <row r="287" ht="15.75" customHeight="1">
      <c r="G287" s="1"/>
    </row>
    <row r="288" ht="15.75" customHeight="1">
      <c r="G288" s="1"/>
    </row>
    <row r="289" ht="15.75" customHeight="1">
      <c r="G289" s="1"/>
    </row>
    <row r="290" ht="15.75" customHeight="1">
      <c r="G290" s="1"/>
    </row>
    <row r="291" ht="15.75" customHeight="1">
      <c r="G291" s="1"/>
    </row>
    <row r="292" ht="15.75" customHeight="1">
      <c r="G292" s="1"/>
    </row>
    <row r="293" ht="15.75" customHeight="1">
      <c r="G293" s="1"/>
    </row>
    <row r="294" ht="15.75" customHeight="1">
      <c r="G294" s="1"/>
    </row>
    <row r="295" ht="15.75" customHeight="1">
      <c r="G295" s="1"/>
    </row>
    <row r="296" ht="15.75" customHeight="1">
      <c r="G296" s="1"/>
    </row>
    <row r="297" ht="15.75" customHeight="1">
      <c r="G297" s="1"/>
    </row>
    <row r="298" ht="15.75" customHeight="1">
      <c r="G298" s="1"/>
    </row>
    <row r="299" ht="15.75" customHeight="1">
      <c r="G299" s="1"/>
    </row>
    <row r="300" ht="15.75" customHeight="1">
      <c r="G300" s="1"/>
    </row>
    <row r="301" ht="15.75" customHeight="1">
      <c r="G301" s="1"/>
    </row>
    <row r="302" ht="15.75" customHeight="1">
      <c r="G302" s="1"/>
    </row>
    <row r="303" ht="15.75" customHeight="1">
      <c r="G303" s="1"/>
    </row>
    <row r="304" ht="15.75" customHeight="1">
      <c r="G304" s="1"/>
    </row>
    <row r="305" ht="15.75" customHeight="1">
      <c r="G305" s="1"/>
    </row>
    <row r="306" ht="15.75" customHeight="1">
      <c r="G306" s="1"/>
    </row>
    <row r="307" ht="15.75" customHeight="1">
      <c r="G307" s="1"/>
    </row>
    <row r="308" ht="15.75" customHeight="1">
      <c r="G308" s="1"/>
    </row>
    <row r="309" ht="15.75" customHeight="1">
      <c r="G309" s="1"/>
    </row>
    <row r="310" ht="15.75" customHeight="1">
      <c r="G310" s="1"/>
    </row>
    <row r="311" ht="15.75" customHeight="1">
      <c r="G311" s="1"/>
    </row>
    <row r="312" ht="15.75" customHeight="1">
      <c r="G312" s="1"/>
    </row>
    <row r="313" ht="15.75" customHeight="1">
      <c r="G313" s="1"/>
    </row>
    <row r="314" ht="15.75" customHeight="1">
      <c r="G314" s="1"/>
    </row>
    <row r="315" ht="15.75" customHeight="1">
      <c r="G315" s="1"/>
    </row>
    <row r="316" ht="15.75" customHeight="1">
      <c r="G316" s="1"/>
    </row>
    <row r="317" ht="15.75" customHeight="1">
      <c r="G317" s="1"/>
    </row>
    <row r="318" ht="15.75" customHeight="1">
      <c r="G318" s="1"/>
    </row>
    <row r="319" ht="15.75" customHeight="1">
      <c r="G319" s="1"/>
    </row>
    <row r="320" ht="15.75" customHeight="1">
      <c r="G320" s="1"/>
    </row>
    <row r="321" ht="15.75" customHeight="1">
      <c r="G321" s="1"/>
    </row>
    <row r="322" ht="15.75" customHeight="1">
      <c r="G322" s="1"/>
    </row>
    <row r="323" ht="15.75" customHeight="1">
      <c r="G323" s="1"/>
    </row>
    <row r="324" ht="15.75" customHeight="1">
      <c r="G324" s="1"/>
    </row>
    <row r="325" ht="15.75" customHeight="1">
      <c r="G325" s="1"/>
    </row>
    <row r="326" ht="15.75" customHeight="1">
      <c r="G326" s="1"/>
    </row>
    <row r="327" ht="15.75" customHeight="1">
      <c r="G327" s="1"/>
    </row>
    <row r="328" ht="15.75" customHeight="1">
      <c r="G328" s="1"/>
    </row>
    <row r="329" ht="15.75" customHeight="1">
      <c r="G329" s="1"/>
    </row>
    <row r="330" ht="15.75" customHeight="1">
      <c r="G330" s="1"/>
    </row>
    <row r="331" ht="15.75" customHeight="1">
      <c r="G331" s="1"/>
    </row>
    <row r="332" ht="15.75" customHeight="1">
      <c r="G332" s="1"/>
    </row>
    <row r="333" ht="15.75" customHeight="1">
      <c r="G333" s="1"/>
    </row>
    <row r="334" ht="15.75" customHeight="1">
      <c r="G334" s="1"/>
    </row>
    <row r="335" ht="15.75" customHeight="1">
      <c r="G335" s="1"/>
    </row>
    <row r="336" ht="15.75" customHeight="1">
      <c r="G336" s="1"/>
    </row>
    <row r="337" ht="15.75" customHeight="1">
      <c r="G337" s="1"/>
    </row>
    <row r="338" ht="15.75" customHeight="1">
      <c r="G338" s="1"/>
    </row>
    <row r="339" ht="15.75" customHeight="1">
      <c r="G339" s="1"/>
    </row>
    <row r="340" ht="15.75" customHeight="1">
      <c r="G340" s="1"/>
    </row>
    <row r="341" ht="15.75" customHeight="1">
      <c r="G341" s="1"/>
    </row>
    <row r="342" ht="15.75" customHeight="1">
      <c r="G342" s="1"/>
    </row>
    <row r="343" ht="15.75" customHeight="1">
      <c r="G343" s="1"/>
    </row>
    <row r="344" ht="15.75" customHeight="1">
      <c r="G344" s="1"/>
    </row>
    <row r="345" ht="15.75" customHeight="1">
      <c r="G345" s="1"/>
    </row>
    <row r="346" ht="15.75" customHeight="1">
      <c r="G346" s="1"/>
    </row>
    <row r="347" ht="15.75" customHeight="1">
      <c r="G347" s="1"/>
    </row>
    <row r="348" ht="15.75" customHeight="1">
      <c r="G348" s="1"/>
    </row>
    <row r="349" ht="15.75" customHeight="1">
      <c r="G349" s="1"/>
    </row>
    <row r="350" ht="15.75" customHeight="1">
      <c r="G350" s="1"/>
    </row>
    <row r="351" ht="15.75" customHeight="1">
      <c r="G351" s="1"/>
    </row>
    <row r="352" ht="15.75" customHeight="1">
      <c r="G352" s="1"/>
    </row>
    <row r="353" ht="15.75" customHeight="1">
      <c r="G353" s="1"/>
    </row>
    <row r="354" ht="15.75" customHeight="1">
      <c r="G354" s="1"/>
    </row>
    <row r="355" ht="15.75" customHeight="1">
      <c r="G355" s="1"/>
    </row>
    <row r="356" ht="15.75" customHeight="1">
      <c r="G356" s="1"/>
    </row>
    <row r="357" ht="15.75" customHeight="1">
      <c r="G357" s="1"/>
    </row>
    <row r="358" ht="15.75" customHeight="1">
      <c r="G358" s="1"/>
    </row>
    <row r="359" ht="15.75" customHeight="1">
      <c r="G359" s="1"/>
    </row>
    <row r="360" ht="15.75" customHeight="1">
      <c r="G360" s="1"/>
    </row>
    <row r="361" ht="15.75" customHeight="1">
      <c r="G361" s="1"/>
    </row>
    <row r="362" ht="15.75" customHeight="1">
      <c r="G362" s="1"/>
    </row>
    <row r="363" ht="15.75" customHeight="1">
      <c r="G363" s="1"/>
    </row>
    <row r="364" ht="15.75" customHeight="1">
      <c r="G364" s="1"/>
    </row>
    <row r="365" ht="15.75" customHeight="1">
      <c r="G365" s="1"/>
    </row>
    <row r="366" ht="15.75" customHeight="1">
      <c r="G366" s="1"/>
    </row>
    <row r="367" ht="15.75" customHeight="1">
      <c r="G367" s="1"/>
    </row>
    <row r="368" ht="15.75" customHeight="1">
      <c r="G368" s="1"/>
    </row>
    <row r="369" ht="15.75" customHeight="1">
      <c r="G369" s="1"/>
    </row>
    <row r="370" ht="15.75" customHeight="1">
      <c r="G370" s="1"/>
    </row>
    <row r="371" ht="15.75" customHeight="1">
      <c r="G371" s="1"/>
    </row>
    <row r="372" ht="15.75" customHeight="1">
      <c r="G372" s="1"/>
    </row>
    <row r="373" ht="15.75" customHeight="1">
      <c r="G373" s="1"/>
    </row>
    <row r="374" ht="15.75" customHeight="1">
      <c r="G374" s="1"/>
    </row>
    <row r="375" ht="15.75" customHeight="1">
      <c r="G375" s="1"/>
    </row>
    <row r="376" ht="15.75" customHeight="1">
      <c r="G376" s="1"/>
    </row>
    <row r="377" ht="15.75" customHeight="1">
      <c r="G377" s="1"/>
    </row>
    <row r="378" ht="15.75" customHeight="1">
      <c r="G378" s="1"/>
    </row>
    <row r="379" ht="15.75" customHeight="1">
      <c r="G379" s="1"/>
    </row>
    <row r="380" ht="15.75" customHeight="1">
      <c r="G380" s="1"/>
    </row>
    <row r="381" ht="15.75" customHeight="1">
      <c r="G381" s="1"/>
    </row>
    <row r="382" ht="15.75" customHeight="1">
      <c r="G382" s="1"/>
    </row>
    <row r="383" ht="15.75" customHeight="1">
      <c r="G383" s="1"/>
    </row>
    <row r="384" ht="15.75" customHeight="1">
      <c r="G384" s="1"/>
    </row>
    <row r="385" ht="15.75" customHeight="1">
      <c r="G385" s="1"/>
    </row>
    <row r="386" ht="15.75" customHeight="1">
      <c r="G386" s="1"/>
    </row>
    <row r="387" ht="15.75" customHeight="1">
      <c r="G387" s="1"/>
    </row>
    <row r="388" ht="15.75" customHeight="1">
      <c r="G388" s="1"/>
    </row>
    <row r="389" ht="15.75" customHeight="1">
      <c r="G389" s="1"/>
    </row>
    <row r="390" ht="15.75" customHeight="1">
      <c r="G390" s="1"/>
    </row>
    <row r="391" ht="15.75" customHeight="1">
      <c r="G391" s="1"/>
    </row>
    <row r="392" ht="15.75" customHeight="1">
      <c r="G392" s="1"/>
    </row>
    <row r="393" ht="15.75" customHeight="1">
      <c r="G393" s="1"/>
    </row>
    <row r="394" ht="15.75" customHeight="1">
      <c r="G394" s="1"/>
    </row>
    <row r="395" ht="15.75" customHeight="1">
      <c r="G395" s="1"/>
    </row>
    <row r="396" ht="15.75" customHeight="1">
      <c r="G396" s="1"/>
    </row>
    <row r="397" ht="15.75" customHeight="1">
      <c r="G397" s="1"/>
    </row>
    <row r="398" ht="15.75" customHeight="1">
      <c r="G398" s="1"/>
    </row>
    <row r="399" ht="15.75" customHeight="1">
      <c r="G399" s="1"/>
    </row>
    <row r="400" ht="15.75" customHeight="1">
      <c r="G400" s="1"/>
    </row>
    <row r="401" ht="15.75" customHeight="1">
      <c r="G401" s="1"/>
    </row>
    <row r="402" ht="15.75" customHeight="1">
      <c r="G402" s="1"/>
    </row>
    <row r="403" ht="15.75" customHeight="1">
      <c r="G403" s="1"/>
    </row>
    <row r="404" ht="15.75" customHeight="1">
      <c r="G404" s="1"/>
    </row>
    <row r="405" ht="15.75" customHeight="1">
      <c r="G405" s="1"/>
    </row>
    <row r="406" ht="15.75" customHeight="1">
      <c r="G406" s="1"/>
    </row>
    <row r="407" ht="15.75" customHeight="1">
      <c r="G407" s="1"/>
    </row>
    <row r="408" ht="15.75" customHeight="1">
      <c r="G408" s="1"/>
    </row>
    <row r="409" ht="15.75" customHeight="1">
      <c r="G409" s="1"/>
    </row>
    <row r="410" ht="15.75" customHeight="1">
      <c r="G410" s="1"/>
    </row>
    <row r="411" ht="15.75" customHeight="1">
      <c r="G411" s="1"/>
    </row>
    <row r="412" ht="15.75" customHeight="1">
      <c r="G412" s="1"/>
    </row>
    <row r="413" ht="15.75" customHeight="1">
      <c r="G413" s="1"/>
    </row>
    <row r="414" ht="15.75" customHeight="1">
      <c r="G414" s="1"/>
    </row>
    <row r="415" ht="15.75" customHeight="1">
      <c r="G415" s="1"/>
    </row>
    <row r="416" ht="15.75" customHeight="1">
      <c r="G416" s="1"/>
    </row>
    <row r="417" ht="15.75" customHeight="1">
      <c r="G417" s="1"/>
    </row>
    <row r="418" ht="15.75" customHeight="1">
      <c r="G418" s="1"/>
    </row>
    <row r="419" ht="15.75" customHeight="1">
      <c r="G419" s="1"/>
    </row>
    <row r="420" ht="15.75" customHeight="1">
      <c r="G420" s="1"/>
    </row>
    <row r="421" ht="15.75" customHeight="1">
      <c r="G421" s="1"/>
    </row>
    <row r="422" ht="15.75" customHeight="1">
      <c r="G422" s="1"/>
    </row>
    <row r="423" ht="15.75" customHeight="1">
      <c r="G423" s="1"/>
    </row>
    <row r="424" ht="15.75" customHeight="1">
      <c r="G424" s="1"/>
    </row>
    <row r="425" ht="15.75" customHeight="1">
      <c r="G425" s="1"/>
    </row>
    <row r="426" ht="15.75" customHeight="1">
      <c r="G426" s="1"/>
    </row>
    <row r="427" ht="15.75" customHeight="1">
      <c r="G427" s="1"/>
    </row>
    <row r="428" ht="15.75" customHeight="1">
      <c r="G428" s="1"/>
    </row>
    <row r="429" ht="15.75" customHeight="1">
      <c r="G429" s="1"/>
    </row>
    <row r="430" ht="15.75" customHeight="1">
      <c r="G430" s="1"/>
    </row>
    <row r="431" ht="15.75" customHeight="1">
      <c r="G431" s="1"/>
    </row>
    <row r="432" ht="15.75" customHeight="1">
      <c r="G432" s="1"/>
    </row>
    <row r="433" ht="15.75" customHeight="1">
      <c r="G433" s="1"/>
    </row>
    <row r="434" ht="15.75" customHeight="1">
      <c r="G434" s="1"/>
    </row>
    <row r="435" ht="15.75" customHeight="1">
      <c r="G435" s="1"/>
    </row>
    <row r="436" ht="15.75" customHeight="1">
      <c r="G436" s="1"/>
    </row>
    <row r="437" ht="15.75" customHeight="1">
      <c r="G437" s="1"/>
    </row>
    <row r="438" ht="15.75" customHeight="1">
      <c r="G438" s="1"/>
    </row>
    <row r="439" ht="15.75" customHeight="1">
      <c r="G439" s="1"/>
    </row>
    <row r="440" ht="15.75" customHeight="1">
      <c r="G440" s="1"/>
    </row>
    <row r="441" ht="15.75" customHeight="1">
      <c r="G441" s="1"/>
    </row>
    <row r="442" ht="15.75" customHeight="1">
      <c r="G442" s="1"/>
    </row>
    <row r="443" ht="15.75" customHeight="1">
      <c r="G443" s="1"/>
    </row>
    <row r="444" ht="15.75" customHeight="1">
      <c r="G444" s="1"/>
    </row>
    <row r="445" ht="15.75" customHeight="1">
      <c r="G445" s="1"/>
    </row>
    <row r="446" ht="15.75" customHeight="1">
      <c r="G446" s="1"/>
    </row>
    <row r="447" ht="15.75" customHeight="1">
      <c r="G447" s="1"/>
    </row>
    <row r="448" ht="15.75" customHeight="1">
      <c r="G448" s="1"/>
    </row>
    <row r="449" ht="15.75" customHeight="1">
      <c r="G449" s="1"/>
    </row>
    <row r="450" ht="15.75" customHeight="1">
      <c r="G450" s="1"/>
    </row>
    <row r="451" ht="15.75" customHeight="1">
      <c r="G451" s="1"/>
    </row>
    <row r="452" ht="15.75" customHeight="1">
      <c r="G452" s="1"/>
    </row>
    <row r="453" ht="15.75" customHeight="1">
      <c r="G453" s="1"/>
    </row>
    <row r="454" ht="15.75" customHeight="1">
      <c r="G454" s="1"/>
    </row>
    <row r="455" ht="15.75" customHeight="1">
      <c r="G455" s="1"/>
    </row>
    <row r="456" ht="15.75" customHeight="1">
      <c r="G456" s="1"/>
    </row>
    <row r="457" ht="15.75" customHeight="1">
      <c r="G457" s="1"/>
    </row>
    <row r="458" ht="15.75" customHeight="1">
      <c r="G458" s="1"/>
    </row>
    <row r="459" ht="15.75" customHeight="1">
      <c r="G459" s="1"/>
    </row>
    <row r="460" ht="15.75" customHeight="1">
      <c r="G460" s="1"/>
    </row>
    <row r="461" ht="15.75" customHeight="1">
      <c r="G461" s="1"/>
    </row>
    <row r="462" ht="15.75" customHeight="1">
      <c r="G462" s="1"/>
    </row>
    <row r="463" ht="15.75" customHeight="1">
      <c r="G463" s="1"/>
    </row>
    <row r="464" ht="15.75" customHeight="1">
      <c r="G464" s="1"/>
    </row>
    <row r="465" ht="15.75" customHeight="1">
      <c r="G465" s="1"/>
    </row>
    <row r="466" ht="15.75" customHeight="1">
      <c r="G466" s="1"/>
    </row>
    <row r="467" ht="15.75" customHeight="1">
      <c r="G467" s="1"/>
    </row>
    <row r="468" ht="15.75" customHeight="1">
      <c r="G468" s="1"/>
    </row>
    <row r="469" ht="15.75" customHeight="1">
      <c r="G469" s="1"/>
    </row>
    <row r="470" ht="15.75" customHeight="1">
      <c r="G470" s="1"/>
    </row>
    <row r="471" ht="15.75" customHeight="1">
      <c r="G471" s="1"/>
    </row>
    <row r="472" ht="15.75" customHeight="1">
      <c r="G472" s="1"/>
    </row>
    <row r="473" ht="15.75" customHeight="1">
      <c r="G473" s="1"/>
    </row>
    <row r="474" ht="15.75" customHeight="1">
      <c r="G474" s="1"/>
    </row>
    <row r="475" ht="15.75" customHeight="1">
      <c r="G475" s="1"/>
    </row>
    <row r="476" ht="15.75" customHeight="1">
      <c r="G476" s="1"/>
    </row>
    <row r="477" ht="15.75" customHeight="1">
      <c r="G477" s="1"/>
    </row>
    <row r="478" ht="15.75" customHeight="1">
      <c r="G478" s="1"/>
    </row>
    <row r="479" ht="15.75" customHeight="1">
      <c r="G479" s="1"/>
    </row>
    <row r="480" ht="15.75" customHeight="1">
      <c r="G480" s="1"/>
    </row>
    <row r="481" ht="15.75" customHeight="1">
      <c r="G481" s="1"/>
    </row>
    <row r="482" ht="15.75" customHeight="1">
      <c r="G482" s="1"/>
    </row>
    <row r="483" ht="15.75" customHeight="1">
      <c r="G483" s="1"/>
    </row>
    <row r="484" ht="15.75" customHeight="1">
      <c r="G484" s="1"/>
    </row>
    <row r="485" ht="15.75" customHeight="1">
      <c r="G485" s="1"/>
    </row>
    <row r="486" ht="15.75" customHeight="1">
      <c r="G486" s="1"/>
    </row>
    <row r="487" ht="15.75" customHeight="1">
      <c r="G487" s="1"/>
    </row>
    <row r="488" ht="15.75" customHeight="1">
      <c r="G488" s="1"/>
    </row>
    <row r="489" ht="15.75" customHeight="1">
      <c r="G489" s="1"/>
    </row>
    <row r="490" ht="15.75" customHeight="1">
      <c r="G490" s="1"/>
    </row>
    <row r="491" ht="15.75" customHeight="1">
      <c r="G491" s="1"/>
    </row>
    <row r="492" ht="15.75" customHeight="1">
      <c r="G492" s="1"/>
    </row>
    <row r="493" ht="15.75" customHeight="1">
      <c r="G493" s="1"/>
    </row>
    <row r="494" ht="15.75" customHeight="1">
      <c r="G494" s="1"/>
    </row>
    <row r="495" ht="15.75" customHeight="1">
      <c r="G495" s="1"/>
    </row>
    <row r="496" ht="15.75" customHeight="1">
      <c r="G496" s="1"/>
    </row>
    <row r="497" ht="15.75" customHeight="1">
      <c r="G497" s="1"/>
    </row>
    <row r="498" ht="15.75" customHeight="1">
      <c r="G498" s="1"/>
    </row>
    <row r="499" ht="15.75" customHeight="1">
      <c r="G499" s="1"/>
    </row>
    <row r="500" ht="15.75" customHeight="1">
      <c r="G500" s="1"/>
    </row>
    <row r="501" ht="15.75" customHeight="1">
      <c r="G501" s="1"/>
    </row>
    <row r="502" ht="15.75" customHeight="1">
      <c r="G502" s="1"/>
    </row>
    <row r="503" ht="15.75" customHeight="1">
      <c r="G503" s="1"/>
    </row>
    <row r="504" ht="15.75" customHeight="1">
      <c r="G504" s="1"/>
    </row>
    <row r="505" ht="15.75" customHeight="1">
      <c r="G505" s="1"/>
    </row>
    <row r="506" ht="15.75" customHeight="1">
      <c r="G506" s="1"/>
    </row>
    <row r="507" ht="15.75" customHeight="1">
      <c r="G507" s="1"/>
    </row>
    <row r="508" ht="15.75" customHeight="1">
      <c r="G508" s="1"/>
    </row>
    <row r="509" ht="15.75" customHeight="1">
      <c r="G509" s="1"/>
    </row>
    <row r="510" ht="15.75" customHeight="1">
      <c r="G510" s="1"/>
    </row>
    <row r="511" ht="15.75" customHeight="1">
      <c r="G511" s="1"/>
    </row>
    <row r="512" ht="15.75" customHeight="1">
      <c r="G512" s="1"/>
    </row>
    <row r="513" ht="15.75" customHeight="1">
      <c r="G513" s="1"/>
    </row>
    <row r="514" ht="15.75" customHeight="1">
      <c r="G514" s="1"/>
    </row>
    <row r="515" ht="15.75" customHeight="1">
      <c r="G515" s="1"/>
    </row>
    <row r="516" ht="15.75" customHeight="1">
      <c r="G516" s="1"/>
    </row>
    <row r="517" ht="15.75" customHeight="1">
      <c r="G517" s="1"/>
    </row>
    <row r="518" ht="15.75" customHeight="1">
      <c r="G518" s="1"/>
    </row>
    <row r="519" ht="15.75" customHeight="1">
      <c r="G519" s="1"/>
    </row>
    <row r="520" ht="15.75" customHeight="1">
      <c r="G520" s="1"/>
    </row>
    <row r="521" ht="15.75" customHeight="1">
      <c r="G521" s="1"/>
    </row>
    <row r="522" ht="15.75" customHeight="1">
      <c r="G522" s="1"/>
    </row>
    <row r="523" ht="15.75" customHeight="1">
      <c r="G523" s="1"/>
    </row>
    <row r="524" ht="15.75" customHeight="1">
      <c r="G524" s="1"/>
    </row>
    <row r="525" ht="15.75" customHeight="1">
      <c r="G525" s="1"/>
    </row>
    <row r="526" ht="15.75" customHeight="1">
      <c r="G526" s="1"/>
    </row>
    <row r="527" ht="15.75" customHeight="1">
      <c r="G527" s="1"/>
    </row>
    <row r="528" ht="15.75" customHeight="1">
      <c r="G528" s="1"/>
    </row>
    <row r="529" ht="15.75" customHeight="1">
      <c r="G529" s="1"/>
    </row>
    <row r="530" ht="15.75" customHeight="1">
      <c r="G530" s="1"/>
    </row>
    <row r="531" ht="15.75" customHeight="1">
      <c r="G531" s="1"/>
    </row>
    <row r="532" ht="15.75" customHeight="1">
      <c r="G532" s="1"/>
    </row>
    <row r="533" ht="15.75" customHeight="1">
      <c r="G533" s="1"/>
    </row>
    <row r="534" ht="15.75" customHeight="1">
      <c r="G534" s="1"/>
    </row>
    <row r="535" ht="15.75" customHeight="1">
      <c r="G535" s="1"/>
    </row>
    <row r="536" ht="15.75" customHeight="1">
      <c r="G536" s="1"/>
    </row>
    <row r="537" ht="15.75" customHeight="1">
      <c r="G537" s="1"/>
    </row>
    <row r="538" ht="15.75" customHeight="1">
      <c r="G538" s="1"/>
    </row>
    <row r="539" ht="15.75" customHeight="1">
      <c r="G539" s="1"/>
    </row>
    <row r="540" ht="15.75" customHeight="1">
      <c r="G540" s="1"/>
    </row>
    <row r="541" ht="15.75" customHeight="1">
      <c r="G541" s="1"/>
    </row>
    <row r="542" ht="15.75" customHeight="1">
      <c r="G542" s="1"/>
    </row>
    <row r="543" ht="15.75" customHeight="1">
      <c r="G543" s="1"/>
    </row>
    <row r="544" ht="15.75" customHeight="1">
      <c r="G544" s="1"/>
    </row>
    <row r="545" ht="15.75" customHeight="1">
      <c r="G545" s="1"/>
    </row>
    <row r="546" ht="15.75" customHeight="1">
      <c r="G546" s="1"/>
    </row>
    <row r="547" ht="15.75" customHeight="1">
      <c r="G547" s="1"/>
    </row>
    <row r="548" ht="15.75" customHeight="1">
      <c r="G548" s="1"/>
    </row>
    <row r="549" ht="15.75" customHeight="1">
      <c r="G549" s="1"/>
    </row>
    <row r="550" ht="15.75" customHeight="1">
      <c r="G550" s="1"/>
    </row>
    <row r="551" ht="15.75" customHeight="1">
      <c r="G551" s="1"/>
    </row>
    <row r="552" ht="15.75" customHeight="1">
      <c r="G552" s="1"/>
    </row>
    <row r="553" ht="15.75" customHeight="1">
      <c r="G553" s="1"/>
    </row>
    <row r="554" ht="15.75" customHeight="1">
      <c r="G554" s="1"/>
    </row>
    <row r="555" ht="15.75" customHeight="1">
      <c r="G555" s="1"/>
    </row>
    <row r="556" ht="15.75" customHeight="1">
      <c r="G556" s="1"/>
    </row>
    <row r="557" ht="15.75" customHeight="1">
      <c r="G557" s="1"/>
    </row>
    <row r="558" ht="15.75" customHeight="1">
      <c r="G558" s="1"/>
    </row>
    <row r="559" ht="15.75" customHeight="1">
      <c r="G559" s="1"/>
    </row>
    <row r="560" ht="15.75" customHeight="1">
      <c r="G560" s="1"/>
    </row>
    <row r="561" ht="15.75" customHeight="1">
      <c r="G561" s="1"/>
    </row>
    <row r="562" ht="15.75" customHeight="1">
      <c r="G562" s="1"/>
    </row>
    <row r="563" ht="15.75" customHeight="1">
      <c r="G563" s="1"/>
    </row>
    <row r="564" ht="15.75" customHeight="1">
      <c r="G564" s="1"/>
    </row>
    <row r="565" ht="15.75" customHeight="1">
      <c r="G565" s="1"/>
    </row>
    <row r="566" ht="15.75" customHeight="1">
      <c r="G566" s="1"/>
    </row>
    <row r="567" ht="15.75" customHeight="1">
      <c r="G567" s="1"/>
    </row>
    <row r="568" ht="15.75" customHeight="1">
      <c r="G568" s="1"/>
    </row>
    <row r="569" ht="15.75" customHeight="1">
      <c r="G569" s="1"/>
    </row>
    <row r="570" ht="15.75" customHeight="1">
      <c r="G570" s="1"/>
    </row>
    <row r="571" ht="15.75" customHeight="1">
      <c r="G571" s="1"/>
    </row>
    <row r="572" ht="15.75" customHeight="1">
      <c r="G572" s="1"/>
    </row>
    <row r="573" ht="15.75" customHeight="1">
      <c r="G573" s="1"/>
    </row>
    <row r="574" ht="15.75" customHeight="1">
      <c r="G574" s="1"/>
    </row>
    <row r="575" ht="15.75" customHeight="1">
      <c r="G575" s="1"/>
    </row>
    <row r="576" ht="15.75" customHeight="1">
      <c r="G576" s="1"/>
    </row>
    <row r="577" ht="15.75" customHeight="1">
      <c r="G577" s="1"/>
    </row>
    <row r="578" ht="15.75" customHeight="1">
      <c r="G578" s="1"/>
    </row>
    <row r="579" ht="15.75" customHeight="1">
      <c r="G579" s="1"/>
    </row>
    <row r="580" ht="15.75" customHeight="1">
      <c r="G580" s="1"/>
    </row>
    <row r="581" ht="15.75" customHeight="1">
      <c r="G581" s="1"/>
    </row>
    <row r="582" ht="15.75" customHeight="1">
      <c r="G582" s="1"/>
    </row>
    <row r="583" ht="15.75" customHeight="1">
      <c r="G583" s="1"/>
    </row>
    <row r="584" ht="15.75" customHeight="1">
      <c r="G584" s="1"/>
    </row>
    <row r="585" ht="15.75" customHeight="1">
      <c r="G585" s="1"/>
    </row>
    <row r="586" ht="15.75" customHeight="1">
      <c r="G586" s="1"/>
    </row>
    <row r="587" ht="15.75" customHeight="1">
      <c r="G587" s="1"/>
    </row>
    <row r="588" ht="15.75" customHeight="1">
      <c r="G588" s="1"/>
    </row>
    <row r="589" ht="15.75" customHeight="1">
      <c r="G589" s="1"/>
    </row>
    <row r="590" ht="15.75" customHeight="1">
      <c r="G590" s="1"/>
    </row>
    <row r="591" ht="15.75" customHeight="1">
      <c r="G591" s="1"/>
    </row>
    <row r="592" ht="15.75" customHeight="1">
      <c r="G592" s="1"/>
    </row>
    <row r="593" ht="15.75" customHeight="1">
      <c r="G593" s="1"/>
    </row>
    <row r="594" ht="15.75" customHeight="1">
      <c r="G594" s="1"/>
    </row>
    <row r="595" ht="15.75" customHeight="1">
      <c r="G595" s="1"/>
    </row>
    <row r="596" ht="15.75" customHeight="1">
      <c r="G596" s="1"/>
    </row>
    <row r="597" ht="15.75" customHeight="1">
      <c r="G597" s="1"/>
    </row>
    <row r="598" ht="15.75" customHeight="1">
      <c r="G598" s="1"/>
    </row>
    <row r="599" ht="15.75" customHeight="1">
      <c r="G599" s="1"/>
    </row>
    <row r="600" ht="15.75" customHeight="1">
      <c r="G600" s="1"/>
    </row>
    <row r="601" ht="15.75" customHeight="1">
      <c r="G601" s="1"/>
    </row>
    <row r="602" ht="15.75" customHeight="1">
      <c r="G602" s="1"/>
    </row>
    <row r="603" ht="15.75" customHeight="1">
      <c r="G603" s="1"/>
    </row>
    <row r="604" ht="15.75" customHeight="1">
      <c r="G604" s="1"/>
    </row>
    <row r="605" ht="15.75" customHeight="1">
      <c r="G605" s="1"/>
    </row>
    <row r="606" ht="15.75" customHeight="1">
      <c r="G606" s="1"/>
    </row>
    <row r="607" ht="15.75" customHeight="1">
      <c r="G607" s="1"/>
    </row>
    <row r="608" ht="15.75" customHeight="1">
      <c r="G608" s="1"/>
    </row>
    <row r="609" ht="15.75" customHeight="1">
      <c r="G609" s="1"/>
    </row>
    <row r="610" ht="15.75" customHeight="1">
      <c r="G610" s="1"/>
    </row>
    <row r="611" ht="15.75" customHeight="1">
      <c r="G611" s="1"/>
    </row>
    <row r="612" ht="15.75" customHeight="1">
      <c r="G612" s="1"/>
    </row>
    <row r="613" ht="15.75" customHeight="1">
      <c r="G613" s="1"/>
    </row>
    <row r="614" ht="15.75" customHeight="1">
      <c r="G614" s="1"/>
    </row>
    <row r="615" ht="15.75" customHeight="1">
      <c r="G615" s="1"/>
    </row>
    <row r="616" ht="15.75" customHeight="1">
      <c r="G616" s="1"/>
    </row>
    <row r="617" ht="15.75" customHeight="1">
      <c r="G617" s="1"/>
    </row>
    <row r="618" ht="15.75" customHeight="1">
      <c r="G618" s="1"/>
    </row>
    <row r="619" ht="15.75" customHeight="1">
      <c r="G619" s="1"/>
    </row>
    <row r="620" ht="15.75" customHeight="1">
      <c r="G620" s="1"/>
    </row>
    <row r="621" ht="15.75" customHeight="1">
      <c r="G621" s="1"/>
    </row>
    <row r="622" ht="15.75" customHeight="1">
      <c r="G622" s="1"/>
    </row>
    <row r="623" ht="15.75" customHeight="1">
      <c r="G623" s="1"/>
    </row>
    <row r="624" ht="15.75" customHeight="1">
      <c r="G624" s="1"/>
    </row>
    <row r="625" ht="15.75" customHeight="1">
      <c r="G625" s="1"/>
    </row>
    <row r="626" ht="15.75" customHeight="1">
      <c r="G626" s="1"/>
    </row>
    <row r="627" ht="15.75" customHeight="1">
      <c r="G627" s="1"/>
    </row>
    <row r="628" ht="15.75" customHeight="1">
      <c r="G628" s="1"/>
    </row>
    <row r="629" ht="15.75" customHeight="1">
      <c r="G629" s="1"/>
    </row>
    <row r="630" ht="15.75" customHeight="1">
      <c r="G630" s="1"/>
    </row>
    <row r="631" ht="15.75" customHeight="1">
      <c r="G631" s="1"/>
    </row>
    <row r="632" ht="15.75" customHeight="1">
      <c r="G632" s="1"/>
    </row>
    <row r="633" ht="15.75" customHeight="1">
      <c r="G633" s="1"/>
    </row>
    <row r="634" ht="15.75" customHeight="1">
      <c r="G634" s="1"/>
    </row>
    <row r="635" ht="15.75" customHeight="1">
      <c r="G635" s="1"/>
    </row>
    <row r="636" ht="15.75" customHeight="1">
      <c r="G636" s="1"/>
    </row>
    <row r="637" ht="15.75" customHeight="1">
      <c r="G637" s="1"/>
    </row>
    <row r="638" ht="15.75" customHeight="1">
      <c r="G638" s="1"/>
    </row>
    <row r="639" ht="15.75" customHeight="1">
      <c r="G639" s="1"/>
    </row>
    <row r="640" ht="15.75" customHeight="1">
      <c r="G640" s="1"/>
    </row>
    <row r="641" ht="15.75" customHeight="1">
      <c r="G641" s="1"/>
    </row>
    <row r="642" ht="15.75" customHeight="1">
      <c r="G642" s="1"/>
    </row>
    <row r="643" ht="15.75" customHeight="1">
      <c r="G643" s="1"/>
    </row>
    <row r="644" ht="15.75" customHeight="1">
      <c r="G644" s="1"/>
    </row>
    <row r="645" ht="15.75" customHeight="1">
      <c r="G645" s="1"/>
    </row>
    <row r="646" ht="15.75" customHeight="1">
      <c r="G646" s="1"/>
    </row>
    <row r="647" ht="15.75" customHeight="1">
      <c r="G647" s="1"/>
    </row>
    <row r="648" ht="15.75" customHeight="1">
      <c r="G648" s="1"/>
    </row>
    <row r="649" ht="15.75" customHeight="1">
      <c r="G649" s="1"/>
    </row>
    <row r="650" ht="15.75" customHeight="1">
      <c r="G650" s="1"/>
    </row>
    <row r="651" ht="15.75" customHeight="1">
      <c r="G651" s="1"/>
    </row>
    <row r="652" ht="15.75" customHeight="1">
      <c r="G652" s="1"/>
    </row>
    <row r="653" ht="15.75" customHeight="1">
      <c r="G653" s="1"/>
    </row>
    <row r="654" ht="15.75" customHeight="1">
      <c r="G654" s="1"/>
    </row>
    <row r="655" ht="15.75" customHeight="1">
      <c r="G655" s="1"/>
    </row>
    <row r="656" ht="15.75" customHeight="1">
      <c r="G656" s="1"/>
    </row>
    <row r="657" ht="15.75" customHeight="1">
      <c r="G657" s="1"/>
    </row>
    <row r="658" ht="15.75" customHeight="1">
      <c r="G658" s="1"/>
    </row>
    <row r="659" ht="15.75" customHeight="1">
      <c r="G659" s="1"/>
    </row>
    <row r="660" ht="15.75" customHeight="1">
      <c r="G660" s="1"/>
    </row>
    <row r="661" ht="15.75" customHeight="1">
      <c r="G661" s="1"/>
    </row>
    <row r="662" ht="15.75" customHeight="1">
      <c r="G662" s="1"/>
    </row>
    <row r="663" ht="15.75" customHeight="1">
      <c r="G663" s="1"/>
    </row>
    <row r="664" ht="15.75" customHeight="1">
      <c r="G664" s="1"/>
    </row>
    <row r="665" ht="15.75" customHeight="1">
      <c r="G665" s="1"/>
    </row>
    <row r="666" ht="15.75" customHeight="1">
      <c r="G666" s="1"/>
    </row>
    <row r="667" ht="15.75" customHeight="1">
      <c r="G667" s="1"/>
    </row>
    <row r="668" ht="15.75" customHeight="1">
      <c r="G668" s="1"/>
    </row>
    <row r="669" ht="15.75" customHeight="1">
      <c r="G669" s="1"/>
    </row>
    <row r="670" ht="15.75" customHeight="1">
      <c r="G670" s="1"/>
    </row>
    <row r="671" ht="15.75" customHeight="1">
      <c r="G671" s="1"/>
    </row>
    <row r="672" ht="15.75" customHeight="1">
      <c r="G672" s="1"/>
    </row>
    <row r="673" ht="15.75" customHeight="1">
      <c r="G673" s="1"/>
    </row>
    <row r="674" ht="15.75" customHeight="1">
      <c r="G674" s="1"/>
    </row>
    <row r="675" ht="15.75" customHeight="1">
      <c r="G675" s="1"/>
    </row>
    <row r="676" ht="15.75" customHeight="1">
      <c r="G676" s="1"/>
    </row>
    <row r="677" ht="15.75" customHeight="1">
      <c r="G677" s="1"/>
    </row>
    <row r="678" ht="15.75" customHeight="1">
      <c r="G678" s="1"/>
    </row>
    <row r="679" ht="15.75" customHeight="1">
      <c r="G679" s="1"/>
    </row>
    <row r="680" ht="15.75" customHeight="1">
      <c r="G680" s="1"/>
    </row>
    <row r="681" ht="15.75" customHeight="1">
      <c r="G681" s="1"/>
    </row>
    <row r="682" ht="15.75" customHeight="1">
      <c r="G682" s="1"/>
    </row>
    <row r="683" ht="15.75" customHeight="1">
      <c r="G683" s="1"/>
    </row>
    <row r="684" ht="15.75" customHeight="1">
      <c r="G684" s="1"/>
    </row>
    <row r="685" ht="15.75" customHeight="1">
      <c r="G685" s="1"/>
    </row>
    <row r="686" ht="15.75" customHeight="1">
      <c r="G686" s="1"/>
    </row>
    <row r="687" ht="15.75" customHeight="1">
      <c r="G687" s="1"/>
    </row>
    <row r="688" ht="15.75" customHeight="1">
      <c r="G688" s="1"/>
    </row>
    <row r="689" ht="15.75" customHeight="1">
      <c r="G689" s="1"/>
    </row>
    <row r="690" ht="15.75" customHeight="1">
      <c r="G690" s="1"/>
    </row>
    <row r="691" ht="15.75" customHeight="1">
      <c r="G691" s="1"/>
    </row>
    <row r="692" ht="15.75" customHeight="1">
      <c r="G692" s="1"/>
    </row>
    <row r="693" ht="15.75" customHeight="1">
      <c r="G693" s="1"/>
    </row>
    <row r="694" ht="15.75" customHeight="1">
      <c r="G694" s="1"/>
    </row>
    <row r="695" ht="15.75" customHeight="1">
      <c r="G695" s="1"/>
    </row>
    <row r="696" ht="15.75" customHeight="1">
      <c r="G696" s="1"/>
    </row>
    <row r="697" ht="15.75" customHeight="1">
      <c r="G697" s="1"/>
    </row>
    <row r="698" ht="15.75" customHeight="1">
      <c r="G698" s="1"/>
    </row>
    <row r="699" ht="15.75" customHeight="1">
      <c r="G699" s="1"/>
    </row>
    <row r="700" ht="15.75" customHeight="1">
      <c r="G700" s="1"/>
    </row>
    <row r="701" ht="15.75" customHeight="1">
      <c r="G701" s="1"/>
    </row>
    <row r="702" ht="15.75" customHeight="1">
      <c r="G702" s="1"/>
    </row>
    <row r="703" ht="15.75" customHeight="1">
      <c r="G703" s="1"/>
    </row>
    <row r="704" ht="15.75" customHeight="1">
      <c r="G704" s="1"/>
    </row>
    <row r="705" ht="15.75" customHeight="1">
      <c r="G705" s="1"/>
    </row>
    <row r="706" ht="15.75" customHeight="1">
      <c r="G706" s="1"/>
    </row>
    <row r="707" ht="15.75" customHeight="1">
      <c r="G707" s="1"/>
    </row>
    <row r="708" ht="15.75" customHeight="1">
      <c r="G708" s="1"/>
    </row>
    <row r="709" ht="15.75" customHeight="1">
      <c r="G709" s="1"/>
    </row>
    <row r="710" ht="15.75" customHeight="1">
      <c r="G710" s="1"/>
    </row>
    <row r="711" ht="15.75" customHeight="1">
      <c r="G711" s="1"/>
    </row>
    <row r="712" ht="15.75" customHeight="1">
      <c r="G712" s="1"/>
    </row>
    <row r="713" ht="15.75" customHeight="1">
      <c r="G713" s="1"/>
    </row>
    <row r="714" ht="15.75" customHeight="1">
      <c r="G714" s="1"/>
    </row>
    <row r="715" ht="15.75" customHeight="1">
      <c r="G715" s="1"/>
    </row>
    <row r="716" ht="15.75" customHeight="1">
      <c r="G716" s="1"/>
    </row>
    <row r="717" ht="15.75" customHeight="1">
      <c r="G717" s="1"/>
    </row>
    <row r="718" ht="15.75" customHeight="1">
      <c r="G718" s="1"/>
    </row>
    <row r="719" ht="15.75" customHeight="1">
      <c r="G719" s="1"/>
    </row>
    <row r="720" ht="15.75" customHeight="1">
      <c r="G720" s="1"/>
    </row>
    <row r="721" ht="15.75" customHeight="1">
      <c r="G721" s="1"/>
    </row>
    <row r="722" ht="15.75" customHeight="1">
      <c r="G722" s="1"/>
    </row>
    <row r="723" ht="15.75" customHeight="1">
      <c r="G723" s="1"/>
    </row>
    <row r="724" ht="15.75" customHeight="1">
      <c r="G724" s="1"/>
    </row>
    <row r="725" ht="15.75" customHeight="1">
      <c r="G725" s="1"/>
    </row>
    <row r="726" ht="15.75" customHeight="1">
      <c r="G726" s="1"/>
    </row>
    <row r="727" ht="15.75" customHeight="1">
      <c r="G727" s="1"/>
    </row>
    <row r="728" ht="15.75" customHeight="1">
      <c r="G728" s="1"/>
    </row>
    <row r="729" ht="15.75" customHeight="1">
      <c r="G729" s="1"/>
    </row>
    <row r="730" ht="15.75" customHeight="1">
      <c r="G730" s="1"/>
    </row>
    <row r="731" ht="15.75" customHeight="1">
      <c r="G731" s="1"/>
    </row>
    <row r="732" ht="15.75" customHeight="1">
      <c r="G732" s="1"/>
    </row>
    <row r="733" ht="15.75" customHeight="1">
      <c r="G733" s="1"/>
    </row>
    <row r="734" ht="15.75" customHeight="1">
      <c r="G734" s="1"/>
    </row>
    <row r="735" ht="15.75" customHeight="1">
      <c r="G735" s="1"/>
    </row>
    <row r="736" ht="15.75" customHeight="1">
      <c r="G736" s="1"/>
    </row>
    <row r="737" ht="15.75" customHeight="1">
      <c r="G737" s="1"/>
    </row>
    <row r="738" ht="15.75" customHeight="1">
      <c r="G738" s="1"/>
    </row>
    <row r="739" ht="15.75" customHeight="1">
      <c r="G739" s="1"/>
    </row>
    <row r="740" ht="15.75" customHeight="1">
      <c r="G740" s="1"/>
    </row>
    <row r="741" ht="15.75" customHeight="1">
      <c r="G741" s="1"/>
    </row>
    <row r="742" ht="15.75" customHeight="1">
      <c r="G742" s="1"/>
    </row>
    <row r="743" ht="15.75" customHeight="1">
      <c r="G743" s="1"/>
    </row>
    <row r="744" ht="15.75" customHeight="1">
      <c r="G744" s="1"/>
    </row>
    <row r="745" ht="15.75" customHeight="1">
      <c r="G745" s="1"/>
    </row>
    <row r="746" ht="15.75" customHeight="1">
      <c r="G746" s="1"/>
    </row>
    <row r="747" ht="15.75" customHeight="1">
      <c r="G747" s="1"/>
    </row>
    <row r="748" ht="15.75" customHeight="1">
      <c r="G748" s="1"/>
    </row>
    <row r="749" ht="15.75" customHeight="1">
      <c r="G749" s="1"/>
    </row>
    <row r="750" ht="15.75" customHeight="1">
      <c r="G750" s="1"/>
    </row>
    <row r="751" ht="15.75" customHeight="1">
      <c r="G751" s="1"/>
    </row>
    <row r="752" ht="15.75" customHeight="1">
      <c r="G752" s="1"/>
    </row>
    <row r="753" ht="15.75" customHeight="1">
      <c r="G753" s="1"/>
    </row>
    <row r="754" ht="15.75" customHeight="1">
      <c r="G754" s="1"/>
    </row>
    <row r="755" ht="15.75" customHeight="1">
      <c r="G755" s="1"/>
    </row>
    <row r="756" ht="15.75" customHeight="1">
      <c r="G756" s="1"/>
    </row>
    <row r="757" ht="15.75" customHeight="1">
      <c r="G757" s="1"/>
    </row>
    <row r="758" ht="15.75" customHeight="1">
      <c r="G758" s="1"/>
    </row>
    <row r="759" ht="15.75" customHeight="1">
      <c r="G759" s="1"/>
    </row>
    <row r="760" ht="15.75" customHeight="1">
      <c r="G760" s="1"/>
    </row>
    <row r="761" ht="15.75" customHeight="1">
      <c r="G761" s="1"/>
    </row>
    <row r="762" ht="15.75" customHeight="1">
      <c r="G762" s="1"/>
    </row>
    <row r="763" ht="15.75" customHeight="1">
      <c r="G763" s="1"/>
    </row>
    <row r="764" ht="15.75" customHeight="1">
      <c r="G764" s="1"/>
    </row>
    <row r="765" ht="15.75" customHeight="1">
      <c r="G765" s="1"/>
    </row>
    <row r="766" ht="15.75" customHeight="1">
      <c r="G766" s="1"/>
    </row>
    <row r="767" ht="15.75" customHeight="1">
      <c r="G767" s="1"/>
    </row>
    <row r="768" ht="15.75" customHeight="1">
      <c r="G768" s="1"/>
    </row>
    <row r="769" ht="15.75" customHeight="1">
      <c r="G769" s="1"/>
    </row>
    <row r="770" ht="15.75" customHeight="1">
      <c r="G770" s="1"/>
    </row>
    <row r="771" ht="15.75" customHeight="1">
      <c r="G771" s="1"/>
    </row>
    <row r="772" ht="15.75" customHeight="1">
      <c r="G772" s="1"/>
    </row>
    <row r="773" ht="15.75" customHeight="1">
      <c r="G773" s="1"/>
    </row>
    <row r="774" ht="15.75" customHeight="1">
      <c r="G774" s="1"/>
    </row>
    <row r="775" ht="15.75" customHeight="1">
      <c r="G775" s="1"/>
    </row>
    <row r="776" ht="15.75" customHeight="1">
      <c r="G776" s="1"/>
    </row>
    <row r="777" ht="15.75" customHeight="1">
      <c r="G777" s="1"/>
    </row>
    <row r="778" ht="15.75" customHeight="1">
      <c r="G778" s="1"/>
    </row>
    <row r="779" ht="15.75" customHeight="1">
      <c r="G779" s="1"/>
    </row>
    <row r="780" ht="15.75" customHeight="1">
      <c r="G780" s="1"/>
    </row>
    <row r="781" ht="15.75" customHeight="1">
      <c r="G781" s="1"/>
    </row>
    <row r="782" ht="15.75" customHeight="1">
      <c r="G782" s="1"/>
    </row>
    <row r="783" ht="15.75" customHeight="1">
      <c r="G783" s="1"/>
    </row>
    <row r="784" ht="15.75" customHeight="1">
      <c r="G784" s="1"/>
    </row>
    <row r="785" ht="15.75" customHeight="1">
      <c r="G785" s="1"/>
    </row>
    <row r="786" ht="15.75" customHeight="1">
      <c r="G786" s="1"/>
    </row>
    <row r="787" ht="15.75" customHeight="1">
      <c r="G787" s="1"/>
    </row>
    <row r="788" ht="15.75" customHeight="1">
      <c r="G788" s="1"/>
    </row>
    <row r="789" ht="15.75" customHeight="1">
      <c r="G789" s="1"/>
    </row>
    <row r="790" ht="15.75" customHeight="1">
      <c r="G790" s="1"/>
    </row>
    <row r="791" ht="15.75" customHeight="1">
      <c r="G791" s="1"/>
    </row>
    <row r="792" ht="15.75" customHeight="1">
      <c r="G792" s="1"/>
    </row>
    <row r="793" ht="15.75" customHeight="1">
      <c r="G793" s="1"/>
    </row>
    <row r="794" ht="15.75" customHeight="1">
      <c r="G794" s="1"/>
    </row>
    <row r="795" ht="15.75" customHeight="1">
      <c r="G795" s="1"/>
    </row>
    <row r="796" ht="15.75" customHeight="1">
      <c r="G796" s="1"/>
    </row>
    <row r="797" ht="15.75" customHeight="1">
      <c r="G797" s="1"/>
    </row>
    <row r="798" ht="15.75" customHeight="1">
      <c r="G798" s="1"/>
    </row>
    <row r="799" ht="15.75" customHeight="1">
      <c r="G799" s="1"/>
    </row>
    <row r="800" ht="15.75" customHeight="1">
      <c r="G800" s="1"/>
    </row>
    <row r="801" ht="15.75" customHeight="1">
      <c r="G801" s="1"/>
    </row>
    <row r="802" ht="15.75" customHeight="1">
      <c r="G802" s="1"/>
    </row>
    <row r="803" ht="15.75" customHeight="1">
      <c r="G803" s="1"/>
    </row>
    <row r="804" ht="15.75" customHeight="1">
      <c r="G804" s="1"/>
    </row>
    <row r="805" ht="15.75" customHeight="1">
      <c r="G805" s="1"/>
    </row>
    <row r="806" ht="15.75" customHeight="1">
      <c r="G806" s="1"/>
    </row>
    <row r="807" ht="15.75" customHeight="1">
      <c r="G807" s="1"/>
    </row>
    <row r="808" ht="15.75" customHeight="1">
      <c r="G808" s="1"/>
    </row>
    <row r="809" ht="15.75" customHeight="1">
      <c r="G809" s="1"/>
    </row>
    <row r="810" ht="15.75" customHeight="1">
      <c r="G810" s="1"/>
    </row>
    <row r="811" ht="15.75" customHeight="1">
      <c r="G811" s="1"/>
    </row>
    <row r="812" ht="15.75" customHeight="1">
      <c r="G812" s="1"/>
    </row>
    <row r="813" ht="15.75" customHeight="1">
      <c r="G813" s="1"/>
    </row>
    <row r="814" ht="15.75" customHeight="1">
      <c r="G814" s="1"/>
    </row>
    <row r="815" ht="15.75" customHeight="1">
      <c r="G815" s="1"/>
    </row>
    <row r="816" ht="15.75" customHeight="1">
      <c r="G816" s="1"/>
    </row>
    <row r="817" ht="15.75" customHeight="1">
      <c r="G817" s="1"/>
    </row>
    <row r="818" ht="15.75" customHeight="1">
      <c r="G818" s="1"/>
    </row>
    <row r="819" ht="15.75" customHeight="1">
      <c r="G819" s="1"/>
    </row>
    <row r="820" ht="15.75" customHeight="1">
      <c r="G820" s="1"/>
    </row>
    <row r="821" ht="15.75" customHeight="1">
      <c r="G821" s="1"/>
    </row>
    <row r="822" ht="15.75" customHeight="1">
      <c r="G822" s="1"/>
    </row>
    <row r="823" ht="15.75" customHeight="1">
      <c r="G823" s="1"/>
    </row>
    <row r="824" ht="15.75" customHeight="1">
      <c r="G824" s="1"/>
    </row>
    <row r="825" ht="15.75" customHeight="1">
      <c r="G825" s="1"/>
    </row>
    <row r="826" ht="15.75" customHeight="1">
      <c r="G826" s="1"/>
    </row>
    <row r="827" ht="15.75" customHeight="1">
      <c r="G827" s="1"/>
    </row>
    <row r="828" ht="15.75" customHeight="1">
      <c r="G828" s="1"/>
    </row>
    <row r="829" ht="15.75" customHeight="1">
      <c r="G829" s="1"/>
    </row>
    <row r="830" ht="15.75" customHeight="1">
      <c r="G830" s="1"/>
    </row>
    <row r="831" ht="15.75" customHeight="1">
      <c r="G831" s="1"/>
    </row>
    <row r="832" ht="15.75" customHeight="1">
      <c r="G832" s="1"/>
    </row>
    <row r="833" ht="15.75" customHeight="1">
      <c r="G833" s="1"/>
    </row>
    <row r="834" ht="15.75" customHeight="1">
      <c r="G834" s="1"/>
    </row>
    <row r="835" ht="15.75" customHeight="1">
      <c r="G835" s="1"/>
    </row>
    <row r="836" ht="15.75" customHeight="1">
      <c r="G836" s="1"/>
    </row>
    <row r="837" ht="15.75" customHeight="1">
      <c r="G837" s="1"/>
    </row>
    <row r="838" ht="15.75" customHeight="1">
      <c r="G838" s="1"/>
    </row>
    <row r="839" ht="15.75" customHeight="1">
      <c r="G839" s="1"/>
    </row>
    <row r="840" ht="15.75" customHeight="1">
      <c r="G840" s="1"/>
    </row>
    <row r="841" ht="15.75" customHeight="1">
      <c r="G841" s="1"/>
    </row>
    <row r="842" ht="15.75" customHeight="1">
      <c r="G842" s="1"/>
    </row>
    <row r="843" ht="15.75" customHeight="1">
      <c r="G843" s="1"/>
    </row>
    <row r="844" ht="15.75" customHeight="1">
      <c r="G844" s="1"/>
    </row>
    <row r="845" ht="15.75" customHeight="1">
      <c r="G845" s="1"/>
    </row>
    <row r="846" ht="15.75" customHeight="1">
      <c r="G846" s="1"/>
    </row>
    <row r="847" ht="15.75" customHeight="1">
      <c r="G847" s="1"/>
    </row>
    <row r="848" ht="15.75" customHeight="1">
      <c r="G848" s="1"/>
    </row>
    <row r="849" ht="15.75" customHeight="1">
      <c r="G849" s="1"/>
    </row>
    <row r="850" ht="15.75" customHeight="1">
      <c r="G850" s="1"/>
    </row>
    <row r="851" ht="15.75" customHeight="1">
      <c r="G851" s="1"/>
    </row>
    <row r="852" ht="15.75" customHeight="1">
      <c r="G852" s="1"/>
    </row>
    <row r="853" ht="15.75" customHeight="1">
      <c r="G853" s="1"/>
    </row>
    <row r="854" ht="15.75" customHeight="1">
      <c r="G854" s="1"/>
    </row>
    <row r="855" ht="15.75" customHeight="1">
      <c r="G855" s="1"/>
    </row>
    <row r="856" ht="15.75" customHeight="1">
      <c r="G856" s="1"/>
    </row>
    <row r="857" ht="15.75" customHeight="1">
      <c r="G857" s="1"/>
    </row>
    <row r="858" ht="15.75" customHeight="1">
      <c r="G858" s="1"/>
    </row>
    <row r="859" ht="15.75" customHeight="1">
      <c r="G859" s="1"/>
    </row>
    <row r="860" ht="15.75" customHeight="1">
      <c r="G860" s="1"/>
    </row>
    <row r="861" ht="15.75" customHeight="1">
      <c r="G861" s="1"/>
    </row>
    <row r="862" ht="15.75" customHeight="1">
      <c r="G862" s="1"/>
    </row>
    <row r="863" ht="15.75" customHeight="1">
      <c r="G863" s="1"/>
    </row>
    <row r="864" ht="15.75" customHeight="1">
      <c r="G864" s="1"/>
    </row>
    <row r="865" ht="15.75" customHeight="1">
      <c r="G865" s="1"/>
    </row>
    <row r="866" ht="15.75" customHeight="1">
      <c r="G866" s="1"/>
    </row>
    <row r="867" ht="15.75" customHeight="1">
      <c r="G867" s="1"/>
    </row>
    <row r="868" ht="15.75" customHeight="1">
      <c r="G868" s="1"/>
    </row>
    <row r="869" ht="15.75" customHeight="1">
      <c r="G869" s="1"/>
    </row>
    <row r="870" ht="15.75" customHeight="1">
      <c r="G870" s="1"/>
    </row>
    <row r="871" ht="15.75" customHeight="1">
      <c r="G871" s="1"/>
    </row>
    <row r="872" ht="15.75" customHeight="1">
      <c r="G872" s="1"/>
    </row>
    <row r="873" ht="15.75" customHeight="1">
      <c r="G873" s="1"/>
    </row>
    <row r="874" ht="15.75" customHeight="1">
      <c r="G874" s="1"/>
    </row>
    <row r="875" ht="15.75" customHeight="1">
      <c r="G875" s="1"/>
    </row>
    <row r="876" ht="15.75" customHeight="1">
      <c r="G876" s="1"/>
    </row>
    <row r="877" ht="15.75" customHeight="1">
      <c r="G877" s="1"/>
    </row>
    <row r="878" ht="15.75" customHeight="1">
      <c r="G878" s="1"/>
    </row>
    <row r="879" ht="15.75" customHeight="1">
      <c r="G879" s="1"/>
    </row>
    <row r="880" ht="15.75" customHeight="1">
      <c r="G880" s="1"/>
    </row>
    <row r="881" ht="15.75" customHeight="1">
      <c r="G881" s="1"/>
    </row>
    <row r="882" ht="15.75" customHeight="1">
      <c r="G882" s="1"/>
    </row>
    <row r="883" ht="15.75" customHeight="1">
      <c r="G883" s="1"/>
    </row>
    <row r="884" ht="15.75" customHeight="1">
      <c r="G884" s="1"/>
    </row>
    <row r="885" ht="15.75" customHeight="1">
      <c r="G885" s="1"/>
    </row>
    <row r="886" ht="15.75" customHeight="1">
      <c r="G886" s="1"/>
    </row>
    <row r="887" ht="15.75" customHeight="1">
      <c r="G887" s="1"/>
    </row>
    <row r="888" ht="15.75" customHeight="1">
      <c r="G888" s="1"/>
    </row>
    <row r="889" ht="15.75" customHeight="1">
      <c r="G889" s="1"/>
    </row>
    <row r="890" ht="15.75" customHeight="1">
      <c r="G890" s="1"/>
    </row>
    <row r="891" ht="15.75" customHeight="1">
      <c r="G891" s="1"/>
    </row>
    <row r="892" ht="15.75" customHeight="1">
      <c r="G892" s="1"/>
    </row>
    <row r="893" ht="15.75" customHeight="1">
      <c r="G893" s="1"/>
    </row>
    <row r="894" ht="15.75" customHeight="1">
      <c r="G894" s="1"/>
    </row>
    <row r="895" ht="15.75" customHeight="1">
      <c r="G895" s="1"/>
    </row>
    <row r="896" ht="15.75" customHeight="1">
      <c r="G896" s="1"/>
    </row>
    <row r="897" ht="15.75" customHeight="1">
      <c r="G897" s="1"/>
    </row>
    <row r="898" ht="15.75" customHeight="1">
      <c r="G898" s="1"/>
    </row>
    <row r="899" ht="15.75" customHeight="1">
      <c r="G899" s="1"/>
    </row>
    <row r="900" ht="15.75" customHeight="1">
      <c r="G900" s="1"/>
    </row>
    <row r="901" ht="15.75" customHeight="1">
      <c r="G901" s="1"/>
    </row>
    <row r="902" ht="15.75" customHeight="1">
      <c r="G902" s="1"/>
    </row>
    <row r="903" ht="15.75" customHeight="1">
      <c r="G903" s="1"/>
    </row>
    <row r="904" ht="15.75" customHeight="1">
      <c r="G904" s="1"/>
    </row>
    <row r="905" ht="15.75" customHeight="1">
      <c r="G905" s="1"/>
    </row>
    <row r="906" ht="15.75" customHeight="1">
      <c r="G906" s="1"/>
    </row>
    <row r="907" ht="15.75" customHeight="1">
      <c r="G907" s="1"/>
    </row>
    <row r="908" ht="15.75" customHeight="1">
      <c r="G908" s="1"/>
    </row>
    <row r="909" ht="15.75" customHeight="1">
      <c r="G909" s="1"/>
    </row>
    <row r="910" ht="15.75" customHeight="1">
      <c r="G910" s="1"/>
    </row>
    <row r="911" ht="15.75" customHeight="1">
      <c r="G911" s="1"/>
    </row>
    <row r="912" ht="15.75" customHeight="1">
      <c r="G912" s="1"/>
    </row>
    <row r="913" ht="15.75" customHeight="1">
      <c r="G913" s="1"/>
    </row>
    <row r="914" ht="15.75" customHeight="1">
      <c r="G914" s="1"/>
    </row>
    <row r="915" ht="15.75" customHeight="1">
      <c r="G915" s="1"/>
    </row>
    <row r="916" ht="15.75" customHeight="1">
      <c r="G916" s="1"/>
    </row>
    <row r="917" ht="15.75" customHeight="1">
      <c r="G917" s="1"/>
    </row>
    <row r="918" ht="15.75" customHeight="1">
      <c r="G918" s="1"/>
    </row>
    <row r="919" ht="15.75" customHeight="1">
      <c r="G919" s="1"/>
    </row>
    <row r="920" ht="15.75" customHeight="1">
      <c r="G920" s="1"/>
    </row>
    <row r="921" ht="15.75" customHeight="1">
      <c r="G921" s="1"/>
    </row>
    <row r="922" ht="15.75" customHeight="1">
      <c r="G922" s="1"/>
    </row>
    <row r="923" ht="15.75" customHeight="1">
      <c r="G923" s="1"/>
    </row>
    <row r="924" ht="15.75" customHeight="1">
      <c r="G924" s="1"/>
    </row>
    <row r="925" ht="15.75" customHeight="1">
      <c r="G925" s="1"/>
    </row>
    <row r="926" ht="15.75" customHeight="1">
      <c r="G926" s="1"/>
    </row>
    <row r="927" ht="15.75" customHeight="1">
      <c r="G927" s="1"/>
    </row>
    <row r="928" ht="15.75" customHeight="1">
      <c r="G928" s="1"/>
    </row>
    <row r="929" ht="15.75" customHeight="1">
      <c r="G929" s="1"/>
    </row>
    <row r="930" ht="15.75" customHeight="1">
      <c r="G930" s="1"/>
    </row>
    <row r="931" ht="15.75" customHeight="1">
      <c r="G931" s="1"/>
    </row>
    <row r="932" ht="15.75" customHeight="1">
      <c r="G932" s="1"/>
    </row>
    <row r="933" ht="15.75" customHeight="1">
      <c r="G933" s="1"/>
    </row>
    <row r="934" ht="15.75" customHeight="1">
      <c r="G934" s="1"/>
    </row>
    <row r="935" ht="15.75" customHeight="1">
      <c r="G935" s="1"/>
    </row>
    <row r="936" ht="15.75" customHeight="1">
      <c r="G936" s="1"/>
    </row>
    <row r="937" ht="15.75" customHeight="1">
      <c r="G937" s="1"/>
    </row>
    <row r="938" ht="15.75" customHeight="1">
      <c r="G938" s="1"/>
    </row>
    <row r="939" ht="15.75" customHeight="1">
      <c r="G939" s="1"/>
    </row>
    <row r="940" ht="15.75" customHeight="1">
      <c r="G940" s="1"/>
    </row>
    <row r="941" ht="15.75" customHeight="1">
      <c r="G941" s="1"/>
    </row>
    <row r="942" ht="15.75" customHeight="1">
      <c r="G942" s="1"/>
    </row>
    <row r="943" ht="15.75" customHeight="1">
      <c r="G943" s="1"/>
    </row>
    <row r="944" ht="15.75" customHeight="1">
      <c r="G944" s="1"/>
    </row>
    <row r="945" ht="15.75" customHeight="1">
      <c r="G945" s="1"/>
    </row>
    <row r="946" ht="15.75" customHeight="1">
      <c r="G946" s="1"/>
    </row>
    <row r="947" ht="15.75" customHeight="1">
      <c r="G947" s="1"/>
    </row>
    <row r="948" ht="15.75" customHeight="1">
      <c r="G948" s="1"/>
    </row>
    <row r="949" ht="15.75" customHeight="1">
      <c r="G949" s="1"/>
    </row>
    <row r="950" ht="15.75" customHeight="1">
      <c r="G950" s="1"/>
    </row>
    <row r="951" ht="15.75" customHeight="1">
      <c r="G951" s="1"/>
    </row>
    <row r="952" ht="15.75" customHeight="1">
      <c r="G952" s="1"/>
    </row>
    <row r="953" ht="15.75" customHeight="1">
      <c r="G953" s="1"/>
    </row>
    <row r="954" ht="15.75" customHeight="1">
      <c r="G954" s="1"/>
    </row>
    <row r="955" ht="15.75" customHeight="1">
      <c r="G955" s="1"/>
    </row>
    <row r="956" ht="15.75" customHeight="1">
      <c r="G956" s="1"/>
    </row>
    <row r="957" ht="15.75" customHeight="1">
      <c r="G957" s="1"/>
    </row>
    <row r="958" ht="15.75" customHeight="1">
      <c r="G958" s="1"/>
    </row>
    <row r="959" ht="15.75" customHeight="1">
      <c r="G959" s="1"/>
    </row>
    <row r="960" ht="15.75" customHeight="1">
      <c r="G960" s="1"/>
    </row>
    <row r="961" ht="15.75" customHeight="1">
      <c r="G961" s="1"/>
    </row>
    <row r="962" ht="15.75" customHeight="1">
      <c r="G962" s="1"/>
    </row>
    <row r="963" ht="15.75" customHeight="1">
      <c r="G963" s="1"/>
    </row>
    <row r="964" ht="15.75" customHeight="1">
      <c r="G964" s="1"/>
    </row>
    <row r="965" ht="15.75" customHeight="1">
      <c r="G965" s="1"/>
    </row>
    <row r="966" ht="15.75" customHeight="1">
      <c r="G966" s="1"/>
    </row>
    <row r="967" ht="15.75" customHeight="1">
      <c r="G967" s="1"/>
    </row>
    <row r="968" ht="15.75" customHeight="1">
      <c r="G968" s="1"/>
    </row>
    <row r="969" ht="15.75" customHeight="1">
      <c r="G969" s="1"/>
    </row>
    <row r="970" ht="15.75" customHeight="1">
      <c r="G970" s="1"/>
    </row>
    <row r="971" ht="15.75" customHeight="1">
      <c r="G971" s="1"/>
    </row>
    <row r="972" ht="15.75" customHeight="1">
      <c r="G972" s="1"/>
    </row>
    <row r="973" ht="15.75" customHeight="1">
      <c r="G973" s="1"/>
    </row>
    <row r="974" ht="15.75" customHeight="1">
      <c r="G974" s="1"/>
    </row>
    <row r="975" ht="15.75" customHeight="1">
      <c r="G975" s="1"/>
    </row>
    <row r="976" ht="15.75" customHeight="1">
      <c r="G976" s="1"/>
    </row>
    <row r="977" ht="15.75" customHeight="1">
      <c r="G977" s="1"/>
    </row>
    <row r="978" ht="15.75" customHeight="1">
      <c r="G978" s="1"/>
    </row>
    <row r="979" ht="15.75" customHeight="1">
      <c r="G979" s="1"/>
    </row>
    <row r="980" ht="15.75" customHeight="1">
      <c r="G980" s="1"/>
    </row>
    <row r="981" ht="15.75" customHeight="1">
      <c r="G981" s="1"/>
    </row>
    <row r="982" ht="15.75" customHeight="1">
      <c r="G982" s="1"/>
    </row>
    <row r="983" ht="15.75" customHeight="1">
      <c r="G983" s="1"/>
    </row>
    <row r="984" ht="15.75" customHeight="1">
      <c r="G984" s="1"/>
    </row>
    <row r="985" ht="15.75" customHeight="1">
      <c r="G985" s="1"/>
    </row>
    <row r="986" ht="15.75" customHeight="1">
      <c r="G986" s="1"/>
    </row>
    <row r="987" ht="15.75" customHeight="1">
      <c r="G987" s="1"/>
    </row>
    <row r="988" ht="15.75" customHeight="1">
      <c r="G988" s="1"/>
    </row>
    <row r="989" ht="15.75" customHeight="1">
      <c r="G989" s="1"/>
    </row>
    <row r="990" ht="15.75" customHeight="1">
      <c r="G990" s="1"/>
    </row>
    <row r="991" ht="15.75" customHeight="1">
      <c r="G991" s="1"/>
    </row>
    <row r="992" ht="15.75" customHeight="1">
      <c r="G992" s="1"/>
    </row>
    <row r="993" ht="15.75" customHeight="1">
      <c r="G993" s="1"/>
    </row>
    <row r="994" ht="15.75" customHeight="1">
      <c r="G994" s="1"/>
    </row>
    <row r="995" ht="15.75" customHeight="1">
      <c r="G995" s="1"/>
    </row>
    <row r="996" ht="15.75" customHeight="1">
      <c r="G996" s="1"/>
    </row>
    <row r="997" ht="15.75" customHeight="1">
      <c r="G997" s="1"/>
    </row>
    <row r="998" ht="15.75" customHeight="1">
      <c r="G998" s="1"/>
    </row>
    <row r="999" ht="15.75" customHeight="1">
      <c r="G999" s="1"/>
    </row>
    <row r="1000" ht="15.75" customHeight="1">
      <c r="G1000" s="1"/>
    </row>
  </sheetData>
  <mergeCells count="4">
    <mergeCell ref="B2:D2"/>
    <mergeCell ref="C3:D3"/>
    <mergeCell ref="C4:D4"/>
    <mergeCell ref="C6:D6"/>
  </mergeCells>
  <dataValidations>
    <dataValidation type="list" allowBlank="1" showErrorMessage="1" sqref="D5">
      <formula1>$G$5:$G$24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7" width="9.38"/>
    <col customWidth="1" min="8" max="8" width="7.38"/>
    <col customWidth="1" min="9" max="9" width="5.13"/>
    <col customWidth="1" min="10" max="10" width="9.38"/>
    <col customWidth="1" min="11" max="11" width="9.13"/>
    <col customWidth="1" min="12" max="13" width="9.38"/>
    <col customWidth="1" min="14" max="14" width="9.13"/>
    <col customWidth="1" min="15" max="15" width="17.5"/>
    <col customWidth="1" min="16" max="26" width="10.0"/>
    <col customWidth="1" min="27" max="27" width="9.13"/>
    <col customWidth="1" min="28" max="28" width="12.0"/>
    <col customWidth="1" min="29" max="29" width="9.13"/>
    <col customWidth="1" min="30" max="30" width="8.63"/>
    <col customWidth="1" min="31" max="31" width="11.38"/>
    <col customWidth="1" min="32" max="32" width="26.13"/>
    <col customWidth="1" min="33" max="33" width="22.5"/>
    <col customWidth="1" min="34" max="35" width="10.0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N2" s="1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>
      <c r="B3" s="18" t="s">
        <v>28</v>
      </c>
      <c r="C3" s="19"/>
      <c r="D3" s="19"/>
      <c r="E3" s="19"/>
      <c r="F3" s="19"/>
      <c r="G3" s="20"/>
      <c r="N3" s="1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>
      <c r="B4" s="21"/>
      <c r="C4" s="22"/>
      <c r="D4" s="22"/>
      <c r="E4" s="22"/>
      <c r="F4" s="22"/>
      <c r="G4" s="23"/>
      <c r="N4" s="1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>
      <c r="B5" s="24"/>
      <c r="C5" s="25">
        <v>2.0</v>
      </c>
      <c r="D5" s="25">
        <v>3.0</v>
      </c>
      <c r="E5" s="25">
        <v>5.0</v>
      </c>
      <c r="F5" s="25">
        <v>6.0</v>
      </c>
      <c r="G5" s="25">
        <v>4.0</v>
      </c>
      <c r="N5" s="1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>
      <c r="B6" s="26" t="s">
        <v>29</v>
      </c>
      <c r="C6" s="27"/>
      <c r="D6" s="27"/>
      <c r="E6" s="27"/>
      <c r="F6" s="27"/>
      <c r="G6" s="28"/>
      <c r="H6" s="24"/>
      <c r="J6" s="29" t="s">
        <v>30</v>
      </c>
      <c r="K6" s="30" t="s">
        <v>31</v>
      </c>
      <c r="L6" s="27"/>
      <c r="M6" s="27"/>
      <c r="N6" s="28"/>
      <c r="O6" s="25"/>
      <c r="P6" s="1">
        <v>1.0</v>
      </c>
      <c r="Q6" s="1">
        <v>2.0</v>
      </c>
      <c r="R6" s="1" t="s">
        <v>32</v>
      </c>
      <c r="S6" s="1"/>
      <c r="T6" s="1" t="s">
        <v>33</v>
      </c>
      <c r="U6" s="1" t="s">
        <v>34</v>
      </c>
      <c r="V6" s="1" t="s">
        <v>35</v>
      </c>
      <c r="W6" s="1" t="s">
        <v>36</v>
      </c>
      <c r="X6" s="1" t="s">
        <v>37</v>
      </c>
      <c r="Y6" s="1" t="s">
        <v>38</v>
      </c>
      <c r="Z6" s="1"/>
      <c r="AA6" s="1"/>
      <c r="AB6" s="1" t="s">
        <v>34</v>
      </c>
      <c r="AC6" s="1" t="s">
        <v>39</v>
      </c>
      <c r="AD6" s="1" t="s">
        <v>32</v>
      </c>
      <c r="AE6" s="1" t="s">
        <v>40</v>
      </c>
      <c r="AF6" s="1" t="s">
        <v>41</v>
      </c>
      <c r="AG6" s="1" t="s">
        <v>42</v>
      </c>
      <c r="AH6" s="1" t="s">
        <v>43</v>
      </c>
      <c r="AI6" s="1"/>
    </row>
    <row r="7">
      <c r="B7" s="31" t="s">
        <v>44</v>
      </c>
      <c r="C7" s="32" t="s">
        <v>34</v>
      </c>
      <c r="D7" s="33" t="s">
        <v>35</v>
      </c>
      <c r="E7" s="33" t="s">
        <v>37</v>
      </c>
      <c r="F7" s="33" t="s">
        <v>38</v>
      </c>
      <c r="G7" s="34" t="s">
        <v>36</v>
      </c>
      <c r="H7" s="24"/>
      <c r="I7" s="35">
        <v>1.0</v>
      </c>
      <c r="J7" s="36">
        <v>44360.0</v>
      </c>
      <c r="K7" s="37" t="s">
        <v>45</v>
      </c>
      <c r="L7" s="38">
        <v>2.0</v>
      </c>
      <c r="M7" s="39">
        <v>0.0</v>
      </c>
      <c r="N7" s="35" t="s">
        <v>46</v>
      </c>
      <c r="O7" s="25" t="str">
        <f t="shared" ref="O7:O16" si="2">CONCAT(K7,"_",N7)</f>
        <v>#N/A</v>
      </c>
      <c r="P7" s="1">
        <f t="shared" ref="P7:P16" si="3">IF(L7&gt;M7,3,IF(L7&lt;M7,0,1))</f>
        <v>3</v>
      </c>
      <c r="Q7" s="1">
        <f t="shared" ref="Q7:Q16" si="4">IF(P7=3,0,IF(P7=1,1,3))</f>
        <v>0</v>
      </c>
      <c r="R7" s="1" t="str">
        <f t="shared" ref="R7:R16" si="5">IF(P7&gt;Q7,K7,IF(Q7&gt;P7,N7,"SIN GANADOR"))</f>
        <v>Brasil</v>
      </c>
      <c r="S7" s="1"/>
      <c r="T7" s="1">
        <f t="shared" ref="T7:T11" si="6">_xlfn.RANK.EQ(AH7,AH$7:AH$11,1)</f>
        <v>1</v>
      </c>
      <c r="U7" s="1" t="s">
        <v>45</v>
      </c>
      <c r="V7" s="1">
        <f t="shared" ref="V7:V11" si="7">SUMIF($K$7:$K$16,U7,$P$7:$P$16) + SUMIF($N$7:$N$16,U7,$Q$7:$Q$16)</f>
        <v>12</v>
      </c>
      <c r="W7" s="1">
        <f t="shared" ref="W7:W11" si="8">X7-Y7</f>
        <v>7</v>
      </c>
      <c r="X7" s="1">
        <f t="shared" ref="X7:X11" si="9">SUMIF($K$7:$K$16,U7,$L$7:$L$16) + SUMIF($N$7:$N$16,U7,$M$7:$M$16)</f>
        <v>8</v>
      </c>
      <c r="Y7" s="1">
        <f t="shared" ref="Y7:Y11" si="10">SUMIF($K$7:$K$16,U7,$M$7:$M$16) + SUMIF($N$7:$N$16,U7,$L$7:$L$16)</f>
        <v>1</v>
      </c>
      <c r="Z7" s="1"/>
      <c r="AA7" s="1"/>
      <c r="AB7" s="1" t="str">
        <f t="shared" ref="AB7:AB11" si="11">U7</f>
        <v>Brasil</v>
      </c>
      <c r="AC7" s="1" t="str">
        <f>IF(AF7=AF8,AB8,IF(AF7=AF9,AB9,IF(AF7=AF10,AB10,IF(AF7=AF11,AB11,""))))</f>
        <v/>
      </c>
      <c r="AD7" s="1" t="str">
        <f t="shared" ref="AD7:AD11" si="12">IF(AC7="","",IFERROR(VLOOKUP(CONCATENATE(AB7,"_",AC7),$O$7:$R$16,4,FALSE),VLOOKUP(CONCATENATE(AC7,"_",AB7),$O$7:$R$16,4,FALSE)))</f>
        <v/>
      </c>
      <c r="AE7" s="1">
        <f t="shared" ref="AE7:AE11" si="13">IF(AD7="",1,IF(AD7=AB7,1,0))</f>
        <v>1</v>
      </c>
      <c r="AF7" s="1">
        <f t="shared" ref="AF7:AF11" si="14">-V7*10000000 - W7*10000 - X7*100</f>
        <v>-120070800</v>
      </c>
      <c r="AG7" s="1">
        <f t="shared" ref="AG7:AG11" si="15">AF7-AE7*10</f>
        <v>-120070810</v>
      </c>
      <c r="AH7" s="1">
        <f t="shared" ref="AH7:AH11" si="16">AG7+N23</f>
        <v>-120070809</v>
      </c>
      <c r="AI7" s="1"/>
    </row>
    <row r="8">
      <c r="B8" s="40">
        <v>1.0</v>
      </c>
      <c r="C8" s="41" t="str">
        <f t="shared" ref="C8:G8" si="1">IFERROR(VLOOKUP($B8,$T$7:$Y$11,C$5,FALSE),"")</f>
        <v>Brasil</v>
      </c>
      <c r="D8" s="42">
        <f t="shared" si="1"/>
        <v>12</v>
      </c>
      <c r="E8" s="42">
        <f t="shared" si="1"/>
        <v>8</v>
      </c>
      <c r="F8" s="42">
        <f t="shared" si="1"/>
        <v>1</v>
      </c>
      <c r="G8" s="43">
        <f t="shared" si="1"/>
        <v>7</v>
      </c>
      <c r="H8" s="24"/>
      <c r="I8" s="44">
        <v>2.0</v>
      </c>
      <c r="J8" s="45">
        <v>44360.0</v>
      </c>
      <c r="K8" s="46" t="s">
        <v>47</v>
      </c>
      <c r="L8" s="47">
        <v>1.0</v>
      </c>
      <c r="M8" s="48">
        <v>1.0</v>
      </c>
      <c r="N8" s="44" t="s">
        <v>48</v>
      </c>
      <c r="O8" s="25" t="str">
        <f t="shared" si="2"/>
        <v>#N/A</v>
      </c>
      <c r="P8" s="1">
        <f t="shared" si="3"/>
        <v>1</v>
      </c>
      <c r="Q8" s="1">
        <f t="shared" si="4"/>
        <v>1</v>
      </c>
      <c r="R8" s="1" t="str">
        <f t="shared" si="5"/>
        <v>SIN GANADOR</v>
      </c>
      <c r="S8" s="1"/>
      <c r="T8" s="1">
        <f t="shared" si="6"/>
        <v>3</v>
      </c>
      <c r="U8" s="1" t="s">
        <v>47</v>
      </c>
      <c r="V8" s="1">
        <f t="shared" si="7"/>
        <v>5</v>
      </c>
      <c r="W8" s="1">
        <f t="shared" si="8"/>
        <v>1</v>
      </c>
      <c r="X8" s="1">
        <f t="shared" si="9"/>
        <v>6</v>
      </c>
      <c r="Y8" s="1">
        <f t="shared" si="10"/>
        <v>5</v>
      </c>
      <c r="Z8" s="1"/>
      <c r="AA8" s="1"/>
      <c r="AB8" s="1" t="str">
        <f t="shared" si="11"/>
        <v>Colombia</v>
      </c>
      <c r="AC8" s="1" t="str">
        <f>IF(AF8=AF9,AB9,IF(AF8=AF10,AB10,IF(AF8=AF11,AB11,IF(AF8=AF7,AB7,""))))</f>
        <v/>
      </c>
      <c r="AD8" s="1" t="str">
        <f t="shared" si="12"/>
        <v/>
      </c>
      <c r="AE8" s="1">
        <f t="shared" si="13"/>
        <v>1</v>
      </c>
      <c r="AF8" s="1">
        <f t="shared" si="14"/>
        <v>-50010600</v>
      </c>
      <c r="AG8" s="1">
        <f t="shared" si="15"/>
        <v>-50010610</v>
      </c>
      <c r="AH8" s="1">
        <f t="shared" si="16"/>
        <v>-50010608</v>
      </c>
      <c r="AI8" s="1"/>
    </row>
    <row r="9">
      <c r="B9" s="49">
        <v>2.0</v>
      </c>
      <c r="C9" s="50" t="str">
        <f t="shared" ref="C9:G9" si="17">IFERROR(VLOOKUP($B9,$T$7:$Y$11,C$5,FALSE),"")</f>
        <v>Peru</v>
      </c>
      <c r="D9" s="51">
        <f t="shared" si="17"/>
        <v>7</v>
      </c>
      <c r="E9" s="51">
        <f t="shared" si="17"/>
        <v>3</v>
      </c>
      <c r="F9" s="51">
        <f t="shared" si="17"/>
        <v>3</v>
      </c>
      <c r="G9" s="52">
        <f t="shared" si="17"/>
        <v>0</v>
      </c>
      <c r="H9" s="24"/>
      <c r="I9" s="53">
        <v>5.0</v>
      </c>
      <c r="J9" s="54">
        <v>44364.0</v>
      </c>
      <c r="K9" s="55" t="s">
        <v>47</v>
      </c>
      <c r="L9" s="47">
        <v>3.0</v>
      </c>
      <c r="M9" s="48">
        <v>1.0</v>
      </c>
      <c r="N9" s="53" t="s">
        <v>46</v>
      </c>
      <c r="O9" s="25" t="str">
        <f t="shared" si="2"/>
        <v>#N/A</v>
      </c>
      <c r="P9" s="1">
        <f t="shared" si="3"/>
        <v>3</v>
      </c>
      <c r="Q9" s="1">
        <f t="shared" si="4"/>
        <v>0</v>
      </c>
      <c r="R9" s="1" t="str">
        <f t="shared" si="5"/>
        <v>Colombia</v>
      </c>
      <c r="S9" s="1"/>
      <c r="T9" s="1">
        <f t="shared" si="6"/>
        <v>4</v>
      </c>
      <c r="U9" s="1" t="s">
        <v>48</v>
      </c>
      <c r="V9" s="1">
        <f t="shared" si="7"/>
        <v>4</v>
      </c>
      <c r="W9" s="1">
        <f t="shared" si="8"/>
        <v>-2</v>
      </c>
      <c r="X9" s="1">
        <f t="shared" si="9"/>
        <v>2</v>
      </c>
      <c r="Y9" s="1">
        <f t="shared" si="10"/>
        <v>4</v>
      </c>
      <c r="Z9" s="1"/>
      <c r="AA9" s="1"/>
      <c r="AB9" s="1" t="str">
        <f t="shared" si="11"/>
        <v>Ecuador</v>
      </c>
      <c r="AC9" s="1" t="str">
        <f>IF(AF9=AF10,AB10,IF(AF9=AF11,AB11,IF(AF9=AF7,AB7,IF(AF9=AF8,AB8,""))))</f>
        <v/>
      </c>
      <c r="AD9" s="1" t="str">
        <f t="shared" si="12"/>
        <v/>
      </c>
      <c r="AE9" s="1">
        <f t="shared" si="13"/>
        <v>1</v>
      </c>
      <c r="AF9" s="1">
        <f t="shared" si="14"/>
        <v>-39980200</v>
      </c>
      <c r="AG9" s="1">
        <f t="shared" si="15"/>
        <v>-39980210</v>
      </c>
      <c r="AH9" s="1">
        <f t="shared" si="16"/>
        <v>-39980207</v>
      </c>
      <c r="AI9" s="1"/>
    </row>
    <row r="10">
      <c r="B10" s="56">
        <v>3.0</v>
      </c>
      <c r="C10" s="57" t="str">
        <f t="shared" ref="C10:G10" si="18">IFERROR(VLOOKUP($B10,$T$7:$Y$11,C$5,FALSE),"")</f>
        <v>Colombia</v>
      </c>
      <c r="D10" s="58">
        <f t="shared" si="18"/>
        <v>5</v>
      </c>
      <c r="E10" s="58">
        <f t="shared" si="18"/>
        <v>6</v>
      </c>
      <c r="F10" s="58">
        <f t="shared" si="18"/>
        <v>5</v>
      </c>
      <c r="G10" s="59">
        <f t="shared" si="18"/>
        <v>1</v>
      </c>
      <c r="H10" s="24"/>
      <c r="I10" s="44">
        <v>6.0</v>
      </c>
      <c r="J10" s="45">
        <v>44364.0</v>
      </c>
      <c r="K10" s="46" t="s">
        <v>49</v>
      </c>
      <c r="L10" s="47">
        <v>0.0</v>
      </c>
      <c r="M10" s="48">
        <v>2.0</v>
      </c>
      <c r="N10" s="44" t="s">
        <v>45</v>
      </c>
      <c r="O10" s="25" t="str">
        <f t="shared" si="2"/>
        <v>#N/A</v>
      </c>
      <c r="P10" s="1">
        <f t="shared" si="3"/>
        <v>0</v>
      </c>
      <c r="Q10" s="1">
        <f t="shared" si="4"/>
        <v>3</v>
      </c>
      <c r="R10" s="1" t="str">
        <f t="shared" si="5"/>
        <v>Brasil</v>
      </c>
      <c r="S10" s="1"/>
      <c r="T10" s="1">
        <f t="shared" si="6"/>
        <v>2</v>
      </c>
      <c r="U10" s="1" t="s">
        <v>49</v>
      </c>
      <c r="V10" s="1">
        <f t="shared" si="7"/>
        <v>7</v>
      </c>
      <c r="W10" s="1">
        <f t="shared" si="8"/>
        <v>0</v>
      </c>
      <c r="X10" s="1">
        <f t="shared" si="9"/>
        <v>3</v>
      </c>
      <c r="Y10" s="1">
        <f t="shared" si="10"/>
        <v>3</v>
      </c>
      <c r="Z10" s="1"/>
      <c r="AA10" s="1"/>
      <c r="AB10" s="1" t="str">
        <f t="shared" si="11"/>
        <v>Peru</v>
      </c>
      <c r="AC10" s="1" t="str">
        <f>IF(AF10=AF11,AB11,IF(AF10=AF7,AB7,IF(AF10=AF8,AB8,IF(AF10=AF9,AB9,""))))</f>
        <v/>
      </c>
      <c r="AD10" s="1" t="str">
        <f t="shared" si="12"/>
        <v/>
      </c>
      <c r="AE10" s="1">
        <f t="shared" si="13"/>
        <v>1</v>
      </c>
      <c r="AF10" s="1">
        <f t="shared" si="14"/>
        <v>-70000300</v>
      </c>
      <c r="AG10" s="1">
        <f t="shared" si="15"/>
        <v>-70000310</v>
      </c>
      <c r="AH10" s="1">
        <f t="shared" si="16"/>
        <v>-70000306</v>
      </c>
      <c r="AI10" s="1"/>
    </row>
    <row r="11">
      <c r="B11" s="60">
        <v>4.0</v>
      </c>
      <c r="C11" s="61" t="str">
        <f t="shared" ref="C11:G11" si="19">IFERROR(VLOOKUP($B11,$T$7:$Y$11,C$5,FALSE),"")</f>
        <v>Ecuador</v>
      </c>
      <c r="D11" s="62">
        <f t="shared" si="19"/>
        <v>4</v>
      </c>
      <c r="E11" s="62">
        <f t="shared" si="19"/>
        <v>2</v>
      </c>
      <c r="F11" s="62">
        <f t="shared" si="19"/>
        <v>4</v>
      </c>
      <c r="G11" s="63">
        <f t="shared" si="19"/>
        <v>-2</v>
      </c>
      <c r="H11" s="24"/>
      <c r="I11" s="53">
        <v>9.0</v>
      </c>
      <c r="J11" s="54">
        <v>44367.0</v>
      </c>
      <c r="K11" s="55" t="s">
        <v>46</v>
      </c>
      <c r="L11" s="47">
        <v>0.0</v>
      </c>
      <c r="M11" s="48">
        <v>1.0</v>
      </c>
      <c r="N11" s="53" t="s">
        <v>48</v>
      </c>
      <c r="O11" s="25" t="str">
        <f t="shared" si="2"/>
        <v>#N/A</v>
      </c>
      <c r="P11" s="1">
        <f t="shared" si="3"/>
        <v>0</v>
      </c>
      <c r="Q11" s="1">
        <f t="shared" si="4"/>
        <v>3</v>
      </c>
      <c r="R11" s="1" t="str">
        <f t="shared" si="5"/>
        <v>Ecuador</v>
      </c>
      <c r="S11" s="1"/>
      <c r="T11" s="1">
        <f t="shared" si="6"/>
        <v>5</v>
      </c>
      <c r="U11" s="1" t="s">
        <v>46</v>
      </c>
      <c r="V11" s="1">
        <f t="shared" si="7"/>
        <v>0</v>
      </c>
      <c r="W11" s="1">
        <f t="shared" si="8"/>
        <v>-6</v>
      </c>
      <c r="X11" s="1">
        <f t="shared" si="9"/>
        <v>1</v>
      </c>
      <c r="Y11" s="1">
        <f t="shared" si="10"/>
        <v>7</v>
      </c>
      <c r="Z11" s="1"/>
      <c r="AA11" s="1"/>
      <c r="AB11" s="1" t="str">
        <f t="shared" si="11"/>
        <v>Venezuela</v>
      </c>
      <c r="AC11" s="1" t="str">
        <f>IF(AF11=AF7,AB7,IF(AF11=AF8,AB8,IF(AF11=AF9,AB9,IF(AF11=AF10,AB10,""))))</f>
        <v/>
      </c>
      <c r="AD11" s="1" t="str">
        <f t="shared" si="12"/>
        <v/>
      </c>
      <c r="AE11" s="1">
        <f t="shared" si="13"/>
        <v>1</v>
      </c>
      <c r="AF11" s="1">
        <f t="shared" si="14"/>
        <v>59900</v>
      </c>
      <c r="AG11" s="1">
        <f t="shared" si="15"/>
        <v>59890</v>
      </c>
      <c r="AH11" s="1">
        <f t="shared" si="16"/>
        <v>59895</v>
      </c>
      <c r="AI11" s="1"/>
    </row>
    <row r="12">
      <c r="A12" s="11"/>
      <c r="B12" s="64">
        <v>5.0</v>
      </c>
      <c r="C12" s="65" t="str">
        <f t="shared" ref="C12:G12" si="20">IFERROR(VLOOKUP($B12,$T$7:$Y$11,C$5,FALSE),"")</f>
        <v>Venezuela</v>
      </c>
      <c r="D12" s="66">
        <f t="shared" si="20"/>
        <v>0</v>
      </c>
      <c r="E12" s="66">
        <f t="shared" si="20"/>
        <v>1</v>
      </c>
      <c r="F12" s="66">
        <f t="shared" si="20"/>
        <v>7</v>
      </c>
      <c r="G12" s="67">
        <f t="shared" si="20"/>
        <v>-6</v>
      </c>
      <c r="H12" s="24"/>
      <c r="I12" s="68">
        <v>10.0</v>
      </c>
      <c r="J12" s="69">
        <v>44367.0</v>
      </c>
      <c r="K12" s="70" t="s">
        <v>47</v>
      </c>
      <c r="L12" s="71">
        <v>1.0</v>
      </c>
      <c r="M12" s="72">
        <v>1.0</v>
      </c>
      <c r="N12" s="68" t="s">
        <v>49</v>
      </c>
      <c r="O12" s="25" t="str">
        <f t="shared" si="2"/>
        <v>#N/A</v>
      </c>
      <c r="P12" s="1">
        <f t="shared" si="3"/>
        <v>1</v>
      </c>
      <c r="Q12" s="1">
        <f t="shared" si="4"/>
        <v>1</v>
      </c>
      <c r="R12" s="1" t="str">
        <f t="shared" si="5"/>
        <v>SIN GANADOR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>
      <c r="A13" s="11"/>
      <c r="B13" s="11"/>
      <c r="C13" s="11"/>
      <c r="D13" s="11"/>
      <c r="E13" s="11"/>
      <c r="F13" s="11"/>
      <c r="G13" s="11"/>
      <c r="H13" s="11"/>
      <c r="I13" s="73">
        <v>13.0</v>
      </c>
      <c r="J13" s="74">
        <v>44370.0</v>
      </c>
      <c r="K13" s="75" t="s">
        <v>48</v>
      </c>
      <c r="L13" s="71">
        <v>0.0</v>
      </c>
      <c r="M13" s="72">
        <v>1.0</v>
      </c>
      <c r="N13" s="73" t="s">
        <v>49</v>
      </c>
      <c r="O13" s="25" t="str">
        <f t="shared" si="2"/>
        <v>#N/A</v>
      </c>
      <c r="P13" s="1">
        <f t="shared" si="3"/>
        <v>0</v>
      </c>
      <c r="Q13" s="1">
        <f t="shared" si="4"/>
        <v>3</v>
      </c>
      <c r="R13" s="1" t="str">
        <f t="shared" si="5"/>
        <v>Peru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>
      <c r="A14" s="11"/>
      <c r="B14" s="11"/>
      <c r="C14" s="11"/>
      <c r="D14" s="11"/>
      <c r="E14" s="11"/>
      <c r="F14" s="11"/>
      <c r="G14" s="11"/>
      <c r="H14" s="11"/>
      <c r="I14" s="68">
        <v>14.0</v>
      </c>
      <c r="J14" s="69">
        <v>44370.0</v>
      </c>
      <c r="K14" s="70" t="s">
        <v>47</v>
      </c>
      <c r="L14" s="71">
        <v>1.0</v>
      </c>
      <c r="M14" s="72">
        <v>2.0</v>
      </c>
      <c r="N14" s="68" t="s">
        <v>45</v>
      </c>
      <c r="O14" s="25" t="str">
        <f t="shared" si="2"/>
        <v>#N/A</v>
      </c>
      <c r="P14" s="1">
        <f t="shared" si="3"/>
        <v>0</v>
      </c>
      <c r="Q14" s="1">
        <f t="shared" si="4"/>
        <v>3</v>
      </c>
      <c r="R14" s="1" t="str">
        <f t="shared" si="5"/>
        <v>Brasil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>
      <c r="A15" s="11"/>
      <c r="B15" s="11"/>
      <c r="C15" s="11"/>
      <c r="D15" s="11"/>
      <c r="E15" s="11"/>
      <c r="F15" s="11"/>
      <c r="G15" s="11"/>
      <c r="H15" s="11"/>
      <c r="I15" s="73">
        <v>17.0</v>
      </c>
      <c r="J15" s="74">
        <v>44374.0</v>
      </c>
      <c r="K15" s="75" t="s">
        <v>48</v>
      </c>
      <c r="L15" s="71">
        <v>0.0</v>
      </c>
      <c r="M15" s="72">
        <v>2.0</v>
      </c>
      <c r="N15" s="73" t="s">
        <v>45</v>
      </c>
      <c r="O15" s="25" t="str">
        <f t="shared" si="2"/>
        <v>#N/A</v>
      </c>
      <c r="P15" s="1">
        <f t="shared" si="3"/>
        <v>0</v>
      </c>
      <c r="Q15" s="1">
        <f t="shared" si="4"/>
        <v>3</v>
      </c>
      <c r="R15" s="1" t="str">
        <f t="shared" si="5"/>
        <v>Brasil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>
      <c r="B16" s="11"/>
      <c r="C16" s="11"/>
      <c r="D16" s="11"/>
      <c r="E16" s="11"/>
      <c r="F16" s="11"/>
      <c r="G16" s="11"/>
      <c r="H16" s="11"/>
      <c r="I16" s="76">
        <v>18.0</v>
      </c>
      <c r="J16" s="77">
        <v>44374.0</v>
      </c>
      <c r="K16" s="78" t="s">
        <v>46</v>
      </c>
      <c r="L16" s="79">
        <v>0.0</v>
      </c>
      <c r="M16" s="80">
        <v>1.0</v>
      </c>
      <c r="N16" s="76" t="s">
        <v>49</v>
      </c>
      <c r="O16" s="25" t="str">
        <f t="shared" si="2"/>
        <v>#N/A</v>
      </c>
      <c r="P16" s="1">
        <f t="shared" si="3"/>
        <v>0</v>
      </c>
      <c r="Q16" s="1">
        <f t="shared" si="4"/>
        <v>3</v>
      </c>
      <c r="R16" s="1" t="str">
        <f t="shared" si="5"/>
        <v>Peru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>
      <c r="N17" s="1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>
      <c r="N20" s="1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ht="15.75" customHeight="1">
      <c r="N21" s="1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ht="15.75" customHeight="1">
      <c r="B22" s="81" t="s">
        <v>50</v>
      </c>
      <c r="C22" s="82"/>
      <c r="D22" s="82"/>
      <c r="E22" s="82"/>
      <c r="F22" s="82"/>
      <c r="G22" s="82"/>
      <c r="H22" s="83"/>
      <c r="I22" s="1">
        <v>1.0</v>
      </c>
      <c r="J22" s="2" t="s">
        <v>51</v>
      </c>
      <c r="K22" s="3"/>
      <c r="L22" s="3"/>
      <c r="M22" s="4"/>
      <c r="N22" s="2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ht="15.75" customHeight="1">
      <c r="B23" s="84" t="s">
        <v>52</v>
      </c>
      <c r="C23" s="85"/>
      <c r="D23" s="85"/>
      <c r="E23" s="85"/>
      <c r="F23" s="85"/>
      <c r="G23" s="85"/>
      <c r="H23" s="86"/>
      <c r="I23" s="1">
        <f t="shared" ref="I23:I27" si="21">IF(J23="",0,1)</f>
        <v>1</v>
      </c>
      <c r="J23" s="87" t="s">
        <v>45</v>
      </c>
      <c r="K23" s="88"/>
      <c r="L23" s="7"/>
      <c r="M23" s="89">
        <v>1.0</v>
      </c>
      <c r="N23" s="90">
        <f t="shared" ref="N23:N27" si="22">IF(J23="",0,M23)</f>
        <v>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ht="15.75" customHeight="1">
      <c r="B24" s="84" t="s">
        <v>53</v>
      </c>
      <c r="C24" s="85"/>
      <c r="D24" s="85"/>
      <c r="E24" s="85"/>
      <c r="F24" s="85"/>
      <c r="G24" s="85"/>
      <c r="H24" s="86"/>
      <c r="I24" s="1">
        <f t="shared" si="21"/>
        <v>1</v>
      </c>
      <c r="J24" s="91" t="s">
        <v>47</v>
      </c>
      <c r="K24" s="92"/>
      <c r="L24" s="10"/>
      <c r="M24" s="93">
        <v>2.0</v>
      </c>
      <c r="N24" s="11">
        <f t="shared" si="22"/>
        <v>2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ht="15.75" customHeight="1">
      <c r="B25" s="84" t="s">
        <v>54</v>
      </c>
      <c r="C25" s="85"/>
      <c r="D25" s="85"/>
      <c r="E25" s="85"/>
      <c r="F25" s="85"/>
      <c r="G25" s="85"/>
      <c r="H25" s="86"/>
      <c r="I25" s="1">
        <f t="shared" si="21"/>
        <v>1</v>
      </c>
      <c r="J25" s="91" t="s">
        <v>48</v>
      </c>
      <c r="K25" s="92"/>
      <c r="L25" s="10"/>
      <c r="M25" s="93">
        <v>3.0</v>
      </c>
      <c r="N25" s="11">
        <f t="shared" si="22"/>
        <v>3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ht="15.75" customHeight="1">
      <c r="B26" s="84" t="s">
        <v>55</v>
      </c>
      <c r="C26" s="85"/>
      <c r="D26" s="85"/>
      <c r="E26" s="85"/>
      <c r="F26" s="85"/>
      <c r="G26" s="85"/>
      <c r="H26" s="86"/>
      <c r="I26" s="1">
        <f t="shared" si="21"/>
        <v>1</v>
      </c>
      <c r="J26" s="91" t="s">
        <v>49</v>
      </c>
      <c r="K26" s="92"/>
      <c r="L26" s="10"/>
      <c r="M26" s="93">
        <v>4.0</v>
      </c>
      <c r="N26" s="11">
        <f t="shared" si="22"/>
        <v>4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ht="15.75" customHeight="1">
      <c r="B27" s="84" t="s">
        <v>56</v>
      </c>
      <c r="C27" s="85"/>
      <c r="D27" s="85"/>
      <c r="E27" s="85"/>
      <c r="F27" s="85"/>
      <c r="G27" s="85"/>
      <c r="H27" s="86"/>
      <c r="I27" s="1">
        <f t="shared" si="21"/>
        <v>1</v>
      </c>
      <c r="J27" s="94" t="s">
        <v>46</v>
      </c>
      <c r="K27" s="95"/>
      <c r="L27" s="17"/>
      <c r="M27" s="96">
        <v>5.0</v>
      </c>
      <c r="N27" s="11">
        <f t="shared" si="22"/>
        <v>5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ht="15.75" customHeight="1">
      <c r="B28" s="97"/>
      <c r="C28" s="98"/>
      <c r="D28" s="98"/>
      <c r="E28" s="98"/>
      <c r="F28" s="98"/>
      <c r="G28" s="98"/>
      <c r="H28" s="99"/>
      <c r="I28" s="11"/>
      <c r="J28" s="11"/>
      <c r="K28" s="11"/>
      <c r="L28" s="11"/>
      <c r="M28" s="11"/>
      <c r="N28" s="1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ht="15.75" customHeight="1">
      <c r="J29" s="11"/>
      <c r="K29" s="11"/>
      <c r="L29" s="11"/>
      <c r="M29" s="11"/>
      <c r="N29" s="1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ht="15.75" customHeight="1">
      <c r="N30" s="1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ht="15.75" customHeight="1">
      <c r="N31" s="1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ht="15.75" customHeight="1">
      <c r="N32" s="1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ht="15.75" customHeight="1">
      <c r="N33" s="1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ht="15.75" customHeight="1">
      <c r="N34" s="1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ht="15.75" customHeight="1">
      <c r="N35" s="1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ht="15.75" customHeight="1">
      <c r="N36" s="1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ht="15.75" customHeight="1">
      <c r="N37" s="1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ht="15.75" customHeight="1">
      <c r="N38" s="1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ht="15.75" customHeight="1">
      <c r="N39" s="1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ht="15.75" customHeight="1">
      <c r="N40" s="1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ht="15.75" customHeight="1">
      <c r="N41" s="1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ht="15.75" customHeight="1">
      <c r="N42" s="1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ht="15.75" customHeight="1">
      <c r="N43" s="1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ht="15.75" customHeight="1">
      <c r="N44" s="1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ht="15.75" customHeight="1">
      <c r="N45" s="1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15.75" customHeight="1">
      <c r="N46" s="1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ht="15.75" customHeight="1">
      <c r="N47" s="1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ht="15.75" customHeight="1">
      <c r="N48" s="1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ht="15.75" customHeight="1">
      <c r="N49" s="1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ht="15.75" customHeight="1">
      <c r="N50" s="1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ht="15.75" customHeight="1">
      <c r="N51" s="1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ht="15.75" customHeight="1">
      <c r="N52" s="1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ht="15.75" customHeight="1">
      <c r="N53" s="1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ht="15.75" customHeight="1">
      <c r="N54" s="1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ht="15.75" customHeight="1">
      <c r="N55" s="1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ht="15.75" customHeight="1">
      <c r="N56" s="1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ht="15.75" customHeight="1">
      <c r="N57" s="1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ht="15.75" customHeight="1">
      <c r="N58" s="1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ht="15.75" customHeight="1">
      <c r="N59" s="1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ht="15.75" customHeight="1">
      <c r="N60" s="1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ht="15.75" customHeight="1">
      <c r="N61" s="1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ht="15.75" customHeight="1">
      <c r="N62" s="1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ht="15.75" customHeight="1">
      <c r="N63" s="1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ht="15.75" customHeight="1">
      <c r="N64" s="1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ht="15.75" customHeight="1">
      <c r="N65" s="1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ht="15.75" customHeight="1">
      <c r="N66" s="1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ht="15.75" customHeight="1">
      <c r="N67" s="1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ht="15.75" customHeight="1">
      <c r="N68" s="1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ht="15.75" customHeight="1">
      <c r="N69" s="1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ht="15.75" customHeight="1">
      <c r="N70" s="1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ht="15.75" customHeight="1">
      <c r="N71" s="1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ht="15.75" customHeight="1">
      <c r="N72" s="1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ht="15.75" customHeight="1">
      <c r="N73" s="1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ht="15.75" customHeight="1">
      <c r="N74" s="1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ht="15.75" customHeight="1">
      <c r="N75" s="1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ht="15.75" customHeight="1">
      <c r="N76" s="1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ht="15.75" customHeight="1">
      <c r="N77" s="1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ht="15.75" customHeight="1">
      <c r="N78" s="1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ht="15.75" customHeight="1">
      <c r="N79" s="1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ht="15.75" customHeight="1">
      <c r="N80" s="1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ht="15.75" customHeight="1">
      <c r="N81" s="1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ht="15.75" customHeight="1">
      <c r="N82" s="1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ht="15.75" customHeight="1">
      <c r="N83" s="1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ht="15.75" customHeight="1">
      <c r="N84" s="1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ht="15.75" customHeight="1">
      <c r="N85" s="1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ht="15.75" customHeight="1">
      <c r="N86" s="1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15.75" customHeight="1">
      <c r="N87" s="1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ht="15.75" customHeight="1">
      <c r="N88" s="1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ht="15.75" customHeight="1">
      <c r="N89" s="1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ht="15.75" customHeight="1">
      <c r="N90" s="1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ht="15.75" customHeight="1">
      <c r="N91" s="1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ht="15.75" customHeight="1">
      <c r="N92" s="1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ht="15.75" customHeight="1">
      <c r="N93" s="1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ht="15.75" customHeight="1">
      <c r="N94" s="1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ht="15.75" customHeight="1">
      <c r="N95" s="1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ht="15.75" customHeight="1">
      <c r="N96" s="1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ht="15.75" customHeight="1">
      <c r="N97" s="1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5.75" customHeight="1">
      <c r="N98" s="1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5.75" customHeight="1">
      <c r="N99" s="1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5.75" customHeight="1">
      <c r="N100" s="1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5.75" customHeight="1">
      <c r="N101" s="1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5.75" customHeight="1">
      <c r="N102" s="1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5.75" customHeight="1">
      <c r="N103" s="1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5.75" customHeight="1">
      <c r="N104" s="1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5.75" customHeight="1">
      <c r="N105" s="1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5.75" customHeight="1">
      <c r="N106" s="1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5.75" customHeight="1">
      <c r="N107" s="1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5.75" customHeight="1">
      <c r="N108" s="1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5.75" customHeight="1">
      <c r="N109" s="1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5.75" customHeight="1">
      <c r="N110" s="1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5.75" customHeight="1">
      <c r="N111" s="1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5.75" customHeight="1">
      <c r="N112" s="1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5.75" customHeight="1">
      <c r="N113" s="1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5.75" customHeight="1">
      <c r="N114" s="1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5.75" customHeight="1">
      <c r="N115" s="1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5.75" customHeight="1">
      <c r="N116" s="1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5.75" customHeight="1">
      <c r="N117" s="1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5.75" customHeight="1">
      <c r="N118" s="1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5.75" customHeight="1">
      <c r="N119" s="1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5.75" customHeight="1">
      <c r="N120" s="1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5.75" customHeight="1">
      <c r="N121" s="1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5.75" customHeight="1">
      <c r="N122" s="1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5.75" customHeight="1">
      <c r="N123" s="1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5.75" customHeight="1">
      <c r="N124" s="1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5.75" customHeight="1">
      <c r="N125" s="1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5.75" customHeight="1">
      <c r="N126" s="1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5.75" customHeight="1">
      <c r="N127" s="1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5.75" customHeight="1">
      <c r="N128" s="1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5.75" customHeight="1">
      <c r="N129" s="1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5.75" customHeight="1">
      <c r="N130" s="1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5.75" customHeight="1">
      <c r="N131" s="1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5.75" customHeight="1">
      <c r="N132" s="1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5.75" customHeight="1">
      <c r="N133" s="1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5.75" customHeight="1">
      <c r="N134" s="1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5.75" customHeight="1">
      <c r="N135" s="1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5.75" customHeight="1">
      <c r="N136" s="1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5.75" customHeight="1">
      <c r="N137" s="1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5.75" customHeight="1">
      <c r="N138" s="1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5.75" customHeight="1">
      <c r="N139" s="1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5.75" customHeight="1">
      <c r="N140" s="1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5.75" customHeight="1">
      <c r="N141" s="1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5.75" customHeight="1">
      <c r="N142" s="1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5.75" customHeight="1">
      <c r="N143" s="1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5.75" customHeight="1">
      <c r="N144" s="1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5.75" customHeight="1">
      <c r="N145" s="1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5.75" customHeight="1">
      <c r="N146" s="1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5.75" customHeight="1">
      <c r="N147" s="1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5.75" customHeight="1">
      <c r="N148" s="1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5.75" customHeight="1">
      <c r="N149" s="1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5.75" customHeight="1">
      <c r="N150" s="1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5.75" customHeight="1">
      <c r="N151" s="1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5.75" customHeight="1">
      <c r="N152" s="1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5.75" customHeight="1">
      <c r="N153" s="1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5.75" customHeight="1">
      <c r="N154" s="1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5.75" customHeight="1">
      <c r="N155" s="1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5.75" customHeight="1">
      <c r="N156" s="1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5.75" customHeight="1">
      <c r="N157" s="1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5.75" customHeight="1">
      <c r="N158" s="1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5.75" customHeight="1">
      <c r="N159" s="1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5.75" customHeight="1">
      <c r="N160" s="1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5.75" customHeight="1">
      <c r="N161" s="1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5.75" customHeight="1">
      <c r="N162" s="1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5.75" customHeight="1">
      <c r="N163" s="1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5.75" customHeight="1">
      <c r="N164" s="1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5.75" customHeight="1">
      <c r="N165" s="1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5.75" customHeight="1">
      <c r="N166" s="1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5.75" customHeight="1">
      <c r="N167" s="1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5.75" customHeight="1">
      <c r="N168" s="1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5.75" customHeight="1">
      <c r="N169" s="1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5.75" customHeight="1">
      <c r="N170" s="1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5.75" customHeight="1">
      <c r="N171" s="1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5.75" customHeight="1">
      <c r="N172" s="1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5.75" customHeight="1">
      <c r="N173" s="1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5.75" customHeight="1">
      <c r="N174" s="1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5.75" customHeight="1">
      <c r="N175" s="1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5.75" customHeight="1">
      <c r="N176" s="1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5.75" customHeight="1">
      <c r="N177" s="1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5.75" customHeight="1">
      <c r="N178" s="1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5.75" customHeight="1">
      <c r="N179" s="1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5.75" customHeight="1">
      <c r="N180" s="1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5.75" customHeight="1">
      <c r="N181" s="1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5.75" customHeight="1">
      <c r="N182" s="1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5.75" customHeight="1">
      <c r="N183" s="1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5.75" customHeight="1">
      <c r="N184" s="1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5.75" customHeight="1">
      <c r="N185" s="1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ht="15.75" customHeight="1">
      <c r="N186" s="1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ht="15.75" customHeight="1">
      <c r="N187" s="1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ht="15.75" customHeight="1">
      <c r="N188" s="1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ht="15.75" customHeight="1">
      <c r="N189" s="1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ht="15.75" customHeight="1">
      <c r="N190" s="1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ht="15.75" customHeight="1">
      <c r="N191" s="1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ht="15.75" customHeight="1">
      <c r="N192" s="1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ht="15.75" customHeight="1">
      <c r="N193" s="1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ht="15.75" customHeight="1">
      <c r="N194" s="1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ht="15.75" customHeight="1">
      <c r="N195" s="1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ht="15.75" customHeight="1">
      <c r="N196" s="1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ht="15.75" customHeight="1">
      <c r="N197" s="1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ht="15.75" customHeight="1">
      <c r="N198" s="1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ht="15.75" customHeight="1">
      <c r="N199" s="1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ht="15.75" customHeight="1">
      <c r="N200" s="1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ht="15.75" customHeight="1">
      <c r="N201" s="1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ht="15.75" customHeight="1">
      <c r="N202" s="1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ht="15.75" customHeight="1">
      <c r="N203" s="1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ht="15.75" customHeight="1">
      <c r="N204" s="1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ht="15.75" customHeight="1">
      <c r="N205" s="1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ht="15.75" customHeight="1">
      <c r="N206" s="1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ht="15.75" customHeight="1">
      <c r="N207" s="1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ht="15.75" customHeight="1">
      <c r="N208" s="1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ht="15.75" customHeight="1">
      <c r="N209" s="1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ht="15.75" customHeight="1">
      <c r="N210" s="1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ht="15.75" customHeight="1">
      <c r="N211" s="1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ht="15.75" customHeight="1">
      <c r="N212" s="1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ht="15.75" customHeight="1">
      <c r="N213" s="1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ht="15.75" customHeight="1">
      <c r="N214" s="1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ht="15.75" customHeight="1">
      <c r="N215" s="1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ht="15.75" customHeight="1">
      <c r="N216" s="1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ht="15.75" customHeight="1">
      <c r="N217" s="1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ht="15.75" customHeight="1">
      <c r="N218" s="1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ht="15.75" customHeight="1">
      <c r="N219" s="1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ht="15.75" customHeight="1">
      <c r="N220" s="1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ht="15.75" customHeight="1">
      <c r="N221" s="1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ht="15.75" customHeight="1">
      <c r="N222" s="1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ht="15.75" customHeight="1">
      <c r="N223" s="1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ht="15.75" customHeight="1">
      <c r="N224" s="1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ht="15.75" customHeight="1">
      <c r="N225" s="1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ht="15.75" customHeight="1">
      <c r="N226" s="1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ht="15.75" customHeight="1">
      <c r="N227" s="1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ht="15.75" customHeight="1">
      <c r="N228" s="1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ht="15.75" customHeight="1">
      <c r="N229" s="1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ht="15.75" customHeight="1">
      <c r="N230" s="1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ht="15.75" customHeight="1">
      <c r="N231" s="1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ht="15.75" customHeight="1">
      <c r="N232" s="1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ht="15.75" customHeight="1">
      <c r="N233" s="1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ht="15.75" customHeight="1">
      <c r="N234" s="1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ht="15.75" customHeight="1">
      <c r="N235" s="1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ht="15.75" customHeight="1">
      <c r="N236" s="1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ht="15.75" customHeight="1">
      <c r="N237" s="1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ht="15.75" customHeight="1">
      <c r="N238" s="1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ht="15.75" customHeight="1">
      <c r="N239" s="1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ht="15.75" customHeight="1">
      <c r="N240" s="1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ht="15.75" customHeight="1">
      <c r="N241" s="1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ht="15.75" customHeight="1">
      <c r="N242" s="1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ht="15.75" customHeight="1">
      <c r="N243" s="1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ht="15.75" customHeight="1">
      <c r="N244" s="1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ht="15.75" customHeight="1">
      <c r="N245" s="1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ht="15.75" customHeight="1">
      <c r="N246" s="1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ht="15.75" customHeight="1">
      <c r="N247" s="1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ht="15.75" customHeight="1">
      <c r="N248" s="1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ht="15.75" customHeight="1">
      <c r="N249" s="1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ht="15.75" customHeight="1">
      <c r="N250" s="1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ht="15.75" customHeight="1">
      <c r="N251" s="1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ht="15.75" customHeight="1">
      <c r="N252" s="1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ht="15.75" customHeight="1">
      <c r="N253" s="1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ht="15.75" customHeight="1">
      <c r="N254" s="1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ht="15.75" customHeight="1">
      <c r="N255" s="1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ht="15.75" customHeight="1">
      <c r="N256" s="1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ht="15.75" customHeight="1">
      <c r="N257" s="1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ht="15.75" customHeight="1">
      <c r="N258" s="1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ht="15.75" customHeight="1">
      <c r="N259" s="1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ht="15.75" customHeight="1">
      <c r="N260" s="1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ht="15.75" customHeight="1">
      <c r="N261" s="1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ht="15.75" customHeight="1">
      <c r="N262" s="1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ht="15.75" customHeight="1">
      <c r="N263" s="1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ht="15.75" customHeight="1">
      <c r="N264" s="1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ht="15.75" customHeight="1">
      <c r="N265" s="1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ht="15.75" customHeight="1">
      <c r="N266" s="1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ht="15.75" customHeight="1">
      <c r="N267" s="1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ht="15.75" customHeight="1">
      <c r="N268" s="1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ht="15.75" customHeight="1">
      <c r="N269" s="1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ht="15.75" customHeight="1">
      <c r="N270" s="1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ht="15.75" customHeight="1">
      <c r="N271" s="1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ht="15.75" customHeight="1">
      <c r="N272" s="1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ht="15.75" customHeight="1">
      <c r="N273" s="1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ht="15.75" customHeight="1">
      <c r="N274" s="1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ht="15.75" customHeight="1">
      <c r="N275" s="1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ht="15.75" customHeight="1">
      <c r="N276" s="1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ht="15.75" customHeight="1">
      <c r="N277" s="1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ht="15.75" customHeight="1">
      <c r="N278" s="1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ht="15.75" customHeight="1">
      <c r="N279" s="1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ht="15.75" customHeight="1">
      <c r="N280" s="1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ht="15.75" customHeight="1">
      <c r="N281" s="1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ht="15.75" customHeight="1">
      <c r="N282" s="1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ht="15.75" customHeight="1">
      <c r="N283" s="1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ht="15.75" customHeight="1">
      <c r="N284" s="1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ht="15.75" customHeight="1">
      <c r="N285" s="1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ht="15.75" customHeight="1">
      <c r="N286" s="1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ht="15.75" customHeight="1">
      <c r="N287" s="1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ht="15.75" customHeight="1">
      <c r="N288" s="1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ht="15.75" customHeight="1">
      <c r="N289" s="1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ht="15.75" customHeight="1">
      <c r="N290" s="1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ht="15.75" customHeight="1">
      <c r="N291" s="1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ht="15.75" customHeight="1">
      <c r="N292" s="1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ht="15.75" customHeight="1">
      <c r="N293" s="1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ht="15.75" customHeight="1">
      <c r="N294" s="1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ht="15.75" customHeight="1">
      <c r="N295" s="1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ht="15.75" customHeight="1">
      <c r="N296" s="1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ht="15.75" customHeight="1">
      <c r="N297" s="1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ht="15.75" customHeight="1">
      <c r="N298" s="1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ht="15.75" customHeight="1">
      <c r="N299" s="1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ht="15.75" customHeight="1">
      <c r="N300" s="1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ht="15.75" customHeight="1">
      <c r="N301" s="1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ht="15.75" customHeight="1">
      <c r="N302" s="1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ht="15.75" customHeight="1">
      <c r="N303" s="1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ht="15.75" customHeight="1">
      <c r="N304" s="1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ht="15.75" customHeight="1">
      <c r="N305" s="1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ht="15.75" customHeight="1">
      <c r="N306" s="1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ht="15.75" customHeight="1">
      <c r="N307" s="1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ht="15.75" customHeight="1">
      <c r="N308" s="1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ht="15.75" customHeight="1">
      <c r="N309" s="1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ht="15.75" customHeight="1">
      <c r="N310" s="1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ht="15.75" customHeight="1">
      <c r="N311" s="1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ht="15.75" customHeight="1">
      <c r="N312" s="1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ht="15.75" customHeight="1">
      <c r="N313" s="1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ht="15.75" customHeight="1">
      <c r="N314" s="1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ht="15.75" customHeight="1">
      <c r="N315" s="1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ht="15.75" customHeight="1">
      <c r="N316" s="1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ht="15.75" customHeight="1">
      <c r="N317" s="1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ht="15.75" customHeight="1">
      <c r="N318" s="1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ht="15.75" customHeight="1">
      <c r="N319" s="1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ht="15.75" customHeight="1">
      <c r="N320" s="1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ht="15.75" customHeight="1">
      <c r="N321" s="1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ht="15.75" customHeight="1">
      <c r="N322" s="1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ht="15.75" customHeight="1">
      <c r="N323" s="1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ht="15.75" customHeight="1">
      <c r="N324" s="1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ht="15.75" customHeight="1">
      <c r="N325" s="1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ht="15.75" customHeight="1">
      <c r="N326" s="1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ht="15.75" customHeight="1">
      <c r="N327" s="1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ht="15.75" customHeight="1">
      <c r="N328" s="1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ht="15.75" customHeight="1">
      <c r="N329" s="1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ht="15.75" customHeight="1">
      <c r="N330" s="1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ht="15.75" customHeight="1">
      <c r="N331" s="1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ht="15.75" customHeight="1">
      <c r="N332" s="1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ht="15.75" customHeight="1">
      <c r="N333" s="1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ht="15.75" customHeight="1">
      <c r="N334" s="1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ht="15.75" customHeight="1">
      <c r="N335" s="1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ht="15.75" customHeight="1">
      <c r="N336" s="1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ht="15.75" customHeight="1">
      <c r="N337" s="1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ht="15.75" customHeight="1">
      <c r="N338" s="1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ht="15.75" customHeight="1">
      <c r="N339" s="1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ht="15.75" customHeight="1">
      <c r="N340" s="1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ht="15.75" customHeight="1">
      <c r="N341" s="1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ht="15.75" customHeight="1">
      <c r="N342" s="1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ht="15.75" customHeight="1">
      <c r="N343" s="1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ht="15.75" customHeight="1">
      <c r="N344" s="1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ht="15.75" customHeight="1">
      <c r="N345" s="1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ht="15.75" customHeight="1">
      <c r="N346" s="1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ht="15.75" customHeight="1">
      <c r="N347" s="1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ht="15.75" customHeight="1">
      <c r="N348" s="1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ht="15.75" customHeight="1">
      <c r="N349" s="1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ht="15.75" customHeight="1">
      <c r="N350" s="1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ht="15.75" customHeight="1">
      <c r="N351" s="1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ht="15.75" customHeight="1">
      <c r="N352" s="1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ht="15.75" customHeight="1">
      <c r="N353" s="1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ht="15.75" customHeight="1">
      <c r="N354" s="1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ht="15.75" customHeight="1">
      <c r="N355" s="1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ht="15.75" customHeight="1">
      <c r="N356" s="1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ht="15.75" customHeight="1">
      <c r="N357" s="1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ht="15.75" customHeight="1">
      <c r="N358" s="1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ht="15.75" customHeight="1">
      <c r="N359" s="1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ht="15.75" customHeight="1">
      <c r="N360" s="1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ht="15.75" customHeight="1">
      <c r="N361" s="1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ht="15.75" customHeight="1">
      <c r="N362" s="1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ht="15.75" customHeight="1">
      <c r="N363" s="1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ht="15.75" customHeight="1">
      <c r="N364" s="1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ht="15.75" customHeight="1">
      <c r="N365" s="1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ht="15.75" customHeight="1">
      <c r="N366" s="1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ht="15.75" customHeight="1">
      <c r="N367" s="1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ht="15.75" customHeight="1">
      <c r="N368" s="1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ht="15.75" customHeight="1">
      <c r="N369" s="1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ht="15.75" customHeight="1">
      <c r="N370" s="1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ht="15.75" customHeight="1">
      <c r="N371" s="1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ht="15.75" customHeight="1">
      <c r="N372" s="1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ht="15.75" customHeight="1">
      <c r="N373" s="1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ht="15.75" customHeight="1">
      <c r="N374" s="1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ht="15.75" customHeight="1">
      <c r="N375" s="1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ht="15.75" customHeight="1">
      <c r="N376" s="1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ht="15.75" customHeight="1">
      <c r="N377" s="1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ht="15.75" customHeight="1">
      <c r="N378" s="1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ht="15.75" customHeight="1">
      <c r="N379" s="1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ht="15.75" customHeight="1">
      <c r="N380" s="1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ht="15.75" customHeight="1">
      <c r="N381" s="1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ht="15.75" customHeight="1">
      <c r="N382" s="1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ht="15.75" customHeight="1">
      <c r="N383" s="1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ht="15.75" customHeight="1">
      <c r="N384" s="1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ht="15.75" customHeight="1">
      <c r="N385" s="1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ht="15.75" customHeight="1">
      <c r="N386" s="1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ht="15.75" customHeight="1">
      <c r="N387" s="1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ht="15.75" customHeight="1">
      <c r="N388" s="1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ht="15.75" customHeight="1">
      <c r="N389" s="1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ht="15.75" customHeight="1">
      <c r="N390" s="1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ht="15.75" customHeight="1">
      <c r="N391" s="1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ht="15.75" customHeight="1">
      <c r="N392" s="1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ht="15.75" customHeight="1">
      <c r="N393" s="1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ht="15.75" customHeight="1">
      <c r="N394" s="1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ht="15.75" customHeight="1">
      <c r="N395" s="1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ht="15.75" customHeight="1">
      <c r="N396" s="1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ht="15.75" customHeight="1">
      <c r="N397" s="1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ht="15.75" customHeight="1">
      <c r="N398" s="1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ht="15.75" customHeight="1">
      <c r="N399" s="1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ht="15.75" customHeight="1">
      <c r="N400" s="1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ht="15.75" customHeight="1">
      <c r="N401" s="1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ht="15.75" customHeight="1">
      <c r="N402" s="1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ht="15.75" customHeight="1">
      <c r="N403" s="1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ht="15.75" customHeight="1">
      <c r="N404" s="1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ht="15.75" customHeight="1">
      <c r="N405" s="1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ht="15.75" customHeight="1">
      <c r="N406" s="1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ht="15.75" customHeight="1">
      <c r="N407" s="1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ht="15.75" customHeight="1">
      <c r="N408" s="1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ht="15.75" customHeight="1">
      <c r="N409" s="1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ht="15.75" customHeight="1">
      <c r="N410" s="1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ht="15.75" customHeight="1">
      <c r="N411" s="1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ht="15.75" customHeight="1">
      <c r="N412" s="1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ht="15.75" customHeight="1">
      <c r="N413" s="1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ht="15.75" customHeight="1">
      <c r="N414" s="1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ht="15.75" customHeight="1">
      <c r="N415" s="1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ht="15.75" customHeight="1">
      <c r="N416" s="1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ht="15.75" customHeight="1">
      <c r="N417" s="1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ht="15.75" customHeight="1">
      <c r="N418" s="1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ht="15.75" customHeight="1">
      <c r="N419" s="1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ht="15.75" customHeight="1">
      <c r="N420" s="1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ht="15.75" customHeight="1">
      <c r="N421" s="1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ht="15.75" customHeight="1">
      <c r="N422" s="1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ht="15.75" customHeight="1">
      <c r="N423" s="1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ht="15.75" customHeight="1">
      <c r="N424" s="1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ht="15.75" customHeight="1">
      <c r="N425" s="1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ht="15.75" customHeight="1">
      <c r="N426" s="1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ht="15.75" customHeight="1">
      <c r="N427" s="1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ht="15.75" customHeight="1">
      <c r="N428" s="1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ht="15.75" customHeight="1">
      <c r="N429" s="1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ht="15.75" customHeight="1">
      <c r="N430" s="1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ht="15.75" customHeight="1">
      <c r="N431" s="1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ht="15.75" customHeight="1">
      <c r="N432" s="1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ht="15.75" customHeight="1">
      <c r="N433" s="1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ht="15.75" customHeight="1">
      <c r="N434" s="1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ht="15.75" customHeight="1">
      <c r="N435" s="1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ht="15.75" customHeight="1">
      <c r="N436" s="1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ht="15.75" customHeight="1">
      <c r="N437" s="1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ht="15.75" customHeight="1">
      <c r="N438" s="1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ht="15.75" customHeight="1">
      <c r="N439" s="1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ht="15.75" customHeight="1">
      <c r="N440" s="1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ht="15.75" customHeight="1">
      <c r="N441" s="1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ht="15.75" customHeight="1">
      <c r="N442" s="1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ht="15.75" customHeight="1">
      <c r="N443" s="1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ht="15.75" customHeight="1">
      <c r="N444" s="1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ht="15.75" customHeight="1">
      <c r="N445" s="1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ht="15.75" customHeight="1">
      <c r="N446" s="1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ht="15.75" customHeight="1">
      <c r="N447" s="1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ht="15.75" customHeight="1">
      <c r="N448" s="1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ht="15.75" customHeight="1">
      <c r="N449" s="1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ht="15.75" customHeight="1">
      <c r="N450" s="1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ht="15.75" customHeight="1">
      <c r="N451" s="1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ht="15.75" customHeight="1">
      <c r="N452" s="1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ht="15.75" customHeight="1">
      <c r="N453" s="1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ht="15.75" customHeight="1">
      <c r="N454" s="1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ht="15.75" customHeight="1">
      <c r="N455" s="1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ht="15.75" customHeight="1">
      <c r="N456" s="1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ht="15.75" customHeight="1">
      <c r="N457" s="1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ht="15.75" customHeight="1">
      <c r="N458" s="1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ht="15.75" customHeight="1">
      <c r="N459" s="1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ht="15.75" customHeight="1">
      <c r="N460" s="1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ht="15.75" customHeight="1">
      <c r="N461" s="1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ht="15.75" customHeight="1">
      <c r="N462" s="1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ht="15.75" customHeight="1">
      <c r="N463" s="1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ht="15.75" customHeight="1">
      <c r="N464" s="1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ht="15.75" customHeight="1">
      <c r="N465" s="1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ht="15.75" customHeight="1">
      <c r="N466" s="1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ht="15.75" customHeight="1">
      <c r="N467" s="1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ht="15.75" customHeight="1">
      <c r="N468" s="1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ht="15.75" customHeight="1">
      <c r="N469" s="1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ht="15.75" customHeight="1">
      <c r="N470" s="1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ht="15.75" customHeight="1">
      <c r="N471" s="1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ht="15.75" customHeight="1">
      <c r="N472" s="1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ht="15.75" customHeight="1">
      <c r="N473" s="1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ht="15.75" customHeight="1">
      <c r="N474" s="1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ht="15.75" customHeight="1">
      <c r="N475" s="1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ht="15.75" customHeight="1">
      <c r="N476" s="1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ht="15.75" customHeight="1">
      <c r="N477" s="1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ht="15.75" customHeight="1">
      <c r="N478" s="1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ht="15.75" customHeight="1">
      <c r="N479" s="1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ht="15.75" customHeight="1">
      <c r="N480" s="1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ht="15.75" customHeight="1">
      <c r="N481" s="1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ht="15.75" customHeight="1">
      <c r="N482" s="1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ht="15.75" customHeight="1">
      <c r="N483" s="1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ht="15.75" customHeight="1">
      <c r="N484" s="1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ht="15.75" customHeight="1">
      <c r="N485" s="1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ht="15.75" customHeight="1">
      <c r="N486" s="1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ht="15.75" customHeight="1">
      <c r="N487" s="1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ht="15.75" customHeight="1">
      <c r="N488" s="1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ht="15.75" customHeight="1">
      <c r="N489" s="1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ht="15.75" customHeight="1">
      <c r="N490" s="1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ht="15.75" customHeight="1">
      <c r="N491" s="1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ht="15.75" customHeight="1">
      <c r="N492" s="1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ht="15.75" customHeight="1">
      <c r="N493" s="1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ht="15.75" customHeight="1">
      <c r="N494" s="1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ht="15.75" customHeight="1">
      <c r="N495" s="1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ht="15.75" customHeight="1">
      <c r="N496" s="1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ht="15.75" customHeight="1">
      <c r="N497" s="1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ht="15.75" customHeight="1">
      <c r="N498" s="1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ht="15.75" customHeight="1">
      <c r="N499" s="1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ht="15.75" customHeight="1">
      <c r="N500" s="1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ht="15.75" customHeight="1">
      <c r="N501" s="1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ht="15.75" customHeight="1">
      <c r="N502" s="1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ht="15.75" customHeight="1">
      <c r="N503" s="1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ht="15.75" customHeight="1">
      <c r="N504" s="1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ht="15.75" customHeight="1">
      <c r="N505" s="1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ht="15.75" customHeight="1">
      <c r="N506" s="1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ht="15.75" customHeight="1">
      <c r="N507" s="1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ht="15.75" customHeight="1">
      <c r="N508" s="1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ht="15.75" customHeight="1">
      <c r="N509" s="1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ht="15.75" customHeight="1">
      <c r="N510" s="1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ht="15.75" customHeight="1">
      <c r="N511" s="1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ht="15.75" customHeight="1">
      <c r="N512" s="1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ht="15.75" customHeight="1">
      <c r="N513" s="1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ht="15.75" customHeight="1">
      <c r="N514" s="1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ht="15.75" customHeight="1">
      <c r="N515" s="1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ht="15.75" customHeight="1">
      <c r="N516" s="1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ht="15.75" customHeight="1">
      <c r="N517" s="1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ht="15.75" customHeight="1">
      <c r="N518" s="1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ht="15.75" customHeight="1">
      <c r="N519" s="1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ht="15.75" customHeight="1">
      <c r="N520" s="1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ht="15.75" customHeight="1">
      <c r="N521" s="1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ht="15.75" customHeight="1">
      <c r="N522" s="1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ht="15.75" customHeight="1">
      <c r="N523" s="1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ht="15.75" customHeight="1">
      <c r="N524" s="1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ht="15.75" customHeight="1">
      <c r="N525" s="1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ht="15.75" customHeight="1">
      <c r="N526" s="1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ht="15.75" customHeight="1">
      <c r="N527" s="1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ht="15.75" customHeight="1">
      <c r="N528" s="1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ht="15.75" customHeight="1">
      <c r="N529" s="1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ht="15.75" customHeight="1">
      <c r="N530" s="1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ht="15.75" customHeight="1">
      <c r="N531" s="1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ht="15.75" customHeight="1">
      <c r="N532" s="1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ht="15.75" customHeight="1">
      <c r="N533" s="1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ht="15.75" customHeight="1">
      <c r="N534" s="1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ht="15.75" customHeight="1">
      <c r="N535" s="1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ht="15.75" customHeight="1">
      <c r="N536" s="1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ht="15.75" customHeight="1">
      <c r="N537" s="1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ht="15.75" customHeight="1">
      <c r="N538" s="1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ht="15.75" customHeight="1">
      <c r="N539" s="1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ht="15.75" customHeight="1">
      <c r="N540" s="1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ht="15.75" customHeight="1">
      <c r="N541" s="1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ht="15.75" customHeight="1">
      <c r="N542" s="1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ht="15.75" customHeight="1">
      <c r="N543" s="1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ht="15.75" customHeight="1">
      <c r="N544" s="1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ht="15.75" customHeight="1">
      <c r="N545" s="1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ht="15.75" customHeight="1">
      <c r="N546" s="1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ht="15.75" customHeight="1">
      <c r="N547" s="1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ht="15.75" customHeight="1">
      <c r="N548" s="1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ht="15.75" customHeight="1">
      <c r="N549" s="1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ht="15.75" customHeight="1">
      <c r="N550" s="1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ht="15.75" customHeight="1">
      <c r="N551" s="1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ht="15.75" customHeight="1">
      <c r="N552" s="1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ht="15.75" customHeight="1">
      <c r="N553" s="1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ht="15.75" customHeight="1">
      <c r="N554" s="1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ht="15.75" customHeight="1">
      <c r="N555" s="1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ht="15.75" customHeight="1">
      <c r="N556" s="1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ht="15.75" customHeight="1">
      <c r="N557" s="1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ht="15.75" customHeight="1">
      <c r="N558" s="1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ht="15.75" customHeight="1">
      <c r="N559" s="1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ht="15.75" customHeight="1">
      <c r="N560" s="1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ht="15.75" customHeight="1">
      <c r="N561" s="1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ht="15.75" customHeight="1">
      <c r="N562" s="1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ht="15.75" customHeight="1">
      <c r="N563" s="1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ht="15.75" customHeight="1">
      <c r="N564" s="1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ht="15.75" customHeight="1">
      <c r="N565" s="1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ht="15.75" customHeight="1">
      <c r="N566" s="1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ht="15.75" customHeight="1">
      <c r="N567" s="1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ht="15.75" customHeight="1">
      <c r="N568" s="1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ht="15.75" customHeight="1">
      <c r="N569" s="1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ht="15.75" customHeight="1">
      <c r="N570" s="1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ht="15.75" customHeight="1">
      <c r="N571" s="1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ht="15.75" customHeight="1">
      <c r="N572" s="1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ht="15.75" customHeight="1">
      <c r="N573" s="1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ht="15.75" customHeight="1">
      <c r="N574" s="1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ht="15.75" customHeight="1">
      <c r="N575" s="1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ht="15.75" customHeight="1">
      <c r="N576" s="1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ht="15.75" customHeight="1">
      <c r="N577" s="1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ht="15.75" customHeight="1">
      <c r="N578" s="1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ht="15.75" customHeight="1">
      <c r="N579" s="1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ht="15.75" customHeight="1">
      <c r="N580" s="1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ht="15.75" customHeight="1">
      <c r="N581" s="1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ht="15.75" customHeight="1">
      <c r="N582" s="1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ht="15.75" customHeight="1">
      <c r="N583" s="1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ht="15.75" customHeight="1">
      <c r="N584" s="1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ht="15.75" customHeight="1">
      <c r="N585" s="1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ht="15.75" customHeight="1">
      <c r="N586" s="1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ht="15.75" customHeight="1">
      <c r="N587" s="1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ht="15.75" customHeight="1">
      <c r="N588" s="1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ht="15.75" customHeight="1">
      <c r="N589" s="1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ht="15.75" customHeight="1">
      <c r="N590" s="1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ht="15.75" customHeight="1">
      <c r="N591" s="1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ht="15.75" customHeight="1">
      <c r="N592" s="1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ht="15.75" customHeight="1">
      <c r="N593" s="1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ht="15.75" customHeight="1">
      <c r="N594" s="1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ht="15.75" customHeight="1">
      <c r="N595" s="1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ht="15.75" customHeight="1">
      <c r="N596" s="1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ht="15.75" customHeight="1">
      <c r="N597" s="1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ht="15.75" customHeight="1">
      <c r="N598" s="1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ht="15.75" customHeight="1">
      <c r="N599" s="1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ht="15.75" customHeight="1">
      <c r="N600" s="1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ht="15.75" customHeight="1">
      <c r="N601" s="1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ht="15.75" customHeight="1">
      <c r="N602" s="1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ht="15.75" customHeight="1">
      <c r="N603" s="1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ht="15.75" customHeight="1">
      <c r="N604" s="1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ht="15.75" customHeight="1">
      <c r="N605" s="1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ht="15.75" customHeight="1">
      <c r="N606" s="1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ht="15.75" customHeight="1">
      <c r="N607" s="1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ht="15.75" customHeight="1">
      <c r="N608" s="1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ht="15.75" customHeight="1">
      <c r="N609" s="1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ht="15.75" customHeight="1">
      <c r="N610" s="1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ht="15.75" customHeight="1">
      <c r="N611" s="1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ht="15.75" customHeight="1">
      <c r="N612" s="1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ht="15.75" customHeight="1">
      <c r="N613" s="1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ht="15.75" customHeight="1">
      <c r="N614" s="1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ht="15.75" customHeight="1">
      <c r="N615" s="1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ht="15.75" customHeight="1">
      <c r="N616" s="1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ht="15.75" customHeight="1">
      <c r="N617" s="1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ht="15.75" customHeight="1">
      <c r="N618" s="1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ht="15.75" customHeight="1">
      <c r="N619" s="1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ht="15.75" customHeight="1">
      <c r="N620" s="1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ht="15.75" customHeight="1">
      <c r="N621" s="1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ht="15.75" customHeight="1">
      <c r="N622" s="1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ht="15.75" customHeight="1">
      <c r="N623" s="1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ht="15.75" customHeight="1">
      <c r="N624" s="1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ht="15.75" customHeight="1">
      <c r="N625" s="1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ht="15.75" customHeight="1">
      <c r="N626" s="1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ht="15.75" customHeight="1">
      <c r="N627" s="1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ht="15.75" customHeight="1">
      <c r="N628" s="1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ht="15.75" customHeight="1">
      <c r="N629" s="1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ht="15.75" customHeight="1">
      <c r="N630" s="1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ht="15.75" customHeight="1">
      <c r="N631" s="1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ht="15.75" customHeight="1">
      <c r="N632" s="1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ht="15.75" customHeight="1">
      <c r="N633" s="1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ht="15.75" customHeight="1">
      <c r="N634" s="1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ht="15.75" customHeight="1">
      <c r="N635" s="1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ht="15.75" customHeight="1">
      <c r="N636" s="1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ht="15.75" customHeight="1">
      <c r="N637" s="1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ht="15.75" customHeight="1">
      <c r="N638" s="1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ht="15.75" customHeight="1">
      <c r="N639" s="1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ht="15.75" customHeight="1">
      <c r="N640" s="1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ht="15.75" customHeight="1">
      <c r="N641" s="1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ht="15.75" customHeight="1">
      <c r="N642" s="1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ht="15.75" customHeight="1">
      <c r="N643" s="1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ht="15.75" customHeight="1">
      <c r="N644" s="1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ht="15.75" customHeight="1">
      <c r="N645" s="1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ht="15.75" customHeight="1">
      <c r="N646" s="1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ht="15.75" customHeight="1">
      <c r="N647" s="1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ht="15.75" customHeight="1">
      <c r="N648" s="1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ht="15.75" customHeight="1">
      <c r="N649" s="1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ht="15.75" customHeight="1">
      <c r="N650" s="1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ht="15.75" customHeight="1">
      <c r="N651" s="1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ht="15.75" customHeight="1">
      <c r="N652" s="1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ht="15.75" customHeight="1">
      <c r="N653" s="1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ht="15.75" customHeight="1">
      <c r="N654" s="1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ht="15.75" customHeight="1">
      <c r="N655" s="1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ht="15.75" customHeight="1">
      <c r="N656" s="1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ht="15.75" customHeight="1">
      <c r="N657" s="1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ht="15.75" customHeight="1">
      <c r="N658" s="1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ht="15.75" customHeight="1">
      <c r="N659" s="1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ht="15.75" customHeight="1">
      <c r="N660" s="1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ht="15.75" customHeight="1">
      <c r="N661" s="1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ht="15.75" customHeight="1">
      <c r="N662" s="1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ht="15.75" customHeight="1">
      <c r="N663" s="1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ht="15.75" customHeight="1">
      <c r="N664" s="1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ht="15.75" customHeight="1">
      <c r="N665" s="1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ht="15.75" customHeight="1">
      <c r="N666" s="1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ht="15.75" customHeight="1">
      <c r="N667" s="1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ht="15.75" customHeight="1">
      <c r="N668" s="1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ht="15.75" customHeight="1">
      <c r="N669" s="1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ht="15.75" customHeight="1">
      <c r="N670" s="1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ht="15.75" customHeight="1">
      <c r="N671" s="1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ht="15.75" customHeight="1">
      <c r="N672" s="1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ht="15.75" customHeight="1">
      <c r="N673" s="1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ht="15.75" customHeight="1">
      <c r="N674" s="1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ht="15.75" customHeight="1">
      <c r="N675" s="1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ht="15.75" customHeight="1">
      <c r="N676" s="1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ht="15.75" customHeight="1">
      <c r="N677" s="1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ht="15.75" customHeight="1">
      <c r="N678" s="1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ht="15.75" customHeight="1">
      <c r="N679" s="1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ht="15.75" customHeight="1">
      <c r="N680" s="1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ht="15.75" customHeight="1">
      <c r="N681" s="1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ht="15.75" customHeight="1">
      <c r="N682" s="1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ht="15.75" customHeight="1">
      <c r="N683" s="1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ht="15.75" customHeight="1">
      <c r="N684" s="1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ht="15.75" customHeight="1">
      <c r="N685" s="1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ht="15.75" customHeight="1">
      <c r="N686" s="1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ht="15.75" customHeight="1">
      <c r="N687" s="1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ht="15.75" customHeight="1">
      <c r="N688" s="1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ht="15.75" customHeight="1">
      <c r="N689" s="1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ht="15.75" customHeight="1">
      <c r="N690" s="1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ht="15.75" customHeight="1">
      <c r="N691" s="1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ht="15.75" customHeight="1">
      <c r="N692" s="1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ht="15.75" customHeight="1">
      <c r="N693" s="1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ht="15.75" customHeight="1">
      <c r="N694" s="1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ht="15.75" customHeight="1">
      <c r="N695" s="1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ht="15.75" customHeight="1">
      <c r="N696" s="1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ht="15.75" customHeight="1">
      <c r="N697" s="1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ht="15.75" customHeight="1">
      <c r="N698" s="1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ht="15.75" customHeight="1">
      <c r="N699" s="1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ht="15.75" customHeight="1">
      <c r="N700" s="1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ht="15.75" customHeight="1">
      <c r="N701" s="1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ht="15.75" customHeight="1">
      <c r="N702" s="1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ht="15.75" customHeight="1">
      <c r="N703" s="1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ht="15.75" customHeight="1">
      <c r="N704" s="1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ht="15.75" customHeight="1">
      <c r="N705" s="1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ht="15.75" customHeight="1">
      <c r="N706" s="1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ht="15.75" customHeight="1">
      <c r="N707" s="1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ht="15.75" customHeight="1">
      <c r="N708" s="1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ht="15.75" customHeight="1">
      <c r="N709" s="1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ht="15.75" customHeight="1">
      <c r="N710" s="1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ht="15.75" customHeight="1">
      <c r="N711" s="1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ht="15.75" customHeight="1">
      <c r="N712" s="1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ht="15.75" customHeight="1">
      <c r="N713" s="1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ht="15.75" customHeight="1">
      <c r="N714" s="1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ht="15.75" customHeight="1">
      <c r="N715" s="1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ht="15.75" customHeight="1">
      <c r="N716" s="1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ht="15.75" customHeight="1">
      <c r="N717" s="1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ht="15.75" customHeight="1">
      <c r="N718" s="1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ht="15.75" customHeight="1">
      <c r="N719" s="1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ht="15.75" customHeight="1">
      <c r="N720" s="1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ht="15.75" customHeight="1">
      <c r="N721" s="1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ht="15.75" customHeight="1">
      <c r="N722" s="1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ht="15.75" customHeight="1">
      <c r="N723" s="1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ht="15.75" customHeight="1">
      <c r="N724" s="1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ht="15.75" customHeight="1">
      <c r="N725" s="1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ht="15.75" customHeight="1">
      <c r="N726" s="1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ht="15.75" customHeight="1">
      <c r="N727" s="1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ht="15.75" customHeight="1">
      <c r="N728" s="1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ht="15.75" customHeight="1">
      <c r="N729" s="1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ht="15.75" customHeight="1">
      <c r="N730" s="1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ht="15.75" customHeight="1">
      <c r="N731" s="1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ht="15.75" customHeight="1">
      <c r="N732" s="1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ht="15.75" customHeight="1">
      <c r="N733" s="1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ht="15.75" customHeight="1">
      <c r="N734" s="1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ht="15.75" customHeight="1">
      <c r="N735" s="1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ht="15.75" customHeight="1">
      <c r="N736" s="1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ht="15.75" customHeight="1">
      <c r="N737" s="1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ht="15.75" customHeight="1">
      <c r="N738" s="1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ht="15.75" customHeight="1">
      <c r="N739" s="1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ht="15.75" customHeight="1">
      <c r="N740" s="1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ht="15.75" customHeight="1">
      <c r="N741" s="1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ht="15.75" customHeight="1">
      <c r="N742" s="1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ht="15.75" customHeight="1">
      <c r="N743" s="1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ht="15.75" customHeight="1">
      <c r="N744" s="1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ht="15.75" customHeight="1">
      <c r="N745" s="1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ht="15.75" customHeight="1">
      <c r="N746" s="1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ht="15.75" customHeight="1">
      <c r="N747" s="1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ht="15.75" customHeight="1">
      <c r="N748" s="1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ht="15.75" customHeight="1">
      <c r="N749" s="1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ht="15.75" customHeight="1">
      <c r="N750" s="1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ht="15.75" customHeight="1">
      <c r="N751" s="1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ht="15.75" customHeight="1">
      <c r="N752" s="1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ht="15.75" customHeight="1">
      <c r="N753" s="1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ht="15.75" customHeight="1">
      <c r="N754" s="1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ht="15.75" customHeight="1">
      <c r="N755" s="1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ht="15.75" customHeight="1">
      <c r="N756" s="1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ht="15.75" customHeight="1">
      <c r="N757" s="1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ht="15.75" customHeight="1">
      <c r="N758" s="1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ht="15.75" customHeight="1">
      <c r="N759" s="1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ht="15.75" customHeight="1">
      <c r="N760" s="1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ht="15.75" customHeight="1">
      <c r="N761" s="1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ht="15.75" customHeight="1">
      <c r="N762" s="1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ht="15.75" customHeight="1">
      <c r="N763" s="1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ht="15.75" customHeight="1">
      <c r="N764" s="1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ht="15.75" customHeight="1">
      <c r="N765" s="1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ht="15.75" customHeight="1">
      <c r="N766" s="1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ht="15.75" customHeight="1">
      <c r="N767" s="1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ht="15.75" customHeight="1">
      <c r="N768" s="1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ht="15.75" customHeight="1">
      <c r="N769" s="1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ht="15.75" customHeight="1">
      <c r="N770" s="1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ht="15.75" customHeight="1">
      <c r="N771" s="1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ht="15.75" customHeight="1">
      <c r="N772" s="1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ht="15.75" customHeight="1">
      <c r="N773" s="1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ht="15.75" customHeight="1">
      <c r="N774" s="1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ht="15.75" customHeight="1">
      <c r="N775" s="1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ht="15.75" customHeight="1">
      <c r="N776" s="1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ht="15.75" customHeight="1">
      <c r="N777" s="1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ht="15.75" customHeight="1">
      <c r="N778" s="1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ht="15.75" customHeight="1">
      <c r="N779" s="1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ht="15.75" customHeight="1">
      <c r="N780" s="1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ht="15.75" customHeight="1">
      <c r="N781" s="1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ht="15.75" customHeight="1">
      <c r="N782" s="1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ht="15.75" customHeight="1">
      <c r="N783" s="1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ht="15.75" customHeight="1">
      <c r="N784" s="1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ht="15.75" customHeight="1">
      <c r="N785" s="1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ht="15.75" customHeight="1">
      <c r="N786" s="1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ht="15.75" customHeight="1">
      <c r="N787" s="1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ht="15.75" customHeight="1">
      <c r="N788" s="1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ht="15.75" customHeight="1">
      <c r="N789" s="1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ht="15.75" customHeight="1">
      <c r="N790" s="1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ht="15.75" customHeight="1">
      <c r="N791" s="1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ht="15.75" customHeight="1">
      <c r="N792" s="1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ht="15.75" customHeight="1">
      <c r="N793" s="1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ht="15.75" customHeight="1">
      <c r="N794" s="1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ht="15.75" customHeight="1">
      <c r="N795" s="1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ht="15.75" customHeight="1">
      <c r="N796" s="1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ht="15.75" customHeight="1">
      <c r="N797" s="1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ht="15.75" customHeight="1">
      <c r="N798" s="1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ht="15.75" customHeight="1">
      <c r="N799" s="1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ht="15.75" customHeight="1">
      <c r="N800" s="1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ht="15.75" customHeight="1">
      <c r="N801" s="1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ht="15.75" customHeight="1">
      <c r="N802" s="1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ht="15.75" customHeight="1">
      <c r="N803" s="1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ht="15.75" customHeight="1">
      <c r="N804" s="1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ht="15.75" customHeight="1">
      <c r="N805" s="1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ht="15.75" customHeight="1">
      <c r="N806" s="1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ht="15.75" customHeight="1">
      <c r="N807" s="1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ht="15.75" customHeight="1">
      <c r="N808" s="1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ht="15.75" customHeight="1">
      <c r="N809" s="1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ht="15.75" customHeight="1">
      <c r="N810" s="1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ht="15.75" customHeight="1">
      <c r="N811" s="1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ht="15.75" customHeight="1">
      <c r="N812" s="1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ht="15.75" customHeight="1">
      <c r="N813" s="1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ht="15.75" customHeight="1">
      <c r="N814" s="1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ht="15.75" customHeight="1">
      <c r="N815" s="1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ht="15.75" customHeight="1">
      <c r="N816" s="1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ht="15.75" customHeight="1">
      <c r="N817" s="1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ht="15.75" customHeight="1">
      <c r="N818" s="1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ht="15.75" customHeight="1">
      <c r="N819" s="1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ht="15.75" customHeight="1">
      <c r="N820" s="1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ht="15.75" customHeight="1">
      <c r="N821" s="1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ht="15.75" customHeight="1">
      <c r="N822" s="1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ht="15.75" customHeight="1">
      <c r="N823" s="1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ht="15.75" customHeight="1">
      <c r="N824" s="1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ht="15.75" customHeight="1">
      <c r="N825" s="1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ht="15.75" customHeight="1">
      <c r="N826" s="1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ht="15.75" customHeight="1">
      <c r="N827" s="1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ht="15.75" customHeight="1">
      <c r="N828" s="1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ht="15.75" customHeight="1">
      <c r="N829" s="1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ht="15.75" customHeight="1">
      <c r="N830" s="1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ht="15.75" customHeight="1">
      <c r="N831" s="1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ht="15.75" customHeight="1">
      <c r="N832" s="1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ht="15.75" customHeight="1">
      <c r="N833" s="1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ht="15.75" customHeight="1">
      <c r="N834" s="1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ht="15.75" customHeight="1">
      <c r="N835" s="1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ht="15.75" customHeight="1">
      <c r="N836" s="1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ht="15.75" customHeight="1">
      <c r="N837" s="1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ht="15.75" customHeight="1">
      <c r="N838" s="1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ht="15.75" customHeight="1">
      <c r="N839" s="1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ht="15.75" customHeight="1">
      <c r="N840" s="1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ht="15.75" customHeight="1">
      <c r="N841" s="1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ht="15.75" customHeight="1">
      <c r="N842" s="1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ht="15.75" customHeight="1">
      <c r="N843" s="1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ht="15.75" customHeight="1">
      <c r="N844" s="1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ht="15.75" customHeight="1">
      <c r="N845" s="1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ht="15.75" customHeight="1">
      <c r="N846" s="1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ht="15.75" customHeight="1">
      <c r="N847" s="1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ht="15.75" customHeight="1">
      <c r="N848" s="1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ht="15.75" customHeight="1">
      <c r="N849" s="1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ht="15.75" customHeight="1">
      <c r="N850" s="1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ht="15.75" customHeight="1">
      <c r="N851" s="1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ht="15.75" customHeight="1">
      <c r="N852" s="1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ht="15.75" customHeight="1">
      <c r="N853" s="1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ht="15.75" customHeight="1">
      <c r="N854" s="1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ht="15.75" customHeight="1">
      <c r="N855" s="1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ht="15.75" customHeight="1">
      <c r="N856" s="1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ht="15.75" customHeight="1">
      <c r="N857" s="1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ht="15.75" customHeight="1">
      <c r="N858" s="1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ht="15.75" customHeight="1">
      <c r="N859" s="1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ht="15.75" customHeight="1">
      <c r="N860" s="1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ht="15.75" customHeight="1">
      <c r="N861" s="1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ht="15.75" customHeight="1">
      <c r="N862" s="1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ht="15.75" customHeight="1">
      <c r="N863" s="1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ht="15.75" customHeight="1">
      <c r="N864" s="1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ht="15.75" customHeight="1">
      <c r="N865" s="1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ht="15.75" customHeight="1">
      <c r="N866" s="1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ht="15.75" customHeight="1">
      <c r="N867" s="1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ht="15.75" customHeight="1">
      <c r="N868" s="1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ht="15.75" customHeight="1">
      <c r="N869" s="1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ht="15.75" customHeight="1">
      <c r="N870" s="1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ht="15.75" customHeight="1">
      <c r="N871" s="1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ht="15.75" customHeight="1">
      <c r="N872" s="1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ht="15.75" customHeight="1">
      <c r="N873" s="1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ht="15.75" customHeight="1">
      <c r="N874" s="1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ht="15.75" customHeight="1">
      <c r="N875" s="1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ht="15.75" customHeight="1">
      <c r="N876" s="1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ht="15.75" customHeight="1">
      <c r="N877" s="1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ht="15.75" customHeight="1">
      <c r="N878" s="1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ht="15.75" customHeight="1">
      <c r="N879" s="1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ht="15.75" customHeight="1">
      <c r="N880" s="1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ht="15.75" customHeight="1">
      <c r="N881" s="1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ht="15.75" customHeight="1">
      <c r="N882" s="1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ht="15.75" customHeight="1">
      <c r="N883" s="1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ht="15.75" customHeight="1">
      <c r="N884" s="1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ht="15.75" customHeight="1">
      <c r="N885" s="1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ht="15.75" customHeight="1">
      <c r="N886" s="1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ht="15.75" customHeight="1">
      <c r="N887" s="1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ht="15.75" customHeight="1">
      <c r="N888" s="1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ht="15.75" customHeight="1">
      <c r="N889" s="1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ht="15.75" customHeight="1">
      <c r="N890" s="1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ht="15.75" customHeight="1">
      <c r="N891" s="1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ht="15.75" customHeight="1">
      <c r="N892" s="1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ht="15.75" customHeight="1">
      <c r="N893" s="1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ht="15.75" customHeight="1">
      <c r="N894" s="1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ht="15.75" customHeight="1">
      <c r="N895" s="1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ht="15.75" customHeight="1">
      <c r="N896" s="1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ht="15.75" customHeight="1">
      <c r="N897" s="1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ht="15.75" customHeight="1">
      <c r="N898" s="1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ht="15.75" customHeight="1">
      <c r="N899" s="1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ht="15.75" customHeight="1">
      <c r="N900" s="1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ht="15.75" customHeight="1">
      <c r="N901" s="1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ht="15.75" customHeight="1">
      <c r="N902" s="1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ht="15.75" customHeight="1">
      <c r="N903" s="1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ht="15.75" customHeight="1">
      <c r="N904" s="1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ht="15.75" customHeight="1">
      <c r="N905" s="1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ht="15.75" customHeight="1">
      <c r="N906" s="1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ht="15.75" customHeight="1">
      <c r="N907" s="1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ht="15.75" customHeight="1">
      <c r="N908" s="1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ht="15.75" customHeight="1">
      <c r="N909" s="1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ht="15.75" customHeight="1">
      <c r="N910" s="1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ht="15.75" customHeight="1">
      <c r="N911" s="1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ht="15.75" customHeight="1">
      <c r="N912" s="1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ht="15.75" customHeight="1">
      <c r="N913" s="1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ht="15.75" customHeight="1">
      <c r="N914" s="1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ht="15.75" customHeight="1">
      <c r="N915" s="1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ht="15.75" customHeight="1">
      <c r="N916" s="1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ht="15.75" customHeight="1">
      <c r="N917" s="1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ht="15.75" customHeight="1">
      <c r="N918" s="1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ht="15.75" customHeight="1">
      <c r="N919" s="1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ht="15.75" customHeight="1">
      <c r="N920" s="1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ht="15.75" customHeight="1">
      <c r="N921" s="1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ht="15.75" customHeight="1">
      <c r="N922" s="1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ht="15.75" customHeight="1">
      <c r="N923" s="1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ht="15.75" customHeight="1">
      <c r="N924" s="1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ht="15.75" customHeight="1">
      <c r="N925" s="1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ht="15.75" customHeight="1">
      <c r="N926" s="1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ht="15.75" customHeight="1">
      <c r="N927" s="1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ht="15.75" customHeight="1">
      <c r="N928" s="1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ht="15.75" customHeight="1">
      <c r="N929" s="1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ht="15.75" customHeight="1">
      <c r="N930" s="1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ht="15.75" customHeight="1">
      <c r="N931" s="1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ht="15.75" customHeight="1">
      <c r="N932" s="1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ht="15.75" customHeight="1">
      <c r="N933" s="1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ht="15.75" customHeight="1">
      <c r="N934" s="1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ht="15.75" customHeight="1">
      <c r="N935" s="1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ht="15.75" customHeight="1">
      <c r="N936" s="1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ht="15.75" customHeight="1">
      <c r="N937" s="1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ht="15.75" customHeight="1">
      <c r="N938" s="1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ht="15.75" customHeight="1">
      <c r="N939" s="1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ht="15.75" customHeight="1">
      <c r="N940" s="1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ht="15.75" customHeight="1">
      <c r="N941" s="1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ht="15.75" customHeight="1">
      <c r="N942" s="1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ht="15.75" customHeight="1">
      <c r="N943" s="1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ht="15.75" customHeight="1">
      <c r="N944" s="1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ht="15.75" customHeight="1">
      <c r="N945" s="1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ht="15.75" customHeight="1">
      <c r="N946" s="1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ht="15.75" customHeight="1">
      <c r="N947" s="1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ht="15.75" customHeight="1">
      <c r="N948" s="1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ht="15.75" customHeight="1">
      <c r="N949" s="1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ht="15.75" customHeight="1">
      <c r="N950" s="1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ht="15.75" customHeight="1">
      <c r="N951" s="1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ht="15.75" customHeight="1">
      <c r="N952" s="1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ht="15.75" customHeight="1">
      <c r="N953" s="1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ht="15.75" customHeight="1">
      <c r="N954" s="1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ht="15.75" customHeight="1">
      <c r="N955" s="1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ht="15.75" customHeight="1">
      <c r="N956" s="1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ht="15.75" customHeight="1">
      <c r="N957" s="1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ht="15.75" customHeight="1">
      <c r="N958" s="1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ht="15.75" customHeight="1">
      <c r="N959" s="1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ht="15.75" customHeight="1">
      <c r="N960" s="1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ht="15.75" customHeight="1">
      <c r="N961" s="1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ht="15.75" customHeight="1">
      <c r="N962" s="1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ht="15.75" customHeight="1">
      <c r="N963" s="1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ht="15.75" customHeight="1">
      <c r="N964" s="1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ht="15.75" customHeight="1">
      <c r="N965" s="1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ht="15.75" customHeight="1">
      <c r="N966" s="1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ht="15.75" customHeight="1">
      <c r="N967" s="1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ht="15.75" customHeight="1">
      <c r="N968" s="1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ht="15.75" customHeight="1">
      <c r="N969" s="1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ht="15.75" customHeight="1">
      <c r="N970" s="1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ht="15.75" customHeight="1">
      <c r="N971" s="1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ht="15.75" customHeight="1">
      <c r="N972" s="1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ht="15.75" customHeight="1">
      <c r="N973" s="1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ht="15.75" customHeight="1">
      <c r="N974" s="1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ht="15.75" customHeight="1">
      <c r="N975" s="1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ht="15.75" customHeight="1">
      <c r="N976" s="1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ht="15.75" customHeight="1">
      <c r="N977" s="1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ht="15.75" customHeight="1">
      <c r="N978" s="1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ht="15.75" customHeight="1">
      <c r="N979" s="1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ht="15.75" customHeight="1">
      <c r="N980" s="1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ht="15.75" customHeight="1">
      <c r="N981" s="1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ht="15.75" customHeight="1">
      <c r="N982" s="1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ht="15.75" customHeight="1">
      <c r="N983" s="1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ht="15.75" customHeight="1">
      <c r="N984" s="1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ht="15.75" customHeight="1">
      <c r="N985" s="1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ht="15.75" customHeight="1">
      <c r="N986" s="1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ht="15.75" customHeight="1">
      <c r="N987" s="1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ht="15.75" customHeight="1">
      <c r="N988" s="1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ht="15.75" customHeight="1">
      <c r="N989" s="1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ht="15.75" customHeight="1">
      <c r="N990" s="1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ht="15.75" customHeight="1">
      <c r="N991" s="1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ht="15.75" customHeight="1">
      <c r="N992" s="1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ht="15.75" customHeight="1">
      <c r="N993" s="1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ht="15.75" customHeight="1">
      <c r="N994" s="1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ht="15.75" customHeight="1">
      <c r="N995" s="1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ht="15.75" customHeight="1">
      <c r="N996" s="1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ht="15.75" customHeight="1">
      <c r="N997" s="1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ht="15.75" customHeight="1">
      <c r="N998" s="1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ht="15.75" customHeight="1">
      <c r="N999" s="1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ht="15.75" customHeight="1">
      <c r="N1000" s="1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</sheetData>
  <mergeCells count="9">
    <mergeCell ref="J26:L26"/>
    <mergeCell ref="J27:L27"/>
    <mergeCell ref="B3:G4"/>
    <mergeCell ref="B6:G6"/>
    <mergeCell ref="K6:N6"/>
    <mergeCell ref="J22:M22"/>
    <mergeCell ref="J23:L23"/>
    <mergeCell ref="J24:L24"/>
    <mergeCell ref="J25:L25"/>
  </mergeCells>
  <conditionalFormatting sqref="M23:N27">
    <cfRule type="expression" dxfId="0" priority="1">
      <formula>J23=""</formula>
    </cfRule>
  </conditionalFormatting>
  <conditionalFormatting sqref="M24:N26">
    <cfRule type="expression" dxfId="0" priority="2">
      <formula>J24=""</formula>
    </cfRule>
  </conditionalFormatting>
  <conditionalFormatting sqref="M25:N25">
    <cfRule type="expression" dxfId="0" priority="3">
      <formula>J25=""</formula>
    </cfRule>
  </conditionalFormatting>
  <conditionalFormatting sqref="M27:N27">
    <cfRule type="expression" dxfId="0" priority="4">
      <formula>J27=""</formula>
    </cfRule>
  </conditionalFormatting>
  <conditionalFormatting sqref="B22:H28 J22:N27">
    <cfRule type="expression" dxfId="0" priority="5">
      <formula>OR($I$22=0,AND($J$20="",$J$21="",$J$22="",$J$23=""))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7" width="10.0"/>
    <col customWidth="1" min="8" max="8" width="5.13"/>
    <col customWidth="1" min="9" max="9" width="4.63"/>
    <col customWidth="1" min="10" max="10" width="10.0"/>
    <col customWidth="1" min="11" max="11" width="11.63"/>
    <col customWidth="1" min="12" max="13" width="10.0"/>
    <col customWidth="1" min="14" max="14" width="13.0"/>
    <col customWidth="1" min="15" max="15" width="16.5"/>
    <col customWidth="1" min="16" max="26" width="10.0"/>
    <col customWidth="1" min="27" max="27" width="9.13"/>
    <col customWidth="1" min="28" max="28" width="12.0"/>
    <col customWidth="1" min="29" max="29" width="9.13"/>
    <col customWidth="1" min="30" max="30" width="8.63"/>
    <col customWidth="1" min="31" max="31" width="11.38"/>
    <col customWidth="1" min="32" max="32" width="26.13"/>
    <col customWidth="1" min="33" max="33" width="22.5"/>
    <col customWidth="1" min="34" max="34" width="10.0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1"/>
      <c r="B3" s="18" t="s">
        <v>57</v>
      </c>
      <c r="C3" s="19"/>
      <c r="D3" s="19"/>
      <c r="E3" s="19"/>
      <c r="F3" s="19"/>
      <c r="G3" s="20"/>
      <c r="H3" s="11"/>
      <c r="I3" s="11"/>
      <c r="J3" s="11"/>
      <c r="K3" s="11"/>
      <c r="L3" s="11"/>
      <c r="M3" s="11"/>
      <c r="N3" s="1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>
      <c r="A4" s="11"/>
      <c r="B4" s="21"/>
      <c r="C4" s="22"/>
      <c r="D4" s="22"/>
      <c r="E4" s="22"/>
      <c r="F4" s="22"/>
      <c r="G4" s="23"/>
      <c r="H4" s="11"/>
      <c r="I4" s="11"/>
      <c r="J4" s="11"/>
      <c r="K4" s="11"/>
      <c r="L4" s="11"/>
      <c r="M4" s="11"/>
      <c r="N4" s="1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>
      <c r="A5" s="11"/>
      <c r="B5" s="24"/>
      <c r="C5" s="25">
        <v>2.0</v>
      </c>
      <c r="D5" s="25">
        <v>3.0</v>
      </c>
      <c r="E5" s="25">
        <v>5.0</v>
      </c>
      <c r="F5" s="25">
        <v>6.0</v>
      </c>
      <c r="G5" s="25">
        <v>4.0</v>
      </c>
      <c r="H5" s="11"/>
      <c r="I5" s="11"/>
      <c r="J5" s="11"/>
      <c r="K5" s="11"/>
      <c r="L5" s="11"/>
      <c r="M5" s="11"/>
      <c r="N5" s="1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>
      <c r="A6" s="11"/>
      <c r="B6" s="26" t="s">
        <v>29</v>
      </c>
      <c r="C6" s="27"/>
      <c r="D6" s="27"/>
      <c r="E6" s="27"/>
      <c r="F6" s="27"/>
      <c r="G6" s="28"/>
      <c r="H6" s="24"/>
      <c r="I6" s="11"/>
      <c r="J6" s="29" t="s">
        <v>30</v>
      </c>
      <c r="K6" s="30" t="s">
        <v>31</v>
      </c>
      <c r="L6" s="27"/>
      <c r="M6" s="27"/>
      <c r="N6" s="28"/>
      <c r="O6" s="25"/>
      <c r="P6" s="1">
        <v>1.0</v>
      </c>
      <c r="Q6" s="1">
        <v>2.0</v>
      </c>
      <c r="R6" s="1" t="s">
        <v>32</v>
      </c>
      <c r="S6" s="1"/>
      <c r="T6" s="1" t="s">
        <v>33</v>
      </c>
      <c r="U6" s="1" t="s">
        <v>34</v>
      </c>
      <c r="V6" s="1" t="s">
        <v>35</v>
      </c>
      <c r="W6" s="1" t="s">
        <v>36</v>
      </c>
      <c r="X6" s="1" t="s">
        <v>37</v>
      </c>
      <c r="Y6" s="1" t="s">
        <v>38</v>
      </c>
      <c r="Z6" s="1"/>
      <c r="AA6" s="1"/>
      <c r="AB6" s="1" t="s">
        <v>34</v>
      </c>
      <c r="AC6" s="1" t="s">
        <v>39</v>
      </c>
      <c r="AD6" s="1" t="s">
        <v>32</v>
      </c>
      <c r="AE6" s="1" t="s">
        <v>40</v>
      </c>
      <c r="AF6" s="1" t="s">
        <v>41</v>
      </c>
      <c r="AG6" s="1" t="s">
        <v>42</v>
      </c>
      <c r="AH6" s="1" t="s">
        <v>43</v>
      </c>
    </row>
    <row r="7">
      <c r="A7" s="11"/>
      <c r="B7" s="31" t="s">
        <v>44</v>
      </c>
      <c r="C7" s="32" t="s">
        <v>34</v>
      </c>
      <c r="D7" s="33" t="s">
        <v>35</v>
      </c>
      <c r="E7" s="33" t="s">
        <v>37</v>
      </c>
      <c r="F7" s="33" t="s">
        <v>38</v>
      </c>
      <c r="G7" s="34" t="s">
        <v>36</v>
      </c>
      <c r="H7" s="24"/>
      <c r="I7" s="35">
        <v>3.0</v>
      </c>
      <c r="J7" s="36">
        <v>44361.0</v>
      </c>
      <c r="K7" s="37" t="s">
        <v>58</v>
      </c>
      <c r="L7" s="38">
        <v>1.0</v>
      </c>
      <c r="M7" s="39">
        <v>1.0</v>
      </c>
      <c r="N7" s="35" t="s">
        <v>59</v>
      </c>
      <c r="O7" s="25" t="str">
        <f t="shared" ref="O7:O16" si="2">CONCAT(K7,"_",N7)</f>
        <v>#N/A</v>
      </c>
      <c r="P7" s="1">
        <f t="shared" ref="P7:P16" si="3">IF(L7&gt;M7,3,IF(L7&lt;M7,0,1))</f>
        <v>1</v>
      </c>
      <c r="Q7" s="1">
        <f t="shared" ref="Q7:Q16" si="4">IF(P7=3,0,IF(P7=1,1,3))</f>
        <v>1</v>
      </c>
      <c r="R7" s="1" t="str">
        <f t="shared" ref="R7:R16" si="5">IF(P7&gt;Q7,K7,IF(Q7&gt;P7,N7,"SIN GANADOR"))</f>
        <v>SIN GANADOR</v>
      </c>
      <c r="S7" s="1"/>
      <c r="T7" s="1">
        <f t="shared" ref="T7:T11" si="6">_xlfn.RANK.EQ(AH7,AH$7:AH$11,1)</f>
        <v>2</v>
      </c>
      <c r="U7" s="1" t="s">
        <v>58</v>
      </c>
      <c r="V7" s="1">
        <f t="shared" ref="V7:V11" si="7">SUMIF($K$7:$K$16,U7,$P$7:$P$16) + SUMIF($N$7:$N$16,U7,$Q$7:$Q$16)</f>
        <v>6</v>
      </c>
      <c r="W7" s="1">
        <f t="shared" ref="W7:W11" si="8">X7-Y7</f>
        <v>2</v>
      </c>
      <c r="X7" s="1">
        <f t="shared" ref="X7:X11" si="9">SUMIF($K$7:$K$16,U7,$L$7:$L$16) + SUMIF($N$7:$N$16,U7,$M$7:$M$16)</f>
        <v>5</v>
      </c>
      <c r="Y7" s="1">
        <f t="shared" ref="Y7:Y11" si="10">SUMIF($K$7:$K$16,U7,$M$7:$M$16) + SUMIF($N$7:$N$16,U7,$L$7:$L$16)</f>
        <v>3</v>
      </c>
      <c r="Z7" s="1"/>
      <c r="AA7" s="1"/>
      <c r="AB7" s="1" t="str">
        <f t="shared" ref="AB7:AB11" si="11">U7</f>
        <v>Argentina</v>
      </c>
      <c r="AC7" s="1" t="str">
        <f>IF(AF7=AF8,AB8,IF(AF7=AF9,AB9,IF(AF7=AF10,AB10,IF(AF7=AF11,AB11,""))))</f>
        <v/>
      </c>
      <c r="AD7" s="1" t="str">
        <f t="shared" ref="AD7:AD11" si="12">IF(AC7="","",IFERROR(VLOOKUP(CONCATENATE(AB7,"_",AC7),$O$7:$R$16,4,FALSE),VLOOKUP(CONCATENATE(AC7,"_",AB7),$O$7:$R$16,4,FALSE)))</f>
        <v/>
      </c>
      <c r="AE7" s="1">
        <f t="shared" ref="AE7:AE11" si="13">IF(AD7="",1,IF(AD7=AB7,1,0))</f>
        <v>1</v>
      </c>
      <c r="AF7" s="1">
        <f t="shared" ref="AF7:AF11" si="14">-V7*10000000 - W7*10000 - X7*100</f>
        <v>-60020500</v>
      </c>
      <c r="AG7" s="1">
        <f t="shared" ref="AG7:AG11" si="15">AF7-AE7*10</f>
        <v>-60020510</v>
      </c>
      <c r="AH7" s="1">
        <f t="shared" ref="AH7:AH11" si="16">AG7+N23</f>
        <v>-60020509</v>
      </c>
    </row>
    <row r="8">
      <c r="A8" s="11"/>
      <c r="B8" s="40">
        <v>1.0</v>
      </c>
      <c r="C8" s="41" t="str">
        <f t="shared" ref="C8:G8" si="1">IFERROR(VLOOKUP($B8,$T$7:$Y$11,C$5,FALSE),"")</f>
        <v>Chile</v>
      </c>
      <c r="D8" s="42">
        <f t="shared" si="1"/>
        <v>10</v>
      </c>
      <c r="E8" s="42">
        <f t="shared" si="1"/>
        <v>6</v>
      </c>
      <c r="F8" s="42">
        <f t="shared" si="1"/>
        <v>3</v>
      </c>
      <c r="G8" s="43">
        <f t="shared" si="1"/>
        <v>3</v>
      </c>
      <c r="H8" s="24"/>
      <c r="I8" s="44">
        <v>4.0</v>
      </c>
      <c r="J8" s="45">
        <v>44361.0</v>
      </c>
      <c r="K8" s="46" t="s">
        <v>60</v>
      </c>
      <c r="L8" s="47">
        <v>1.0</v>
      </c>
      <c r="M8" s="48">
        <v>1.0</v>
      </c>
      <c r="N8" s="44" t="s">
        <v>61</v>
      </c>
      <c r="O8" s="25" t="str">
        <f t="shared" si="2"/>
        <v>#N/A</v>
      </c>
      <c r="P8" s="1">
        <f t="shared" si="3"/>
        <v>1</v>
      </c>
      <c r="Q8" s="1">
        <f t="shared" si="4"/>
        <v>1</v>
      </c>
      <c r="R8" s="1" t="str">
        <f t="shared" si="5"/>
        <v>SIN GANADOR</v>
      </c>
      <c r="S8" s="1"/>
      <c r="T8" s="1">
        <f t="shared" si="6"/>
        <v>5</v>
      </c>
      <c r="U8" s="1" t="s">
        <v>61</v>
      </c>
      <c r="V8" s="1">
        <f t="shared" si="7"/>
        <v>2</v>
      </c>
      <c r="W8" s="1">
        <f t="shared" si="8"/>
        <v>-2</v>
      </c>
      <c r="X8" s="1">
        <f t="shared" si="9"/>
        <v>3</v>
      </c>
      <c r="Y8" s="1">
        <f t="shared" si="10"/>
        <v>5</v>
      </c>
      <c r="Z8" s="1"/>
      <c r="AA8" s="1"/>
      <c r="AB8" s="1" t="str">
        <f t="shared" si="11"/>
        <v>Bolivia</v>
      </c>
      <c r="AC8" s="1" t="str">
        <f>IF(AF8=AF9,AB9,IF(AF8=AF10,AB10,IF(AF8=AF11,AB11,IF(AF8=AF7,AB7,""))))</f>
        <v/>
      </c>
      <c r="AD8" s="1" t="str">
        <f t="shared" si="12"/>
        <v/>
      </c>
      <c r="AE8" s="1">
        <f t="shared" si="13"/>
        <v>1</v>
      </c>
      <c r="AF8" s="1">
        <f t="shared" si="14"/>
        <v>-19980300</v>
      </c>
      <c r="AG8" s="1">
        <f t="shared" si="15"/>
        <v>-19980310</v>
      </c>
      <c r="AH8" s="1">
        <f t="shared" si="16"/>
        <v>-19980305</v>
      </c>
    </row>
    <row r="9">
      <c r="A9" s="11"/>
      <c r="B9" s="49">
        <v>2.0</v>
      </c>
      <c r="C9" s="50" t="str">
        <f t="shared" ref="C9:G9" si="17">IFERROR(VLOOKUP($B9,$T$7:$Y$11,C$5,FALSE),"")</f>
        <v>Argentina</v>
      </c>
      <c r="D9" s="51">
        <f t="shared" si="17"/>
        <v>6</v>
      </c>
      <c r="E9" s="51">
        <f t="shared" si="17"/>
        <v>5</v>
      </c>
      <c r="F9" s="51">
        <f t="shared" si="17"/>
        <v>3</v>
      </c>
      <c r="G9" s="52">
        <f t="shared" si="17"/>
        <v>2</v>
      </c>
      <c r="H9" s="24"/>
      <c r="I9" s="53">
        <v>7.0</v>
      </c>
      <c r="J9" s="54">
        <v>44365.0</v>
      </c>
      <c r="K9" s="55" t="s">
        <v>59</v>
      </c>
      <c r="L9" s="47">
        <v>2.0</v>
      </c>
      <c r="M9" s="48">
        <v>1.0</v>
      </c>
      <c r="N9" s="53" t="s">
        <v>61</v>
      </c>
      <c r="O9" s="25" t="str">
        <f t="shared" si="2"/>
        <v>#N/A</v>
      </c>
      <c r="P9" s="1">
        <f t="shared" si="3"/>
        <v>3</v>
      </c>
      <c r="Q9" s="1">
        <f t="shared" si="4"/>
        <v>0</v>
      </c>
      <c r="R9" s="1" t="str">
        <f t="shared" si="5"/>
        <v>Chile</v>
      </c>
      <c r="S9" s="1"/>
      <c r="T9" s="1">
        <f t="shared" si="6"/>
        <v>1</v>
      </c>
      <c r="U9" s="1" t="s">
        <v>59</v>
      </c>
      <c r="V9" s="1">
        <f t="shared" si="7"/>
        <v>10</v>
      </c>
      <c r="W9" s="1">
        <f t="shared" si="8"/>
        <v>3</v>
      </c>
      <c r="X9" s="1">
        <f t="shared" si="9"/>
        <v>6</v>
      </c>
      <c r="Y9" s="1">
        <f t="shared" si="10"/>
        <v>3</v>
      </c>
      <c r="Z9" s="1"/>
      <c r="AA9" s="1"/>
      <c r="AB9" s="1" t="str">
        <f t="shared" si="11"/>
        <v>Chile</v>
      </c>
      <c r="AC9" s="1" t="str">
        <f>IF(AF9=AF10,AB10,IF(AF9=AF11,AB11,IF(AF9=AF7,AB7,IF(AF9=AF8,AB8,""))))</f>
        <v/>
      </c>
      <c r="AD9" s="1" t="str">
        <f t="shared" si="12"/>
        <v/>
      </c>
      <c r="AE9" s="1">
        <f t="shared" si="13"/>
        <v>1</v>
      </c>
      <c r="AF9" s="1">
        <f t="shared" si="14"/>
        <v>-100030600</v>
      </c>
      <c r="AG9" s="1">
        <f t="shared" si="15"/>
        <v>-100030610</v>
      </c>
      <c r="AH9" s="1">
        <f t="shared" si="16"/>
        <v>-100030608</v>
      </c>
    </row>
    <row r="10">
      <c r="A10" s="11"/>
      <c r="B10" s="56">
        <v>3.0</v>
      </c>
      <c r="C10" s="57" t="str">
        <f t="shared" ref="C10:G10" si="18">IFERROR(VLOOKUP($B10,$T$7:$Y$11,C$5,FALSE),"")</f>
        <v>Uruguay</v>
      </c>
      <c r="D10" s="58">
        <f t="shared" si="18"/>
        <v>4</v>
      </c>
      <c r="E10" s="58">
        <f t="shared" si="18"/>
        <v>3</v>
      </c>
      <c r="F10" s="58">
        <f t="shared" si="18"/>
        <v>5</v>
      </c>
      <c r="G10" s="59">
        <f t="shared" si="18"/>
        <v>-2</v>
      </c>
      <c r="H10" s="24"/>
      <c r="I10" s="44">
        <v>8.0</v>
      </c>
      <c r="J10" s="45">
        <v>44365.0</v>
      </c>
      <c r="K10" s="46" t="s">
        <v>58</v>
      </c>
      <c r="L10" s="47">
        <v>2.0</v>
      </c>
      <c r="M10" s="48">
        <v>0.0</v>
      </c>
      <c r="N10" s="44" t="s">
        <v>62</v>
      </c>
      <c r="O10" s="25" t="str">
        <f t="shared" si="2"/>
        <v>#N/A</v>
      </c>
      <c r="P10" s="1">
        <f t="shared" si="3"/>
        <v>3</v>
      </c>
      <c r="Q10" s="1">
        <f t="shared" si="4"/>
        <v>0</v>
      </c>
      <c r="R10" s="1" t="str">
        <f t="shared" si="5"/>
        <v>Argentina</v>
      </c>
      <c r="S10" s="1"/>
      <c r="T10" s="1">
        <f t="shared" si="6"/>
        <v>4</v>
      </c>
      <c r="U10" s="1" t="s">
        <v>60</v>
      </c>
      <c r="V10" s="1">
        <f t="shared" si="7"/>
        <v>3</v>
      </c>
      <c r="W10" s="1">
        <f t="shared" si="8"/>
        <v>-1</v>
      </c>
      <c r="X10" s="1">
        <f t="shared" si="9"/>
        <v>3</v>
      </c>
      <c r="Y10" s="1">
        <f t="shared" si="10"/>
        <v>4</v>
      </c>
      <c r="Z10" s="1"/>
      <c r="AA10" s="1"/>
      <c r="AB10" s="1" t="str">
        <f t="shared" si="11"/>
        <v>Paraguay</v>
      </c>
      <c r="AC10" s="1" t="str">
        <f>IF(AF10=AF11,AB11,IF(AF10=AF7,AB7,IF(AF10=AF8,AB8,IF(AF10=AF9,AB9,""))))</f>
        <v/>
      </c>
      <c r="AD10" s="1" t="str">
        <f t="shared" si="12"/>
        <v/>
      </c>
      <c r="AE10" s="1">
        <f t="shared" si="13"/>
        <v>1</v>
      </c>
      <c r="AF10" s="1">
        <f t="shared" si="14"/>
        <v>-29990300</v>
      </c>
      <c r="AG10" s="1">
        <f t="shared" si="15"/>
        <v>-29990310</v>
      </c>
      <c r="AH10" s="1">
        <f t="shared" si="16"/>
        <v>-29990306</v>
      </c>
    </row>
    <row r="11">
      <c r="A11" s="11"/>
      <c r="B11" s="60">
        <v>4.0</v>
      </c>
      <c r="C11" s="61" t="str">
        <f t="shared" ref="C11:G11" si="19">IFERROR(VLOOKUP($B11,$T$7:$Y$11,C$5,FALSE),"")</f>
        <v>Paraguay</v>
      </c>
      <c r="D11" s="62">
        <f t="shared" si="19"/>
        <v>3</v>
      </c>
      <c r="E11" s="62">
        <f t="shared" si="19"/>
        <v>3</v>
      </c>
      <c r="F11" s="62">
        <f t="shared" si="19"/>
        <v>4</v>
      </c>
      <c r="G11" s="63">
        <f t="shared" si="19"/>
        <v>-1</v>
      </c>
      <c r="H11" s="24"/>
      <c r="I11" s="53">
        <v>11.0</v>
      </c>
      <c r="J11" s="54">
        <v>44368.0</v>
      </c>
      <c r="K11" s="55" t="s">
        <v>62</v>
      </c>
      <c r="L11" s="47">
        <v>1.0</v>
      </c>
      <c r="M11" s="48">
        <v>2.0</v>
      </c>
      <c r="N11" s="53" t="s">
        <v>59</v>
      </c>
      <c r="O11" s="25" t="str">
        <f t="shared" si="2"/>
        <v>#N/A</v>
      </c>
      <c r="P11" s="1">
        <f t="shared" si="3"/>
        <v>0</v>
      </c>
      <c r="Q11" s="1">
        <f t="shared" si="4"/>
        <v>3</v>
      </c>
      <c r="R11" s="1" t="str">
        <f t="shared" si="5"/>
        <v>Chile</v>
      </c>
      <c r="S11" s="1"/>
      <c r="T11" s="1">
        <f t="shared" si="6"/>
        <v>3</v>
      </c>
      <c r="U11" s="1" t="s">
        <v>62</v>
      </c>
      <c r="V11" s="1">
        <f t="shared" si="7"/>
        <v>4</v>
      </c>
      <c r="W11" s="1">
        <f t="shared" si="8"/>
        <v>-2</v>
      </c>
      <c r="X11" s="1">
        <f t="shared" si="9"/>
        <v>3</v>
      </c>
      <c r="Y11" s="1">
        <f t="shared" si="10"/>
        <v>5</v>
      </c>
      <c r="Z11" s="1"/>
      <c r="AA11" s="1"/>
      <c r="AB11" s="1" t="str">
        <f t="shared" si="11"/>
        <v>Uruguay</v>
      </c>
      <c r="AC11" s="1" t="str">
        <f>IF(AF11=AF7,AB7,IF(AF11=AF8,AB8,IF(AF11=AF9,AB9,IF(AF11=AF10,AB10,""))))</f>
        <v/>
      </c>
      <c r="AD11" s="1" t="str">
        <f t="shared" si="12"/>
        <v/>
      </c>
      <c r="AE11" s="1">
        <f t="shared" si="13"/>
        <v>1</v>
      </c>
      <c r="AF11" s="1">
        <f t="shared" si="14"/>
        <v>-39980300</v>
      </c>
      <c r="AG11" s="1">
        <f t="shared" si="15"/>
        <v>-39980310</v>
      </c>
      <c r="AH11" s="1">
        <f t="shared" si="16"/>
        <v>-39980307</v>
      </c>
    </row>
    <row r="12">
      <c r="A12" s="11"/>
      <c r="B12" s="64">
        <v>5.0</v>
      </c>
      <c r="C12" s="65" t="str">
        <f t="shared" ref="C12:G12" si="20">IFERROR(VLOOKUP($B12,$T$7:$Y$11,C$5,FALSE),"")</f>
        <v>Bolivia</v>
      </c>
      <c r="D12" s="66">
        <f t="shared" si="20"/>
        <v>2</v>
      </c>
      <c r="E12" s="66">
        <f t="shared" si="20"/>
        <v>3</v>
      </c>
      <c r="F12" s="66">
        <f t="shared" si="20"/>
        <v>5</v>
      </c>
      <c r="G12" s="67">
        <f t="shared" si="20"/>
        <v>-2</v>
      </c>
      <c r="H12" s="24"/>
      <c r="I12" s="68">
        <v>12.0</v>
      </c>
      <c r="J12" s="69">
        <v>44368.0</v>
      </c>
      <c r="K12" s="70" t="s">
        <v>58</v>
      </c>
      <c r="L12" s="71">
        <v>1.0</v>
      </c>
      <c r="M12" s="72">
        <v>1.0</v>
      </c>
      <c r="N12" s="68" t="s">
        <v>60</v>
      </c>
      <c r="O12" s="25" t="str">
        <f t="shared" si="2"/>
        <v>#N/A</v>
      </c>
      <c r="P12" s="1">
        <f t="shared" si="3"/>
        <v>1</v>
      </c>
      <c r="Q12" s="1">
        <f t="shared" si="4"/>
        <v>1</v>
      </c>
      <c r="R12" s="1" t="str">
        <f t="shared" si="5"/>
        <v>SIN GANADOR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>
      <c r="A13" s="11"/>
      <c r="B13" s="11"/>
      <c r="C13" s="11"/>
      <c r="D13" s="11"/>
      <c r="E13" s="11"/>
      <c r="F13" s="11"/>
      <c r="G13" s="11"/>
      <c r="H13" s="11"/>
      <c r="I13" s="73">
        <v>15.0</v>
      </c>
      <c r="J13" s="74">
        <v>44371.0</v>
      </c>
      <c r="K13" s="75" t="s">
        <v>61</v>
      </c>
      <c r="L13" s="71">
        <v>0.0</v>
      </c>
      <c r="M13" s="72">
        <v>1.0</v>
      </c>
      <c r="N13" s="73" t="s">
        <v>62</v>
      </c>
      <c r="O13" s="25" t="str">
        <f t="shared" si="2"/>
        <v>#N/A</v>
      </c>
      <c r="P13" s="1">
        <f t="shared" si="3"/>
        <v>0</v>
      </c>
      <c r="Q13" s="1">
        <f t="shared" si="4"/>
        <v>3</v>
      </c>
      <c r="R13" s="1" t="str">
        <f t="shared" si="5"/>
        <v>Uruguay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>
      <c r="A14" s="11"/>
      <c r="B14" s="11"/>
      <c r="C14" s="11"/>
      <c r="D14" s="11"/>
      <c r="E14" s="11"/>
      <c r="F14" s="11"/>
      <c r="G14" s="11"/>
      <c r="H14" s="11"/>
      <c r="I14" s="68">
        <v>16.0</v>
      </c>
      <c r="J14" s="69">
        <v>44371.0</v>
      </c>
      <c r="K14" s="70" t="s">
        <v>59</v>
      </c>
      <c r="L14" s="71">
        <v>1.0</v>
      </c>
      <c r="M14" s="72">
        <v>0.0</v>
      </c>
      <c r="N14" s="68" t="s">
        <v>60</v>
      </c>
      <c r="O14" s="25" t="str">
        <f t="shared" si="2"/>
        <v>#N/A</v>
      </c>
      <c r="P14" s="1">
        <f t="shared" si="3"/>
        <v>3</v>
      </c>
      <c r="Q14" s="1">
        <f t="shared" si="4"/>
        <v>0</v>
      </c>
      <c r="R14" s="1" t="str">
        <f t="shared" si="5"/>
        <v>Chile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>
      <c r="A15" s="11"/>
      <c r="B15" s="11"/>
      <c r="C15" s="11"/>
      <c r="D15" s="11"/>
      <c r="E15" s="11"/>
      <c r="F15" s="11"/>
      <c r="G15" s="11"/>
      <c r="H15" s="11"/>
      <c r="I15" s="73">
        <v>19.0</v>
      </c>
      <c r="J15" s="74">
        <v>44375.0</v>
      </c>
      <c r="K15" s="75" t="s">
        <v>62</v>
      </c>
      <c r="L15" s="71">
        <v>1.0</v>
      </c>
      <c r="M15" s="72">
        <v>1.0</v>
      </c>
      <c r="N15" s="73" t="s">
        <v>60</v>
      </c>
      <c r="O15" s="25" t="str">
        <f t="shared" si="2"/>
        <v>#N/A</v>
      </c>
      <c r="P15" s="1">
        <f t="shared" si="3"/>
        <v>1</v>
      </c>
      <c r="Q15" s="1">
        <f t="shared" si="4"/>
        <v>1</v>
      </c>
      <c r="R15" s="1" t="str">
        <f t="shared" si="5"/>
        <v>SIN GANADOR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>
      <c r="A16" s="11"/>
      <c r="B16" s="11"/>
      <c r="C16" s="11"/>
      <c r="D16" s="11"/>
      <c r="E16" s="11"/>
      <c r="F16" s="11"/>
      <c r="G16" s="11"/>
      <c r="H16" s="11"/>
      <c r="I16" s="76">
        <v>20.0</v>
      </c>
      <c r="J16" s="77">
        <v>44375.0</v>
      </c>
      <c r="K16" s="78" t="s">
        <v>58</v>
      </c>
      <c r="L16" s="79">
        <v>1.0</v>
      </c>
      <c r="M16" s="80">
        <v>1.0</v>
      </c>
      <c r="N16" s="76" t="s">
        <v>61</v>
      </c>
      <c r="O16" s="25" t="str">
        <f t="shared" si="2"/>
        <v>#N/A</v>
      </c>
      <c r="P16" s="1">
        <f t="shared" si="3"/>
        <v>1</v>
      </c>
      <c r="Q16" s="1">
        <f t="shared" si="4"/>
        <v>1</v>
      </c>
      <c r="R16" s="1" t="str">
        <f t="shared" si="5"/>
        <v>SIN GANADOR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ht="15.75" customHeight="1">
      <c r="A22" s="11"/>
      <c r="B22" s="81" t="s">
        <v>50</v>
      </c>
      <c r="C22" s="82"/>
      <c r="D22" s="82"/>
      <c r="E22" s="82"/>
      <c r="F22" s="82"/>
      <c r="G22" s="82"/>
      <c r="H22" s="83"/>
      <c r="I22" s="1">
        <v>1.0</v>
      </c>
      <c r="J22" s="2" t="s">
        <v>51</v>
      </c>
      <c r="K22" s="3"/>
      <c r="L22" s="3"/>
      <c r="M22" s="4"/>
      <c r="N22" s="2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ht="15.75" customHeight="1">
      <c r="A23" s="11"/>
      <c r="B23" s="84" t="s">
        <v>52</v>
      </c>
      <c r="C23" s="85"/>
      <c r="D23" s="85"/>
      <c r="E23" s="85"/>
      <c r="F23" s="85"/>
      <c r="G23" s="85"/>
      <c r="H23" s="86"/>
      <c r="I23" s="1">
        <f t="shared" ref="I23:I27" si="21">IF(J23="",0,1)</f>
        <v>1</v>
      </c>
      <c r="J23" s="87" t="s">
        <v>58</v>
      </c>
      <c r="K23" s="88"/>
      <c r="L23" s="7"/>
      <c r="M23" s="89">
        <v>1.0</v>
      </c>
      <c r="N23" s="11">
        <f t="shared" ref="N23:N27" si="22">IF(J23="",0,M23)</f>
        <v>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ht="15.75" customHeight="1">
      <c r="A24" s="11"/>
      <c r="B24" s="84" t="s">
        <v>53</v>
      </c>
      <c r="C24" s="85"/>
      <c r="D24" s="85"/>
      <c r="E24" s="85"/>
      <c r="F24" s="85"/>
      <c r="G24" s="85"/>
      <c r="H24" s="86"/>
      <c r="I24" s="1">
        <f t="shared" si="21"/>
        <v>1</v>
      </c>
      <c r="J24" s="91" t="s">
        <v>61</v>
      </c>
      <c r="K24" s="92"/>
      <c r="L24" s="10"/>
      <c r="M24" s="93">
        <v>5.0</v>
      </c>
      <c r="N24" s="11">
        <f t="shared" si="22"/>
        <v>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ht="15.75" customHeight="1">
      <c r="A25" s="11"/>
      <c r="B25" s="84" t="s">
        <v>54</v>
      </c>
      <c r="C25" s="85"/>
      <c r="D25" s="85"/>
      <c r="E25" s="85"/>
      <c r="F25" s="85"/>
      <c r="G25" s="85"/>
      <c r="H25" s="86"/>
      <c r="I25" s="1">
        <f t="shared" si="21"/>
        <v>1</v>
      </c>
      <c r="J25" s="91" t="s">
        <v>59</v>
      </c>
      <c r="K25" s="92"/>
      <c r="L25" s="10"/>
      <c r="M25" s="93">
        <v>2.0</v>
      </c>
      <c r="N25" s="11">
        <f t="shared" si="22"/>
        <v>2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ht="15.75" customHeight="1">
      <c r="A26" s="11"/>
      <c r="B26" s="84" t="s">
        <v>55</v>
      </c>
      <c r="C26" s="85"/>
      <c r="D26" s="85"/>
      <c r="E26" s="85"/>
      <c r="F26" s="85"/>
      <c r="G26" s="85"/>
      <c r="H26" s="86"/>
      <c r="I26" s="1">
        <f t="shared" si="21"/>
        <v>1</v>
      </c>
      <c r="J26" s="91" t="s">
        <v>60</v>
      </c>
      <c r="K26" s="92"/>
      <c r="L26" s="10"/>
      <c r="M26" s="93">
        <v>4.0</v>
      </c>
      <c r="N26" s="11">
        <f t="shared" si="22"/>
        <v>4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ht="15.75" customHeight="1">
      <c r="A27" s="11"/>
      <c r="B27" s="84" t="s">
        <v>56</v>
      </c>
      <c r="C27" s="85"/>
      <c r="D27" s="85"/>
      <c r="E27" s="85"/>
      <c r="F27" s="85"/>
      <c r="G27" s="85"/>
      <c r="H27" s="86"/>
      <c r="I27" s="1">
        <f t="shared" si="21"/>
        <v>1</v>
      </c>
      <c r="J27" s="94" t="s">
        <v>62</v>
      </c>
      <c r="K27" s="95"/>
      <c r="L27" s="17"/>
      <c r="M27" s="96">
        <v>3.0</v>
      </c>
      <c r="N27" s="11">
        <f t="shared" si="22"/>
        <v>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ht="15.75" customHeight="1">
      <c r="A28" s="11"/>
      <c r="B28" s="97"/>
      <c r="C28" s="98"/>
      <c r="D28" s="98"/>
      <c r="E28" s="98"/>
      <c r="F28" s="98"/>
      <c r="G28" s="98"/>
      <c r="H28" s="99"/>
      <c r="I28" s="11"/>
      <c r="J28" s="11"/>
      <c r="K28" s="11"/>
      <c r="L28" s="11"/>
      <c r="M28" s="11"/>
      <c r="N28" s="1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mergeCells count="9">
    <mergeCell ref="J26:L26"/>
    <mergeCell ref="J27:L27"/>
    <mergeCell ref="B3:G4"/>
    <mergeCell ref="B6:G6"/>
    <mergeCell ref="K6:N6"/>
    <mergeCell ref="J22:M22"/>
    <mergeCell ref="J23:L23"/>
    <mergeCell ref="J24:L24"/>
    <mergeCell ref="J25:L25"/>
  </mergeCells>
  <conditionalFormatting sqref="M23:N27">
    <cfRule type="expression" dxfId="0" priority="1">
      <formula>J23=""</formula>
    </cfRule>
  </conditionalFormatting>
  <conditionalFormatting sqref="M24:N26">
    <cfRule type="expression" dxfId="0" priority="2">
      <formula>J24=""</formula>
    </cfRule>
  </conditionalFormatting>
  <conditionalFormatting sqref="M25:N25">
    <cfRule type="expression" dxfId="0" priority="3">
      <formula>J25=""</formula>
    </cfRule>
  </conditionalFormatting>
  <conditionalFormatting sqref="M27:N27">
    <cfRule type="expression" dxfId="0" priority="4">
      <formula>J27=""</formula>
    </cfRule>
  </conditionalFormatting>
  <conditionalFormatting sqref="B28:H28 J22:N22 M23:N27 C22:H27">
    <cfRule type="expression" dxfId="0" priority="5">
      <formula>OR($I$22=0,AND($J$20="",$J$21="",$J$22="",$J$23=""))</formula>
    </cfRule>
  </conditionalFormatting>
  <conditionalFormatting sqref="J23:L27">
    <cfRule type="expression" dxfId="0" priority="6">
      <formula>OR($I$22=0,AND($J$20="",$J$21="",$J$22="",$J$23=""))</formula>
    </cfRule>
  </conditionalFormatting>
  <conditionalFormatting sqref="B22:B27">
    <cfRule type="expression" dxfId="0" priority="7">
      <formula>OR($I$22=0,AND($J$20="",$J$21="",$J$22="",$J$23=""))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0.0"/>
    <col customWidth="1" min="3" max="3" width="9.88"/>
    <col customWidth="1" min="4" max="4" width="8.0"/>
    <col customWidth="1" min="5" max="8" width="10.0"/>
    <col customWidth="1" min="9" max="9" width="8.0"/>
    <col customWidth="1" min="10" max="13" width="10.0"/>
    <col customWidth="1" min="14" max="14" width="8.0"/>
    <col customWidth="1" min="15" max="16" width="10.0"/>
    <col customWidth="1" min="17" max="17" width="14.75"/>
    <col customWidth="1" min="18" max="43" width="10.0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</row>
    <row r="3">
      <c r="A3" s="11"/>
      <c r="B3" s="26" t="s">
        <v>63</v>
      </c>
      <c r="C3" s="27"/>
      <c r="D3" s="28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>
      <c r="A5" s="11"/>
      <c r="B5" s="11"/>
      <c r="C5" s="11"/>
      <c r="D5" s="11"/>
      <c r="E5" s="11"/>
      <c r="F5" s="11"/>
      <c r="G5" s="26" t="s">
        <v>64</v>
      </c>
      <c r="H5" s="27"/>
      <c r="I5" s="28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>
      <c r="A6" s="11"/>
      <c r="B6" s="100">
        <v>24.0</v>
      </c>
      <c r="C6" s="101" t="s">
        <v>65</v>
      </c>
      <c r="D6" s="102" t="s">
        <v>66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</row>
    <row r="7">
      <c r="A7" s="11"/>
      <c r="B7" s="103" t="str">
        <f>'Grupo B'!C8</f>
        <v>Chile</v>
      </c>
      <c r="C7" s="104">
        <v>1.0</v>
      </c>
      <c r="D7" s="105">
        <v>3.0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06">
        <v>1.0</v>
      </c>
      <c r="T7" s="106" t="s">
        <v>67</v>
      </c>
      <c r="U7" s="106" t="s">
        <v>46</v>
      </c>
      <c r="V7" s="106">
        <v>5.0</v>
      </c>
      <c r="W7" s="106">
        <v>2.0</v>
      </c>
      <c r="X7" s="106">
        <v>2.0</v>
      </c>
      <c r="Y7" s="106">
        <v>0.0</v>
      </c>
      <c r="Z7" s="106"/>
      <c r="AA7" s="106"/>
      <c r="AB7" s="106">
        <v>1.0</v>
      </c>
      <c r="AC7" s="106">
        <v>1.0</v>
      </c>
      <c r="AD7" s="106">
        <v>3.0</v>
      </c>
      <c r="AE7" s="106">
        <v>1.0</v>
      </c>
      <c r="AF7" s="106">
        <v>1.0</v>
      </c>
      <c r="AG7" s="106"/>
      <c r="AH7" s="106">
        <v>1.0</v>
      </c>
      <c r="AI7" s="106">
        <v>1.0</v>
      </c>
      <c r="AJ7" s="106">
        <v>1.0</v>
      </c>
      <c r="AK7" s="106">
        <v>4.0</v>
      </c>
      <c r="AL7" s="106">
        <v>1.0</v>
      </c>
      <c r="AM7" s="106"/>
      <c r="AN7" s="106"/>
      <c r="AO7" s="106"/>
      <c r="AP7" s="106"/>
      <c r="AQ7" s="106"/>
    </row>
    <row r="8">
      <c r="A8" s="11"/>
      <c r="B8" s="107" t="str">
        <f>'Grupo A'!C11</f>
        <v>Ecuador</v>
      </c>
      <c r="C8" s="108">
        <v>1.0</v>
      </c>
      <c r="D8" s="109">
        <v>1.0</v>
      </c>
      <c r="E8" s="110"/>
      <c r="F8" s="11"/>
      <c r="G8" s="100">
        <v>26.0</v>
      </c>
      <c r="H8" s="101" t="s">
        <v>65</v>
      </c>
      <c r="I8" s="102" t="s">
        <v>66</v>
      </c>
      <c r="J8" s="11"/>
      <c r="K8" s="11"/>
      <c r="L8" s="11"/>
      <c r="M8" s="11"/>
      <c r="N8" s="11"/>
      <c r="O8" s="11"/>
      <c r="P8" s="11"/>
      <c r="Q8" s="11"/>
      <c r="R8" s="11"/>
      <c r="S8" s="106">
        <v>2.0</v>
      </c>
      <c r="T8" s="106" t="s">
        <v>68</v>
      </c>
      <c r="U8" s="106" t="s">
        <v>60</v>
      </c>
      <c r="V8" s="106">
        <v>2.0</v>
      </c>
      <c r="W8" s="106">
        <v>-2.0</v>
      </c>
      <c r="X8" s="106">
        <v>3.0</v>
      </c>
      <c r="Y8" s="106">
        <v>5.0</v>
      </c>
      <c r="Z8" s="106"/>
      <c r="AA8" s="106"/>
      <c r="AB8" s="106">
        <v>2.0</v>
      </c>
      <c r="AC8" s="106">
        <v>2.0</v>
      </c>
      <c r="AD8" s="106">
        <v>1.0</v>
      </c>
      <c r="AE8" s="106">
        <v>2.0</v>
      </c>
      <c r="AF8" s="106">
        <v>2.0</v>
      </c>
      <c r="AG8" s="106"/>
      <c r="AH8" s="106">
        <v>2.0</v>
      </c>
      <c r="AI8" s="106">
        <v>2.0</v>
      </c>
      <c r="AJ8" s="106">
        <v>2.0</v>
      </c>
      <c r="AK8" s="106">
        <v>8.0</v>
      </c>
      <c r="AL8" s="106">
        <v>2.0</v>
      </c>
      <c r="AM8" s="106"/>
      <c r="AN8" s="106"/>
      <c r="AO8" s="106"/>
      <c r="AP8" s="106"/>
      <c r="AQ8" s="106"/>
    </row>
    <row r="9">
      <c r="A9" s="11"/>
      <c r="B9" s="11"/>
      <c r="C9" s="11"/>
      <c r="D9" s="11"/>
      <c r="E9" s="111"/>
      <c r="F9" s="11"/>
      <c r="G9" s="103" t="str">
        <f>IF(C8&gt;C7,B8,IF(C7&gt;C8,B7,IF(D8&gt;D7,B8,IF(D7&gt;D8,B7,""))))</f>
        <v>Chile</v>
      </c>
      <c r="H9" s="104">
        <v>1.0</v>
      </c>
      <c r="I9" s="105">
        <v>2.0</v>
      </c>
      <c r="J9" s="11"/>
      <c r="K9" s="11"/>
      <c r="L9" s="26" t="s">
        <v>69</v>
      </c>
      <c r="M9" s="27"/>
      <c r="N9" s="28"/>
      <c r="O9" s="11"/>
      <c r="P9" s="11"/>
      <c r="Q9" s="11"/>
      <c r="R9" s="11"/>
      <c r="S9" s="106">
        <v>3.0</v>
      </c>
      <c r="T9" s="106" t="s">
        <v>70</v>
      </c>
      <c r="U9" s="106" t="s">
        <v>71</v>
      </c>
      <c r="V9" s="106">
        <v>2.0</v>
      </c>
      <c r="W9" s="106">
        <v>-4.0</v>
      </c>
      <c r="X9" s="106">
        <v>3.0</v>
      </c>
      <c r="Y9" s="106">
        <v>7.0</v>
      </c>
      <c r="Z9" s="106"/>
      <c r="AA9" s="106"/>
      <c r="AB9" s="106">
        <v>2.0</v>
      </c>
      <c r="AC9" s="106">
        <v>3.0</v>
      </c>
      <c r="AD9" s="106">
        <v>1.0</v>
      </c>
      <c r="AE9" s="106">
        <v>2.1</v>
      </c>
      <c r="AF9" s="106">
        <v>2.1</v>
      </c>
      <c r="AG9" s="106"/>
      <c r="AH9" s="106">
        <v>3.0</v>
      </c>
      <c r="AI9" s="106">
        <v>3.0</v>
      </c>
      <c r="AJ9" s="106">
        <v>3.0</v>
      </c>
      <c r="AK9" s="106">
        <v>12.0</v>
      </c>
      <c r="AL9" s="106">
        <v>3.0</v>
      </c>
      <c r="AM9" s="106"/>
      <c r="AN9" s="106"/>
      <c r="AO9" s="106"/>
      <c r="AP9" s="106"/>
      <c r="AQ9" s="106"/>
    </row>
    <row r="10">
      <c r="A10" s="11"/>
      <c r="B10" s="100">
        <v>23.0</v>
      </c>
      <c r="C10" s="101" t="s">
        <v>65</v>
      </c>
      <c r="D10" s="102" t="s">
        <v>66</v>
      </c>
      <c r="E10" s="112"/>
      <c r="F10" s="113"/>
      <c r="G10" s="107" t="str">
        <f>IF(C12&gt;C11,B12,IF(C11&gt;C12,B11,IF(D12&gt;D11,B12,IF(D11&gt;D12,B11,""))))</f>
        <v>Argentina</v>
      </c>
      <c r="H10" s="108">
        <v>1.0</v>
      </c>
      <c r="I10" s="109">
        <v>1.0</v>
      </c>
      <c r="J10" s="110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</row>
    <row r="11">
      <c r="A11" s="11"/>
      <c r="B11" s="103" t="str">
        <f>'Grupo B'!C9</f>
        <v>Argentina</v>
      </c>
      <c r="C11" s="104">
        <v>2.0</v>
      </c>
      <c r="D11" s="114"/>
      <c r="E11" s="115"/>
      <c r="F11" s="11"/>
      <c r="G11" s="11"/>
      <c r="H11" s="11"/>
      <c r="I11" s="11"/>
      <c r="J11" s="1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</row>
    <row r="12">
      <c r="A12" s="11"/>
      <c r="B12" s="107" t="str">
        <f>'Grupo A'!C10</f>
        <v>Colombia</v>
      </c>
      <c r="C12" s="108">
        <v>0.0</v>
      </c>
      <c r="D12" s="116"/>
      <c r="E12" s="117"/>
      <c r="F12" s="11"/>
      <c r="G12" s="11"/>
      <c r="H12" s="11"/>
      <c r="I12" s="11"/>
      <c r="J12" s="111"/>
      <c r="K12" s="11"/>
      <c r="L12" s="100">
        <v>28.0</v>
      </c>
      <c r="M12" s="101" t="s">
        <v>65</v>
      </c>
      <c r="N12" s="102" t="s">
        <v>66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1"/>
      <c r="K13" s="11"/>
      <c r="L13" s="103" t="str">
        <f>IF(H10&gt;H9,G10,IF(H9&gt;H10,G9,IF(I10&gt;I9,G10,IF(I9&gt;I10,G9,""))))</f>
        <v>Chile</v>
      </c>
      <c r="M13" s="104">
        <v>1.0</v>
      </c>
      <c r="N13" s="114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>
      <c r="A14" s="11"/>
      <c r="B14" s="100">
        <v>21.0</v>
      </c>
      <c r="C14" s="101" t="s">
        <v>65</v>
      </c>
      <c r="D14" s="102" t="s">
        <v>66</v>
      </c>
      <c r="E14" s="11"/>
      <c r="F14" s="11"/>
      <c r="G14" s="11"/>
      <c r="H14" s="11"/>
      <c r="I14" s="11"/>
      <c r="J14" s="111"/>
      <c r="K14" s="113"/>
      <c r="L14" s="107" t="str">
        <f>IF(H18&gt;H17,G18,IF(H17&gt;H18,G17,IF(I18&gt;I17,G18,IF(I17&gt;I18,G17,""))))</f>
        <v>Brasil</v>
      </c>
      <c r="M14" s="108">
        <v>2.0</v>
      </c>
      <c r="N14" s="116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>
      <c r="A15" s="11"/>
      <c r="B15" s="103" t="str">
        <f>'Grupo A'!C9</f>
        <v>Peru</v>
      </c>
      <c r="C15" s="104">
        <v>1.0</v>
      </c>
      <c r="D15" s="105">
        <v>2.0</v>
      </c>
      <c r="E15" s="11"/>
      <c r="F15" s="11"/>
      <c r="G15" s="11"/>
      <c r="H15" s="11"/>
      <c r="I15" s="11"/>
      <c r="J15" s="1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81" t="s">
        <v>72</v>
      </c>
      <c r="V15" s="82"/>
      <c r="W15" s="82"/>
      <c r="X15" s="82"/>
      <c r="Y15" s="82"/>
      <c r="Z15" s="83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>
      <c r="A16" s="11"/>
      <c r="B16" s="107" t="str">
        <f>'Grupo B'!C10</f>
        <v>Uruguay</v>
      </c>
      <c r="C16" s="108">
        <v>1.0</v>
      </c>
      <c r="D16" s="109">
        <v>1.0</v>
      </c>
      <c r="E16" s="110"/>
      <c r="F16" s="11"/>
      <c r="G16" s="100">
        <v>25.0</v>
      </c>
      <c r="H16" s="101" t="s">
        <v>65</v>
      </c>
      <c r="I16" s="102" t="s">
        <v>66</v>
      </c>
      <c r="J16" s="111"/>
      <c r="K16" s="11"/>
      <c r="L16" s="11"/>
      <c r="M16" s="11"/>
      <c r="N16" s="11"/>
      <c r="O16" s="11"/>
      <c r="P16" s="11"/>
      <c r="Q16" s="26" t="s">
        <v>73</v>
      </c>
      <c r="R16" s="28"/>
      <c r="S16" s="11"/>
      <c r="T16" s="11"/>
      <c r="U16" s="84" t="s">
        <v>74</v>
      </c>
      <c r="V16" s="85"/>
      <c r="W16" s="85"/>
      <c r="X16" s="85"/>
      <c r="Y16" s="85"/>
      <c r="Z16" s="86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>
      <c r="A17" s="11"/>
      <c r="B17" s="11"/>
      <c r="C17" s="11"/>
      <c r="D17" s="11"/>
      <c r="E17" s="111"/>
      <c r="F17" s="11"/>
      <c r="G17" s="103" t="str">
        <f>IF(C16&gt;C15,B16,IF(C15&gt;C16,B15,IF(D16&gt;D15,B16,IF(D15&gt;D16,B15,""))))</f>
        <v>Peru</v>
      </c>
      <c r="H17" s="104">
        <v>1.0</v>
      </c>
      <c r="I17" s="114"/>
      <c r="J17" s="115"/>
      <c r="K17" s="11"/>
      <c r="L17" s="11"/>
      <c r="M17" s="11"/>
      <c r="N17" s="11"/>
      <c r="O17" s="11"/>
      <c r="P17" s="11"/>
      <c r="Q17" s="103" t="s">
        <v>75</v>
      </c>
      <c r="R17" s="118" t="str">
        <f>IF(M13&gt;M14,L13,IF(M14&gt;M13,L14,IF(N13&gt;N14,L13,IF(N14&gt;N13,L14,""))))</f>
        <v>Brasil</v>
      </c>
      <c r="S17" s="11"/>
      <c r="T17" s="11"/>
      <c r="U17" s="84" t="s">
        <v>76</v>
      </c>
      <c r="V17" s="85"/>
      <c r="W17" s="85"/>
      <c r="X17" s="85"/>
      <c r="Y17" s="85"/>
      <c r="Z17" s="86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>
      <c r="A18" s="11"/>
      <c r="B18" s="100">
        <v>22.0</v>
      </c>
      <c r="C18" s="101" t="s">
        <v>65</v>
      </c>
      <c r="D18" s="102" t="s">
        <v>66</v>
      </c>
      <c r="E18" s="112"/>
      <c r="F18" s="113"/>
      <c r="G18" s="107" t="str">
        <f>IF(C20&gt;C19,B20,IF(C19&gt;C20,B19,IF(D20&gt;D19,B20,IF(D19&gt;D20,B19,""))))</f>
        <v>Brasil</v>
      </c>
      <c r="H18" s="108">
        <v>2.0</v>
      </c>
      <c r="I18" s="116"/>
      <c r="J18" s="11"/>
      <c r="K18" s="11"/>
      <c r="L18" s="26" t="s">
        <v>77</v>
      </c>
      <c r="M18" s="27"/>
      <c r="N18" s="28"/>
      <c r="O18" s="11"/>
      <c r="P18" s="11"/>
      <c r="Q18" s="119" t="s">
        <v>78</v>
      </c>
      <c r="R18" s="120" t="str">
        <f>IF(R17=L13,L14,IF(R17=L14,L13,""))</f>
        <v>Chile</v>
      </c>
      <c r="S18" s="11"/>
      <c r="T18" s="11"/>
      <c r="U18" s="97" t="s">
        <v>79</v>
      </c>
      <c r="V18" s="98"/>
      <c r="W18" s="98"/>
      <c r="X18" s="98"/>
      <c r="Y18" s="98"/>
      <c r="Z18" s="99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>
      <c r="A19" s="11"/>
      <c r="B19" s="103" t="str">
        <f>'Grupo A'!C8</f>
        <v>Brasil</v>
      </c>
      <c r="C19" s="104">
        <v>2.0</v>
      </c>
      <c r="D19" s="114"/>
      <c r="E19" s="115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07" t="s">
        <v>80</v>
      </c>
      <c r="R19" s="121" t="str">
        <f>IF(M22&gt;M23,L22,IF(M23&gt;M22,L23,IF(N22&gt;N23,L22,IF(N23&gt;N22,L23,""))))</f>
        <v>Argentina</v>
      </c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>
      <c r="A20" s="11"/>
      <c r="B20" s="107" t="str">
        <f>'Grupo B'!C11</f>
        <v>Paraguay</v>
      </c>
      <c r="C20" s="108">
        <v>0.0</v>
      </c>
      <c r="D20" s="116"/>
      <c r="E20" s="117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2" t="s">
        <v>81</v>
      </c>
      <c r="V20" s="3"/>
      <c r="W20" s="4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00">
        <v>27.0</v>
      </c>
      <c r="M21" s="101" t="s">
        <v>65</v>
      </c>
      <c r="N21" s="102" t="s">
        <v>66</v>
      </c>
      <c r="O21" s="11"/>
      <c r="P21" s="11"/>
      <c r="Q21" s="11"/>
      <c r="R21" s="11"/>
      <c r="S21" s="11"/>
      <c r="T21" s="11"/>
      <c r="U21" s="122" t="s">
        <v>82</v>
      </c>
      <c r="V21" s="123"/>
      <c r="W21" s="124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03" t="str">
        <f>IF(L13=G9,G10,IF(L13=G10,G9,""))</f>
        <v>Argentina</v>
      </c>
      <c r="M22" s="104">
        <v>2.0</v>
      </c>
      <c r="N22" s="114"/>
      <c r="O22" s="11"/>
      <c r="P22" s="11"/>
      <c r="Q22" s="11"/>
      <c r="R22" s="11"/>
      <c r="S22" s="11"/>
      <c r="T22" s="11"/>
      <c r="U22" s="87" t="s">
        <v>83</v>
      </c>
      <c r="V22" s="7"/>
      <c r="W22" s="125">
        <v>1.0</v>
      </c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07" t="str">
        <f>IF(L14=G17,G18,IF(L14=G18,G17,""))</f>
        <v>Peru</v>
      </c>
      <c r="M23" s="108">
        <v>1.0</v>
      </c>
      <c r="N23" s="116"/>
      <c r="O23" s="11"/>
      <c r="P23" s="11"/>
      <c r="Q23" s="11"/>
      <c r="R23" s="11"/>
      <c r="S23" s="11"/>
      <c r="T23" s="11"/>
      <c r="U23" s="126" t="s">
        <v>83</v>
      </c>
      <c r="V23" s="10"/>
      <c r="W23" s="125">
        <v>2.0</v>
      </c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94" t="s">
        <v>83</v>
      </c>
      <c r="V24" s="17"/>
      <c r="W24" s="127">
        <v>3.0</v>
      </c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</row>
  </sheetData>
  <mergeCells count="10">
    <mergeCell ref="U22:V22"/>
    <mergeCell ref="U23:V23"/>
    <mergeCell ref="U24:V24"/>
    <mergeCell ref="B3:D3"/>
    <mergeCell ref="G5:I5"/>
    <mergeCell ref="L9:N9"/>
    <mergeCell ref="Q16:R16"/>
    <mergeCell ref="L18:N18"/>
    <mergeCell ref="U20:W20"/>
    <mergeCell ref="U21:W21"/>
  </mergeCells>
  <conditionalFormatting sqref="D7">
    <cfRule type="expression" dxfId="1" priority="1">
      <formula>$C$7=$C$8</formula>
    </cfRule>
  </conditionalFormatting>
  <conditionalFormatting sqref="D8">
    <cfRule type="expression" dxfId="1" priority="2">
      <formula>$C$7=$C$8</formula>
    </cfRule>
  </conditionalFormatting>
  <conditionalFormatting sqref="D11">
    <cfRule type="expression" dxfId="1" priority="3">
      <formula>C11=C12</formula>
    </cfRule>
  </conditionalFormatting>
  <conditionalFormatting sqref="D12">
    <cfRule type="expression" dxfId="1" priority="4">
      <formula>C11=C12</formula>
    </cfRule>
  </conditionalFormatting>
  <conditionalFormatting sqref="D15">
    <cfRule type="expression" dxfId="1" priority="5">
      <formula>C15=C16</formula>
    </cfRule>
  </conditionalFormatting>
  <conditionalFormatting sqref="D16">
    <cfRule type="expression" dxfId="1" priority="6">
      <formula>C15=C16</formula>
    </cfRule>
  </conditionalFormatting>
  <conditionalFormatting sqref="D19">
    <cfRule type="expression" dxfId="1" priority="7">
      <formula>C19=C20</formula>
    </cfRule>
  </conditionalFormatting>
  <conditionalFormatting sqref="D20">
    <cfRule type="expression" dxfId="1" priority="8">
      <formula>C19=C20</formula>
    </cfRule>
  </conditionalFormatting>
  <conditionalFormatting sqref="I9">
    <cfRule type="expression" dxfId="1" priority="9">
      <formula>H9=H10</formula>
    </cfRule>
  </conditionalFormatting>
  <conditionalFormatting sqref="I10">
    <cfRule type="expression" dxfId="1" priority="10">
      <formula>H9=H10</formula>
    </cfRule>
  </conditionalFormatting>
  <conditionalFormatting sqref="I17">
    <cfRule type="expression" dxfId="1" priority="11">
      <formula>H17=H18</formula>
    </cfRule>
  </conditionalFormatting>
  <conditionalFormatting sqref="I18">
    <cfRule type="expression" dxfId="1" priority="12">
      <formula>H17=H18</formula>
    </cfRule>
  </conditionalFormatting>
  <conditionalFormatting sqref="N13">
    <cfRule type="expression" dxfId="1" priority="13">
      <formula>M13=M14</formula>
    </cfRule>
  </conditionalFormatting>
  <conditionalFormatting sqref="N14">
    <cfRule type="expression" dxfId="1" priority="14">
      <formula>M13=M14</formula>
    </cfRule>
  </conditionalFormatting>
  <conditionalFormatting sqref="U15:Z24">
    <cfRule type="expression" dxfId="0" priority="15">
      <formula>AND($U$22="",$U$23="",$U$24="")</formula>
    </cfRule>
  </conditionalFormatting>
  <conditionalFormatting sqref="N22">
    <cfRule type="expression" dxfId="1" priority="16">
      <formula>M22=M23</formula>
    </cfRule>
  </conditionalFormatting>
  <conditionalFormatting sqref="N23">
    <cfRule type="expression" dxfId="1" priority="17">
      <formula>M22=M23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2021-05-30T22:13:47Z</dcterms:created>
  <dc:creator>José Antonio</dc:creator>
</cp:coreProperties>
</file>