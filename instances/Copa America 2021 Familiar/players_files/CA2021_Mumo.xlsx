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mundo/Desktop/"/>
    </mc:Choice>
  </mc:AlternateContent>
  <xr:revisionPtr revIDLastSave="0" documentId="13_ncr:1_{02801E13-9C1E-614E-B6B8-67619141FDEA}" xr6:coauthVersionLast="36" xr6:coauthVersionMax="36" xr10:uidLastSave="{00000000-0000-0000-0000-000000000000}"/>
  <bookViews>
    <workbookView xWindow="0" yWindow="460" windowWidth="28800" windowHeight="1660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<sst xmlns="http://schemas.openxmlformats.org/spreadsheetml/2006/main" count="190" uniqueCount="83">
  <si>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</si>
  <si>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</si>
  <si>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</si>
  <si>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</si>
  <si>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</si>
  <si>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</si>
  <si>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</si>
  <si>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</si>
  <si>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</si>
  <si>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</si>
  <si>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</si>
  <si>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</si>
  <si>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</si>
  <si>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</si>
  <si>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</si>
  <si>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</si>
  <si>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</si>
  <si>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</si>
  <si>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</si>
  <si>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</si>
  <si>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</si>
  <si>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</si>
  <si>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</si>
  <si>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</si>
  <si>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</si>
  <si>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</si>
  <si>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</si>
  <si>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</si>
  <si>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</si>
  <si>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</si>
  <si>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</si>
  <si>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</si>
  <si>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</si>
  <si>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</si>
  <si>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</si>
  <si>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</si>
  <si>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</si>
  <si>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</si>
  <si>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</si>
  <si>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</si>
  <si>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</si>
  <si>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</si>
  <si>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</si>
  <si>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</si>
  <si>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</si>
  <si>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</si>
  <si>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</si>
  <si>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</si>
  <si>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</si>
  <si>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</si>
  <si>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</si>
  <si>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</si>
  <si>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</si>
  <si>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</si>
  <si>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</si>
  <si>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</si>
  <si>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</si>
  <si>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</si>
  <si>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</si>
  <si>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</si>
  <si>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</si>
  <si>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</si>
  <si>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</si>
  <si>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</si>
  <si>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</si>
  <si>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</si>
  <si>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</si>
  <si>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</si>
  <si>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</si>
  <si>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</si>
  <si>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</si>
  <si>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</si>
  <si>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</si>
  <si>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</si>
  <si>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</si>
  <si>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</si>
  <si>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</si>
  <si>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</si>
  <si>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</si>
  <si>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</si>
  <si>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</si>
  <si>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Mumo</t>
  </si>
  <si>
    <t>rhenriquez1@uc.cl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</si>
</sst>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7" sqref="C7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71</v>
      </c>
      <c r="G5" s="91" t="s">
        <v>60</v>
      </c>
    </row>
    <row r="6" spans="2:7" ht="30.75" customHeight="1" thickBot="1" x14ac:dyDescent="0.25">
      <c r="B6" s="98" t="s">
        <v>80</v>
      </c>
      <c r="C6" s="100" t="s">
        <v>28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C8" zoomScale="193" zoomScaleNormal="140" workbookViewId="0">
      <selection activeCell="L17" sqref="L17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8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-120070800</v>
      </c>
      <c r="AG7" s="91">
        <f>AF7-AE7*10</f>
        <v>-120070810</v>
      </c>
      <c r="AH7" s="91">
        <f>AG7+N23</f>
        <v>-120070809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8</v>
      </c>
      <c r="F8" s="33">
        <f t="shared" si="1"/>
        <v>1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0</v>
      </c>
      <c r="X8" s="91">
        <f>SUMIF($K$7:$K$16,U8,$L$7:$L$16) + SUMIF($N$7:$N$16,U8,$M$7:$M$16)</f>
        <v>5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-50000500</v>
      </c>
      <c r="AG8" s="91">
        <f t="shared" ref="AG8:AG11" si="8">AF8-AE8*10</f>
        <v>-50000510</v>
      </c>
      <c r="AH8" s="91">
        <f>AG8+N24</f>
        <v>-50000508</v>
      </c>
    </row>
    <row r="9" spans="2:35" x14ac:dyDescent="0.2">
      <c r="B9" s="62">
        <v>2</v>
      </c>
      <c r="C9" s="63" t="str">
        <f t="shared" si="1"/>
        <v>Ecuador</v>
      </c>
      <c r="D9" s="64">
        <f t="shared" si="1"/>
        <v>7</v>
      </c>
      <c r="E9" s="64">
        <f t="shared" si="1"/>
        <v>4</v>
      </c>
      <c r="F9" s="64">
        <f t="shared" si="1"/>
        <v>3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1</v>
      </c>
      <c r="X9" s="91">
        <f>SUMIF($K$7:$K$16,U9,$L$7:$L$16) + SUMIF($N$7:$N$16,U9,$M$7:$M$16)</f>
        <v>4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-70010400</v>
      </c>
      <c r="AG9" s="91">
        <f t="shared" si="8"/>
        <v>-70010410</v>
      </c>
      <c r="AH9" s="91">
        <f>AG9+N25</f>
        <v>-70010407</v>
      </c>
    </row>
    <row r="10" spans="2:35" x14ac:dyDescent="0.2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5</v>
      </c>
      <c r="F10" s="60">
        <f t="shared" si="1"/>
        <v>5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2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-19970300</v>
      </c>
      <c r="AG10" s="91">
        <f t="shared" si="8"/>
        <v>-19970310</v>
      </c>
      <c r="AH10" s="91">
        <f>AG10+N26</f>
        <v>-19970306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2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-5</v>
      </c>
      <c r="X11" s="91">
        <f>SUMIF($K$7:$K$16,U11,$L$7:$L$16) + SUMIF($N$7:$N$16,U11,$M$7:$M$16)</f>
        <v>2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-9950200</v>
      </c>
      <c r="AG11" s="91">
        <f t="shared" si="8"/>
        <v>-9950210</v>
      </c>
      <c r="AH11" s="91">
        <f>AG11+N27</f>
        <v>-9950205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7</v>
      </c>
      <c r="G12" s="57">
        <f t="shared" si="1"/>
        <v>-5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0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B1" zoomScale="136" zoomScaleNormal="140" workbookViewId="0">
      <selection activeCell="M16" sqref="M16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9</v>
      </c>
      <c r="W7" s="91">
        <f>X7-Y7</f>
        <v>4</v>
      </c>
      <c r="X7" s="91">
        <f>SUMIF($K$7:$K$16,U7,$L$7:$L$16) + SUMIF($N$7:$N$16,U7,$M$7:$M$16)</f>
        <v>7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-90040700</v>
      </c>
      <c r="AG7" s="91">
        <f>AF7-AE7*10</f>
        <v>-90040710</v>
      </c>
      <c r="AH7" s="91">
        <f>AG7+N23</f>
        <v>-90040709</v>
      </c>
    </row>
    <row r="8" spans="2:34" x14ac:dyDescent="0.2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8</v>
      </c>
      <c r="F8" s="33">
        <f t="shared" si="1"/>
        <v>4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1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79900</v>
      </c>
      <c r="AG8" s="91">
        <f t="shared" ref="AG8:AG11" si="8">AF8-AE8*10</f>
        <v>79890</v>
      </c>
      <c r="AH8" s="91">
        <f>AG8+N24</f>
        <v>79895</v>
      </c>
    </row>
    <row r="9" spans="2:34" x14ac:dyDescent="0.2">
      <c r="B9" s="62">
        <v>2</v>
      </c>
      <c r="C9" s="63" t="str">
        <f t="shared" si="1"/>
        <v>Argentina</v>
      </c>
      <c r="D9" s="64">
        <f t="shared" si="1"/>
        <v>9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4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-70020400</v>
      </c>
      <c r="AG9" s="91">
        <f t="shared" si="8"/>
        <v>-70020410</v>
      </c>
      <c r="AH9" s="91">
        <f>AG9+N25</f>
        <v>-70020408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4</v>
      </c>
      <c r="F10" s="60">
        <f t="shared" si="1"/>
        <v>2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-2</v>
      </c>
      <c r="X10" s="91">
        <f>SUMIF($K$7:$K$16,U10,$L$7:$L$16) + SUMIF($N$7:$N$16,U10,$M$7:$M$16)</f>
        <v>3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-29980300</v>
      </c>
      <c r="AG10" s="91">
        <f t="shared" si="8"/>
        <v>-29980310</v>
      </c>
      <c r="AH10" s="91">
        <f>AG10+N26</f>
        <v>-29980306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5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4</v>
      </c>
      <c r="X11" s="91">
        <f>SUMIF($K$7:$K$16,U11,$L$7:$L$16) + SUMIF($N$7:$N$16,U11,$M$7:$M$16)</f>
        <v>8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-100040800</v>
      </c>
      <c r="AG11" s="91">
        <f t="shared" si="8"/>
        <v>-100040810</v>
      </c>
      <c r="AH11" s="91">
        <f>AG11+N27</f>
        <v>-100040807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9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1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E10" zoomScale="188" zoomScaleNormal="140" workbookViewId="0">
      <selection activeCell="O21" sqref="O21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Uruguay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Uruguay</v>
      </c>
      <c r="H9" s="41">
        <v>2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3</v>
      </c>
      <c r="I10" s="77"/>
      <c r="J10" s="78"/>
    </row>
    <row r="11" spans="2:43" ht="16" thickBot="1" x14ac:dyDescent="0.25">
      <c r="B11" s="74" t="str">
        <f>'Grupo B'!C9</f>
        <v>Argentina</v>
      </c>
      <c r="C11" s="41">
        <v>2</v>
      </c>
      <c r="D11" s="75">
        <v>4</v>
      </c>
      <c r="E11" s="82"/>
      <c r="J11" s="79"/>
    </row>
    <row r="12" spans="2:43" ht="16" thickBot="1" x14ac:dyDescent="0.25">
      <c r="B12" s="76" t="str">
        <f>'Grupo A'!C10</f>
        <v>Colombia</v>
      </c>
      <c r="C12" s="42">
        <v>2</v>
      </c>
      <c r="D12" s="77">
        <v>2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Ecuador</v>
      </c>
      <c r="C15" s="41">
        <v>1</v>
      </c>
      <c r="D15" s="75">
        <v>5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1</v>
      </c>
      <c r="D16" s="77">
        <v>3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Ecuador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Ecuador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Uruguay</v>
      </c>
      <c r="M22" s="41">
        <v>0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Ecuador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Raimundo Henríquez Las Heras</cp:lastModifiedBy>
  <dcterms:created xsi:type="dcterms:W3CDTF">2021-05-30T22:13:47Z</dcterms:created>
  <dcterms:modified xsi:type="dcterms:W3CDTF">2021-06-09T15:52:24Z</dcterms:modified>
</cp:coreProperties>
</file>