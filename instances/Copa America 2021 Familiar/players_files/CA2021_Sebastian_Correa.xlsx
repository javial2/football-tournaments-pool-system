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workbookProtection lockStructure="1" lockRevision="1"/>
  <bookViews>
    <workbookView xWindow="0" yWindow="460" windowWidth="20740" windowHeight="11160" activeTab="3"/>
  </bookViews>
  <sheets>
    <sheet name="INFORMACION" sheetId="1" r:id="rId1"/>
    <sheet name="Grupo A" sheetId="2" r:id="rId2"/>
    <sheet name="Grupo B" sheetId="3" r:id="rId3"/>
    <sheet name="Play-Off" sheetId="4" r:id="rId4"/>
  </sheets>
  <calcPr calcId="150001" concurrentCalc="0"/>
  <customWorkbookViews>
    <customWorkbookView name="Usuario de Microsoft Office - Vista personalizada" guid="{06BE6733-40A9-854B-A1C6-B4B11C689809}" mergeInterval="0" personalView="1" windowWidth="1037" windowHeight="385" activeSheetId="4"/>
  </customWorkbookViews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3" l="1"/>
  <c r="O16" i="3"/>
  <c r="P15" i="3"/>
  <c r="O15" i="3"/>
  <c r="P14" i="3"/>
  <c r="O14" i="3"/>
  <c r="P13" i="3"/>
  <c r="O13" i="3"/>
  <c r="P12" i="3"/>
  <c r="O12" i="3"/>
  <c r="AB11" i="3"/>
  <c r="Y11" i="3"/>
  <c r="X11" i="3"/>
  <c r="P11" i="3"/>
  <c r="Q11" i="3"/>
  <c r="O11" i="3"/>
  <c r="AB10" i="3"/>
  <c r="Y10" i="3"/>
  <c r="X10" i="3"/>
  <c r="P10" i="3"/>
  <c r="Q10" i="3"/>
  <c r="R10" i="3"/>
  <c r="O10" i="3"/>
  <c r="AB9" i="3"/>
  <c r="Y9" i="3"/>
  <c r="X9" i="3"/>
  <c r="P9" i="3"/>
  <c r="Q9" i="3"/>
  <c r="R9" i="3"/>
  <c r="O9" i="3"/>
  <c r="AB8" i="3"/>
  <c r="Y8" i="3"/>
  <c r="X8" i="3"/>
  <c r="P8" i="3"/>
  <c r="O8" i="3"/>
  <c r="AB7" i="3"/>
  <c r="Y7" i="3"/>
  <c r="X7" i="3"/>
  <c r="P7" i="3"/>
  <c r="Q7" i="3"/>
  <c r="O7" i="3"/>
  <c r="O8" i="2"/>
  <c r="O9" i="2"/>
  <c r="O10" i="2"/>
  <c r="O11" i="2"/>
  <c r="O12" i="2"/>
  <c r="O13" i="2"/>
  <c r="O14" i="2"/>
  <c r="O15" i="2"/>
  <c r="O16" i="2"/>
  <c r="O7" i="2"/>
  <c r="AB8" i="2"/>
  <c r="AB9" i="2"/>
  <c r="AB10" i="2"/>
  <c r="AB11" i="2"/>
  <c r="AB7" i="2"/>
  <c r="W11" i="3"/>
  <c r="W7" i="3"/>
  <c r="W10" i="3"/>
  <c r="W9" i="3"/>
  <c r="W8" i="3"/>
  <c r="R7" i="3"/>
  <c r="Q8" i="3"/>
  <c r="Q16" i="3"/>
  <c r="V8" i="3"/>
  <c r="V9" i="3"/>
  <c r="R11" i="3"/>
  <c r="Q12" i="3"/>
  <c r="R12" i="3"/>
  <c r="Q13" i="3"/>
  <c r="V11" i="3"/>
  <c r="AF11" i="3"/>
  <c r="Q14" i="3"/>
  <c r="V7" i="3"/>
  <c r="AF7" i="3"/>
  <c r="Q15" i="3"/>
  <c r="R15" i="3"/>
  <c r="R16" i="3"/>
  <c r="V10" i="3"/>
  <c r="AF10" i="3"/>
  <c r="AF8" i="3"/>
  <c r="R8" i="3"/>
  <c r="R13" i="3"/>
  <c r="AF9" i="3"/>
  <c r="AC11" i="3"/>
  <c r="R14" i="3"/>
  <c r="AD11" i="3"/>
  <c r="AE11" i="3"/>
  <c r="AG11" i="3"/>
  <c r="AC9" i="3"/>
  <c r="AC10" i="3"/>
  <c r="AC7" i="3"/>
  <c r="AC8" i="3"/>
  <c r="AD7" i="3"/>
  <c r="AE7" i="3"/>
  <c r="AG7" i="3"/>
  <c r="AD10" i="3"/>
  <c r="AE10" i="3"/>
  <c r="AG10" i="3"/>
  <c r="I26" i="3"/>
  <c r="AD9" i="3"/>
  <c r="AE9" i="3"/>
  <c r="AG9" i="3"/>
  <c r="AD8" i="3"/>
  <c r="AE8" i="3"/>
  <c r="AG8" i="3"/>
  <c r="I24" i="3"/>
  <c r="N23" i="3"/>
  <c r="AH7" i="3"/>
  <c r="I25" i="3"/>
  <c r="N27" i="3"/>
  <c r="AH11" i="3"/>
  <c r="N26" i="3"/>
  <c r="AH10" i="3"/>
  <c r="N24" i="3"/>
  <c r="AH8" i="3"/>
  <c r="N25" i="3"/>
  <c r="AH9" i="3"/>
  <c r="T9" i="3"/>
  <c r="I23" i="3"/>
  <c r="I27" i="3"/>
  <c r="X7" i="2"/>
  <c r="P12" i="2"/>
  <c r="P13" i="2"/>
  <c r="P14" i="2"/>
  <c r="P15" i="2"/>
  <c r="P16" i="2"/>
  <c r="X11" i="2"/>
  <c r="Y11" i="2"/>
  <c r="P11" i="2"/>
  <c r="Y10" i="2"/>
  <c r="X10" i="2"/>
  <c r="P10" i="2"/>
  <c r="Y9" i="2"/>
  <c r="X9" i="2"/>
  <c r="P9" i="2"/>
  <c r="Y8" i="2"/>
  <c r="X8" i="2"/>
  <c r="P8" i="2"/>
  <c r="Y7" i="2"/>
  <c r="P7" i="2"/>
  <c r="T7" i="3"/>
  <c r="T10" i="3"/>
  <c r="T11" i="3"/>
  <c r="T8" i="3"/>
  <c r="G10" i="3"/>
  <c r="Q12" i="2"/>
  <c r="R12" i="2"/>
  <c r="Q7" i="2"/>
  <c r="R7" i="2"/>
  <c r="Q10" i="2"/>
  <c r="R10" i="2"/>
  <c r="Q14" i="2"/>
  <c r="R14" i="2"/>
  <c r="Q8" i="2"/>
  <c r="R8" i="2"/>
  <c r="Q9" i="2"/>
  <c r="R9" i="2"/>
  <c r="Q15" i="2"/>
  <c r="Q16" i="2"/>
  <c r="R16" i="2"/>
  <c r="Q13" i="2"/>
  <c r="R13" i="2"/>
  <c r="V11" i="2"/>
  <c r="W7" i="2"/>
  <c r="W10" i="2"/>
  <c r="W11" i="2"/>
  <c r="W8" i="2"/>
  <c r="W9" i="2"/>
  <c r="V8" i="2"/>
  <c r="Q11" i="2"/>
  <c r="G8" i="3"/>
  <c r="E8" i="3"/>
  <c r="F8" i="3"/>
  <c r="C8" i="3"/>
  <c r="C10" i="3"/>
  <c r="C11" i="3"/>
  <c r="B20" i="4"/>
  <c r="F10" i="3"/>
  <c r="C12" i="3"/>
  <c r="C9" i="3"/>
  <c r="G11" i="3"/>
  <c r="E11" i="3"/>
  <c r="F11" i="3"/>
  <c r="F9" i="3"/>
  <c r="G12" i="3"/>
  <c r="G9" i="3"/>
  <c r="E9" i="3"/>
  <c r="F12" i="3"/>
  <c r="E12" i="3"/>
  <c r="E10" i="3"/>
  <c r="V10" i="2"/>
  <c r="AF10" i="2"/>
  <c r="R11" i="2"/>
  <c r="AF11" i="2"/>
  <c r="AF8" i="2"/>
  <c r="V7" i="2"/>
  <c r="AF7" i="2"/>
  <c r="R15" i="2"/>
  <c r="V9" i="2"/>
  <c r="AF9" i="2"/>
  <c r="G17" i="4"/>
  <c r="L14" i="4"/>
  <c r="G18" i="4"/>
  <c r="AC7" i="2"/>
  <c r="AC9" i="2"/>
  <c r="L23" i="4"/>
  <c r="AD9" i="2"/>
  <c r="AE9" i="2"/>
  <c r="AG9" i="2"/>
  <c r="AD7" i="2"/>
  <c r="AE7" i="2"/>
  <c r="AG7" i="2"/>
  <c r="AC11" i="2"/>
  <c r="AC8" i="2"/>
  <c r="AC10" i="2"/>
  <c r="AD8" i="2"/>
  <c r="AE8" i="2"/>
  <c r="AG8" i="2"/>
  <c r="AD11" i="2"/>
  <c r="AE11" i="2"/>
  <c r="AG11" i="2"/>
  <c r="AD10" i="2"/>
  <c r="AE10" i="2"/>
  <c r="AG10" i="2"/>
  <c r="I23" i="2"/>
  <c r="N26" i="2"/>
  <c r="AH10" i="2"/>
  <c r="I24" i="2"/>
  <c r="N23" i="2"/>
  <c r="AH7" i="2"/>
  <c r="N25" i="2"/>
  <c r="AH9" i="2"/>
  <c r="I25" i="2"/>
  <c r="N27" i="2"/>
  <c r="AH11" i="2"/>
  <c r="I27" i="2"/>
  <c r="I26" i="2"/>
  <c r="N24" i="2"/>
  <c r="AH8" i="2"/>
  <c r="T7" i="2"/>
  <c r="T10" i="2"/>
  <c r="T8" i="2"/>
  <c r="T11" i="2"/>
  <c r="T9" i="2"/>
  <c r="R17" i="4"/>
  <c r="C8" i="2"/>
  <c r="B19" i="4"/>
  <c r="G12" i="2"/>
  <c r="G10" i="4"/>
  <c r="C9" i="2"/>
  <c r="F12" i="2"/>
  <c r="C11" i="2"/>
  <c r="B8" i="4"/>
  <c r="C12" i="2"/>
  <c r="G10" i="2"/>
  <c r="C10" i="2"/>
  <c r="B12" i="4"/>
  <c r="G9" i="4"/>
  <c r="L13" i="4"/>
  <c r="L22" i="4"/>
  <c r="R19" i="4"/>
  <c r="R18" i="4"/>
</calcChain>
</file>

<file path=xl/sharedStrings.xml><?xml version="1.0" encoding="utf-8"?>
<sst xmlns="http://schemas.openxmlformats.org/spreadsheetml/2006/main" count="194" uniqueCount="86">
  <si>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</si>
  <si>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</si>
  <si>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</si>
  <si>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</si>
  <si>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</si>
  <si>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</si>
  <si>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</si>
  <si>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</si>
  <si>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</si>
  <si>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</si>
  <si>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</si>
  <si>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</si>
  <si>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</si>
  <si>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</si>
  <si>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</si>
  <si>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</si>
  <si>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</si>
  <si>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</si>
  <si>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</si>
  <si>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</si>
  <si>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</si>
  <si>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</si>
  <si>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</si>
  <si>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</si>
  <si>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</si>
  <si>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</si>
  <si>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</si>
  <si>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</si>
  <si>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</si>
  <si>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</si>
  <si>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</si>
  <si>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</si>
  <si>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</si>
  <si>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</si>
  <si>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</si>
  <si>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</si>
  <si>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</si>
  <si>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</si>
  <si>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</si>
  <si>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</si>
  <si>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</si>
  <si>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</si>
  <si>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</si>
  <si>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</si>
  <si>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</si>
  <si>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</si>
  <si>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</si>
  <si>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</si>
  <si>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</si>
  <si>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</si>
  <si>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</si>
  <si>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</si>
  <si>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</si>
  <si>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</si>
  <si>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</si>
  <si>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</si>
  <si>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</si>
  <si>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</si>
  <si>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</si>
  <si>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</si>
  <si>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</si>
  <si>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</si>
  <si>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</si>
  <si>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</si>
  <si>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</si>
  <si>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</si>
  <si>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</si>
  <si>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</si>
  <si>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</si>
  <si>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</si>
  <si>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</si>
  <si>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</si>
  <si>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</si>
  <si>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</si>
  <si>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</si>
  <si>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</si>
  <si>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</si>
  <si>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</si>
  <si>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</si>
  <si>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</si>
  <si>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</si>
  <si>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Sebastian correa</t>
  </si>
  <si>
    <t>sebastiancorreafle@gmail.com</t>
  </si>
  <si>
    <t>manchester city</t>
  </si>
  <si>
    <t xml:space="preserve">Chile </t>
  </si>
  <si>
    <t xml:space="preserve">Argentina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</si>
</sst>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1" Type="http://schemas.openxmlformats.org/officeDocument/2006/relationships/usernames" Target="revisions/userNames1.xml"/><Relationship Id="rId9" Type="http://schemas.openxmlformats.org/officeDocument/2006/relationships/revisionHeaders" Target="revisions/revisionHeader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5738A1C-9ED4-D548-AF41-F9BB2BD3D014}" diskRevisions="1" version="2" protected="1">
  <header guid="{194004AD-D8D2-6E47-BD81-EA6FF5449BEC}" dateTime="2021-06-11T17:38:43" maxSheetId="5" userName="Usuario de Microsoft Office" r:id="rId1">
    <sheetIdMap count="4">
      <sheetId val="1"/>
      <sheetId val="2"/>
      <sheetId val="3"/>
      <sheetId val="4"/>
    </sheetIdMap>
  </header>
  <header guid="{B5738A1C-9ED4-D548-AF41-F9BB2BD3D014}" dateTime="2021-06-11T17:40:58" maxSheetId="5" userName="Usuario de Microsoft Office" r:id="rId2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6BE6733-40A9-854B-A1C6-B4B11C689809}" action="delete"/>
  <rcv guid="{06BE6733-40A9-854B-A1C6-B4B11C689809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bastiancorreaf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zoomScalePageLayoutView="160" workbookViewId="0">
      <selection activeCell="C6" sqref="C6:D6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0.8320312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">
        <v>83</v>
      </c>
      <c r="D5" s="99"/>
      <c r="G5" s="91" t="s">
        <v>60</v>
      </c>
    </row>
    <row r="6" spans="2:7" ht="30.75" customHeight="1" thickBot="1" x14ac:dyDescent="0.25">
      <c r="B6" s="98" t="s">
        <v>80</v>
      </c>
      <c r="C6" s="100" t="s">
        <v>26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protectedRanges>
    <protectedRange sqref="C3 C4 C6 D5" name="Info"/>
  </protectedRanges>
  <customSheetViews>
    <customSheetView guid="{06BE6733-40A9-854B-A1C6-B4B11C689809}" scale="160" showGridLines="0">
      <selection activeCell="C6" sqref="C6:D6"/>
      <pageMargins left="0.7" right="0.7" top="0.75" bottom="0.75" header="0.3" footer="0.3"/>
    </customSheetView>
  </customSheetView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A3" zoomScale="140" zoomScaleNormal="140" zoomScalePageLayoutView="140" workbookViewId="0">
      <selection activeCell="G12" sqref="G12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0.8320312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10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-120081000</v>
      </c>
      <c r="AG7" s="91">
        <f>AF7-AE7*10</f>
        <v>-120081010</v>
      </c>
      <c r="AH7" s="91">
        <f>AG7+N23</f>
        <v>-120081009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v>12</v>
      </c>
      <c r="E8" s="33">
        <v>10</v>
      </c>
      <c r="F8" s="33">
        <v>2</v>
      </c>
      <c r="G8" s="34"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-1</v>
      </c>
      <c r="X8" s="91">
        <f>SUMIF($K$7:$K$16,U8,$L$7:$L$16) + SUMIF($N$7:$N$16,U8,$M$7:$M$16)</f>
        <v>3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-49990300</v>
      </c>
      <c r="AG8" s="91">
        <f t="shared" ref="AG8:AG11" si="8">AF8-AE8*10</f>
        <v>-49990310</v>
      </c>
      <c r="AH8" s="91">
        <f>AG8+N24</f>
        <v>-49990308</v>
      </c>
    </row>
    <row r="9" spans="2:35" x14ac:dyDescent="0.2">
      <c r="B9" s="62">
        <v>2</v>
      </c>
      <c r="C9" s="63" t="str">
        <f t="shared" si="1"/>
        <v>Ecuador</v>
      </c>
      <c r="D9" s="64">
        <v>7</v>
      </c>
      <c r="E9" s="64">
        <v>6</v>
      </c>
      <c r="F9" s="64">
        <v>6</v>
      </c>
      <c r="G9" s="65">
        <v>0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-70020600</v>
      </c>
      <c r="AG9" s="91">
        <f t="shared" si="8"/>
        <v>-70020610</v>
      </c>
      <c r="AH9" s="91">
        <f>AG9+N25</f>
        <v>-70020607</v>
      </c>
    </row>
    <row r="10" spans="2:35" x14ac:dyDescent="0.2">
      <c r="B10" s="58">
        <v>3</v>
      </c>
      <c r="C10" s="59" t="str">
        <f t="shared" si="1"/>
        <v>Colombia</v>
      </c>
      <c r="D10" s="60">
        <v>5</v>
      </c>
      <c r="E10" s="60">
        <v>3</v>
      </c>
      <c r="F10" s="60">
        <v>4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2</v>
      </c>
      <c r="W10" s="91">
        <f t="shared" si="9"/>
        <v>-3</v>
      </c>
      <c r="X10" s="91">
        <f>SUMIF($K$7:$K$16,U10,$L$7:$L$16) + SUMIF($N$7:$N$16,U10,$M$7:$M$16)</f>
        <v>4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-19970400</v>
      </c>
      <c r="AG10" s="91">
        <f t="shared" si="8"/>
        <v>-19970410</v>
      </c>
      <c r="AH10" s="91">
        <f>AG10+N26</f>
        <v>-19970406</v>
      </c>
    </row>
    <row r="11" spans="2:35" x14ac:dyDescent="0.2">
      <c r="B11" s="66">
        <v>4</v>
      </c>
      <c r="C11" s="67" t="str">
        <f t="shared" si="1"/>
        <v>Peru</v>
      </c>
      <c r="D11" s="68">
        <v>2</v>
      </c>
      <c r="E11" s="68">
        <v>4</v>
      </c>
      <c r="F11" s="68">
        <v>7</v>
      </c>
      <c r="G11" s="69"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3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-9940300</v>
      </c>
      <c r="AG11" s="91">
        <f t="shared" si="8"/>
        <v>-9940310</v>
      </c>
      <c r="AH11" s="91">
        <f>AG11+N27</f>
        <v>-9940305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v>1</v>
      </c>
      <c r="E12" s="56">
        <v>3</v>
      </c>
      <c r="F12" s="56">
        <f t="shared" si="1"/>
        <v>9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0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2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protectedRanges>
    <protectedRange sqref="M23:M27" name="Prioridades Grupo A"/>
    <protectedRange sqref="L7:M16" name="Resultados Grupo A"/>
  </protectedRanges>
  <customSheetViews>
    <customSheetView guid="{06BE6733-40A9-854B-A1C6-B4B11C689809}" scale="140" showGridLines="0" topLeftCell="A3">
      <selection activeCell="G12" sqref="G12"/>
      <pageMargins left="0.7" right="0.7" top="0.75" bottom="0.75" header="0.3" footer="0.3"/>
    </customSheetView>
  </customSheetView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A7" zoomScale="140" zoomScaleNormal="140" zoomScalePageLayoutView="140" workbookViewId="0">
      <selection activeCell="F15" sqref="F15"/>
    </sheetView>
  </sheetViews>
  <sheetFormatPr baseColWidth="10" defaultRowHeight="15" x14ac:dyDescent="0.2"/>
  <cols>
    <col min="1" max="7" width="10.83203125" style="1"/>
    <col min="8" max="8" width="5.83203125" style="1" customWidth="1"/>
    <col min="9" max="9" width="5.33203125" style="1" customWidth="1"/>
    <col min="10" max="10" width="10.83203125" style="1"/>
    <col min="11" max="11" width="13.33203125" style="1" customWidth="1"/>
    <col min="12" max="13" width="10.83203125" style="1"/>
    <col min="14" max="14" width="14.83203125" style="70" customWidth="1"/>
    <col min="15" max="15" width="18.83203125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0.83203125" style="91"/>
    <col min="37" max="16384" width="10.8320312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8</v>
      </c>
      <c r="W7" s="91">
        <f>X7-Y7</f>
        <v>2</v>
      </c>
      <c r="X7" s="91">
        <f>SUMIF($K$7:$K$16,U7,$L$7:$L$16) + SUMIF($N$7:$N$16,U7,$M$7:$M$16)</f>
        <v>6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-80020600</v>
      </c>
      <c r="AG7" s="91">
        <f>AF7-AE7*10</f>
        <v>-80020610</v>
      </c>
      <c r="AH7" s="91">
        <f>AG7+N23</f>
        <v>-80020607</v>
      </c>
    </row>
    <row r="8" spans="2:34" x14ac:dyDescent="0.2">
      <c r="B8" s="50">
        <v>1</v>
      </c>
      <c r="C8" s="32" t="str">
        <f t="shared" ref="C8:G12" si="1">IFERROR(VLOOKUP($B8,$T$7:$Y$11,C$5,FALSE),"")</f>
        <v>Argentina</v>
      </c>
      <c r="D8" s="33">
        <v>6</v>
      </c>
      <c r="E8" s="33">
        <f t="shared" si="1"/>
        <v>6</v>
      </c>
      <c r="F8" s="33">
        <f t="shared" si="1"/>
        <v>4</v>
      </c>
      <c r="G8" s="34">
        <f t="shared" si="1"/>
        <v>2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79900</v>
      </c>
      <c r="AG8" s="91">
        <f t="shared" ref="AG8:AG11" si="8">AF8-AE8*10</f>
        <v>79890</v>
      </c>
      <c r="AH8" s="91">
        <f>AG8+N24</f>
        <v>79895</v>
      </c>
    </row>
    <row r="9" spans="2:34" x14ac:dyDescent="0.2">
      <c r="B9" s="62">
        <v>2</v>
      </c>
      <c r="C9" s="63" t="str">
        <f t="shared" si="1"/>
        <v>Chile</v>
      </c>
      <c r="D9" s="64">
        <v>7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-70030600</v>
      </c>
      <c r="AG9" s="91">
        <f t="shared" si="8"/>
        <v>-70030610</v>
      </c>
      <c r="AH9" s="91">
        <f>AG9+N25</f>
        <v>-70030609</v>
      </c>
    </row>
    <row r="10" spans="2:34" x14ac:dyDescent="0.2">
      <c r="B10" s="58">
        <v>3</v>
      </c>
      <c r="C10" s="59" t="str">
        <f t="shared" si="1"/>
        <v>Uruguay</v>
      </c>
      <c r="D10" s="60">
        <v>7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3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5</v>
      </c>
      <c r="W10" s="91">
        <f t="shared" si="9"/>
        <v>1</v>
      </c>
      <c r="X10" s="91">
        <f>SUMIF($K$7:$K$16,U10,$L$7:$L$16) + SUMIF($N$7:$N$16,U10,$M$7:$M$16)</f>
        <v>4</v>
      </c>
      <c r="Y10" s="91">
        <f>SUMIF($K$7:$K$16,U10,$M$7:$M$16) + SUMIF($N$7:$N$16,U10,$L$7:$L$16)</f>
        <v>3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-50010400</v>
      </c>
      <c r="AG10" s="91">
        <f t="shared" si="8"/>
        <v>-50010410</v>
      </c>
      <c r="AH10" s="91">
        <f>AG10+N26</f>
        <v>-50010406</v>
      </c>
    </row>
    <row r="11" spans="2:34" x14ac:dyDescent="0.2">
      <c r="B11" s="66">
        <v>4</v>
      </c>
      <c r="C11" s="67" t="str">
        <f t="shared" si="1"/>
        <v>Paraguay</v>
      </c>
      <c r="D11" s="68">
        <v>5</v>
      </c>
      <c r="E11" s="68">
        <f t="shared" si="1"/>
        <v>4</v>
      </c>
      <c r="F11" s="68">
        <f t="shared" si="1"/>
        <v>3</v>
      </c>
      <c r="G11" s="69">
        <f t="shared" si="1"/>
        <v>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7</v>
      </c>
      <c r="W11" s="91">
        <f t="shared" si="9"/>
        <v>2</v>
      </c>
      <c r="X11" s="91">
        <f>SUMIF($K$7:$K$16,U11,$L$7:$L$16) + SUMIF($N$7:$N$16,U11,$M$7:$M$16)</f>
        <v>6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-70020600</v>
      </c>
      <c r="AG11" s="91">
        <f t="shared" si="8"/>
        <v>-70020610</v>
      </c>
      <c r="AH11" s="91">
        <f>AG11+N27</f>
        <v>-70020608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1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0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1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3</v>
      </c>
      <c r="N23" s="1">
        <f>IF(J23="",0,M23)</f>
        <v>3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1</v>
      </c>
      <c r="N25" s="1">
        <f>IF(J25="",0,M25)</f>
        <v>1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protectedRanges>
    <protectedRange sqref="M23:M27" name="Prioridades Grupo B"/>
    <protectedRange sqref="L7:M16" name="Resultados Grupo B"/>
  </protectedRanges>
  <customSheetViews>
    <customSheetView guid="{06BE6733-40A9-854B-A1C6-B4B11C689809}" scale="140" showGridLines="0" topLeftCell="A7">
      <selection activeCell="F15" sqref="F15"/>
      <pageMargins left="0.7" right="0.7" top="0.75" bottom="0.75" header="0.3" footer="0.3"/>
    </customSheetView>
  </customSheetView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J10" zoomScale="140" zoomScaleNormal="140" zoomScalePageLayoutView="140" workbookViewId="0">
      <selection activeCell="K5" sqref="K5"/>
    </sheetView>
  </sheetViews>
  <sheetFormatPr baseColWidth="10" defaultRowHeight="15" x14ac:dyDescent="0.2"/>
  <cols>
    <col min="1" max="2" width="10.83203125" style="1"/>
    <col min="3" max="3" width="11.33203125" style="1" bestFit="1" customWidth="1"/>
    <col min="4" max="4" width="9.1640625" style="1" bestFit="1" customWidth="1"/>
    <col min="5" max="8" width="10.83203125" style="1"/>
    <col min="9" max="9" width="9.1640625" style="1" bestFit="1" customWidth="1"/>
    <col min="10" max="13" width="10.83203125" style="1"/>
    <col min="14" max="14" width="9.1640625" style="1" bestFit="1" customWidth="1"/>
    <col min="15" max="16" width="10.83203125" style="1"/>
    <col min="17" max="17" width="16.83203125" style="1" bestFit="1" customWidth="1"/>
    <col min="18" max="16384" width="10.8320312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">
        <v>84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 xml:space="preserve">Chile 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/>
      <c r="J10" s="78"/>
    </row>
    <row r="11" spans="2:43" ht="16" thickBot="1" x14ac:dyDescent="0.25">
      <c r="B11" s="74" t="s">
        <v>28</v>
      </c>
      <c r="C11" s="41">
        <v>1</v>
      </c>
      <c r="D11" s="75">
        <v>5</v>
      </c>
      <c r="E11" s="82"/>
      <c r="J11" s="79"/>
    </row>
    <row r="12" spans="2:43" ht="16" thickBot="1" x14ac:dyDescent="0.25">
      <c r="B12" s="76" t="str">
        <f>'Grupo A'!C10</f>
        <v>Colombia</v>
      </c>
      <c r="C12" s="42">
        <v>1</v>
      </c>
      <c r="D12" s="77">
        <v>4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">
        <v>13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">
        <v>85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 xml:space="preserve">Argentina 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 xml:space="preserve">Chile 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 xml:space="preserve">Chile 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 xml:space="preserve">Argentina 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protectedRanges>
    <protectedRange sqref="C7:D8 C11:D12 C15:D16 C19:D20 H9:I10 H17:I18 M13:N14 M22:N23" name="Resultados Play Off"/>
  </protectedRanges>
  <customSheetViews>
    <customSheetView guid="{06BE6733-40A9-854B-A1C6-B4B11C689809}" scale="140" showPageBreaks="1" showGridLines="0" topLeftCell="J10">
      <selection activeCell="K5" sqref="K5"/>
      <pageMargins left="0.7" right="0.7" top="0.75" bottom="0.75" header="0.3" footer="0.3"/>
      <pageSetup orientation="portrait" horizontalDpi="0" verticalDpi="0"/>
    </customSheetView>
  </customSheetView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phoneticPr fontId="7" type="noConversion"/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true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Usuario de Microsoft Office</cp:lastModifiedBy>
  <dcterms:created xsi:type="dcterms:W3CDTF">2021-05-30T22:13:47Z</dcterms:created>
  <dcterms:modified xsi:type="dcterms:W3CDTF">2021-06-11T21:41:00Z</dcterms:modified>
</cp:coreProperties>
</file>