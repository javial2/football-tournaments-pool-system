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Tomás Aspillaga\Desktop\"/>
    </mc:Choice>
  </mc:AlternateContent>
  <xr:revisionPtr revIDLastSave="0" documentId="8_{158A8438-0E04-4193-A7DE-1293D47A931F}" xr6:coauthVersionLast="47" xr6:coauthVersionMax="47" xr10:uidLastSave="{00000000-0000-0000-0000-000000000000}"/>
  <bookViews>
    <workbookView minimized="1" xWindow="570" yWindow="570" windowWidth="20730" windowHeight="11160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AF7" i="2" s="1"/>
  <c r="Q15" i="2"/>
  <c r="R15" i="2" s="1"/>
  <c r="Q16" i="2"/>
  <c r="R16" i="2" s="1"/>
  <c r="AF11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L14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L23" i="3" l="1"/>
  <c r="R17" i="3"/>
  <c r="G9" i="3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<sst xmlns="http://schemas.openxmlformats.org/spreadsheetml/2006/main" count="190" uniqueCount="83">
  <si>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</si>
  <si>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</si>
  <si>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</si>
  <si>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</si>
  <si>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</si>
  <si>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</si>
  <si>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</si>
  <si>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</si>
  <si>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</si>
  <si>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</si>
  <si>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</si>
  <si>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</si>
  <si>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</si>
  <si>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</si>
  <si>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</si>
  <si>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</si>
  <si>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</si>
  <si>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</si>
  <si>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</si>
  <si>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</si>
  <si>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</si>
  <si>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</si>
  <si>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</si>
  <si>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</si>
  <si>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</si>
  <si>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</si>
  <si>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</si>
  <si>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</si>
  <si>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</si>
  <si>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</si>
  <si>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</si>
  <si>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</si>
  <si>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</si>
  <si>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</si>
  <si>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</si>
  <si>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</si>
  <si>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</si>
  <si>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</si>
  <si>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</si>
  <si>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</si>
  <si>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</si>
  <si>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</si>
  <si>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</si>
  <si>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</si>
  <si>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</si>
  <si>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</si>
  <si>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</si>
  <si>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</si>
  <si>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</si>
  <si>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</si>
  <si>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</si>
  <si>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</si>
  <si>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</si>
  <si>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</si>
  <si>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</si>
  <si>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</si>
  <si>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</si>
  <si>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</si>
  <si>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</si>
  <si>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</si>
  <si>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</si>
  <si>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</si>
  <si>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</si>
  <si>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</si>
  <si>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</si>
  <si>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</si>
  <si>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</si>
  <si>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</si>
  <si>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</si>
  <si>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</si>
  <si>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</si>
  <si>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</si>
  <si>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</si>
  <si>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</si>
  <si>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</si>
  <si>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</si>
  <si>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</si>
  <si>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</si>
  <si>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</si>
  <si>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</si>
  <si>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</si>
  <si>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José Tomás Aspillaga</t>
  </si>
  <si>
    <t>jtaspillaga@gmail.com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</si>
</sst>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tabSelected="1" zoomScale="117" zoomScaleNormal="160" workbookViewId="0">
      <selection activeCell="C16" sqref="C16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61</v>
      </c>
      <c r="G5" s="91" t="s">
        <v>60</v>
      </c>
    </row>
    <row r="6" spans="2:7" ht="30.75" customHeight="1" thickBot="1" x14ac:dyDescent="0.3">
      <c r="B6" s="98" t="s">
        <v>80</v>
      </c>
      <c r="C6" s="100" t="s">
        <v>26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87" zoomScaleNormal="119" workbookViewId="0">
      <selection activeCell="L13" sqref="L13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1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7</v>
      </c>
      <c r="X7" s="91">
        <f>SUMIF($K$7:$K$16,U7,$L$7:$L$16) + SUMIF($N$7:$N$16,U7,$M$7:$M$16)</f>
        <v>9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-100070900</v>
      </c>
      <c r="AG7" s="91">
        <f>AF7-AE7*10</f>
        <v>-100070910</v>
      </c>
      <c r="AH7" s="91">
        <f>AG7+N23</f>
        <v>-100070909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9</v>
      </c>
      <c r="F8" s="33">
        <f t="shared" si="1"/>
        <v>2</v>
      </c>
      <c r="G8" s="34">
        <f t="shared" si="1"/>
        <v>7</v>
      </c>
      <c r="H8" s="71"/>
      <c r="I8" s="12">
        <v>2</v>
      </c>
      <c r="J8" s="6">
        <v>44360</v>
      </c>
      <c r="K8" s="11" t="s">
        <v>12</v>
      </c>
      <c r="L8" s="20">
        <v>0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4</v>
      </c>
      <c r="W8" s="91">
        <f>X8-Y8</f>
        <v>0</v>
      </c>
      <c r="X8" s="91">
        <f>SUMIF($K$7:$K$16,U8,$L$7:$L$16) + SUMIF($N$7:$N$16,U8,$M$7:$M$16)</f>
        <v>3</v>
      </c>
      <c r="Y8" s="91">
        <f>SUMIF($K$7:$K$16,U8,$M$7:$M$16) + SUMIF($N$7:$N$16,U8,$L$7:$L$16)</f>
        <v>3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-40000300</v>
      </c>
      <c r="AG8" s="91">
        <f t="shared" ref="AG8:AG11" si="8">AF8-AE8*10</f>
        <v>-40000310</v>
      </c>
      <c r="AH8" s="91">
        <f>AG8+N24</f>
        <v>-40000308</v>
      </c>
    </row>
    <row r="9" spans="2:35" x14ac:dyDescent="0.25">
      <c r="B9" s="62">
        <v>2</v>
      </c>
      <c r="C9" s="63" t="str">
        <f t="shared" si="1"/>
        <v>Ecuador</v>
      </c>
      <c r="D9" s="64">
        <f t="shared" si="1"/>
        <v>7</v>
      </c>
      <c r="E9" s="64">
        <f t="shared" si="1"/>
        <v>4</v>
      </c>
      <c r="F9" s="64">
        <f t="shared" si="1"/>
        <v>5</v>
      </c>
      <c r="G9" s="65">
        <f t="shared" si="1"/>
        <v>-1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7</v>
      </c>
      <c r="W9" s="91">
        <f t="shared" ref="W9:W11" si="9">X9-Y9</f>
        <v>-1</v>
      </c>
      <c r="X9" s="91">
        <f>SUMIF($K$7:$K$16,U9,$L$7:$L$16) + SUMIF($N$7:$N$16,U9,$M$7:$M$16)</f>
        <v>4</v>
      </c>
      <c r="Y9" s="91">
        <f>SUMIF($K$7:$K$16,U9,$M$7:$M$16) + SUMIF($N$7:$N$16,U9,$L$7:$L$16)</f>
        <v>5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-69990400</v>
      </c>
      <c r="AG9" s="91">
        <f t="shared" si="8"/>
        <v>-69990410</v>
      </c>
      <c r="AH9" s="91">
        <f>AG9+N25</f>
        <v>-69990406</v>
      </c>
    </row>
    <row r="10" spans="2:35" x14ac:dyDescent="0.25">
      <c r="B10" s="58">
        <v>3</v>
      </c>
      <c r="C10" s="59" t="str">
        <f t="shared" si="1"/>
        <v>Colombia</v>
      </c>
      <c r="D10" s="60">
        <f t="shared" si="1"/>
        <v>4</v>
      </c>
      <c r="E10" s="60">
        <f t="shared" si="1"/>
        <v>3</v>
      </c>
      <c r="F10" s="60">
        <f t="shared" si="1"/>
        <v>3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4</v>
      </c>
      <c r="W10" s="91">
        <f t="shared" si="9"/>
        <v>-2</v>
      </c>
      <c r="X10" s="91">
        <f>SUMIF($K$7:$K$16,U10,$L$7:$L$16) + SUMIF($N$7:$N$16,U10,$M$7:$M$16)</f>
        <v>3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-39980300</v>
      </c>
      <c r="AG10" s="91">
        <f t="shared" si="8"/>
        <v>-39980310</v>
      </c>
      <c r="AH10" s="91">
        <f>AG10+N26</f>
        <v>-39980307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4</v>
      </c>
      <c r="E11" s="68">
        <f t="shared" si="1"/>
        <v>3</v>
      </c>
      <c r="F11" s="68">
        <f t="shared" si="1"/>
        <v>5</v>
      </c>
      <c r="G11" s="69">
        <f t="shared" si="1"/>
        <v>-2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3</v>
      </c>
      <c r="W11" s="91">
        <f t="shared" si="9"/>
        <v>-4</v>
      </c>
      <c r="X11" s="91">
        <f>SUMIF($K$7:$K$16,U11,$L$7:$L$16) + SUMIF($N$7:$N$16,U11,$M$7:$M$16)</f>
        <v>2</v>
      </c>
      <c r="Y11" s="91">
        <f>SUMIF($K$7:$K$16,U11,$M$7:$M$16) + SUMIF($N$7:$N$16,U11,$L$7:$L$16)</f>
        <v>6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-29960200</v>
      </c>
      <c r="AG11" s="91">
        <f t="shared" si="8"/>
        <v>-29960210</v>
      </c>
      <c r="AH11" s="91">
        <f>AG11+N27</f>
        <v>-29960205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3</v>
      </c>
      <c r="E12" s="56">
        <f t="shared" si="1"/>
        <v>2</v>
      </c>
      <c r="F12" s="56">
        <f t="shared" si="1"/>
        <v>6</v>
      </c>
      <c r="G12" s="57">
        <f t="shared" si="1"/>
        <v>-4</v>
      </c>
      <c r="H12" s="71"/>
      <c r="I12" s="31">
        <v>10</v>
      </c>
      <c r="J12" s="29">
        <v>44367</v>
      </c>
      <c r="K12" s="30" t="s">
        <v>12</v>
      </c>
      <c r="L12" s="26">
        <v>0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0</v>
      </c>
      <c r="Q12" s="91">
        <f t="shared" ref="Q12:Q15" si="10">IF(P12=3,0,IF(P12=1,1,3))</f>
        <v>3</v>
      </c>
      <c r="R12" s="91" t="str">
        <f t="shared" si="4"/>
        <v>Peru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1</v>
      </c>
      <c r="N14" s="31" t="s">
        <v>2</v>
      </c>
      <c r="O14" s="92" t="str">
        <f t="shared" si="2"/>
        <v>Colombia_Brasil</v>
      </c>
      <c r="P14" s="91">
        <f t="shared" si="0"/>
        <v>1</v>
      </c>
      <c r="Q14" s="91">
        <f t="shared" si="10"/>
        <v>1</v>
      </c>
      <c r="R14" s="91" t="str">
        <f t="shared" si="4"/>
        <v>SIN GANADOR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0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0</v>
      </c>
      <c r="N16" s="15" t="s">
        <v>5</v>
      </c>
      <c r="O16" s="92" t="str">
        <f t="shared" si="2"/>
        <v>Venezuela_Peru</v>
      </c>
      <c r="P16" s="91">
        <f t="shared" si="0"/>
        <v>3</v>
      </c>
      <c r="Q16" s="91">
        <f t="shared" si="3"/>
        <v>0</v>
      </c>
      <c r="R16" s="91" t="str">
        <f t="shared" si="4"/>
        <v>Venezuela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4</v>
      </c>
      <c r="N25" s="1">
        <f>IF(J25="",0,M25)</f>
        <v>4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3</v>
      </c>
      <c r="N26" s="1">
        <f>IF(J26="",0,M26)</f>
        <v>3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9" zoomScale="92" zoomScaleNormal="140" workbookViewId="0">
      <selection activeCell="L8" sqref="L8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0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0</v>
      </c>
      <c r="Q7" s="91">
        <f>IF(P7=3,0,IF(P7=1,1,3))</f>
        <v>3</v>
      </c>
      <c r="R7" s="91" t="str">
        <f>IF(P7&gt;Q7,K7,IF(Q7&gt;P7,N7,"SIN GANADOR"))</f>
        <v>Chile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9</v>
      </c>
      <c r="W7" s="91">
        <f>X7-Y7</f>
        <v>3</v>
      </c>
      <c r="X7" s="91">
        <f>SUMIF($K$7:$K$16,U7,$L$7:$L$16) + SUMIF($N$7:$N$16,U7,$M$7:$M$16)</f>
        <v>6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-90030600</v>
      </c>
      <c r="AG7" s="91">
        <f>AF7-AE7*10</f>
        <v>-90030610</v>
      </c>
      <c r="AH7" s="91">
        <f>AG7+N23</f>
        <v>-90030609</v>
      </c>
    </row>
    <row r="8" spans="2:34" x14ac:dyDescent="0.25">
      <c r="B8" s="50">
        <v>1</v>
      </c>
      <c r="C8" s="32" t="str">
        <f t="shared" ref="C8:G12" si="1">IFERROR(VLOOKUP($B8,$T$7:$Y$11,C$5,FALSE),"")</f>
        <v>Chile</v>
      </c>
      <c r="D8" s="33">
        <f t="shared" si="1"/>
        <v>10</v>
      </c>
      <c r="E8" s="33">
        <f t="shared" si="1"/>
        <v>7</v>
      </c>
      <c r="F8" s="33">
        <f t="shared" si="1"/>
        <v>2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0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Bolivia</v>
      </c>
      <c r="T8" s="91">
        <f>_xlfn.RANK.EQ(AH8,AH$7:AH$11,1)</f>
        <v>4</v>
      </c>
      <c r="U8" s="91" t="s">
        <v>3</v>
      </c>
      <c r="V8" s="91">
        <f>SUMIF($K$7:$K$16,U8,$P$7:$P$16) + SUMIF($N$7:$N$16,U8,$Q$7:$Q$16)</f>
        <v>3</v>
      </c>
      <c r="W8" s="91">
        <f>X8-Y8</f>
        <v>-6</v>
      </c>
      <c r="X8" s="91">
        <f>SUMIF($K$7:$K$16,U8,$L$7:$L$16) + SUMIF($N$7:$N$16,U8,$M$7:$M$16)</f>
        <v>1</v>
      </c>
      <c r="Y8" s="91">
        <f>SUMIF($K$7:$K$16,U8,$M$7:$M$16) + SUMIF($N$7:$N$16,U8,$L$7:$L$16)</f>
        <v>7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-29940100</v>
      </c>
      <c r="AG8" s="91">
        <f t="shared" ref="AG8:AG11" si="8">AF8-AE8*10</f>
        <v>-29940110</v>
      </c>
      <c r="AH8" s="91">
        <f>AG8+N24</f>
        <v>-29940106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9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1</v>
      </c>
      <c r="U9" s="91" t="s">
        <v>26</v>
      </c>
      <c r="V9" s="91">
        <f>SUMIF($K$7:$K$16,U9,$P$7:$P$16) + SUMIF($N$7:$N$16,U9,$Q$7:$Q$16)</f>
        <v>10</v>
      </c>
      <c r="W9" s="91">
        <f t="shared" ref="W9:W11" si="9">X9-Y9</f>
        <v>5</v>
      </c>
      <c r="X9" s="91">
        <f>SUMIF($K$7:$K$16,U9,$L$7:$L$16) + SUMIF($N$7:$N$16,U9,$M$7:$M$16)</f>
        <v>7</v>
      </c>
      <c r="Y9" s="91">
        <f>SUMIF($K$7:$K$16,U9,$M$7:$M$16) + SUMIF($N$7:$N$16,U9,$L$7:$L$16)</f>
        <v>2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-100050700</v>
      </c>
      <c r="AG9" s="91">
        <f t="shared" si="8"/>
        <v>-100050710</v>
      </c>
      <c r="AH9" s="91">
        <f>AG9+N25</f>
        <v>-100050708</v>
      </c>
    </row>
    <row r="10" spans="2:34" x14ac:dyDescent="0.25">
      <c r="B10" s="58">
        <v>3</v>
      </c>
      <c r="C10" s="59" t="str">
        <f t="shared" si="1"/>
        <v>Uruguay</v>
      </c>
      <c r="D10" s="60">
        <f t="shared" si="1"/>
        <v>5</v>
      </c>
      <c r="E10" s="60">
        <f t="shared" si="1"/>
        <v>7</v>
      </c>
      <c r="F10" s="60">
        <f t="shared" si="1"/>
        <v>5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5</v>
      </c>
      <c r="U10" s="91" t="s">
        <v>27</v>
      </c>
      <c r="V10" s="91">
        <f>SUMIF($K$7:$K$16,U10,$P$7:$P$16) + SUMIF($N$7:$N$16,U10,$Q$7:$Q$16)</f>
        <v>1</v>
      </c>
      <c r="W10" s="91">
        <f t="shared" si="9"/>
        <v>-4</v>
      </c>
      <c r="X10" s="91">
        <f>SUMIF($K$7:$K$16,U10,$L$7:$L$16) + SUMIF($N$7:$N$16,U10,$M$7:$M$16)</f>
        <v>2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-9960200</v>
      </c>
      <c r="AG10" s="91">
        <f t="shared" si="8"/>
        <v>-9960210</v>
      </c>
      <c r="AH10" s="91">
        <f>AG10+N26</f>
        <v>-9960205</v>
      </c>
    </row>
    <row r="11" spans="2:34" x14ac:dyDescent="0.25">
      <c r="B11" s="66">
        <v>4</v>
      </c>
      <c r="C11" s="67" t="str">
        <f t="shared" si="1"/>
        <v>Bolivia</v>
      </c>
      <c r="D11" s="68">
        <f t="shared" si="1"/>
        <v>3</v>
      </c>
      <c r="E11" s="68">
        <f t="shared" si="1"/>
        <v>1</v>
      </c>
      <c r="F11" s="68">
        <f t="shared" si="1"/>
        <v>7</v>
      </c>
      <c r="G11" s="69">
        <f t="shared" si="1"/>
        <v>-6</v>
      </c>
      <c r="H11" s="71"/>
      <c r="I11" s="9">
        <v>11</v>
      </c>
      <c r="J11" s="13">
        <v>44368</v>
      </c>
      <c r="K11" s="8" t="s">
        <v>28</v>
      </c>
      <c r="L11" s="20">
        <v>2</v>
      </c>
      <c r="M11" s="21">
        <v>2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5</v>
      </c>
      <c r="W11" s="91">
        <f t="shared" si="9"/>
        <v>2</v>
      </c>
      <c r="X11" s="91">
        <f>SUMIF($K$7:$K$16,U11,$L$7:$L$16) + SUMIF($N$7:$N$16,U11,$M$7:$M$16)</f>
        <v>7</v>
      </c>
      <c r="Y11" s="91">
        <f>SUMIF($K$7:$K$16,U11,$M$7:$M$16) + SUMIF($N$7:$N$16,U11,$L$7:$L$16)</f>
        <v>5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-50020700</v>
      </c>
      <c r="AG11" s="91">
        <f t="shared" si="8"/>
        <v>-50020710</v>
      </c>
      <c r="AH11" s="91">
        <f>AG11+N27</f>
        <v>-50020707</v>
      </c>
    </row>
    <row r="12" spans="2:34" ht="15.75" thickBot="1" x14ac:dyDescent="0.3">
      <c r="B12" s="54">
        <v>5</v>
      </c>
      <c r="C12" s="55" t="str">
        <f t="shared" si="1"/>
        <v>Paraguay</v>
      </c>
      <c r="D12" s="56">
        <f t="shared" si="1"/>
        <v>1</v>
      </c>
      <c r="E12" s="56">
        <f t="shared" si="1"/>
        <v>2</v>
      </c>
      <c r="F12" s="56">
        <f t="shared" si="1"/>
        <v>6</v>
      </c>
      <c r="G12" s="57">
        <f t="shared" si="1"/>
        <v>-4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4</v>
      </c>
      <c r="N24" s="1">
        <f>IF(J24="",0,M24)</f>
        <v>4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5</v>
      </c>
      <c r="N26" s="1">
        <f>IF(J26="",0,M26)</f>
        <v>5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opLeftCell="A4" zoomScale="70" zoomScaleNormal="140" workbookViewId="0">
      <selection activeCell="F25" sqref="F25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Chile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2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Chile</v>
      </c>
      <c r="H9" s="41">
        <v>2</v>
      </c>
      <c r="I9" s="75">
        <v>5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Colombia</v>
      </c>
      <c r="H10" s="42">
        <v>2</v>
      </c>
      <c r="I10" s="77">
        <v>4</v>
      </c>
      <c r="J10" s="78"/>
    </row>
    <row r="11" spans="2:43" ht="15.75" thickBot="1" x14ac:dyDescent="0.3">
      <c r="B11" s="74" t="str">
        <f>'Grupo B'!C9</f>
        <v>Argentina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Colombia</v>
      </c>
      <c r="C12" s="42">
        <v>3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Chile</v>
      </c>
      <c r="M13" s="41">
        <v>0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Ecuador</v>
      </c>
      <c r="C15" s="41">
        <v>2</v>
      </c>
      <c r="D15" s="75">
        <v>2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Uruguay</v>
      </c>
      <c r="C16" s="42">
        <v>2</v>
      </c>
      <c r="D16" s="77">
        <v>4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Uruguay</v>
      </c>
      <c r="H17" s="41">
        <v>2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Chile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Colombia</v>
      </c>
    </row>
    <row r="20" spans="2:26" ht="15.75" thickBot="1" x14ac:dyDescent="0.3">
      <c r="B20" s="76" t="str">
        <f>'Grupo B'!C11</f>
        <v>Bolivia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Colombia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Uruguay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Tomás Aspillaga</cp:lastModifiedBy>
  <dcterms:created xsi:type="dcterms:W3CDTF">2021-05-30T22:13:47Z</dcterms:created>
  <dcterms:modified xsi:type="dcterms:W3CDTF">2021-06-13T16:48:45Z</dcterms:modified>
</cp:coreProperties>
</file>