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iagolira/Library/Containers/com.apple.mail/Data/Library/Mail Downloads/2EF69A4F-E10D-40D9-8645-E57D03546096/"/>
    </mc:Choice>
  </mc:AlternateContent>
  <xr:revisionPtr revIDLastSave="0" documentId="8_{4E78BAB0-8FAD-9440-825D-5FBFA71158E7}" xr6:coauthVersionLast="32" xr6:coauthVersionMax="32" xr10:uidLastSave="{00000000-0000-0000-0000-000000000000}"/>
  <bookViews>
    <workbookView xWindow="0" yWindow="0" windowWidth="28800" windowHeight="1800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<sst xmlns="http://schemas.openxmlformats.org/spreadsheetml/2006/main" count="190" uniqueCount="84">
  <si>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</si>
  <si>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</si>
  <si>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</si>
  <si>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</si>
  <si>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</si>
  <si>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</si>
  <si>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</si>
  <si>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</si>
  <si>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</si>
  <si>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</si>
  <si>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</si>
  <si>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</si>
  <si>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</si>
  <si>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</si>
  <si>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</si>
  <si>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</si>
  <si>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</si>
  <si>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</si>
  <si>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</si>
  <si>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</si>
  <si>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</si>
  <si>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</si>
  <si>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</si>
  <si>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</si>
  <si>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</si>
  <si>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</si>
  <si>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</si>
  <si>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</si>
  <si>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</si>
  <si>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</si>
  <si>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</si>
  <si>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</si>
  <si>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</si>
  <si>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</si>
  <si>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</si>
  <si>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</si>
  <si>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</si>
  <si>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</si>
  <si>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</si>
  <si>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</si>
  <si>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</si>
  <si>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</si>
  <si>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</si>
  <si>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</si>
  <si>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</si>
  <si>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</si>
  <si>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</si>
  <si>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</si>
  <si>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</si>
  <si>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</si>
  <si>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</si>
  <si>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</si>
  <si>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</si>
  <si>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</si>
  <si>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</si>
  <si>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</si>
  <si>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</si>
  <si>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</si>
  <si>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</si>
  <si>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</si>
  <si>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</si>
  <si>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</si>
  <si>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</si>
  <si>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</si>
  <si>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</si>
  <si>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</si>
  <si>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</si>
  <si>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</si>
  <si>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</si>
  <si>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</si>
  <si>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</si>
  <si>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</si>
  <si>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</si>
  <si>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</si>
  <si>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</si>
  <si>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</si>
  <si>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</si>
  <si>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</si>
  <si>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</si>
  <si>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</si>
  <si>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</si>
  <si>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Santiago Lira</t>
  </si>
  <si>
    <t>salira@miuandes.cl</t>
  </si>
  <si>
    <t xml:space="preserve">Argentina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</si>
</sst>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opLeftCell="C1" zoomScale="160" zoomScaleNormal="160" workbookViewId="0">
      <selection activeCell="D5" sqref="D5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34" zoomScale="140" zoomScaleNormal="140" workbookViewId="0">
      <selection activeCell="L16" sqref="L16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-50010600</v>
      </c>
      <c r="AG8" s="91">
        <f t="shared" ref="AG8:AG11" si="8">AF8-AE8*10</f>
        <v>-50010610</v>
      </c>
      <c r="AH8" s="91">
        <f>AG8+N24</f>
        <v>-50010608</v>
      </c>
    </row>
    <row r="9" spans="2:35" x14ac:dyDescent="0.2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4</v>
      </c>
      <c r="F9" s="64">
        <f t="shared" si="1"/>
        <v>4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-70000400</v>
      </c>
      <c r="AG9" s="91">
        <f t="shared" si="8"/>
        <v>-70000410</v>
      </c>
      <c r="AH9" s="91">
        <f>AG9+N25</f>
        <v>-70000407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2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-39980200</v>
      </c>
      <c r="AG10" s="91">
        <f t="shared" si="8"/>
        <v>-39980210</v>
      </c>
      <c r="AH10" s="91">
        <f>AG10+N26</f>
        <v>-39980206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2</v>
      </c>
      <c r="F11" s="68">
        <f t="shared" si="1"/>
        <v>4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-8</v>
      </c>
      <c r="X11" s="91">
        <f>SUMIF($K$7:$K$16,U11,$L$7:$L$16) + SUMIF($N$7:$N$16,U11,$M$7:$M$16)</f>
        <v>2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79800</v>
      </c>
      <c r="AG11" s="91">
        <f t="shared" si="8"/>
        <v>79790</v>
      </c>
      <c r="AH11" s="91">
        <f>AG11+N27</f>
        <v>79795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10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140" zoomScaleNormal="140" workbookViewId="0">
      <selection activeCell="M16" sqref="M1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-100070900</v>
      </c>
      <c r="AG7" s="91">
        <f>AF7-AE7*10</f>
        <v>-100070910</v>
      </c>
      <c r="AH7" s="91">
        <f>AG7+N23</f>
        <v>-100070909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1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89900</v>
      </c>
      <c r="AG8" s="91">
        <f t="shared" ref="AG8:AG11" si="8">AF8-AE8*10</f>
        <v>89890</v>
      </c>
      <c r="AH8" s="91">
        <f>AG8+N24</f>
        <v>89895</v>
      </c>
    </row>
    <row r="9" spans="2:34" x14ac:dyDescent="0.2">
      <c r="B9" s="62">
        <v>2</v>
      </c>
      <c r="C9" s="63" t="str">
        <f t="shared" si="1"/>
        <v>Uruguay</v>
      </c>
      <c r="D9" s="64">
        <f t="shared" si="1"/>
        <v>10</v>
      </c>
      <c r="E9" s="64">
        <f t="shared" si="1"/>
        <v>5</v>
      </c>
      <c r="F9" s="64">
        <f t="shared" si="1"/>
        <v>1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3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-60000300</v>
      </c>
      <c r="AG9" s="91">
        <f t="shared" si="8"/>
        <v>-60000310</v>
      </c>
      <c r="AH9" s="91">
        <f>AG9+N25</f>
        <v>-60000308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3</v>
      </c>
      <c r="F10" s="60">
        <f t="shared" si="1"/>
        <v>3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-29980300</v>
      </c>
      <c r="AG10" s="91">
        <f t="shared" si="8"/>
        <v>-29980310</v>
      </c>
      <c r="AH10" s="91">
        <f>AG10+N26</f>
        <v>-29980306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4</v>
      </c>
      <c r="X11" s="91">
        <f>SUMIF($K$7:$K$16,U11,$L$7:$L$16) + SUMIF($N$7:$N$16,U11,$M$7:$M$16)</f>
        <v>5</v>
      </c>
      <c r="Y11" s="91">
        <f>SUMIF($K$7:$K$16,U11,$M$7:$M$16) + SUMIF($N$7:$N$16,U11,$L$7:$L$16)</f>
        <v>1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-100040500</v>
      </c>
      <c r="AG11" s="91">
        <f t="shared" si="8"/>
        <v>-100040510</v>
      </c>
      <c r="AH11" s="91">
        <f>AG11+N27</f>
        <v>-100040507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140" zoomScaleNormal="140" workbookViewId="0">
      <selection activeCell="M24" sqref="M24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6" thickBot="1" x14ac:dyDescent="0.25">
      <c r="B11" s="74" t="str">
        <f>'Grupo B'!C9</f>
        <v>Uruguay</v>
      </c>
      <c r="C11" s="41">
        <v>1</v>
      </c>
      <c r="D11" s="75">
        <v>1</v>
      </c>
      <c r="E11" s="82"/>
      <c r="J11" s="79"/>
    </row>
    <row r="12" spans="2:43" ht="16" thickBot="1" x14ac:dyDescent="0.25">
      <c r="B12" s="76" t="str">
        <f>'Grupo A'!C10</f>
        <v>Colombia</v>
      </c>
      <c r="C12" s="42">
        <v>1</v>
      </c>
      <c r="D12" s="77">
        <v>0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6" thickBot="1" x14ac:dyDescent="0.25">
      <c r="B15" s="74" t="str">
        <f>'Grupo A'!C9</f>
        <v>Ecuador</v>
      </c>
      <c r="C15" s="41">
        <v>2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3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2021-05-30T22:13:47Z</dcterms:created>
  <dcterms:modified xsi:type="dcterms:W3CDTF">2021-06-07T16:51:20Z</dcterms:modified>
</cp:coreProperties>
</file>