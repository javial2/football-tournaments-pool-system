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ongimenob/Downloads/"/>
    </mc:Choice>
  </mc:AlternateContent>
  <xr:revisionPtr revIDLastSave="0" documentId="13_ncr:1_{AB613ED0-A1FE-1B4D-A1B2-84406A64F108}" xr6:coauthVersionLast="47" xr6:coauthVersionMax="47" xr10:uidLastSave="{00000000-0000-0000-0000-000000000000}"/>
  <bookViews>
    <workbookView xWindow="0" yWindow="0" windowWidth="27320" windowHeight="153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<sst xmlns="http://schemas.openxmlformats.org/spreadsheetml/2006/main" count="189" uniqueCount="84">
  <si>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</si>
  <si>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</si>
  <si>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</si>
  <si>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</si>
  <si>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</si>
  <si>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</si>
  <si>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</si>
  <si>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</si>
  <si>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</si>
  <si>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</si>
  <si>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</si>
  <si>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</si>
  <si>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</si>
  <si>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</si>
  <si>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</si>
  <si>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</si>
  <si>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</si>
  <si>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</si>
  <si>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</si>
  <si>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</si>
  <si>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</si>
  <si>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</si>
  <si>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</si>
  <si>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</si>
  <si>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</si>
  <si>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</si>
  <si>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</si>
  <si>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</si>
  <si>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</si>
  <si>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</si>
  <si>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</si>
  <si>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</si>
  <si>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</si>
  <si>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</si>
  <si>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</si>
  <si>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</si>
  <si>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</si>
  <si>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</si>
  <si>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</si>
  <si>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</si>
  <si>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</si>
  <si>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</si>
  <si>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</si>
  <si>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</si>
  <si>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</si>
  <si>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</si>
  <si>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</si>
  <si>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</si>
  <si>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</si>
  <si>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</si>
  <si>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</si>
  <si>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</si>
  <si>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</si>
  <si>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</si>
  <si>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</si>
  <si>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</si>
  <si>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</si>
  <si>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</si>
  <si>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</si>
  <si>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</si>
  <si>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</si>
  <si>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</si>
  <si>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</si>
  <si>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</si>
  <si>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</si>
  <si>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</si>
  <si>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</si>
  <si>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</si>
  <si>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</si>
  <si>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</si>
  <si>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</si>
  <si>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</si>
  <si>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</si>
  <si>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</si>
  <si>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</si>
  <si>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</si>
  <si>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</si>
  <si>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</si>
  <si>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</si>
  <si>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</si>
  <si>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</si>
  <si>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Ramón Gimeno</t>
  </si>
  <si>
    <t>rgimeno199@gmail.com</t>
  </si>
  <si>
    <t>Surinam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</si>
</sst>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5" sqref="C5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25">
      <c r="B6" s="98" t="s">
        <v>80</v>
      </c>
      <c r="C6" s="100" t="s">
        <v>83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140" zoomScaleNormal="140" workbookViewId="0">
      <selection activeCell="N25" sqref="N25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10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-120081000</v>
      </c>
      <c r="AG7" s="91">
        <f>AF7-AE7*10</f>
        <v>-120081010</v>
      </c>
      <c r="AH7" s="91">
        <f>AG7+N23</f>
        <v>-120081009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2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0</v>
      </c>
      <c r="X8" s="91">
        <f>SUMIF($K$7:$K$16,U8,$L$7:$L$16) + SUMIF($N$7:$N$16,U8,$M$7:$M$16)</f>
        <v>5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-50000500</v>
      </c>
      <c r="AG8" s="91">
        <f t="shared" ref="AG8:AG11" si="8">AF8-AE8*10</f>
        <v>-50000510</v>
      </c>
      <c r="AH8" s="91">
        <f>AG8+N24</f>
        <v>-50000507</v>
      </c>
    </row>
    <row r="9" spans="2:35" x14ac:dyDescent="0.2">
      <c r="B9" s="62">
        <v>2</v>
      </c>
      <c r="C9" s="63" t="str">
        <f t="shared" si="1"/>
        <v>Ecuador</v>
      </c>
      <c r="D9" s="64">
        <f t="shared" si="1"/>
        <v>7</v>
      </c>
      <c r="E9" s="64">
        <f t="shared" si="1"/>
        <v>5</v>
      </c>
      <c r="F9" s="64">
        <f t="shared" si="1"/>
        <v>5</v>
      </c>
      <c r="G9" s="65">
        <f t="shared" si="1"/>
        <v>0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0</v>
      </c>
      <c r="X9" s="91">
        <f>SUMIF($K$7:$K$16,U9,$L$7:$L$16) + SUMIF($N$7:$N$16,U9,$M$7:$M$16)</f>
        <v>5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-70000500</v>
      </c>
      <c r="AG9" s="91">
        <f t="shared" si="8"/>
        <v>-70000510</v>
      </c>
      <c r="AH9" s="91">
        <f>AG9+N25</f>
        <v>-70000508</v>
      </c>
    </row>
    <row r="10" spans="2:35" x14ac:dyDescent="0.2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5</v>
      </c>
      <c r="F10" s="60">
        <f t="shared" si="1"/>
        <v>5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-39990500</v>
      </c>
      <c r="AG10" s="91">
        <f t="shared" si="8"/>
        <v>-39990510</v>
      </c>
      <c r="AH10" s="91">
        <f>AG10+N26</f>
        <v>-39990506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-7</v>
      </c>
      <c r="X11" s="91">
        <f>SUMIF($K$7:$K$16,U11,$L$7:$L$16) + SUMIF($N$7:$N$16,U11,$M$7:$M$16)</f>
        <v>2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69800</v>
      </c>
      <c r="AG11" s="91">
        <f t="shared" si="8"/>
        <v>69790</v>
      </c>
      <c r="AH11" s="91">
        <f>AG11+N27</f>
        <v>69795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4" zoomScale="140" zoomScaleNormal="140" workbookViewId="0">
      <selection activeCell="L18" sqref="L18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9</v>
      </c>
      <c r="W7" s="91">
        <f>X7-Y7</f>
        <v>3</v>
      </c>
      <c r="X7" s="91">
        <f>SUMIF($K$7:$K$16,U7,$L$7:$L$16) + SUMIF($N$7:$N$16,U7,$M$7:$M$16)</f>
        <v>8</v>
      </c>
      <c r="Y7" s="91">
        <f>SUMIF($K$7:$K$16,U7,$M$7:$M$16) + SUMIF($N$7:$N$16,U7,$L$7:$L$16)</f>
        <v>5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-90030800</v>
      </c>
      <c r="AG7" s="91">
        <f>AF7-AE7*10</f>
        <v>-90030810</v>
      </c>
      <c r="AH7" s="91">
        <f>AG7+N23</f>
        <v>-90030809</v>
      </c>
    </row>
    <row r="8" spans="2:34" x14ac:dyDescent="0.2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9</v>
      </c>
      <c r="E8" s="33">
        <f t="shared" si="1"/>
        <v>8</v>
      </c>
      <c r="F8" s="33">
        <f t="shared" si="1"/>
        <v>5</v>
      </c>
      <c r="G8" s="34">
        <f t="shared" si="1"/>
        <v>3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-7</v>
      </c>
      <c r="X8" s="91">
        <f>SUMIF($K$7:$K$16,U8,$L$7:$L$16) + SUMIF($N$7:$N$16,U8,$M$7:$M$16)</f>
        <v>1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69900</v>
      </c>
      <c r="AG8" s="91">
        <f t="shared" ref="AG8:AG11" si="8">AF8-AE8*10</f>
        <v>69890</v>
      </c>
      <c r="AH8" s="91">
        <f>AG8+N24</f>
        <v>69895</v>
      </c>
    </row>
    <row r="9" spans="2:34" x14ac:dyDescent="0.2">
      <c r="B9" s="62">
        <v>2</v>
      </c>
      <c r="C9" s="63" t="str">
        <f t="shared" si="1"/>
        <v>Chile</v>
      </c>
      <c r="D9" s="64">
        <f t="shared" si="1"/>
        <v>9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-90030600</v>
      </c>
      <c r="AG9" s="91">
        <f t="shared" si="8"/>
        <v>-90030610</v>
      </c>
      <c r="AH9" s="91">
        <f>AG9+N25</f>
        <v>-90030608</v>
      </c>
    </row>
    <row r="10" spans="2:34" x14ac:dyDescent="0.2">
      <c r="B10" s="58">
        <v>3</v>
      </c>
      <c r="C10" s="59" t="str">
        <f t="shared" si="1"/>
        <v>Uruguay</v>
      </c>
      <c r="D10" s="60">
        <f t="shared" si="1"/>
        <v>7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-39990500</v>
      </c>
      <c r="AG10" s="91">
        <f t="shared" si="8"/>
        <v>-39990510</v>
      </c>
      <c r="AH10" s="91">
        <f>AG10+N26</f>
        <v>-39990506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0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7</v>
      </c>
      <c r="W11" s="91">
        <f t="shared" si="9"/>
        <v>2</v>
      </c>
      <c r="X11" s="91">
        <f>SUMIF($K$7:$K$16,U11,$L$7:$L$16) + SUMIF($N$7:$N$16,U11,$M$7:$M$16)</f>
        <v>6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-70020600</v>
      </c>
      <c r="AG11" s="91">
        <f t="shared" si="8"/>
        <v>-70020610</v>
      </c>
      <c r="AH11" s="91">
        <f>AG11+N27</f>
        <v>-70020607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8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3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A4" zoomScale="140" zoomScaleNormal="140" workbookViewId="0">
      <selection activeCell="I20" sqref="I20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Argentina</v>
      </c>
      <c r="H9" s="41">
        <v>0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0</v>
      </c>
      <c r="I10" s="77">
        <v>5</v>
      </c>
      <c r="J10" s="78"/>
    </row>
    <row r="11" spans="2:43" ht="16" thickBot="1" x14ac:dyDescent="0.25">
      <c r="B11" s="74" t="str">
        <f>'Grupo B'!C9</f>
        <v>Chile</v>
      </c>
      <c r="C11" s="41">
        <v>2</v>
      </c>
      <c r="D11" s="75"/>
      <c r="E11" s="82"/>
      <c r="J11" s="79"/>
    </row>
    <row r="12" spans="2:43" ht="16" thickBot="1" x14ac:dyDescent="0.25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Chile</v>
      </c>
      <c r="M13" s="41">
        <v>1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Ecuador</v>
      </c>
      <c r="C15" s="41">
        <v>0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Uruguay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Uruguay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6" thickBot="1" x14ac:dyDescent="0.25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Argentina</v>
      </c>
      <c r="M22" s="41">
        <v>0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Uruguay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2021-05-30T22:13:47Z</dcterms:created>
  <dcterms:modified xsi:type="dcterms:W3CDTF">2021-06-12T03:12:38Z</dcterms:modified>
</cp:coreProperties>
</file>