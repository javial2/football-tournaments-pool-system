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mor\Downloads\"/>
    </mc:Choice>
  </mc:AlternateContent>
  <xr:revisionPtr revIDLastSave="0" documentId="8_{DBD2DC54-82E9-4005-B7EE-168938EF5C67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V8" i="2" l="1"/>
  <c r="AF7" i="2"/>
  <c r="AF11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<sst xmlns="http://schemas.openxmlformats.org/spreadsheetml/2006/main" count="190" uniqueCount="83">
  <si>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</si>
  <si>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</si>
  <si>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</si>
  <si>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</si>
  <si>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</si>
  <si>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</si>
  <si>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</si>
  <si>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</si>
  <si>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</si>
  <si>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</si>
  <si>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</si>
  <si>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</si>
  <si>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</si>
  <si>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</si>
  <si>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</si>
  <si>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</si>
  <si>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</si>
  <si>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</si>
  <si>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</si>
  <si>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</si>
  <si>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</si>
  <si>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</si>
  <si>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</si>
  <si>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</si>
  <si>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</si>
  <si>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</si>
  <si>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</si>
  <si>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</si>
  <si>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</si>
  <si>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</si>
  <si>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</si>
  <si>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</si>
  <si>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</si>
  <si>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</si>
  <si>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</si>
  <si>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</si>
  <si>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</si>
  <si>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</si>
  <si>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</si>
  <si>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</si>
  <si>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</si>
  <si>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</si>
  <si>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</si>
  <si>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</si>
  <si>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</si>
  <si>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</si>
  <si>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</si>
  <si>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</si>
  <si>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</si>
  <si>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</si>
  <si>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</si>
  <si>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</si>
  <si>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</si>
  <si>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</si>
  <si>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</si>
  <si>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</si>
  <si>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</si>
  <si>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</si>
  <si>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</si>
  <si>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</si>
  <si>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</si>
  <si>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</si>
  <si>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</si>
  <si>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</si>
  <si>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</si>
  <si>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</si>
  <si>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</si>
  <si>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</si>
  <si>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</si>
  <si>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</si>
  <si>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</si>
  <si>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</si>
  <si>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</si>
  <si>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</si>
  <si>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</si>
  <si>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</si>
  <si>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</si>
  <si>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</si>
  <si>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</si>
  <si>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</si>
  <si>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</si>
  <si>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Joaquín Moreno</t>
  </si>
  <si>
    <t>jmoreno4@uc.cl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</si>
</sst>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10" sqref="C1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3">
      <c r="B6" s="98" t="s">
        <v>80</v>
      </c>
      <c r="C6" s="100" t="s">
        <v>28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140" zoomScaleNormal="140" workbookViewId="0">
      <selection activeCell="M17" sqref="M17:M18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5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11</v>
      </c>
      <c r="X7" s="91">
        <f>SUMIF($K$7:$K$16,U7,$L$7:$L$16) + SUMIF($N$7:$N$16,U7,$M$7:$M$16)</f>
        <v>13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-120111300</v>
      </c>
      <c r="AG7" s="91">
        <f>AF7-AE7*10</f>
        <v>-120111310</v>
      </c>
      <c r="AH7" s="91">
        <f>AG7+N23</f>
        <v>-120111309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13</v>
      </c>
      <c r="F8" s="33">
        <f t="shared" si="1"/>
        <v>2</v>
      </c>
      <c r="G8" s="34">
        <f t="shared" si="1"/>
        <v>11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3</v>
      </c>
      <c r="X8" s="91">
        <f>SUMIF($K$7:$K$16,U8,$L$7:$L$16) + SUMIF($N$7:$N$16,U8,$M$7:$M$16)</f>
        <v>8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-70030800</v>
      </c>
      <c r="AG8" s="91">
        <f t="shared" ref="AG8:AG11" si="8">AF8-AE8*10</f>
        <v>-70030810</v>
      </c>
      <c r="AH8" s="91">
        <f>AG8+N24</f>
        <v>-70030808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6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-70010600</v>
      </c>
      <c r="AG9" s="91">
        <f t="shared" si="8"/>
        <v>-70010610</v>
      </c>
      <c r="AH9" s="91">
        <f>AG9+N25</f>
        <v>-70010607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7</v>
      </c>
      <c r="E10" s="60">
        <f t="shared" si="1"/>
        <v>6</v>
      </c>
      <c r="F10" s="60">
        <f t="shared" si="1"/>
        <v>5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-29960300</v>
      </c>
      <c r="AG10" s="91">
        <f t="shared" si="8"/>
        <v>-29960310</v>
      </c>
      <c r="AH10" s="91">
        <f>AG10+N26</f>
        <v>-29960306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-11</v>
      </c>
      <c r="X11" s="91">
        <f>SUMIF($K$7:$K$16,U11,$L$7:$L$16) + SUMIF($N$7:$N$16,U11,$M$7:$M$16)</f>
        <v>0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110000</v>
      </c>
      <c r="AG11" s="91">
        <f t="shared" si="8"/>
        <v>109990</v>
      </c>
      <c r="AH11" s="91">
        <f>AG11+N27</f>
        <v>109995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11</v>
      </c>
      <c r="G12" s="57">
        <f t="shared" si="1"/>
        <v>-11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C1" zoomScale="140" zoomScaleNormal="140" workbookViewId="0">
      <selection activeCell="G16" sqref="G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9</v>
      </c>
      <c r="W7" s="91">
        <f>X7-Y7</f>
        <v>4</v>
      </c>
      <c r="X7" s="91">
        <f>SUMIF($K$7:$K$16,U7,$L$7:$L$16) + SUMIF($N$7:$N$16,U7,$M$7:$M$16)</f>
        <v>7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-90040700</v>
      </c>
      <c r="AG7" s="91">
        <f>AF7-AE7*10</f>
        <v>-90040710</v>
      </c>
      <c r="AH7" s="91">
        <f>AG7+N23</f>
        <v>-90040709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0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80000</v>
      </c>
      <c r="AG8" s="91">
        <f t="shared" ref="AG8:AG11" si="8">AF8-AE8*10</f>
        <v>79990</v>
      </c>
      <c r="AH8" s="91">
        <f>AG8+N24</f>
        <v>79995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9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4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-70020400</v>
      </c>
      <c r="AG9" s="91">
        <f t="shared" si="8"/>
        <v>-70020410</v>
      </c>
      <c r="AH9" s="91">
        <f>AG9+N25</f>
        <v>-70020408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4</v>
      </c>
      <c r="F10" s="60">
        <f t="shared" si="1"/>
        <v>2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2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-29970200</v>
      </c>
      <c r="AG10" s="91">
        <f t="shared" si="8"/>
        <v>-29970210</v>
      </c>
      <c r="AH10" s="91">
        <f>AG10+N26</f>
        <v>-29970206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7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-100050700</v>
      </c>
      <c r="AG11" s="91">
        <f t="shared" si="8"/>
        <v>-100050710</v>
      </c>
      <c r="AH11" s="91">
        <f>AG11+N27</f>
        <v>-100050707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J10" zoomScale="140" zoomScaleNormal="140" workbookViewId="0">
      <selection activeCell="O23" sqref="O2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Colombia</v>
      </c>
      <c r="C15" s="41">
        <v>0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1</v>
      </c>
      <c r="N23" s="77">
        <v>5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Joaquín Moreno</cp:lastModifiedBy>
  <dcterms:created xsi:type="dcterms:W3CDTF">2021-05-30T22:13:47Z</dcterms:created>
  <dcterms:modified xsi:type="dcterms:W3CDTF">2021-06-12T21:45:22Z</dcterms:modified>
</cp:coreProperties>
</file>