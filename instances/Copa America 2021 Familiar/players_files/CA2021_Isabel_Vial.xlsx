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20370" yWindow="-120" windowWidth="29040" windowHeight="15840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<sst xmlns="http://schemas.openxmlformats.org/spreadsheetml/2006/main" count="187" uniqueCount="82">
  <si>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</si>
  <si>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</si>
  <si>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</si>
  <si>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</si>
  <si>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</si>
  <si>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</si>
  <si>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</si>
  <si>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</si>
  <si>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</si>
  <si>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</si>
  <si>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</si>
  <si>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</si>
  <si>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</si>
  <si>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</si>
  <si>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</si>
  <si>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</si>
  <si>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</si>
  <si>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</si>
  <si>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</si>
  <si>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</si>
  <si>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</si>
  <si>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</si>
  <si>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</si>
  <si>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</si>
  <si>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</si>
  <si>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</si>
  <si>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</si>
  <si>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</si>
  <si>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</si>
  <si>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</si>
  <si>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</si>
  <si>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</si>
  <si>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</si>
  <si>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</si>
  <si>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</si>
  <si>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</si>
  <si>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</si>
  <si>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</si>
  <si>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</si>
  <si>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</si>
  <si>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</si>
  <si>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</si>
  <si>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</si>
  <si>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</si>
  <si>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</si>
  <si>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</si>
  <si>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</si>
  <si>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</si>
  <si>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</si>
  <si>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</si>
  <si>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</si>
  <si>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</si>
  <si>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</si>
  <si>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</si>
  <si>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</si>
  <si>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</si>
  <si>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</si>
  <si>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</si>
  <si>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</si>
  <si>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</si>
  <si>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</si>
  <si>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</si>
  <si>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</si>
  <si>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</si>
  <si>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</si>
  <si>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</si>
  <si>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</si>
  <si>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</si>
  <si>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</si>
  <si>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</si>
  <si>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</si>
  <si>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</si>
  <si>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</si>
  <si>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</si>
  <si>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</si>
  <si>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</si>
  <si>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</si>
  <si>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</si>
  <si>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</si>
  <si>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</si>
  <si>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</si>
  <si>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María Isabel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</si>
</sst>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60" zoomScaleNormal="160" workbookViewId="0">
      <selection activeCell="C3" sqref="C3:D3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F6" zoomScale="140" zoomScaleNormal="140" workbookViewId="0">
      <selection activeCell="M16" sqref="M16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13</v>
      </c>
      <c r="Y7" s="91">
        <f>SUMIF($K$7:$K$16,U7,$M$7:$M$16) + SUMIF($N$7:$N$16,U7,$L$7:$L$16)</f>
        <v>4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-120091300</v>
      </c>
      <c r="AG7" s="91">
        <f>AF7-AE7*10</f>
        <v>-120091310</v>
      </c>
      <c r="AH7" s="91">
        <f>AG7+N23</f>
        <v>-120091309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13</v>
      </c>
      <c r="F8" s="33">
        <f t="shared" si="1"/>
        <v>4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5</v>
      </c>
      <c r="W8" s="91">
        <f>X8-Y8</f>
        <v>1</v>
      </c>
      <c r="X8" s="91">
        <f>SUMIF($K$7:$K$16,U8,$L$7:$L$16) + SUMIF($N$7:$N$16,U8,$M$7:$M$16)</f>
        <v>8</v>
      </c>
      <c r="Y8" s="91">
        <f>SUMIF($K$7:$K$16,U8,$M$7:$M$16) + SUMIF($N$7:$N$16,U8,$L$7:$L$16)</f>
        <v>7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-50010800</v>
      </c>
      <c r="AG8" s="91">
        <f t="shared" ref="AG8:AG11" si="8">AF8-AE8*10</f>
        <v>-50010810</v>
      </c>
      <c r="AH8" s="91">
        <f>AG8+N24</f>
        <v>-50010808</v>
      </c>
    </row>
    <row r="9" spans="2:35" x14ac:dyDescent="0.25">
      <c r="B9" s="62">
        <v>2</v>
      </c>
      <c r="C9" s="63" t="str">
        <f t="shared" si="1"/>
        <v>Peru</v>
      </c>
      <c r="D9" s="64">
        <f t="shared" si="1"/>
        <v>7</v>
      </c>
      <c r="E9" s="64">
        <f t="shared" si="1"/>
        <v>7</v>
      </c>
      <c r="F9" s="64">
        <f t="shared" si="1"/>
        <v>6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2</v>
      </c>
      <c r="W9" s="91">
        <f t="shared" ref="W9:W11" si="9">X9-Y9</f>
        <v>-3</v>
      </c>
      <c r="X9" s="91">
        <f>SUMIF($K$7:$K$16,U9,$L$7:$L$16) + SUMIF($N$7:$N$16,U9,$M$7:$M$16)</f>
        <v>5</v>
      </c>
      <c r="Y9" s="91">
        <f>SUMIF($K$7:$K$16,U9,$M$7:$M$16) + SUMIF($N$7:$N$16,U9,$L$7:$L$16)</f>
        <v>8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-19970500</v>
      </c>
      <c r="AG9" s="91">
        <f t="shared" si="8"/>
        <v>-19970510</v>
      </c>
      <c r="AH9" s="91">
        <f>AG9+N25</f>
        <v>-19970507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5</v>
      </c>
      <c r="E10" s="60">
        <f t="shared" si="1"/>
        <v>8</v>
      </c>
      <c r="F10" s="60">
        <f t="shared" si="1"/>
        <v>7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2</v>
      </c>
      <c r="U10" s="91" t="s">
        <v>5</v>
      </c>
      <c r="V10" s="91">
        <f>SUMIF($K$7:$K$16,U10,$P$7:$P$16) + SUMIF($N$7:$N$16,U10,$Q$7:$Q$16)</f>
        <v>7</v>
      </c>
      <c r="W10" s="91">
        <f t="shared" si="9"/>
        <v>1</v>
      </c>
      <c r="X10" s="91">
        <f>SUMIF($K$7:$K$16,U10,$L$7:$L$16) + SUMIF($N$7:$N$16,U10,$M$7:$M$16)</f>
        <v>7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-70010700</v>
      </c>
      <c r="AG10" s="91">
        <f t="shared" si="8"/>
        <v>-70010710</v>
      </c>
      <c r="AH10" s="91">
        <f>AG10+N26</f>
        <v>-70010706</v>
      </c>
    </row>
    <row r="11" spans="2:35" x14ac:dyDescent="0.25">
      <c r="B11" s="66">
        <v>4</v>
      </c>
      <c r="C11" s="67" t="str">
        <f t="shared" si="1"/>
        <v>Ecuador</v>
      </c>
      <c r="D11" s="68">
        <f t="shared" si="1"/>
        <v>2</v>
      </c>
      <c r="E11" s="68">
        <f t="shared" si="1"/>
        <v>5</v>
      </c>
      <c r="F11" s="68">
        <f t="shared" si="1"/>
        <v>8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-8</v>
      </c>
      <c r="X11" s="91">
        <f>SUMIF($K$7:$K$16,U11,$L$7:$L$16) + SUMIF($N$7:$N$16,U11,$M$7:$M$16)</f>
        <v>1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-9920100</v>
      </c>
      <c r="AG11" s="91">
        <f t="shared" si="8"/>
        <v>-9920110</v>
      </c>
      <c r="AH11" s="91">
        <f>AG11+N27</f>
        <v>-9920105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2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2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E7" zoomScale="140" zoomScaleNormal="140" workbookViewId="0">
      <selection activeCell="M16" sqref="M16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3</v>
      </c>
      <c r="U7" s="91" t="s">
        <v>25</v>
      </c>
      <c r="V7" s="91">
        <f>SUMIF($K$7:$K$16,U7,$P$7:$P$16) + SUMIF($N$7:$N$16,U7,$Q$7:$Q$16)</f>
        <v>5</v>
      </c>
      <c r="W7" s="91">
        <f>X7-Y7</f>
        <v>2</v>
      </c>
      <c r="X7" s="91">
        <f>SUMIF($K$7:$K$16,U7,$L$7:$L$16) + SUMIF($N$7:$N$16,U7,$M$7:$M$16)</f>
        <v>9</v>
      </c>
      <c r="Y7" s="91">
        <f>SUMIF($K$7:$K$16,U7,$M$7:$M$16) + SUMIF($N$7:$N$16,U7,$L$7:$L$16)</f>
        <v>7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-50020900</v>
      </c>
      <c r="AG7" s="91">
        <f>AF7-AE7*10</f>
        <v>-50020910</v>
      </c>
      <c r="AH7" s="91">
        <f>AG7+N23</f>
        <v>-50020909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12</v>
      </c>
      <c r="E8" s="33">
        <f t="shared" si="1"/>
        <v>10</v>
      </c>
      <c r="F8" s="33">
        <f t="shared" si="1"/>
        <v>3</v>
      </c>
      <c r="G8" s="34">
        <f t="shared" si="1"/>
        <v>7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1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79900</v>
      </c>
      <c r="AG8" s="91">
        <f t="shared" ref="AG8:AG11" si="8">AF8-AE8*10</f>
        <v>79890</v>
      </c>
      <c r="AH8" s="91">
        <f>AG8+N24</f>
        <v>79895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7</v>
      </c>
      <c r="E9" s="64">
        <f t="shared" si="1"/>
        <v>7</v>
      </c>
      <c r="F9" s="64">
        <f t="shared" si="1"/>
        <v>6</v>
      </c>
      <c r="G9" s="65">
        <f t="shared" si="1"/>
        <v>1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1</v>
      </c>
      <c r="X9" s="91">
        <f>SUMIF($K$7:$K$16,U9,$L$7:$L$16) + SUMIF($N$7:$N$16,U9,$M$7:$M$16)</f>
        <v>7</v>
      </c>
      <c r="Y9" s="91">
        <f>SUMIF($K$7:$K$16,U9,$M$7:$M$16) + SUMIF($N$7:$N$16,U9,$L$7:$L$16)</f>
        <v>6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-70010700</v>
      </c>
      <c r="AG9" s="91">
        <f t="shared" si="8"/>
        <v>-70010710</v>
      </c>
      <c r="AH9" s="91">
        <f>AG9+N25</f>
        <v>-70010708</v>
      </c>
    </row>
    <row r="10" spans="2:34" x14ac:dyDescent="0.25">
      <c r="B10" s="58">
        <v>3</v>
      </c>
      <c r="C10" s="59" t="str">
        <f t="shared" si="1"/>
        <v>Argentina</v>
      </c>
      <c r="D10" s="60">
        <f t="shared" si="1"/>
        <v>5</v>
      </c>
      <c r="E10" s="60">
        <f t="shared" si="1"/>
        <v>9</v>
      </c>
      <c r="F10" s="60">
        <f t="shared" si="1"/>
        <v>7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3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4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-39980400</v>
      </c>
      <c r="AG10" s="91">
        <f t="shared" si="8"/>
        <v>-39980410</v>
      </c>
      <c r="AH10" s="91">
        <f>AG10+N26</f>
        <v>-39980406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4</v>
      </c>
      <c r="F11" s="68">
        <f t="shared" si="1"/>
        <v>6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3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12</v>
      </c>
      <c r="W11" s="91">
        <f t="shared" si="9"/>
        <v>7</v>
      </c>
      <c r="X11" s="91">
        <f>SUMIF($K$7:$K$16,U11,$L$7:$L$16) + SUMIF($N$7:$N$16,U11,$M$7:$M$16)</f>
        <v>10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-120071000</v>
      </c>
      <c r="AG11" s="91">
        <f t="shared" si="8"/>
        <v>-120071010</v>
      </c>
      <c r="AH11" s="91">
        <f>AG11+N27</f>
        <v>-120071007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2</v>
      </c>
      <c r="N12" s="31" t="s">
        <v>27</v>
      </c>
      <c r="O12" s="92" t="str">
        <f t="shared" si="2"/>
        <v>Argentina_Paraguay</v>
      </c>
      <c r="P12" s="91">
        <f t="shared" si="0"/>
        <v>1</v>
      </c>
      <c r="Q12" s="91">
        <f t="shared" si="3"/>
        <v>1</v>
      </c>
      <c r="R12" s="91" t="str">
        <f t="shared" si="4"/>
        <v>SIN GANADOR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topLeftCell="M7" zoomScale="140" zoomScaleNormal="140" workbookViewId="0">
      <selection activeCell="M24" sqref="M24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3</v>
      </c>
      <c r="D7" s="75">
        <v>3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Ecuador</v>
      </c>
      <c r="C8" s="42">
        <v>2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2</v>
      </c>
      <c r="I10" s="77"/>
      <c r="J10" s="78"/>
    </row>
    <row r="11" spans="2:43" ht="15.75" thickBot="1" x14ac:dyDescent="0.3">
      <c r="B11" s="74" t="str">
        <f>'Grupo B'!C9</f>
        <v>Chile</v>
      </c>
      <c r="C11" s="41">
        <v>2</v>
      </c>
      <c r="D11" s="75">
        <v>4</v>
      </c>
      <c r="E11" s="82"/>
      <c r="J11" s="79"/>
    </row>
    <row r="12" spans="2:43" ht="15.75" thickBot="1" x14ac:dyDescent="0.3">
      <c r="B12" s="76" t="str">
        <f>'Grupo A'!C10</f>
        <v>Colombia</v>
      </c>
      <c r="C12" s="42">
        <v>2</v>
      </c>
      <c r="D12" s="77">
        <v>3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Chile</v>
      </c>
      <c r="M13" s="41">
        <v>3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/>
    </row>
    <row r="15" spans="2:43" ht="15.75" thickBot="1" x14ac:dyDescent="0.3">
      <c r="B15" s="74" t="str">
        <f>'Grupo A'!C9</f>
        <v>Peru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Argentina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Argentina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.75" thickBot="1" x14ac:dyDescent="0.3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Argentina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2021-05-30T22:13:47Z</dcterms:created>
  <dcterms:modified xsi:type="dcterms:W3CDTF">2021-06-12T19:47:50Z</dcterms:modified>
</cp:coreProperties>
</file>