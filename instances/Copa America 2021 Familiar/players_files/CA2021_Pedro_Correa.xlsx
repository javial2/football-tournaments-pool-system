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ownloads\"/>
    </mc:Choice>
  </mc:AlternateContent>
  <bookViews>
    <workbookView xWindow="20370" yWindow="-120" windowWidth="29040" windowHeight="15840" activeTab="3"/>
  </bookViews>
  <sheets>
    <sheet name="INFORMACION" sheetId="4" r:id="rId1"/>
    <sheet name="Grupo A" sheetId="1" r:id="rId2"/>
    <sheet name="Grupo B" sheetId="2" r:id="rId3"/>
    <sheet name="Play-Off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Q15" i="2"/>
  <c r="R15" i="2" s="1"/>
  <c r="Q16" i="2"/>
  <c r="R16" i="2" s="1"/>
  <c r="AF7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L14" i="3" s="1"/>
  <c r="L23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B15" i="3"/>
  <c r="L22" i="3" l="1"/>
  <c r="R19" i="3" s="1"/>
  <c r="R17" i="3"/>
  <c r="R18" i="3" s="1"/>
</calcChain>
</file>

<file path=xl/sharedStrings.xml><?xml version="1.0" encoding="utf-8"?>
<sst xmlns="http://schemas.openxmlformats.org/spreadsheetml/2006/main" count="187" uniqueCount="82">
  <si>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</si>
  <si>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</si>
  <si>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</si>
  <si>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</si>
  <si>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</si>
  <si>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</si>
  <si>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</si>
  <si>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</si>
  <si>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</si>
  <si>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</si>
  <si>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</si>
  <si>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</si>
  <si>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</si>
  <si>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</si>
  <si>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</si>
  <si>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</si>
  <si>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</si>
  <si>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</si>
  <si>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</si>
  <si>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</si>
  <si>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</si>
  <si>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</si>
  <si>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</si>
  <si>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</si>
  <si>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</si>
  <si>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</si>
  <si>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</si>
  <si>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</si>
  <si>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</si>
  <si>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</si>
  <si>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</si>
  <si>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</si>
  <si>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</si>
  <si>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</si>
  <si>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</si>
  <si>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</si>
  <si>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</si>
  <si>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</si>
  <si>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</si>
  <si>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</si>
  <si>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</si>
  <si>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</si>
  <si>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</si>
  <si>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</si>
  <si>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</si>
  <si>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</si>
  <si>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</si>
  <si>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</si>
  <si>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</si>
  <si>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</si>
  <si>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</si>
  <si>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</si>
  <si>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</si>
  <si>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</si>
  <si>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</si>
  <si>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</si>
  <si>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</si>
  <si>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</si>
  <si>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</si>
  <si>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</si>
  <si>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</si>
  <si>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</si>
  <si>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</si>
  <si>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</si>
  <si>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</si>
  <si>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</si>
  <si>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</si>
  <si>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</si>
  <si>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</si>
  <si>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</si>
  <si>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</si>
  <si>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</si>
  <si>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</si>
  <si>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</si>
  <si>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</si>
  <si>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</si>
  <si>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</si>
  <si>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</si>
  <si>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</si>
  <si>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</si>
  <si>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</si>
  <si>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Pedro Correa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</si>
</sst>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zoomScale="160" zoomScaleNormal="160" workbookViewId="0">
      <selection activeCell="C3" sqref="C3:D3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/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opLeftCell="A3" zoomScale="140" zoomScaleNormal="140" workbookViewId="0">
      <selection activeCell="O9" sqref="O9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2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10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-120091000</v>
      </c>
      <c r="AG7" s="91">
        <f>AF7-AE7*10</f>
        <v>-120091010</v>
      </c>
      <c r="AH7" s="91">
        <f>AG7+N23</f>
        <v>-120091009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10</v>
      </c>
      <c r="F8" s="33">
        <f t="shared" si="1"/>
        <v>1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7</v>
      </c>
      <c r="W8" s="91">
        <f>X8-Y8</f>
        <v>1</v>
      </c>
      <c r="X8" s="91">
        <f>SUMIF($K$7:$K$16,U8,$L$7:$L$16) + SUMIF($N$7:$N$16,U8,$M$7:$M$16)</f>
        <v>6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-70010600</v>
      </c>
      <c r="AG8" s="91">
        <f t="shared" ref="AG8:AG11" si="8">AF8-AE8*10</f>
        <v>-70010610</v>
      </c>
      <c r="AH8" s="91">
        <f>AG8+N24</f>
        <v>-70010608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7</v>
      </c>
      <c r="E9" s="64">
        <f t="shared" si="1"/>
        <v>6</v>
      </c>
      <c r="F9" s="64">
        <f t="shared" si="1"/>
        <v>5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5</v>
      </c>
      <c r="W9" s="91">
        <f t="shared" ref="W9:W11" si="9">X9-Y9</f>
        <v>-1</v>
      </c>
      <c r="X9" s="91">
        <f>SUMIF($K$7:$K$16,U9,$L$7:$L$16) + SUMIF($N$7:$N$16,U9,$M$7:$M$16)</f>
        <v>4</v>
      </c>
      <c r="Y9" s="91">
        <f>SUMIF($K$7:$K$16,U9,$M$7:$M$16) + SUMIF($N$7:$N$16,U9,$L$7:$L$16)</f>
        <v>5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-49990400</v>
      </c>
      <c r="AG9" s="91">
        <f t="shared" si="8"/>
        <v>-49990410</v>
      </c>
      <c r="AH9" s="91">
        <f>AG9+N25</f>
        <v>-49990407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5</v>
      </c>
      <c r="E10" s="60">
        <f t="shared" si="1"/>
        <v>4</v>
      </c>
      <c r="F10" s="60">
        <f t="shared" si="1"/>
        <v>5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2</v>
      </c>
      <c r="W10" s="91">
        <f t="shared" si="9"/>
        <v>-4</v>
      </c>
      <c r="X10" s="91">
        <f>SUMIF($K$7:$K$16,U10,$L$7:$L$16) + SUMIF($N$7:$N$16,U10,$M$7:$M$16)</f>
        <v>3</v>
      </c>
      <c r="Y10" s="91">
        <f>SUMIF($K$7:$K$16,U10,$M$7:$M$16) + SUMIF($N$7:$N$16,U10,$L$7:$L$16)</f>
        <v>7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-19960300</v>
      </c>
      <c r="AG10" s="91">
        <f t="shared" si="8"/>
        <v>-19960310</v>
      </c>
      <c r="AH10" s="91">
        <f>AG10+N26</f>
        <v>-19960306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2</v>
      </c>
      <c r="E11" s="68">
        <f t="shared" si="1"/>
        <v>3</v>
      </c>
      <c r="F11" s="68">
        <f t="shared" si="1"/>
        <v>7</v>
      </c>
      <c r="G11" s="69">
        <f t="shared" si="1"/>
        <v>-4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-5</v>
      </c>
      <c r="X11" s="91">
        <f>SUMIF($K$7:$K$16,U11,$L$7:$L$16) + SUMIF($N$7:$N$16,U11,$M$7:$M$16)</f>
        <v>2</v>
      </c>
      <c r="Y11" s="91">
        <f>SUMIF($K$7:$K$16,U11,$M$7:$M$16) + SUMIF($N$7:$N$16,U11,$L$7:$L$16)</f>
        <v>7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-9950200</v>
      </c>
      <c r="AG11" s="91">
        <f t="shared" si="8"/>
        <v>-9950210</v>
      </c>
      <c r="AH11" s="91">
        <f>AG11+N27</f>
        <v>-9950205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2</v>
      </c>
      <c r="F12" s="56">
        <f t="shared" si="1"/>
        <v>7</v>
      </c>
      <c r="G12" s="57">
        <f t="shared" si="1"/>
        <v>-5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topLeftCell="I2" zoomScale="140" zoomScaleNormal="140" workbookViewId="0">
      <selection activeCell="L16" sqref="L16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6</v>
      </c>
      <c r="X7" s="91">
        <f>SUMIF($K$7:$K$16,U7,$L$7:$L$16) + SUMIF($N$7:$N$16,U7,$M$7:$M$16)</f>
        <v>9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-100060900</v>
      </c>
      <c r="AG7" s="91">
        <f>AF7-AE7*10</f>
        <v>-100060910</v>
      </c>
      <c r="AH7" s="91">
        <f>AG7+N23</f>
        <v>-100060909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9</v>
      </c>
      <c r="F8" s="33">
        <f t="shared" si="1"/>
        <v>3</v>
      </c>
      <c r="G8" s="34">
        <f t="shared" si="1"/>
        <v>6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1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79900</v>
      </c>
      <c r="AG8" s="91">
        <f t="shared" ref="AG8:AG11" si="8">AF8-AE8*10</f>
        <v>79890</v>
      </c>
      <c r="AH8" s="91">
        <f>AG8+N24</f>
        <v>79895</v>
      </c>
    </row>
    <row r="9" spans="2:34" x14ac:dyDescent="0.25">
      <c r="B9" s="62">
        <v>2</v>
      </c>
      <c r="C9" s="63" t="str">
        <f t="shared" si="1"/>
        <v>Uruguay</v>
      </c>
      <c r="D9" s="64">
        <f t="shared" si="1"/>
        <v>8</v>
      </c>
      <c r="E9" s="64">
        <f t="shared" si="1"/>
        <v>7</v>
      </c>
      <c r="F9" s="64">
        <f t="shared" si="1"/>
        <v>3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2</v>
      </c>
      <c r="X9" s="91">
        <f>SUMIF($K$7:$K$16,U9,$L$7:$L$16) + SUMIF($N$7:$N$16,U9,$M$7:$M$16)</f>
        <v>6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-70020600</v>
      </c>
      <c r="AG9" s="91">
        <f t="shared" si="8"/>
        <v>-70020610</v>
      </c>
      <c r="AH9" s="91">
        <f>AG9+N25</f>
        <v>-70020608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7</v>
      </c>
      <c r="E10" s="60">
        <f t="shared" si="1"/>
        <v>6</v>
      </c>
      <c r="F10" s="60">
        <f t="shared" si="1"/>
        <v>4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-4</v>
      </c>
      <c r="X10" s="91">
        <f>SUMIF($K$7:$K$16,U10,$L$7:$L$16) + SUMIF($N$7:$N$16,U10,$M$7:$M$16)</f>
        <v>3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-29960300</v>
      </c>
      <c r="AG10" s="91">
        <f t="shared" si="8"/>
        <v>-29960310</v>
      </c>
      <c r="AH10" s="91">
        <f>AG10+N26</f>
        <v>-29960306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3</v>
      </c>
      <c r="F11" s="68">
        <f t="shared" si="1"/>
        <v>7</v>
      </c>
      <c r="G11" s="69">
        <f t="shared" si="1"/>
        <v>-4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8</v>
      </c>
      <c r="W11" s="91">
        <f t="shared" si="9"/>
        <v>4</v>
      </c>
      <c r="X11" s="91">
        <f>SUMIF($K$7:$K$16,U11,$L$7:$L$16) + SUMIF($N$7:$N$16,U11,$M$7:$M$16)</f>
        <v>7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-80040700</v>
      </c>
      <c r="AG11" s="91">
        <f t="shared" si="8"/>
        <v>-80040710</v>
      </c>
      <c r="AH11" s="91">
        <f>AG11+N27</f>
        <v>-80040707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9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tabSelected="1" topLeftCell="G1" zoomScale="140" zoomScaleNormal="140" workbookViewId="0">
      <selection activeCell="N24" sqref="N24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2</v>
      </c>
      <c r="D7" s="75">
        <v>3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>
        <v>2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1</v>
      </c>
      <c r="I9" s="75">
        <v>2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1</v>
      </c>
      <c r="I10" s="77">
        <v>1</v>
      </c>
      <c r="J10" s="78"/>
    </row>
    <row r="11" spans="2:43" ht="15.75" thickBot="1" x14ac:dyDescent="0.3">
      <c r="B11" s="74" t="str">
        <f>'Grupo B'!C9</f>
        <v>Uruguay</v>
      </c>
      <c r="C11" s="41">
        <v>2</v>
      </c>
      <c r="D11" s="75">
        <v>4</v>
      </c>
      <c r="E11" s="82"/>
      <c r="J11" s="79"/>
    </row>
    <row r="12" spans="2:43" ht="15.75" thickBot="1" x14ac:dyDescent="0.3">
      <c r="B12" s="76" t="str">
        <f>'Grupo A'!C10</f>
        <v>Ecuador</v>
      </c>
      <c r="C12" s="42">
        <v>0</v>
      </c>
      <c r="D12" s="77">
        <v>3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.75" thickBot="1" x14ac:dyDescent="0.3">
      <c r="B15" s="74" t="str">
        <f>'Grupo A'!C9</f>
        <v>Colombia</v>
      </c>
      <c r="C15" s="41">
        <v>2</v>
      </c>
      <c r="D15" s="75">
        <v>1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2</v>
      </c>
      <c r="D16" s="77">
        <v>2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Chile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.75" thickBot="1" x14ac:dyDescent="0.3">
      <c r="B20" s="76" t="str">
        <f>'Grupo B'!C11</f>
        <v>Paraguay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Uruguay</v>
      </c>
      <c r="M22" s="41">
        <v>1</v>
      </c>
      <c r="N22" s="75">
        <v>1</v>
      </c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Chile</v>
      </c>
      <c r="M23" s="42">
        <v>1</v>
      </c>
      <c r="N23" s="77">
        <v>2</v>
      </c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2021-05-30T22:13:47Z</dcterms:created>
  <dcterms:modified xsi:type="dcterms:W3CDTF">2021-06-13T20:21:59Z</dcterms:modified>
</cp:coreProperties>
</file>