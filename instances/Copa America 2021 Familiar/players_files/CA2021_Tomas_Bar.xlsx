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é Antonio\Documents\Copa America 2021\Familiar\Archivos_De_Jugadores\"/>
    </mc:Choice>
  </mc:AlternateContent>
  <xr:revisionPtr revIDLastSave="0" documentId="13_ncr:1_{9FF1E57A-46D4-4C8E-B845-7734B74F39F7}" xr6:coauthVersionLast="47" xr6:coauthVersionMax="47" xr10:uidLastSave="{00000000-0000-0000-0000-000000000000}"/>
  <bookViews>
    <workbookView xWindow="-120" yWindow="-120" windowWidth="20730" windowHeight="11160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AH7" i="2" s="1"/>
  <c r="I25" i="2"/>
  <c r="N27" i="2"/>
  <c r="AH11" i="2" s="1"/>
  <c r="N26" i="2" l="1"/>
  <c r="AH10" i="2" s="1"/>
  <c r="N24" i="2"/>
  <c r="AH8" i="2" s="1"/>
  <c r="N25" i="2"/>
  <c r="AH9" i="2" s="1"/>
  <c r="T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7" i="2" l="1"/>
  <c r="T10" i="2"/>
  <c r="T11" i="2"/>
  <c r="T8" i="2"/>
  <c r="G10" i="2" s="1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D10" i="2" l="1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R17" i="3"/>
  <c r="D8" i="1" l="1"/>
  <c r="C8" i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<sst xmlns="http://schemas.openxmlformats.org/spreadsheetml/2006/main" count="187" uniqueCount="82">
  <si>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</si>
  <si>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</si>
  <si>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</si>
  <si>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</si>
  <si>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</si>
  <si>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</si>
  <si>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</si>
  <si>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</si>
  <si>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</si>
  <si>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</si>
  <si>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</si>
  <si>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</si>
  <si>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</si>
  <si>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</si>
  <si>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</si>
  <si>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</si>
  <si>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</si>
  <si>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</si>
  <si>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</si>
  <si>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</si>
  <si>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</si>
  <si>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</si>
  <si>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</si>
  <si>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</si>
  <si>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</si>
  <si>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</si>
  <si>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</si>
  <si>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</si>
  <si>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</si>
  <si>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</si>
  <si>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</si>
  <si>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</si>
  <si>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</si>
  <si>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</si>
  <si>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</si>
  <si>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</si>
  <si>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</si>
  <si>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</si>
  <si>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</si>
  <si>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</si>
  <si>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</si>
  <si>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</si>
  <si>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</si>
  <si>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</si>
  <si>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</si>
  <si>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</si>
  <si>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</si>
  <si>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</si>
  <si>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</si>
  <si>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</si>
  <si>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</si>
  <si>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</si>
  <si>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</si>
  <si>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</si>
  <si>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</si>
  <si>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</si>
  <si>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</si>
  <si>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</si>
  <si>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</si>
  <si>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</si>
  <si>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</si>
  <si>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</si>
  <si>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</si>
  <si>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</si>
  <si>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</si>
  <si>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</si>
  <si>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</si>
  <si>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</si>
  <si>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</si>
  <si>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</si>
  <si>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</si>
  <si>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</si>
  <si>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</si>
  <si>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</si>
  <si>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</si>
  <si>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</si>
  <si>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</si>
  <si>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</si>
  <si>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</si>
  <si>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</si>
  <si>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</si>
  <si>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Tomás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</si>
</sst>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tabSelected="1" zoomScale="96" zoomScaleNormal="160" workbookViewId="0">
      <selection activeCell="C4" sqref="C4:D4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/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/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zoomScale="85" zoomScaleNormal="140" workbookViewId="0">
      <selection activeCell="G19" sqref="G19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9</v>
      </c>
      <c r="X7" s="91">
        <f>SUMIF($K$7:$K$16,U7,$L$7:$L$16) + SUMIF($N$7:$N$16,U7,$M$7:$M$16)</f>
        <v>10</v>
      </c>
      <c r="Y7" s="91">
        <f>SUMIF($K$7:$K$16,U7,$M$7:$M$16) + SUMIF($N$7:$N$16,U7,$L$7:$L$16)</f>
        <v>1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-120091000</v>
      </c>
      <c r="AG7" s="91">
        <f>AF7-AE7*10</f>
        <v>-120091010</v>
      </c>
      <c r="AH7" s="91">
        <f>AG7+N23</f>
        <v>-120091009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10</v>
      </c>
      <c r="F8" s="33">
        <f t="shared" si="1"/>
        <v>1</v>
      </c>
      <c r="G8" s="34">
        <f t="shared" si="1"/>
        <v>9</v>
      </c>
      <c r="H8" s="71"/>
      <c r="I8" s="12">
        <v>2</v>
      </c>
      <c r="J8" s="6">
        <v>44360</v>
      </c>
      <c r="K8" s="11" t="s">
        <v>12</v>
      </c>
      <c r="L8" s="20">
        <v>3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9</v>
      </c>
      <c r="W8" s="91">
        <f>X8-Y8</f>
        <v>3</v>
      </c>
      <c r="X8" s="91">
        <f>SUMIF($K$7:$K$16,U8,$L$7:$L$16) + SUMIF($N$7:$N$16,U8,$M$7:$M$16)</f>
        <v>8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-90030800</v>
      </c>
      <c r="AG8" s="91">
        <f t="shared" ref="AG8:AG11" si="8">AF8-AE8*10</f>
        <v>-90030810</v>
      </c>
      <c r="AH8" s="91">
        <f>AG8+N24</f>
        <v>-90030808</v>
      </c>
    </row>
    <row r="9" spans="2:35" x14ac:dyDescent="0.25">
      <c r="B9" s="62">
        <v>2</v>
      </c>
      <c r="C9" s="63" t="str">
        <f t="shared" si="1"/>
        <v>Colombia</v>
      </c>
      <c r="D9" s="64">
        <f t="shared" si="1"/>
        <v>9</v>
      </c>
      <c r="E9" s="64">
        <f t="shared" si="1"/>
        <v>8</v>
      </c>
      <c r="F9" s="64">
        <f t="shared" si="1"/>
        <v>5</v>
      </c>
      <c r="G9" s="65">
        <f t="shared" si="1"/>
        <v>3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5</v>
      </c>
      <c r="U9" s="91" t="s">
        <v>13</v>
      </c>
      <c r="V9" s="91">
        <f>SUMIF($K$7:$K$16,U9,$P$7:$P$16) + SUMIF($N$7:$N$16,U9,$Q$7:$Q$16)</f>
        <v>1</v>
      </c>
      <c r="W9" s="91">
        <f t="shared" ref="W9:W11" si="9">X9-Y9</f>
        <v>-7</v>
      </c>
      <c r="X9" s="91">
        <f>SUMIF($K$7:$K$16,U9,$L$7:$L$16) + SUMIF($N$7:$N$16,U9,$M$7:$M$16)</f>
        <v>2</v>
      </c>
      <c r="Y9" s="91">
        <f>SUMIF($K$7:$K$16,U9,$M$7:$M$16) + SUMIF($N$7:$N$16,U9,$L$7:$L$16)</f>
        <v>9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-9930200</v>
      </c>
      <c r="AG9" s="91">
        <f t="shared" si="8"/>
        <v>-9930210</v>
      </c>
      <c r="AH9" s="91">
        <f>AG9+N25</f>
        <v>-9930207</v>
      </c>
    </row>
    <row r="10" spans="2:35" x14ac:dyDescent="0.25">
      <c r="B10" s="58">
        <v>3</v>
      </c>
      <c r="C10" s="59" t="str">
        <f t="shared" si="1"/>
        <v>Peru</v>
      </c>
      <c r="D10" s="60">
        <f t="shared" si="1"/>
        <v>6</v>
      </c>
      <c r="E10" s="60">
        <f t="shared" si="1"/>
        <v>5</v>
      </c>
      <c r="F10" s="60">
        <f t="shared" si="1"/>
        <v>4</v>
      </c>
      <c r="G10" s="61">
        <f t="shared" si="1"/>
        <v>1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3</v>
      </c>
      <c r="U10" s="91" t="s">
        <v>5</v>
      </c>
      <c r="V10" s="91">
        <f>SUMIF($K$7:$K$16,U10,$P$7:$P$16) + SUMIF($N$7:$N$16,U10,$Q$7:$Q$16)</f>
        <v>6</v>
      </c>
      <c r="W10" s="91">
        <f t="shared" si="9"/>
        <v>1</v>
      </c>
      <c r="X10" s="91">
        <f>SUMIF($K$7:$K$16,U10,$L$7:$L$16) + SUMIF($N$7:$N$16,U10,$M$7:$M$16)</f>
        <v>5</v>
      </c>
      <c r="Y10" s="91">
        <f>SUMIF($K$7:$K$16,U10,$M$7:$M$16) + SUMIF($N$7:$N$16,U10,$L$7:$L$16)</f>
        <v>4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-60010500</v>
      </c>
      <c r="AG10" s="91">
        <f t="shared" si="8"/>
        <v>-60010510</v>
      </c>
      <c r="AH10" s="91">
        <f>AG10+N26</f>
        <v>-60010506</v>
      </c>
    </row>
    <row r="11" spans="2:35" x14ac:dyDescent="0.25">
      <c r="B11" s="66">
        <v>4</v>
      </c>
      <c r="C11" s="67" t="str">
        <f t="shared" si="1"/>
        <v>Venezuela</v>
      </c>
      <c r="D11" s="68">
        <f t="shared" si="1"/>
        <v>1</v>
      </c>
      <c r="E11" s="68">
        <f t="shared" si="1"/>
        <v>2</v>
      </c>
      <c r="F11" s="68">
        <f t="shared" si="1"/>
        <v>8</v>
      </c>
      <c r="G11" s="69">
        <f t="shared" si="1"/>
        <v>-6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4</v>
      </c>
      <c r="U11" s="91" t="s">
        <v>4</v>
      </c>
      <c r="V11" s="91">
        <f>SUMIF($K$7:$K$16,U11,$P$7:$P$16) + SUMIF($N$7:$N$16,U11,$Q$7:$Q$16)</f>
        <v>1</v>
      </c>
      <c r="W11" s="91">
        <f t="shared" si="9"/>
        <v>-6</v>
      </c>
      <c r="X11" s="91">
        <f>SUMIF($K$7:$K$16,U11,$L$7:$L$16) + SUMIF($N$7:$N$16,U11,$M$7:$M$16)</f>
        <v>2</v>
      </c>
      <c r="Y11" s="91">
        <f>SUMIF($K$7:$K$16,U11,$M$7:$M$16) + SUMIF($N$7:$N$16,U11,$L$7:$L$16)</f>
        <v>8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-9940200</v>
      </c>
      <c r="AG11" s="91">
        <f t="shared" si="8"/>
        <v>-9940210</v>
      </c>
      <c r="AH11" s="91">
        <f>AG11+N27</f>
        <v>-9940205</v>
      </c>
    </row>
    <row r="12" spans="2:35" s="1" customFormat="1" ht="15.75" thickBot="1" x14ac:dyDescent="0.3">
      <c r="B12" s="54">
        <v>5</v>
      </c>
      <c r="C12" s="55" t="str">
        <f t="shared" si="1"/>
        <v>Ecuador</v>
      </c>
      <c r="D12" s="56">
        <f t="shared" si="1"/>
        <v>1</v>
      </c>
      <c r="E12" s="56">
        <f t="shared" si="1"/>
        <v>2</v>
      </c>
      <c r="F12" s="56">
        <f t="shared" si="1"/>
        <v>9</v>
      </c>
      <c r="G12" s="57">
        <f t="shared" si="1"/>
        <v>-7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0</v>
      </c>
      <c r="M13" s="27">
        <v>2</v>
      </c>
      <c r="N13" s="28" t="s">
        <v>5</v>
      </c>
      <c r="O13" s="92" t="str">
        <f t="shared" si="2"/>
        <v>Ecuador_Peru</v>
      </c>
      <c r="P13" s="91">
        <f t="shared" si="0"/>
        <v>0</v>
      </c>
      <c r="Q13" s="91">
        <f t="shared" si="10"/>
        <v>3</v>
      </c>
      <c r="R13" s="91" t="str">
        <f t="shared" si="4"/>
        <v>Peru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1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0</v>
      </c>
      <c r="M15" s="27">
        <v>3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zoomScale="85" zoomScaleNormal="140" workbookViewId="0">
      <selection activeCell="M9" sqref="M9"/>
    </sheetView>
  </sheetViews>
  <sheetFormatPr baseColWidth="10" defaultColWidth="11.42578125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8</v>
      </c>
      <c r="W7" s="91">
        <f>X7-Y7</f>
        <v>4</v>
      </c>
      <c r="X7" s="91">
        <f>SUMIF($K$7:$K$16,U7,$L$7:$L$16) + SUMIF($N$7:$N$16,U7,$M$7:$M$16)</f>
        <v>7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-80040700</v>
      </c>
      <c r="AG7" s="91">
        <f>AF7-AE7*10</f>
        <v>-80040710</v>
      </c>
      <c r="AH7" s="91">
        <f>AG7+N23</f>
        <v>-80040709</v>
      </c>
    </row>
    <row r="8" spans="2:34" x14ac:dyDescent="0.25">
      <c r="B8" s="50">
        <v>1</v>
      </c>
      <c r="C8" s="32" t="str">
        <f t="shared" ref="C8:G12" si="1">IFERROR(VLOOKUP($B8,$T$7:$Y$11,C$5,FALSE),"")</f>
        <v>Uruguay</v>
      </c>
      <c r="D8" s="33">
        <f t="shared" si="1"/>
        <v>8</v>
      </c>
      <c r="E8" s="33">
        <f t="shared" si="1"/>
        <v>7</v>
      </c>
      <c r="F8" s="33">
        <f t="shared" si="1"/>
        <v>2</v>
      </c>
      <c r="G8" s="34">
        <f t="shared" si="1"/>
        <v>5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-8</v>
      </c>
      <c r="X8" s="91">
        <f>SUMIF($K$7:$K$16,U8,$L$7:$L$16) + SUMIF($N$7:$N$16,U8,$M$7:$M$16)</f>
        <v>2</v>
      </c>
      <c r="Y8" s="91">
        <f>SUMIF($K$7:$K$16,U8,$M$7:$M$16) + SUMIF($N$7:$N$16,U8,$L$7:$L$16)</f>
        <v>10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79800</v>
      </c>
      <c r="AG8" s="91">
        <f t="shared" ref="AG8:AG11" si="8">AF8-AE8*10</f>
        <v>79790</v>
      </c>
      <c r="AH8" s="91">
        <f>AG8+N24</f>
        <v>79795</v>
      </c>
    </row>
    <row r="9" spans="2:34" x14ac:dyDescent="0.25">
      <c r="B9" s="62">
        <v>2</v>
      </c>
      <c r="C9" s="63" t="str">
        <f t="shared" si="1"/>
        <v>Argentina</v>
      </c>
      <c r="D9" s="64">
        <f t="shared" si="1"/>
        <v>8</v>
      </c>
      <c r="E9" s="64">
        <f t="shared" si="1"/>
        <v>7</v>
      </c>
      <c r="F9" s="64">
        <f t="shared" si="1"/>
        <v>3</v>
      </c>
      <c r="G9" s="65">
        <f t="shared" si="1"/>
        <v>4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8</v>
      </c>
      <c r="W9" s="91">
        <f t="shared" ref="W9:W11" si="9">X9-Y9</f>
        <v>3</v>
      </c>
      <c r="X9" s="91">
        <f>SUMIF($K$7:$K$16,U9,$L$7:$L$16) + SUMIF($N$7:$N$16,U9,$M$7:$M$16)</f>
        <v>6</v>
      </c>
      <c r="Y9" s="91">
        <f>SUMIF($K$7:$K$16,U9,$M$7:$M$16) + SUMIF($N$7:$N$16,U9,$L$7:$L$16)</f>
        <v>3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-80030600</v>
      </c>
      <c r="AG9" s="91">
        <f t="shared" si="8"/>
        <v>-80030610</v>
      </c>
      <c r="AH9" s="91">
        <f>AG9+N25</f>
        <v>-80030608</v>
      </c>
    </row>
    <row r="10" spans="2:34" x14ac:dyDescent="0.25">
      <c r="B10" s="58">
        <v>3</v>
      </c>
      <c r="C10" s="59" t="str">
        <f t="shared" si="1"/>
        <v>Chile</v>
      </c>
      <c r="D10" s="60">
        <f t="shared" si="1"/>
        <v>8</v>
      </c>
      <c r="E10" s="60">
        <f t="shared" si="1"/>
        <v>6</v>
      </c>
      <c r="F10" s="60">
        <f t="shared" si="1"/>
        <v>3</v>
      </c>
      <c r="G10" s="61">
        <f t="shared" si="1"/>
        <v>3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-4</v>
      </c>
      <c r="X10" s="91">
        <f>SUMIF($K$7:$K$16,U10,$L$7:$L$16) + SUMIF($N$7:$N$16,U10,$M$7:$M$16)</f>
        <v>3</v>
      </c>
      <c r="Y10" s="91">
        <f>SUMIF($K$7:$K$16,U10,$M$7:$M$16) + SUMIF($N$7:$N$16,U10,$L$7:$L$16)</f>
        <v>7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-29960300</v>
      </c>
      <c r="AG10" s="91">
        <f t="shared" si="8"/>
        <v>-29960310</v>
      </c>
      <c r="AH10" s="91">
        <f>AG10+N26</f>
        <v>-29960306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3</v>
      </c>
      <c r="F11" s="68">
        <f t="shared" si="1"/>
        <v>7</v>
      </c>
      <c r="G11" s="69">
        <f t="shared" si="1"/>
        <v>-4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8</v>
      </c>
      <c r="W11" s="91">
        <f t="shared" si="9"/>
        <v>5</v>
      </c>
      <c r="X11" s="91">
        <f>SUMIF($K$7:$K$16,U11,$L$7:$L$16) + SUMIF($N$7:$N$16,U11,$M$7:$M$16)</f>
        <v>7</v>
      </c>
      <c r="Y11" s="91">
        <f>SUMIF($K$7:$K$16,U11,$M$7:$M$16) + SUMIF($N$7:$N$16,U11,$L$7:$L$16)</f>
        <v>2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-80050700</v>
      </c>
      <c r="AG11" s="91">
        <f t="shared" si="8"/>
        <v>-80050710</v>
      </c>
      <c r="AH11" s="91">
        <f>AG11+N27</f>
        <v>-80050707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2</v>
      </c>
      <c r="F12" s="56">
        <f t="shared" si="1"/>
        <v>10</v>
      </c>
      <c r="G12" s="57">
        <f t="shared" si="1"/>
        <v>-8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2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2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1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zoomScale="63" zoomScaleNormal="140" workbookViewId="0">
      <selection activeCell="N24" sqref="N24"/>
    </sheetView>
  </sheetViews>
  <sheetFormatPr baseColWidth="10" defaultColWidth="11.42578125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Uruguay</v>
      </c>
      <c r="C7" s="41">
        <v>3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Venezuela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Uruguay</v>
      </c>
      <c r="H9" s="41">
        <v>2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Argentina</v>
      </c>
      <c r="H10" s="42">
        <v>1</v>
      </c>
      <c r="I10" s="77"/>
      <c r="J10" s="78"/>
    </row>
    <row r="11" spans="2:43" ht="15.75" thickBot="1" x14ac:dyDescent="0.3">
      <c r="B11" s="74" t="str">
        <f>'Grupo B'!C9</f>
        <v>Argentina</v>
      </c>
      <c r="C11" s="41">
        <v>2</v>
      </c>
      <c r="D11" s="75">
        <v>0</v>
      </c>
      <c r="E11" s="82"/>
      <c r="J11" s="79"/>
    </row>
    <row r="12" spans="2:43" ht="15.75" thickBot="1" x14ac:dyDescent="0.3">
      <c r="B12" s="76" t="str">
        <f>'Grupo A'!C10</f>
        <v>Peru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Uruguay</v>
      </c>
      <c r="M13" s="41">
        <v>1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5.75" thickBot="1" x14ac:dyDescent="0.3">
      <c r="B15" s="74" t="str">
        <f>'Grupo A'!C9</f>
        <v>Colombia</v>
      </c>
      <c r="C15" s="41">
        <v>1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Chile</v>
      </c>
      <c r="C16" s="42">
        <v>2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Chile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Uruguay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Chile</v>
      </c>
    </row>
    <row r="20" spans="2:26" ht="15.75" thickBot="1" x14ac:dyDescent="0.3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Argentina</v>
      </c>
      <c r="M22" s="41">
        <v>1</v>
      </c>
      <c r="N22" s="75">
        <v>4</v>
      </c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Chile</v>
      </c>
      <c r="M23" s="42">
        <v>1</v>
      </c>
      <c r="N23" s="77">
        <v>5</v>
      </c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2021-05-30T22:13:47Z</dcterms:created>
  <dcterms:modified xsi:type="dcterms:W3CDTF">2021-06-13T19:21:14Z</dcterms:modified>
</cp:coreProperties>
</file>