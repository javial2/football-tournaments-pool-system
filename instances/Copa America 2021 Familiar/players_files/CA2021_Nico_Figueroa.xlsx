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L23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 s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<sst xmlns="http://schemas.openxmlformats.org/spreadsheetml/2006/main" count="189" uniqueCount="83">
  <si>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</si>
  <si>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</si>
  <si>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</si>
  <si>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</si>
  <si>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</si>
  <si>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</si>
  <si>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</si>
  <si>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</si>
  <si>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</si>
  <si>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</si>
  <si>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</si>
  <si>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</si>
  <si>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</si>
  <si>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</si>
  <si>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</si>
  <si>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</si>
  <si>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</si>
  <si>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</si>
  <si>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</si>
  <si>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</si>
  <si>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</si>
  <si>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</si>
  <si>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</si>
  <si>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</si>
  <si>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</si>
  <si>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</si>
  <si>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</si>
  <si>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</si>
  <si>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</si>
  <si>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</si>
  <si>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</si>
  <si>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</si>
  <si>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</si>
  <si>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</si>
  <si>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</si>
  <si>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</si>
  <si>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</si>
  <si>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</si>
  <si>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</si>
  <si>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</si>
  <si>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</si>
  <si>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</si>
  <si>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</si>
  <si>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</si>
  <si>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</si>
  <si>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</si>
  <si>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</si>
  <si>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</si>
  <si>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</si>
  <si>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</si>
  <si>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</si>
  <si>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</si>
  <si>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</si>
  <si>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</si>
  <si>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</si>
  <si>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</si>
  <si>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</si>
  <si>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</si>
  <si>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</si>
  <si>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</si>
  <si>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</si>
  <si>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</si>
  <si>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</si>
  <si>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</si>
  <si>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</si>
  <si>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</si>
  <si>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</si>
  <si>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</si>
  <si>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</si>
  <si>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</si>
  <si>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</si>
  <si>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</si>
  <si>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</si>
  <si>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</si>
  <si>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</si>
  <si>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</si>
  <si>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</si>
  <si>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</si>
  <si>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</si>
  <si>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</si>
  <si>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</si>
  <si>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Nicolás Figueroa</t>
  </si>
  <si>
    <t>Brasil 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</si>
</sst>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10" zoomScaleNormal="110" workbookViewId="0">
      <selection activeCell="C10" sqref="C1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77</v>
      </c>
      <c r="G5" s="91" t="s">
        <v>60</v>
      </c>
    </row>
    <row r="6" spans="2:7" ht="30.75" customHeight="1" thickBot="1" x14ac:dyDescent="0.3">
      <c r="B6" s="98" t="s">
        <v>80</v>
      </c>
      <c r="C6" s="100" t="s">
        <v>82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B1" zoomScale="80" zoomScaleNormal="80" workbookViewId="0">
      <selection activeCell="L13" sqref="L13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11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-120071100</v>
      </c>
      <c r="AG7" s="91">
        <f>AF7-AE7*10</f>
        <v>-120071110</v>
      </c>
      <c r="AH7" s="91">
        <f>AG7+N23</f>
        <v>-120071109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4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6</v>
      </c>
      <c r="W8" s="91">
        <f>X8-Y8</f>
        <v>1</v>
      </c>
      <c r="X8" s="91">
        <f>SUMIF($K$7:$K$16,U8,$L$7:$L$16) + SUMIF($N$7:$N$16,U8,$M$7:$M$16)</f>
        <v>7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-60010700</v>
      </c>
      <c r="AG8" s="91">
        <f t="shared" ref="AG8:AG11" si="8">AF8-AE8*10</f>
        <v>-60010710</v>
      </c>
      <c r="AH8" s="91">
        <f>AG8+N24</f>
        <v>-60010708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3</v>
      </c>
      <c r="X9" s="91">
        <f>SUMIF($K$7:$K$16,U9,$L$7:$L$16) + SUMIF($N$7:$N$16,U9,$M$7:$M$16)</f>
        <v>7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-90030700</v>
      </c>
      <c r="AG9" s="91">
        <f t="shared" si="8"/>
        <v>-90030710</v>
      </c>
      <c r="AH9" s="91">
        <f>AG9+N25</f>
        <v>-90030707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6</v>
      </c>
      <c r="E10" s="60">
        <f t="shared" si="1"/>
        <v>7</v>
      </c>
      <c r="F10" s="60">
        <f t="shared" si="1"/>
        <v>6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2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5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-29970500</v>
      </c>
      <c r="AG10" s="91">
        <f t="shared" si="8"/>
        <v>-29970510</v>
      </c>
      <c r="AH10" s="91">
        <f>AG10+N26</f>
        <v>-29970506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5</v>
      </c>
      <c r="F11" s="68">
        <f t="shared" si="1"/>
        <v>8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-8</v>
      </c>
      <c r="X11" s="91">
        <f>SUMIF($K$7:$K$16,U11,$L$7:$L$16) + SUMIF($N$7:$N$16,U11,$M$7:$M$16)</f>
        <v>0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80000</v>
      </c>
      <c r="AG11" s="91">
        <f t="shared" si="8"/>
        <v>79990</v>
      </c>
      <c r="AH11" s="91">
        <f>AG11+N27</f>
        <v>79995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10</v>
      </c>
      <c r="J12" s="29">
        <v>44367</v>
      </c>
      <c r="K12" s="30" t="s">
        <v>12</v>
      </c>
      <c r="L12" s="26">
        <v>3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D1" zoomScaleNormal="100" workbookViewId="0">
      <selection activeCell="L16" sqref="L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7</v>
      </c>
      <c r="W7" s="91">
        <f>X7-Y7</f>
        <v>4</v>
      </c>
      <c r="X7" s="91">
        <f>SUMIF($K$7:$K$16,U7,$L$7:$L$16) + SUMIF($N$7:$N$16,U7,$M$7:$M$16)</f>
        <v>10</v>
      </c>
      <c r="Y7" s="91">
        <f>SUMIF($K$7:$K$16,U7,$M$7:$M$16) + SUMIF($N$7:$N$16,U7,$L$7:$L$16)</f>
        <v>6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-70041000</v>
      </c>
      <c r="AG7" s="91">
        <f>AF7-AE7*10</f>
        <v>-70041010</v>
      </c>
      <c r="AH7" s="91">
        <f>AG7+N23</f>
        <v>-70041009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3</v>
      </c>
      <c r="Y8" s="91">
        <f>SUMIF($K$7:$K$16,U8,$M$7:$M$16) + SUMIF($N$7:$N$16,U8,$L$7:$L$16)</f>
        <v>12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89700</v>
      </c>
      <c r="AG8" s="91">
        <f t="shared" ref="AG8:AG11" si="8">AF8-AE8*10</f>
        <v>89690</v>
      </c>
      <c r="AH8" s="91">
        <f>AG8+N24</f>
        <v>89695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7</v>
      </c>
      <c r="E9" s="64">
        <f t="shared" si="1"/>
        <v>10</v>
      </c>
      <c r="F9" s="64">
        <f t="shared" si="1"/>
        <v>6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-70020600</v>
      </c>
      <c r="AG9" s="91">
        <f t="shared" si="8"/>
        <v>-70020610</v>
      </c>
      <c r="AH9" s="91">
        <f>AG9+N25</f>
        <v>-70020608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6</v>
      </c>
      <c r="Y10" s="91">
        <f>SUMIF($K$7:$K$16,U10,$M$7:$M$16) + SUMIF($N$7:$N$16,U10,$L$7:$L$16)</f>
        <v>8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-39980600</v>
      </c>
      <c r="AG10" s="91">
        <f t="shared" si="8"/>
        <v>-39980610</v>
      </c>
      <c r="AH10" s="91">
        <f>AG10+N26</f>
        <v>-39980606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6</v>
      </c>
      <c r="F11" s="68">
        <f t="shared" si="1"/>
        <v>8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7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-100050700</v>
      </c>
      <c r="AG11" s="91">
        <f t="shared" si="8"/>
        <v>-100050710</v>
      </c>
      <c r="AH11" s="91">
        <f>AG11+N27</f>
        <v>-100050707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3</v>
      </c>
      <c r="F12" s="56">
        <f t="shared" si="1"/>
        <v>12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4</v>
      </c>
      <c r="M12" s="27">
        <v>2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4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A3" zoomScale="140" zoomScaleNormal="140" workbookViewId="0">
      <selection activeCell="O18" sqref="O18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2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>
        <v>3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>
        <v>2</v>
      </c>
      <c r="J10" s="78"/>
    </row>
    <row r="11" spans="2:43" ht="15.75" thickBot="1" x14ac:dyDescent="0.3">
      <c r="B11" s="74" t="str">
        <f>'Grupo B'!C9</f>
        <v>Argentina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2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Ecuador</v>
      </c>
      <c r="C15" s="41">
        <v>1</v>
      </c>
      <c r="D15" s="75">
        <v>3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1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Uruguay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2021-06-12T16:34:34Z</dcterms:modified>
</cp:coreProperties>
</file>