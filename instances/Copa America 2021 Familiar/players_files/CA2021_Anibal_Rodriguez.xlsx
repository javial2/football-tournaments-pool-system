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"/>
    </mc:Choice>
  </mc:AlternateContent>
  <xr:revisionPtr revIDLastSave="0" documentId="8_{9E68058B-D0DF-488D-8ACD-CFBA331A2BC1}" xr6:coauthVersionLast="47" xr6:coauthVersionMax="47" xr10:uidLastSave="{00000000-0000-0000-0000-000000000000}"/>
  <bookViews>
    <workbookView xWindow="-120" yWindow="-120" windowWidth="20730" windowHeight="1131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G10" i="2" s="1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D10" i="2" l="1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<sst xmlns="http://schemas.openxmlformats.org/spreadsheetml/2006/main" count="190" uniqueCount="84">
  <si>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</si>
  <si>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</si>
  <si>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</si>
  <si>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</si>
  <si>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</si>
  <si>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</si>
  <si>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</si>
  <si>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</si>
  <si>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</si>
  <si>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</si>
  <si>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</si>
  <si>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</si>
  <si>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</si>
  <si>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</si>
  <si>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</si>
  <si>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</si>
  <si>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</si>
  <si>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</si>
  <si>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</si>
  <si>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</si>
  <si>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</si>
  <si>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</si>
  <si>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</si>
  <si>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</si>
  <si>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</si>
  <si>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</si>
  <si>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</si>
  <si>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</si>
  <si>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</si>
  <si>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</si>
  <si>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</si>
  <si>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</si>
  <si>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</si>
  <si>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</si>
  <si>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</si>
  <si>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</si>
  <si>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</si>
  <si>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</si>
  <si>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</si>
  <si>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</si>
  <si>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</si>
  <si>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</si>
  <si>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</si>
  <si>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</si>
  <si>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</si>
  <si>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</si>
  <si>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</si>
  <si>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</si>
  <si>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</si>
  <si>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</si>
  <si>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</si>
  <si>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</si>
  <si>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</si>
  <si>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</si>
  <si>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</si>
  <si>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</si>
  <si>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</si>
  <si>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</si>
  <si>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</si>
  <si>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</si>
  <si>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</si>
  <si>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</si>
  <si>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</si>
  <si>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</si>
  <si>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</si>
  <si>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</si>
  <si>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</si>
  <si>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</si>
  <si>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</si>
  <si>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</si>
  <si>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</si>
  <si>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</si>
  <si>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</si>
  <si>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</si>
  <si>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</si>
  <si>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</si>
  <si>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</si>
  <si>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</si>
  <si>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</si>
  <si>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</si>
  <si>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</si>
  <si>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ANIBAL RODRIGUEZ</t>
  </si>
  <si>
    <t>anibalrodriguez97@gmail.com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</si>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</sst>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89" zoomScaleNormal="89" workbookViewId="0">
      <selection activeCell="C14" sqref="C14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79</v>
      </c>
      <c r="G5" s="91" t="s">
        <v>60</v>
      </c>
    </row>
    <row r="6" spans="2:7" ht="30.75" customHeight="1" thickBot="1" x14ac:dyDescent="0.3">
      <c r="B6" s="98" t="s">
        <v>80</v>
      </c>
      <c r="C6" s="100" t="s">
        <v>83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4" zoomScale="82" zoomScaleNormal="82" workbookViewId="0">
      <selection activeCell="L19" sqref="L19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10</v>
      </c>
      <c r="X7" s="91">
        <f>SUMIF($K$7:$K$16,U7,$L$7:$L$16) + SUMIF($N$7:$N$16,U7,$M$7:$M$16)</f>
        <v>11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-120101100</v>
      </c>
      <c r="AG7" s="91">
        <f>AF7-AE7*10</f>
        <v>-120101110</v>
      </c>
      <c r="AH7" s="91">
        <f>AG7+N23</f>
        <v>-120101109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11</v>
      </c>
      <c r="F8" s="33">
        <f t="shared" si="1"/>
        <v>1</v>
      </c>
      <c r="G8" s="34">
        <f t="shared" si="1"/>
        <v>10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4</v>
      </c>
      <c r="W8" s="91">
        <f>X8-Y8</f>
        <v>-3</v>
      </c>
      <c r="X8" s="91">
        <f>SUMIF($K$7:$K$16,U8,$L$7:$L$16) + SUMIF($N$7:$N$16,U8,$M$7:$M$16)</f>
        <v>4</v>
      </c>
      <c r="Y8" s="91">
        <f>SUMIF($K$7:$K$16,U8,$M$7:$M$16) + SUMIF($N$7:$N$16,U8,$L$7:$L$16)</f>
        <v>7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-39970400</v>
      </c>
      <c r="AG8" s="91">
        <f t="shared" ref="AG8:AG11" si="8">AF8-AE8*10</f>
        <v>-39970410</v>
      </c>
      <c r="AH8" s="91">
        <f>AG8+N24</f>
        <v>-39970408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9</v>
      </c>
      <c r="E9" s="64">
        <f t="shared" si="1"/>
        <v>6</v>
      </c>
      <c r="F9" s="64">
        <f t="shared" si="1"/>
        <v>4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1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1</v>
      </c>
      <c r="Q9" s="91">
        <f t="shared" si="3"/>
        <v>1</v>
      </c>
      <c r="R9" s="91" t="str">
        <f t="shared" si="4"/>
        <v>SIN GANADOR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9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-90020600</v>
      </c>
      <c r="AG9" s="91">
        <f t="shared" si="8"/>
        <v>-90020610</v>
      </c>
      <c r="AH9" s="91">
        <f>AG9+N25</f>
        <v>-90020607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4</v>
      </c>
      <c r="E10" s="60">
        <f t="shared" si="1"/>
        <v>4</v>
      </c>
      <c r="F10" s="60">
        <f t="shared" si="1"/>
        <v>7</v>
      </c>
      <c r="G10" s="61">
        <f t="shared" si="1"/>
        <v>-3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-2</v>
      </c>
      <c r="X10" s="91">
        <f>SUMIF($K$7:$K$16,U10,$L$7:$L$16) + SUMIF($N$7:$N$16,U10,$M$7:$M$16)</f>
        <v>5</v>
      </c>
      <c r="Y10" s="91">
        <f>SUMIF($K$7:$K$16,U10,$M$7:$M$16) + SUMIF($N$7:$N$16,U10,$L$7:$L$16)</f>
        <v>7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-29980500</v>
      </c>
      <c r="AG10" s="91">
        <f t="shared" si="8"/>
        <v>-29980510</v>
      </c>
      <c r="AH10" s="91">
        <f>AG10+N26</f>
        <v>-29980506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5</v>
      </c>
      <c r="F11" s="68">
        <f t="shared" si="1"/>
        <v>7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-7</v>
      </c>
      <c r="X11" s="91">
        <f>SUMIF($K$7:$K$16,U11,$L$7:$L$16) + SUMIF($N$7:$N$16,U11,$M$7:$M$16)</f>
        <v>1</v>
      </c>
      <c r="Y11" s="91">
        <f>SUMIF($K$7:$K$16,U11,$M$7:$M$16) + SUMIF($N$7:$N$16,U11,$L$7:$L$16)</f>
        <v>8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-9930100</v>
      </c>
      <c r="AG11" s="91">
        <f t="shared" si="8"/>
        <v>-9930110</v>
      </c>
      <c r="AH11" s="91">
        <f>AG11+N27</f>
        <v>-9930105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1</v>
      </c>
      <c r="F12" s="56">
        <f t="shared" si="1"/>
        <v>8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0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zoomScale="78" zoomScaleNormal="78" workbookViewId="0">
      <selection activeCell="N21" sqref="N21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9</v>
      </c>
      <c r="W7" s="91">
        <f>X7-Y7</f>
        <v>3</v>
      </c>
      <c r="X7" s="91">
        <f>SUMIF($K$7:$K$16,U7,$L$7:$L$16) + SUMIF($N$7:$N$16,U7,$M$7:$M$16)</f>
        <v>6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-90030600</v>
      </c>
      <c r="AG7" s="91">
        <f>AF7-AE7*10</f>
        <v>-90030610</v>
      </c>
      <c r="AH7" s="91">
        <f>AG7+N23</f>
        <v>-90030609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12</v>
      </c>
      <c r="E8" s="33">
        <f t="shared" si="1"/>
        <v>10</v>
      </c>
      <c r="F8" s="33">
        <f t="shared" si="1"/>
        <v>2</v>
      </c>
      <c r="G8" s="34">
        <f t="shared" si="1"/>
        <v>8</v>
      </c>
      <c r="H8" s="71"/>
      <c r="I8" s="12">
        <v>4</v>
      </c>
      <c r="J8" s="6">
        <v>44361</v>
      </c>
      <c r="K8" s="11" t="s">
        <v>27</v>
      </c>
      <c r="L8" s="20">
        <v>0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1</v>
      </c>
      <c r="W8" s="91">
        <f>X8-Y8</f>
        <v>-7</v>
      </c>
      <c r="X8" s="91">
        <f>SUMIF($K$7:$K$16,U8,$L$7:$L$16) + SUMIF($N$7:$N$16,U8,$M$7:$M$16)</f>
        <v>0</v>
      </c>
      <c r="Y8" s="91">
        <f>SUMIF($K$7:$K$16,U8,$M$7:$M$16) + SUMIF($N$7:$N$16,U8,$L$7:$L$16)</f>
        <v>7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-9930000</v>
      </c>
      <c r="AG8" s="91">
        <f t="shared" ref="AG8:AG11" si="8">AF8-AE8*10</f>
        <v>-9930010</v>
      </c>
      <c r="AH8" s="91">
        <f>AG8+N24</f>
        <v>-9930005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9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1</v>
      </c>
      <c r="X9" s="91">
        <f>SUMIF($K$7:$K$16,U9,$L$7:$L$16) + SUMIF($N$7:$N$16,U9,$M$7:$M$16)</f>
        <v>6</v>
      </c>
      <c r="Y9" s="91">
        <f>SUMIF($K$7:$K$16,U9,$M$7:$M$16) + SUMIF($N$7:$N$16,U9,$L$7:$L$16)</f>
        <v>5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-60010600</v>
      </c>
      <c r="AG9" s="91">
        <f t="shared" si="8"/>
        <v>-60010610</v>
      </c>
      <c r="AH9" s="91">
        <f>AG9+N25</f>
        <v>-60010608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6</v>
      </c>
      <c r="F10" s="60">
        <f t="shared" si="1"/>
        <v>5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3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1</v>
      </c>
      <c r="W10" s="91">
        <f t="shared" si="9"/>
        <v>-5</v>
      </c>
      <c r="X10" s="91">
        <f>SUMIF($K$7:$K$16,U10,$L$7:$L$16) + SUMIF($N$7:$N$16,U10,$M$7:$M$16)</f>
        <v>1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-9950100</v>
      </c>
      <c r="AG10" s="91">
        <f t="shared" si="8"/>
        <v>-9950110</v>
      </c>
      <c r="AH10" s="91">
        <f>AG10+N26</f>
        <v>-9950106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1</v>
      </c>
      <c r="E11" s="68">
        <f t="shared" si="1"/>
        <v>1</v>
      </c>
      <c r="F11" s="68">
        <f t="shared" si="1"/>
        <v>6</v>
      </c>
      <c r="G11" s="69">
        <f t="shared" si="1"/>
        <v>-5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12</v>
      </c>
      <c r="W11" s="91">
        <f t="shared" si="9"/>
        <v>8</v>
      </c>
      <c r="X11" s="91">
        <f>SUMIF($K$7:$K$16,U11,$L$7:$L$16) + SUMIF($N$7:$N$16,U11,$M$7:$M$16)</f>
        <v>10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-120081000</v>
      </c>
      <c r="AG11" s="91">
        <f t="shared" si="8"/>
        <v>-120081010</v>
      </c>
      <c r="AH11" s="91">
        <f>AG11+N27</f>
        <v>-120081007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1</v>
      </c>
      <c r="E12" s="56">
        <f t="shared" si="1"/>
        <v>0</v>
      </c>
      <c r="F12" s="56">
        <f t="shared" si="1"/>
        <v>7</v>
      </c>
      <c r="G12" s="57">
        <f t="shared" si="1"/>
        <v>-7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3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A2" zoomScale="78" zoomScaleNormal="78" workbookViewId="0">
      <selection activeCell="M25" sqref="M25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3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Colombia</v>
      </c>
      <c r="H10" s="42">
        <v>1</v>
      </c>
      <c r="I10" s="77"/>
      <c r="J10" s="78"/>
    </row>
    <row r="11" spans="2:43" ht="15.75" thickBot="1" x14ac:dyDescent="0.3">
      <c r="B11" s="74" t="str">
        <f>'Grupo B'!C9</f>
        <v>Argentina</v>
      </c>
      <c r="C11" s="41">
        <v>0</v>
      </c>
      <c r="D11" s="75"/>
      <c r="E11" s="82"/>
      <c r="J11" s="79"/>
    </row>
    <row r="12" spans="2:43" ht="15.75" thickBot="1" x14ac:dyDescent="0.3">
      <c r="B12" s="76" t="str">
        <f>'Grupo A'!C10</f>
        <v>Colombia</v>
      </c>
      <c r="C12" s="42">
        <v>2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0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Ecuador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3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Colombia</v>
      </c>
      <c r="M22" s="41">
        <v>1</v>
      </c>
      <c r="N22" s="75">
        <v>4</v>
      </c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1</v>
      </c>
      <c r="N23" s="77">
        <v>5</v>
      </c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Nicolas</cp:lastModifiedBy>
  <dcterms:created xsi:type="dcterms:W3CDTF">2021-05-30T22:13:47Z</dcterms:created>
  <dcterms:modified xsi:type="dcterms:W3CDTF">2021-06-13T15:16:35Z</dcterms:modified>
</cp:coreProperties>
</file>