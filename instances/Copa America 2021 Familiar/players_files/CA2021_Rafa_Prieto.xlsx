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ocuments\"/>
    </mc:Choice>
  </mc:AlternateContent>
  <xr:revisionPtr revIDLastSave="0" documentId="13_ncr:1_{9BF71E09-EEA5-406D-9DC5-361FF724FE69}" xr6:coauthVersionLast="46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8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AH7" i="2" s="1"/>
  <c r="I25" i="2"/>
  <c r="N27" i="2"/>
  <c r="AH11" i="2" s="1"/>
  <c r="N26" i="2" l="1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<sst xmlns="http://schemas.openxmlformats.org/spreadsheetml/2006/main" count="188" uniqueCount="83">
  <si>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</si>
  <si>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</si>
  <si>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</si>
  <si>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</si>
  <si>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</si>
  <si>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</si>
  <si>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</si>
  <si>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</si>
  <si>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</si>
  <si>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</si>
  <si>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</si>
  <si>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</si>
  <si>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</si>
  <si>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</si>
  <si>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</si>
  <si>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</si>
  <si>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</si>
  <si>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</si>
  <si>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</si>
  <si>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</si>
  <si>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</si>
  <si>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</si>
  <si>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</si>
  <si>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</si>
  <si>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</si>
  <si>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</si>
  <si>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</si>
  <si>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</si>
  <si>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</si>
  <si>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</si>
  <si>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</si>
  <si>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</si>
  <si>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</si>
  <si>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</si>
  <si>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</si>
  <si>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</si>
  <si>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</si>
  <si>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</si>
  <si>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</si>
  <si>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</si>
  <si>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</si>
  <si>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</si>
  <si>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</si>
  <si>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</si>
  <si>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</si>
  <si>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</si>
  <si>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</si>
  <si>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</si>
  <si>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</si>
  <si>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</si>
  <si>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</si>
  <si>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</si>
  <si>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</si>
  <si>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</si>
  <si>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</si>
  <si>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</si>
  <si>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</si>
  <si>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</si>
  <si>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</si>
  <si>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</si>
  <si>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</si>
  <si>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</si>
  <si>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</si>
  <si>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</si>
  <si>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</si>
  <si>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</si>
  <si>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</si>
  <si>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</si>
  <si>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</si>
  <si>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</si>
  <si>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</si>
  <si>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</si>
  <si>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</si>
  <si>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</si>
  <si>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</si>
  <si>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</si>
  <si>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</si>
  <si>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</si>
  <si>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</si>
  <si>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</si>
  <si>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</si>
  <si>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Rafael Prieto</t>
  </si>
  <si>
    <t>rafaprietog@gmail.com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</si>
</sst>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26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2" zoomScale="140" zoomScaleNormal="140" workbookViewId="0">
      <selection activeCell="M16" sqref="M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>
        <v>0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8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-100060800</v>
      </c>
      <c r="AG7" s="91">
        <f>AF7-AE7*10</f>
        <v>-100060810</v>
      </c>
      <c r="AH7" s="91">
        <f>AG7+N23</f>
        <v>-100060809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8</v>
      </c>
      <c r="F8" s="33">
        <f t="shared" si="1"/>
        <v>2</v>
      </c>
      <c r="G8" s="34">
        <f t="shared" si="1"/>
        <v>6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4</v>
      </c>
      <c r="U8" s="91" t="s">
        <v>12</v>
      </c>
      <c r="V8" s="91">
        <f>SUMIF($K$7:$K$16,U8,$P$7:$P$16) + SUMIF($N$7:$N$16,U8,$Q$7:$Q$16)</f>
        <v>5</v>
      </c>
      <c r="W8" s="91">
        <f>X8-Y8</f>
        <v>0</v>
      </c>
      <c r="X8" s="91">
        <f>SUMIF($K$7:$K$16,U8,$L$7:$L$16) + SUMIF($N$7:$N$16,U8,$M$7:$M$16)</f>
        <v>6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-50000600</v>
      </c>
      <c r="AG8" s="91">
        <f t="shared" ref="AG8:AG11" si="8">AF8-AE8*10</f>
        <v>-50000610</v>
      </c>
      <c r="AH8" s="91">
        <f>AG8+N24</f>
        <v>-50000608</v>
      </c>
    </row>
    <row r="9" spans="2:35" x14ac:dyDescent="0.25">
      <c r="B9" s="62">
        <v>2</v>
      </c>
      <c r="C9" s="63" t="str">
        <f t="shared" si="1"/>
        <v>Peru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5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-60000500</v>
      </c>
      <c r="AG9" s="91">
        <f t="shared" si="8"/>
        <v>-60000510</v>
      </c>
      <c r="AH9" s="91">
        <f>AG9+N25</f>
        <v>-60000507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6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7</v>
      </c>
      <c r="W10" s="91">
        <f t="shared" si="9"/>
        <v>1</v>
      </c>
      <c r="X10" s="91">
        <f>SUMIF($K$7:$K$16,U10,$L$7:$L$16) + SUMIF($N$7:$N$16,U10,$M$7:$M$16)</f>
        <v>6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-70010600</v>
      </c>
      <c r="AG10" s="91">
        <f t="shared" si="8"/>
        <v>-70010610</v>
      </c>
      <c r="AH10" s="91">
        <f>AG10+N26</f>
        <v>-70010606</v>
      </c>
    </row>
    <row r="11" spans="2:35" x14ac:dyDescent="0.25">
      <c r="B11" s="66">
        <v>4</v>
      </c>
      <c r="C11" s="67" t="str">
        <f t="shared" si="1"/>
        <v>Colombia</v>
      </c>
      <c r="D11" s="68">
        <f t="shared" si="1"/>
        <v>5</v>
      </c>
      <c r="E11" s="68">
        <f t="shared" si="1"/>
        <v>6</v>
      </c>
      <c r="F11" s="68">
        <f t="shared" si="1"/>
        <v>6</v>
      </c>
      <c r="G11" s="69">
        <f t="shared" si="1"/>
        <v>0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-7</v>
      </c>
      <c r="X11" s="91">
        <f>SUMIF($K$7:$K$16,U11,$L$7:$L$16) + SUMIF($N$7:$N$16,U11,$M$7:$M$16)</f>
        <v>1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69900</v>
      </c>
      <c r="AG11" s="91">
        <f t="shared" si="8"/>
        <v>69890</v>
      </c>
      <c r="AH11" s="91">
        <f>AG11+N27</f>
        <v>69895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8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C3" zoomScale="140" zoomScaleNormal="140" workbookViewId="0">
      <selection activeCell="G16" sqref="G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7</v>
      </c>
      <c r="W7" s="91">
        <f>X7-Y7</f>
        <v>4</v>
      </c>
      <c r="X7" s="91">
        <f>SUMIF($K$7:$K$16,U7,$L$7:$L$16) + SUMIF($N$7:$N$16,U7,$M$7:$M$16)</f>
        <v>9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-70040900</v>
      </c>
      <c r="AG7" s="91">
        <f>AF7-AE7*10</f>
        <v>-70040910</v>
      </c>
      <c r="AH7" s="91">
        <f>AG7+N23</f>
        <v>-70040909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8</v>
      </c>
      <c r="E8" s="33">
        <f t="shared" si="1"/>
        <v>8</v>
      </c>
      <c r="F8" s="33">
        <f t="shared" si="1"/>
        <v>4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0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100000</v>
      </c>
      <c r="AG8" s="91">
        <f t="shared" ref="AG8:AG11" si="8">AF8-AE8*10</f>
        <v>99990</v>
      </c>
      <c r="AH8" s="91">
        <f>AG8+N24</f>
        <v>99995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-80030600</v>
      </c>
      <c r="AG9" s="91">
        <f t="shared" si="8"/>
        <v>-80030610</v>
      </c>
      <c r="AH9" s="91">
        <f>AG9+N25</f>
        <v>-80030608</v>
      </c>
    </row>
    <row r="10" spans="2:34" x14ac:dyDescent="0.25">
      <c r="B10" s="58">
        <v>3</v>
      </c>
      <c r="C10" s="59" t="str">
        <f t="shared" si="1"/>
        <v>Argentina</v>
      </c>
      <c r="D10" s="60">
        <f t="shared" si="1"/>
        <v>7</v>
      </c>
      <c r="E10" s="60">
        <f t="shared" si="1"/>
        <v>9</v>
      </c>
      <c r="F10" s="60">
        <f t="shared" si="1"/>
        <v>5</v>
      </c>
      <c r="G10" s="61">
        <f t="shared" si="1"/>
        <v>4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-39990500</v>
      </c>
      <c r="AG10" s="91">
        <f t="shared" si="8"/>
        <v>-39990510</v>
      </c>
      <c r="AH10" s="91">
        <f>AG10+N26</f>
        <v>-39990506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-80040800</v>
      </c>
      <c r="AG11" s="91">
        <f t="shared" si="8"/>
        <v>-80040810</v>
      </c>
      <c r="AH11" s="91">
        <f>AG11+N27</f>
        <v>-80040807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10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I10" zoomScale="140" zoomScaleNormal="140" workbookViewId="0">
      <selection activeCell="P19" sqref="P19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Colombia</v>
      </c>
      <c r="C8" s="42">
        <v>2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2</v>
      </c>
      <c r="I9" s="75">
        <v>0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2</v>
      </c>
      <c r="I10" s="77">
        <v>1</v>
      </c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2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Peru</v>
      </c>
      <c r="C15" s="41">
        <v>0</v>
      </c>
      <c r="D15" s="75">
        <v>0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Argentina</v>
      </c>
      <c r="C16" s="42">
        <v>0</v>
      </c>
      <c r="D16" s="77">
        <v>1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Argentina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Argentina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Rafael Prieto Gaete</cp:lastModifiedBy>
  <dcterms:created xsi:type="dcterms:W3CDTF">2021-05-30T22:13:47Z</dcterms:created>
  <dcterms:modified xsi:type="dcterms:W3CDTF">2021-06-11T18:26:27Z</dcterms:modified>
</cp:coreProperties>
</file>