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tina\Desktop\"/>
    </mc:Choice>
  </mc:AlternateContent>
  <xr:revisionPtr revIDLastSave="0" documentId="8_{C4EE3FB8-4EF5-4104-A64C-3C5EEF421AD8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<sst xmlns="http://schemas.openxmlformats.org/spreadsheetml/2006/main" count="189" uniqueCount="83">
  <si>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</si>
  <si>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</si>
  <si>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</si>
  <si>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</si>
  <si>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</si>
  <si>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</si>
  <si>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</si>
  <si>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</si>
  <si>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</si>
  <si>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</si>
  <si>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</si>
  <si>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</si>
  <si>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</si>
  <si>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</si>
  <si>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</si>
  <si>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</si>
  <si>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</si>
  <si>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</si>
  <si>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</si>
  <si>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</si>
  <si>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</si>
  <si>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</si>
  <si>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</si>
  <si>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</si>
  <si>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</si>
  <si>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</si>
  <si>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</si>
  <si>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</si>
  <si>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</si>
  <si>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</si>
  <si>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</si>
  <si>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</si>
  <si>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</si>
  <si>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</si>
  <si>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</si>
  <si>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</si>
  <si>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</si>
  <si>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</si>
  <si>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</si>
  <si>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</si>
  <si>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</si>
  <si>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</si>
  <si>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</si>
  <si>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</si>
  <si>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</si>
  <si>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</si>
  <si>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</si>
  <si>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</si>
  <si>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</si>
  <si>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</si>
  <si>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</si>
  <si>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</si>
  <si>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</si>
  <si>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</si>
  <si>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</si>
  <si>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</si>
  <si>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</si>
  <si>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</si>
  <si>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</si>
  <si>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</si>
  <si>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</si>
  <si>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</si>
  <si>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</si>
  <si>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</si>
  <si>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</si>
  <si>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</si>
  <si>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</si>
  <si>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</si>
  <si>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</si>
  <si>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</si>
  <si>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</si>
  <si>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</si>
  <si>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</si>
  <si>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</si>
  <si>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</si>
  <si>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</si>
  <si>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</si>
  <si>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</si>
  <si>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</si>
  <si>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</si>
  <si>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</si>
  <si>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Felipe Bascuñán</t>
  </si>
  <si>
    <t>felipeb1988@gmail.com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</si>
</sst>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7" sqref="C7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26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D15" zoomScale="140" zoomScaleNormal="140" workbookViewId="0">
      <selection activeCell="O26" sqref="O2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11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-120091100</v>
      </c>
      <c r="AG7" s="91">
        <f>AF7-AE7*10</f>
        <v>-120091110</v>
      </c>
      <c r="AH7" s="91">
        <f>AG7+N23</f>
        <v>-120091109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2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4</v>
      </c>
      <c r="W8" s="91">
        <f>X8-Y8</f>
        <v>-1</v>
      </c>
      <c r="X8" s="91">
        <f>SUMIF($K$7:$K$16,U8,$L$7:$L$16) + SUMIF($N$7:$N$16,U8,$M$7:$M$16)</f>
        <v>4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-39990400</v>
      </c>
      <c r="AG8" s="91">
        <f t="shared" ref="AG8:AG11" si="8">AF8-AE8*10</f>
        <v>-39990410</v>
      </c>
      <c r="AH8" s="91">
        <f>AG8+N24</f>
        <v>-39990407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3</v>
      </c>
      <c r="X9" s="91">
        <f>SUMIF($K$7:$K$16,U9,$L$7:$L$16) + SUMIF($N$7:$N$16,U9,$M$7:$M$16)</f>
        <v>7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-90030700</v>
      </c>
      <c r="AG9" s="91">
        <f t="shared" si="8"/>
        <v>-90030710</v>
      </c>
      <c r="AH9" s="91">
        <f>AG9+N25</f>
        <v>-90030708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4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5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-39980500</v>
      </c>
      <c r="AG10" s="91">
        <f t="shared" si="8"/>
        <v>-39980510</v>
      </c>
      <c r="AH10" s="91">
        <f>AG10+N26</f>
        <v>-39980506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-9</v>
      </c>
      <c r="X11" s="91">
        <f>SUMIF($K$7:$K$16,U11,$L$7:$L$16) + SUMIF($N$7:$N$16,U11,$M$7:$M$16)</f>
        <v>1</v>
      </c>
      <c r="Y11" s="91">
        <f>SUMIF($K$7:$K$16,U11,$M$7:$M$16) + SUMIF($N$7:$N$16,U11,$L$7:$L$16)</f>
        <v>10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89900</v>
      </c>
      <c r="AG11" s="91">
        <f t="shared" si="8"/>
        <v>89890</v>
      </c>
      <c r="AH11" s="91">
        <f>AG11+N27</f>
        <v>89895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D14" zoomScale="140" zoomScaleNormal="140" workbookViewId="0">
      <selection activeCell="K18" sqref="K18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-100070800</v>
      </c>
      <c r="AG7" s="91">
        <f>AF7-AE7*10</f>
        <v>-100070810</v>
      </c>
      <c r="AH7" s="91">
        <f>AG7+N23</f>
        <v>-100070809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-6</v>
      </c>
      <c r="X8" s="91">
        <f>SUMIF($K$7:$K$16,U8,$L$7:$L$16) + SUMIF($N$7:$N$16,U8,$M$7:$M$16)</f>
        <v>3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59700</v>
      </c>
      <c r="AG8" s="91">
        <f t="shared" ref="AG8:AG11" si="8">AF8-AE8*10</f>
        <v>59690</v>
      </c>
      <c r="AH8" s="91">
        <f>AG8+N24</f>
        <v>59695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8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-80020600</v>
      </c>
      <c r="AG9" s="91">
        <f t="shared" si="8"/>
        <v>-80020610</v>
      </c>
      <c r="AH9" s="91">
        <f>AG9+N25</f>
        <v>-80020608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5</v>
      </c>
      <c r="E10" s="60">
        <f t="shared" si="1"/>
        <v>5</v>
      </c>
      <c r="F10" s="60">
        <f t="shared" si="1"/>
        <v>6</v>
      </c>
      <c r="G10" s="61">
        <f t="shared" si="1"/>
        <v>-1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0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5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-39980500</v>
      </c>
      <c r="AG10" s="91">
        <f t="shared" si="8"/>
        <v>-39980510</v>
      </c>
      <c r="AH10" s="91">
        <f>AG10+N26</f>
        <v>-39980506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5</v>
      </c>
      <c r="W11" s="91">
        <f t="shared" si="9"/>
        <v>-1</v>
      </c>
      <c r="X11" s="91">
        <f>SUMIF($K$7:$K$16,U11,$L$7:$L$16) + SUMIF($N$7:$N$16,U11,$M$7:$M$16)</f>
        <v>5</v>
      </c>
      <c r="Y11" s="91">
        <f>SUMIF($K$7:$K$16,U11,$M$7:$M$16) + SUMIF($N$7:$N$16,U11,$L$7:$L$16)</f>
        <v>6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-49990500</v>
      </c>
      <c r="AG11" s="91">
        <f t="shared" si="8"/>
        <v>-49990510</v>
      </c>
      <c r="AH11" s="91">
        <f>AG11+N27</f>
        <v>-49990507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3</v>
      </c>
      <c r="F12" s="56">
        <f t="shared" si="1"/>
        <v>9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1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A10" zoomScale="140" zoomScaleNormal="140" workbookViewId="0">
      <selection activeCell="Q21" sqref="Q21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2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.75" thickBot="1" x14ac:dyDescent="0.3">
      <c r="B15" s="74" t="str">
        <f>'Grupo A'!C9</f>
        <v>Ecuador</v>
      </c>
      <c r="C15" s="41">
        <v>2</v>
      </c>
      <c r="D15" s="75">
        <v>5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2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Ecuador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Argentina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Chile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Ecuador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Valentina</cp:lastModifiedBy>
  <dcterms:created xsi:type="dcterms:W3CDTF">2021-05-30T22:13:47Z</dcterms:created>
  <dcterms:modified xsi:type="dcterms:W3CDTF">2021-06-12T15:35:16Z</dcterms:modified>
</cp:coreProperties>
</file>