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D2B1DD2-23C5-4F82-B995-AD392E161CB8}" xr6:coauthVersionLast="47" xr6:coauthVersionMax="47" xr10:uidLastSave="{00000000-0000-0000-0000-000000000000}"/>
  <bookViews>
    <workbookView xWindow="-120" yWindow="-120" windowWidth="20730" windowHeight="11160" activeTab="2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G18" i="3"/>
  <c r="B7" i="3"/>
  <c r="AC7" i="1"/>
  <c r="AC9" i="1"/>
  <c r="L14" i="3" l="1"/>
  <c r="L23" i="3" s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<sst xmlns="http://schemas.openxmlformats.org/spreadsheetml/2006/main" count="190" uniqueCount="84">
  <si>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</si>
  <si>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</si>
  <si>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</si>
  <si>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</si>
  <si>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</si>
  <si>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</si>
  <si>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</si>
  <si>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</si>
  <si>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</si>
  <si>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</si>
  <si>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</si>
  <si>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</si>
  <si>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</si>
  <si>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</si>
  <si>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</si>
  <si>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</si>
  <si>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</si>
  <si>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</si>
  <si>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</si>
  <si>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</si>
  <si>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</si>
  <si>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</si>
  <si>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</si>
  <si>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</si>
  <si>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</si>
  <si>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</si>
  <si>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</si>
  <si>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</si>
  <si>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</si>
  <si>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</si>
  <si>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</si>
  <si>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</si>
  <si>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</si>
  <si>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</si>
  <si>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</si>
  <si>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</si>
  <si>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</si>
  <si>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</si>
  <si>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</si>
  <si>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</si>
  <si>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</si>
  <si>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</si>
  <si>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</si>
  <si>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</si>
  <si>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</si>
  <si>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</si>
  <si>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</si>
  <si>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</si>
  <si>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</si>
  <si>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</si>
  <si>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</si>
  <si>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</si>
  <si>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</si>
  <si>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</si>
  <si>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</si>
  <si>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</si>
  <si>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</si>
  <si>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</si>
  <si>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</si>
  <si>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</si>
  <si>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</si>
  <si>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</si>
  <si>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</si>
  <si>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</si>
  <si>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</si>
  <si>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</si>
  <si>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</si>
  <si>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</si>
  <si>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</si>
  <si>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</si>
  <si>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</si>
  <si>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</si>
  <si>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</si>
  <si>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</si>
  <si>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</si>
  <si>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</si>
  <si>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</si>
  <si>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</si>
  <si>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</si>
  <si>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</si>
  <si>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</si>
  <si>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Iñigo Medina Sarasa</t>
  </si>
  <si>
    <t>ijmedinasarasa@gmail.com</t>
  </si>
  <si>
    <t>Madagascar (como invitado especial)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</si>
</sst>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15" zoomScale="140" zoomScaleNormal="140" workbookViewId="0">
      <selection activeCell="P13" sqref="P13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2</v>
      </c>
      <c r="X8" s="91">
        <f>SUMIF($K$7:$K$16,U8,$L$7:$L$16) + SUMIF($N$7:$N$16,U8,$M$7:$M$16)</f>
        <v>8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-90020800</v>
      </c>
      <c r="AG8" s="91">
        <f t="shared" ref="AG8:AG11" si="8">AF8-AE8*10</f>
        <v>-90020810</v>
      </c>
      <c r="AH8" s="91">
        <f>AG8+N24</f>
        <v>-90020808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8</v>
      </c>
      <c r="F9" s="64">
        <f t="shared" si="1"/>
        <v>6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5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-60000500</v>
      </c>
      <c r="AG9" s="91">
        <f t="shared" si="8"/>
        <v>-60000510</v>
      </c>
      <c r="AH9" s="91">
        <f>AG9+N25</f>
        <v>-60000507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6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4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-29980400</v>
      </c>
      <c r="AG10" s="91">
        <f t="shared" si="8"/>
        <v>-29980410</v>
      </c>
      <c r="AH10" s="91">
        <f>AG10+N26</f>
        <v>-29980406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1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89900</v>
      </c>
      <c r="AG11" s="91">
        <f t="shared" si="8"/>
        <v>89890</v>
      </c>
      <c r="AH11" s="91">
        <f>AG11+N27</f>
        <v>89895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abSelected="1" topLeftCell="C14" zoomScale="140" zoomScaleNormal="140" workbookViewId="0">
      <selection activeCell="M25" sqref="M25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0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80000</v>
      </c>
      <c r="AG8" s="91">
        <f t="shared" ref="AG8:AG11" si="8">AF8-AE8*10</f>
        <v>79990</v>
      </c>
      <c r="AH8" s="91">
        <f>AG8+N24</f>
        <v>79995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-59990400</v>
      </c>
      <c r="AG9" s="91">
        <f t="shared" si="8"/>
        <v>-59990410</v>
      </c>
      <c r="AH9" s="91">
        <f>AG9+N25</f>
        <v>-59990407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-90040700</v>
      </c>
      <c r="AG11" s="91">
        <f t="shared" si="8"/>
        <v>-90040710</v>
      </c>
      <c r="AH11" s="91">
        <f>AG11+N27</f>
        <v>-90040708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N22" sqref="N22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>
        <v>1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0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>
        <v>1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1</v>
      </c>
      <c r="D11" s="75">
        <v>1</v>
      </c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>
        <v>0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>
        <v>1</v>
      </c>
    </row>
    <row r="15" spans="2:43" ht="15.75" thickBot="1" x14ac:dyDescent="0.3">
      <c r="B15" s="74" t="str">
        <f>'Grupo A'!C9</f>
        <v>Colombia</v>
      </c>
      <c r="C15" s="41">
        <v>2</v>
      </c>
      <c r="D15" s="75">
        <v>1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0</v>
      </c>
      <c r="D16" s="77">
        <v>0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Colombia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>
        <v>1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>
        <v>1</v>
      </c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0</v>
      </c>
      <c r="D20" s="77">
        <v>0</v>
      </c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IMS</cp:lastModifiedBy>
  <dcterms:created xsi:type="dcterms:W3CDTF">2021-05-30T22:13:47Z</dcterms:created>
  <dcterms:modified xsi:type="dcterms:W3CDTF">2021-06-12T23:31:31Z</dcterms:modified>
</cp:coreProperties>
</file>