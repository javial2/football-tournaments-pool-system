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7106"/>
  <workbookPr/>
  <mc:AlternateContent xmlns:mc="http://schemas.openxmlformats.org/markup-compatibility/2006">
    <mc:Choice Requires="x15">
      <x15ac:absPath xmlns:x15ac="http://schemas.microsoft.com/office/spreadsheetml/2010/11/ac" url="/Users/pilarfigueroa/Desktop/"/>
    </mc:Choice>
  </mc:AlternateContent>
  <bookViews>
    <workbookView xWindow="0" yWindow="460" windowWidth="20740" windowHeight="11160" activeTab="3"/>
  </bookViews>
  <sheets>
    <sheet name="INFORMACION" sheetId="4" r:id="rId1"/>
    <sheet name="Grupo A" sheetId="1" r:id="rId2"/>
    <sheet name="Grupo B" sheetId="2" r:id="rId3"/>
    <sheet name="Play-Off" sheetId="3" r:id="rId4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/>
  <c r="O11" i="2"/>
  <c r="AB10" i="2"/>
  <c r="Y10" i="2"/>
  <c r="X10" i="2"/>
  <c r="P10" i="2"/>
  <c r="Q10" i="2"/>
  <c r="R10" i="2"/>
  <c r="O10" i="2"/>
  <c r="AB9" i="2"/>
  <c r="Y9" i="2"/>
  <c r="X9" i="2"/>
  <c r="P9" i="2"/>
  <c r="Q9" i="2"/>
  <c r="R9" i="2"/>
  <c r="O9" i="2"/>
  <c r="AB8" i="2"/>
  <c r="Y8" i="2"/>
  <c r="X8" i="2"/>
  <c r="P8" i="2"/>
  <c r="O8" i="2"/>
  <c r="AB7" i="2"/>
  <c r="Y7" i="2"/>
  <c r="X7" i="2"/>
  <c r="P7" i="2"/>
  <c r="Q7" i="2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/>
  <c r="W7" i="2"/>
  <c r="W10" i="2"/>
  <c r="W9" i="2"/>
  <c r="W8" i="2"/>
  <c r="R7" i="2"/>
  <c r="Q8" i="2"/>
  <c r="Q16" i="2"/>
  <c r="V8" i="2"/>
  <c r="V9" i="2"/>
  <c r="R11" i="2"/>
  <c r="Q12" i="2"/>
  <c r="R12" i="2"/>
  <c r="Q13" i="2"/>
  <c r="V11" i="2"/>
  <c r="AF11" i="2"/>
  <c r="Q14" i="2"/>
  <c r="V7" i="2"/>
  <c r="AF7" i="2"/>
  <c r="Q15" i="2"/>
  <c r="R15" i="2"/>
  <c r="R16" i="2"/>
  <c r="V10" i="2"/>
  <c r="AF10" i="2"/>
  <c r="AF8" i="2"/>
  <c r="R8" i="2"/>
  <c r="R13" i="2"/>
  <c r="AF9" i="2"/>
  <c r="AC11" i="2"/>
  <c r="R14" i="2"/>
  <c r="AD11" i="2"/>
  <c r="AE11" i="2"/>
  <c r="AG11" i="2"/>
  <c r="AC9" i="2"/>
  <c r="AC10" i="2"/>
  <c r="AC7" i="2"/>
  <c r="AC8" i="2"/>
  <c r="AD7" i="2"/>
  <c r="AE7" i="2"/>
  <c r="AG7" i="2"/>
  <c r="AD10" i="2"/>
  <c r="AE10" i="2"/>
  <c r="AG10" i="2"/>
  <c r="I26" i="2"/>
  <c r="AD9" i="2"/>
  <c r="AE9" i="2"/>
  <c r="AG9" i="2"/>
  <c r="AD8" i="2"/>
  <c r="AE8" i="2"/>
  <c r="AG8" i="2"/>
  <c r="I24" i="2"/>
  <c r="N23" i="2"/>
  <c r="AH7" i="2"/>
  <c r="I25" i="2"/>
  <c r="N27" i="2"/>
  <c r="AH11" i="2"/>
  <c r="N26" i="2"/>
  <c r="AH10" i="2"/>
  <c r="N24" i="2"/>
  <c r="AH8" i="2"/>
  <c r="N25" i="2"/>
  <c r="AH9" i="2"/>
  <c r="T9" i="2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7" i="2"/>
  <c r="T10" i="2"/>
  <c r="T11" i="2"/>
  <c r="T8" i="2"/>
  <c r="G10" i="2"/>
  <c r="Q12" i="1"/>
  <c r="R12" i="1"/>
  <c r="Q7" i="1"/>
  <c r="R7" i="1"/>
  <c r="Q10" i="1"/>
  <c r="R10" i="1"/>
  <c r="Q14" i="1"/>
  <c r="R14" i="1"/>
  <c r="Q8" i="1"/>
  <c r="R8" i="1"/>
  <c r="Q9" i="1"/>
  <c r="R9" i="1"/>
  <c r="Q15" i="1"/>
  <c r="Q16" i="1"/>
  <c r="R16" i="1"/>
  <c r="Q13" i="1"/>
  <c r="R13" i="1"/>
  <c r="V11" i="1"/>
  <c r="W7" i="1"/>
  <c r="W10" i="1"/>
  <c r="W11" i="1"/>
  <c r="W8" i="1"/>
  <c r="W9" i="1"/>
  <c r="V8" i="1"/>
  <c r="Q11" i="1"/>
  <c r="D10" i="2"/>
  <c r="G8" i="2"/>
  <c r="E8" i="2"/>
  <c r="F8" i="2"/>
  <c r="C8" i="2"/>
  <c r="D8" i="2"/>
  <c r="D12" i="2"/>
  <c r="D11" i="2"/>
  <c r="C10" i="2"/>
  <c r="B16" i="3"/>
  <c r="D9" i="2"/>
  <c r="C11" i="2"/>
  <c r="B20" i="3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/>
  <c r="R11" i="1"/>
  <c r="AF11" i="1"/>
  <c r="AF8" i="1"/>
  <c r="V7" i="1"/>
  <c r="AF7" i="1"/>
  <c r="R15" i="1"/>
  <c r="V9" i="1"/>
  <c r="AF9" i="1"/>
  <c r="AD8" i="1"/>
  <c r="AE8" i="1"/>
  <c r="AG8" i="1"/>
  <c r="AH8" i="1"/>
  <c r="AD10" i="1"/>
  <c r="AE10" i="1"/>
  <c r="AG10" i="1"/>
  <c r="AH10" i="1"/>
  <c r="T7" i="1"/>
  <c r="T8" i="1"/>
  <c r="C9" i="1"/>
  <c r="B15" i="3"/>
  <c r="G17" i="3"/>
  <c r="C8" i="1"/>
  <c r="B19" i="3"/>
  <c r="G18" i="3"/>
  <c r="L14" i="3"/>
  <c r="B11" i="3"/>
  <c r="B7" i="3"/>
  <c r="AC7" i="1"/>
  <c r="AC9" i="1"/>
  <c r="L23" i="3"/>
  <c r="AD9" i="1"/>
  <c r="AE9" i="1"/>
  <c r="AG9" i="1"/>
  <c r="AD7" i="1"/>
  <c r="AE7" i="1"/>
  <c r="AG7" i="1"/>
  <c r="AC11" i="1"/>
  <c r="AC8" i="1"/>
  <c r="AC10" i="1"/>
  <c r="AD11" i="1"/>
  <c r="AE11" i="1"/>
  <c r="AG11" i="1"/>
  <c r="I23" i="1"/>
  <c r="N26" i="1"/>
  <c r="I24" i="1"/>
  <c r="N23" i="1"/>
  <c r="AH7" i="1"/>
  <c r="N25" i="1"/>
  <c r="AH9" i="1"/>
  <c r="I25" i="1"/>
  <c r="N27" i="1"/>
  <c r="AH11" i="1"/>
  <c r="I27" i="1"/>
  <c r="I26" i="1"/>
  <c r="N24" i="1"/>
  <c r="T10" i="1"/>
  <c r="T11" i="1"/>
  <c r="T9" i="1"/>
  <c r="D8" i="1"/>
  <c r="R17" i="3"/>
  <c r="E8" i="1"/>
  <c r="F8" i="1"/>
  <c r="F9" i="1"/>
  <c r="G8" i="1"/>
  <c r="F11" i="1"/>
  <c r="D11" i="1"/>
  <c r="G12" i="1"/>
  <c r="E10" i="1"/>
  <c r="D10" i="1"/>
  <c r="G10" i="3"/>
  <c r="D12" i="1"/>
  <c r="F12" i="1"/>
  <c r="C11" i="1"/>
  <c r="B8" i="3"/>
  <c r="C12" i="1"/>
  <c r="D9" i="1"/>
  <c r="F10" i="1"/>
  <c r="G10" i="1"/>
  <c r="E12" i="1"/>
  <c r="G11" i="1"/>
  <c r="G9" i="1"/>
  <c r="E9" i="1"/>
  <c r="E11" i="1"/>
  <c r="C10" i="1"/>
  <c r="B12" i="3"/>
  <c r="G9" i="3"/>
  <c r="L13" i="3"/>
  <c r="L22" i="3"/>
  <c r="R19" i="3"/>
  <c r="R18" i="3"/>
</calcChain>
</file>

<file path=xl/sharedStrings.xml><?xml version="1.0" encoding="utf-8"?>
<sst xmlns="http://schemas.openxmlformats.org/spreadsheetml/2006/main" count="190" uniqueCount="84">
  <si>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</si>
  <si>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</si>
  <si>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</si>
  <si>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</si>
  <si>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</si>
  <si>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</si>
  <si>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</si>
  <si>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</si>
  <si>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</si>
  <si>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</si>
  <si>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</si>
  <si>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</si>
  <si>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</si>
  <si>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</si>
  <si>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</si>
  <si>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</si>
  <si>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</si>
  <si>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</si>
  <si>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</si>
  <si>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</si>
  <si>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</si>
  <si>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</si>
  <si>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</si>
  <si>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</si>
  <si>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</si>
  <si>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</si>
  <si>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</si>
  <si>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</si>
  <si>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</si>
  <si>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</si>
  <si>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</si>
  <si>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</si>
  <si>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</si>
  <si>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</si>
  <si>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</si>
  <si>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</si>
  <si>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</si>
  <si>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</si>
  <si>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</si>
  <si>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</si>
  <si>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</si>
  <si>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</si>
  <si>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</si>
  <si>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</si>
  <si>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</si>
  <si>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</si>
  <si>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</si>
  <si>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</si>
  <si>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</si>
  <si>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</si>
  <si>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</si>
  <si>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</si>
  <si>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</si>
  <si>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</si>
  <si>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</si>
  <si>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</si>
  <si>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</si>
  <si>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</si>
  <si>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</si>
  <si>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</si>
  <si>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</si>
  <si>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</si>
  <si>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</si>
  <si>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</si>
  <si>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</si>
  <si>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</si>
  <si>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</si>
  <si>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</si>
  <si>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</si>
  <si>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</si>
  <si>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</si>
  <si>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</si>
  <si>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</si>
  <si>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</si>
  <si>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</si>
  <si>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</si>
  <si>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</si>
  <si>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</si>
  <si>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</si>
  <si>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</si>
  <si>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</si>
  <si>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luz adamas</t>
  </si>
  <si>
    <t>ninaluzadamas66@gmail.com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</si>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</sst>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auto="1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inaluzadamas6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4"/>
  <sheetViews>
    <sheetView showGridLines="0" zoomScale="160" zoomScaleNormal="160" zoomScalePageLayoutView="160" workbookViewId="0">
      <selection activeCell="C6" sqref="C6:D6"/>
    </sheetView>
  </sheetViews>
  <sheetFormatPr baseColWidth="10" defaultRowHeight="15" x14ac:dyDescent="0.2"/>
  <cols>
    <col min="1" max="1" width="7" customWidth="1"/>
    <col min="2" max="2" width="33" customWidth="1"/>
    <col min="3" max="3" width="34.6640625" customWidth="1"/>
    <col min="4" max="4" width="3.33203125" customWidth="1"/>
    <col min="7" max="7" width="10.83203125" style="91"/>
  </cols>
  <sheetData>
    <row r="1" spans="2:7" ht="16" thickBot="1" x14ac:dyDescent="0.25"/>
    <row r="2" spans="2:7" ht="16" thickBot="1" x14ac:dyDescent="0.25">
      <c r="B2" s="102" t="s">
        <v>56</v>
      </c>
      <c r="C2" s="103"/>
      <c r="D2" s="104"/>
    </row>
    <row r="3" spans="2:7" x14ac:dyDescent="0.2">
      <c r="B3" s="95" t="s">
        <v>57</v>
      </c>
      <c r="C3" s="105" t="s">
        <v>81</v>
      </c>
      <c r="D3" s="106"/>
    </row>
    <row r="4" spans="2:7" x14ac:dyDescent="0.2">
      <c r="B4" s="94" t="s">
        <v>58</v>
      </c>
      <c r="C4" s="107" t="s">
        <v>82</v>
      </c>
      <c r="D4" s="108"/>
    </row>
    <row r="5" spans="2:7" s="1" customFormat="1" x14ac:dyDescent="0.2">
      <c r="B5" s="96" t="s">
        <v>59</v>
      </c>
      <c r="C5" s="97" t="str">
        <f>IF(D5="","Seleccione de la lista -&gt;","Real Madrid")</f>
        <v>Real Madrid</v>
      </c>
      <c r="D5" s="99" t="s">
        <v>63</v>
      </c>
      <c r="G5" s="91" t="s">
        <v>60</v>
      </c>
    </row>
    <row r="6" spans="2:7" ht="30.75" customHeight="1" thickBot="1" x14ac:dyDescent="0.25">
      <c r="B6" s="98" t="s">
        <v>80</v>
      </c>
      <c r="C6" s="100" t="s">
        <v>83</v>
      </c>
      <c r="D6" s="101"/>
      <c r="G6" s="91" t="s">
        <v>61</v>
      </c>
    </row>
    <row r="7" spans="2:7" x14ac:dyDescent="0.2">
      <c r="G7" s="91" t="s">
        <v>62</v>
      </c>
    </row>
    <row r="8" spans="2:7" x14ac:dyDescent="0.2">
      <c r="G8" s="91" t="s">
        <v>74</v>
      </c>
    </row>
    <row r="9" spans="2:7" x14ac:dyDescent="0.2">
      <c r="G9" s="91" t="s">
        <v>63</v>
      </c>
    </row>
    <row r="10" spans="2:7" x14ac:dyDescent="0.2">
      <c r="G10" s="91" t="s">
        <v>64</v>
      </c>
    </row>
    <row r="11" spans="2:7" x14ac:dyDescent="0.2">
      <c r="G11" s="91" t="s">
        <v>65</v>
      </c>
    </row>
    <row r="12" spans="2:7" x14ac:dyDescent="0.2">
      <c r="G12" s="91" t="s">
        <v>66</v>
      </c>
    </row>
    <row r="13" spans="2:7" x14ac:dyDescent="0.2">
      <c r="G13" s="91" t="s">
        <v>68</v>
      </c>
    </row>
    <row r="14" spans="2:7" x14ac:dyDescent="0.2">
      <c r="G14" s="91" t="s">
        <v>69</v>
      </c>
    </row>
    <row r="15" spans="2:7" x14ac:dyDescent="0.2">
      <c r="G15" s="91" t="s">
        <v>70</v>
      </c>
    </row>
    <row r="16" spans="2:7" x14ac:dyDescent="0.2">
      <c r="G16" s="91" t="s">
        <v>71</v>
      </c>
    </row>
    <row r="17" spans="7:7" x14ac:dyDescent="0.2">
      <c r="G17" s="91" t="s">
        <v>72</v>
      </c>
    </row>
    <row r="18" spans="7:7" x14ac:dyDescent="0.2">
      <c r="G18" s="91" t="s">
        <v>67</v>
      </c>
    </row>
    <row r="19" spans="7:7" x14ac:dyDescent="0.2">
      <c r="G19" s="91" t="s">
        <v>73</v>
      </c>
    </row>
    <row r="20" spans="7:7" x14ac:dyDescent="0.2">
      <c r="G20" s="91" t="s">
        <v>75</v>
      </c>
    </row>
    <row r="21" spans="7:7" x14ac:dyDescent="0.2">
      <c r="G21" s="91" t="s">
        <v>76</v>
      </c>
    </row>
    <row r="22" spans="7:7" x14ac:dyDescent="0.2">
      <c r="G22" s="91" t="s">
        <v>77</v>
      </c>
    </row>
    <row r="23" spans="7:7" x14ac:dyDescent="0.2">
      <c r="G23" s="91" t="s">
        <v>78</v>
      </c>
    </row>
    <row r="24" spans="7:7" x14ac:dyDescent="0.2">
      <c r="G24" s="91" t="s">
        <v>79</v>
      </c>
    </row>
  </sheetData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>
      <formula1>$G$5:$G$24</formula1>
    </dataValidation>
  </dataValidations>
  <hyperlinks>
    <hyperlink ref="C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29"/>
  <sheetViews>
    <sheetView showGridLines="0" zoomScale="140" zoomScaleNormal="140" zoomScalePageLayoutView="140" workbookViewId="0">
      <selection activeCell="M25" sqref="M25"/>
    </sheetView>
  </sheetViews>
  <sheetFormatPr baseColWidth="10" defaultRowHeight="15" x14ac:dyDescent="0.2"/>
  <cols>
    <col min="8" max="8" width="8.5" customWidth="1"/>
    <col min="9" max="9" width="5.83203125" customWidth="1"/>
    <col min="11" max="11" width="10.5" bestFit="1" customWidth="1"/>
    <col min="14" max="14" width="10.5" style="70" bestFit="1" customWidth="1"/>
    <col min="15" max="15" width="20" style="91" bestFit="1" customWidth="1"/>
    <col min="16" max="26" width="10.8320312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5" width="10.83203125" style="91"/>
  </cols>
  <sheetData>
    <row r="1" spans="2:35" s="1" customFormat="1" x14ac:dyDescent="0.2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6" thickBot="1" x14ac:dyDescent="0.25"/>
    <row r="3" spans="2:35" x14ac:dyDescent="0.2">
      <c r="B3" s="118" t="s">
        <v>14</v>
      </c>
      <c r="C3" s="119"/>
      <c r="D3" s="119"/>
      <c r="E3" s="119"/>
      <c r="F3" s="119"/>
      <c r="G3" s="120"/>
    </row>
    <row r="4" spans="2:35" ht="16" thickBot="1" x14ac:dyDescent="0.25">
      <c r="B4" s="121"/>
      <c r="C4" s="122"/>
      <c r="D4" s="122"/>
      <c r="E4" s="122"/>
      <c r="F4" s="122"/>
      <c r="G4" s="123"/>
    </row>
    <row r="5" spans="2:35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e">
        <f ca="1">_xlfn.CONCAT(K7,"_",N7)</f>
        <v>#NAME?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 ca="1">_xlfn.RANK.EQ(AH7,AH$7:AH$11,1)</f>
        <v>1</v>
      </c>
      <c r="U7" s="91" t="s">
        <v>2</v>
      </c>
      <c r="V7" s="91">
        <f>SUMIF($K$7:$K$16,U7,$P$7:$P$16) + SUMIF($N$7:$N$16,U7,$Q$7:$Q$16)</f>
        <v>10</v>
      </c>
      <c r="W7" s="91">
        <f>X7-Y7</f>
        <v>5</v>
      </c>
      <c r="X7" s="91">
        <f>SUMIF($K$7:$K$16,U7,$L$7:$L$16) + SUMIF($N$7:$N$16,U7,$M$7:$M$16)</f>
        <v>8</v>
      </c>
      <c r="Y7" s="91">
        <f>SUMIF($K$7:$K$16,U7,$M$7:$M$16) + SUMIF($N$7:$N$16,U7,$L$7:$L$16)</f>
        <v>3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-100050800</v>
      </c>
      <c r="AG7" s="91">
        <f>AF7-AE7*10</f>
        <v>-100050810</v>
      </c>
      <c r="AH7" s="91">
        <f>AG7+N23</f>
        <v>-100050809</v>
      </c>
    </row>
    <row r="8" spans="2:35" x14ac:dyDescent="0.2">
      <c r="B8" s="50">
        <v>1</v>
      </c>
      <c r="C8" s="32" t="str">
        <f t="shared" ref="C8:G12" ca="1" si="1">IFERROR(VLOOKUP($B8,$T$7:$Y$11,C$5,FALSE),"")</f>
        <v>Brasil</v>
      </c>
      <c r="D8" s="33">
        <f t="shared" ca="1" si="1"/>
        <v>10</v>
      </c>
      <c r="E8" s="33">
        <f t="shared" ca="1" si="1"/>
        <v>8</v>
      </c>
      <c r="F8" s="33">
        <f t="shared" ca="1" si="1"/>
        <v>3</v>
      </c>
      <c r="G8" s="34">
        <f t="shared" ca="1" si="1"/>
        <v>5</v>
      </c>
      <c r="H8" s="71"/>
      <c r="I8" s="12">
        <v>2</v>
      </c>
      <c r="J8" s="6">
        <v>44360</v>
      </c>
      <c r="K8" s="11" t="s">
        <v>12</v>
      </c>
      <c r="L8" s="20">
        <v>2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 ca="1">_xlfn.RANK.EQ(AH8,AH$7:AH$11,1)</f>
        <v>2</v>
      </c>
      <c r="U8" s="91" t="s">
        <v>12</v>
      </c>
      <c r="V8" s="91">
        <f>SUMIF($K$7:$K$16,U8,$P$7:$P$16) + SUMIF($N$7:$N$16,U8,$Q$7:$Q$16)</f>
        <v>7</v>
      </c>
      <c r="W8" s="91">
        <f>X8-Y8</f>
        <v>1</v>
      </c>
      <c r="X8" s="91">
        <f>SUMIF($K$7:$K$16,U8,$L$7:$L$16) + SUMIF($N$7:$N$16,U8,$M$7:$M$16)</f>
        <v>6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>Peru</v>
      </c>
      <c r="AD8" s="91" t="str">
        <f ca="1">IF(AC8="","",IFERROR(VLOOKUP(CONCATENATE(AB8,"_",AC8),$O$7:$R$16,4,FALSE),VLOOKUP(CONCATENATE(AC8,"_",AB8),$O$7:$R$16,4,FALSE)))</f>
        <v>SIN GANADOR</v>
      </c>
      <c r="AE8" s="91">
        <f t="shared" ref="AE8:AE11" ca="1" si="6">IF(AD8="",1,IF(AD8=AB8,1,0))</f>
        <v>0</v>
      </c>
      <c r="AF8" s="91">
        <f t="shared" ref="AF8:AF11" si="7">-V8*10000000 - W8*10000 - X8*100</f>
        <v>-70010600</v>
      </c>
      <c r="AG8" s="91">
        <f t="shared" ref="AG8:AG11" ca="1" si="8">AF8-AE8*10</f>
        <v>-70010600</v>
      </c>
      <c r="AH8" s="91">
        <f ca="1">AG8+N24</f>
        <v>-70010598</v>
      </c>
    </row>
    <row r="9" spans="2:35" x14ac:dyDescent="0.2">
      <c r="B9" s="62">
        <v>2</v>
      </c>
      <c r="C9" s="63" t="str">
        <f t="shared" ca="1" si="1"/>
        <v>Colombia</v>
      </c>
      <c r="D9" s="64">
        <f t="shared" ca="1" si="1"/>
        <v>7</v>
      </c>
      <c r="E9" s="64">
        <f t="shared" ca="1" si="1"/>
        <v>6</v>
      </c>
      <c r="F9" s="64">
        <f t="shared" ca="1" si="1"/>
        <v>5</v>
      </c>
      <c r="G9" s="65">
        <f t="shared" ca="1" si="1"/>
        <v>1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 ca="1">_xlfn.RANK.EQ(AH9,AH$7:AH$11,1)</f>
        <v>4</v>
      </c>
      <c r="U9" s="91" t="s">
        <v>13</v>
      </c>
      <c r="V9" s="91">
        <f>SUMIF($K$7:$K$16,U9,$P$7:$P$16) + SUMIF($N$7:$N$16,U9,$Q$7:$Q$16)</f>
        <v>2</v>
      </c>
      <c r="W9" s="91">
        <f t="shared" ref="W9:W11" si="9">X9-Y9</f>
        <v>-2</v>
      </c>
      <c r="X9" s="91">
        <f>SUMIF($K$7:$K$16,U9,$L$7:$L$16) + SUMIF($N$7:$N$16,U9,$M$7:$M$16)</f>
        <v>4</v>
      </c>
      <c r="Y9" s="91">
        <f>SUMIF($K$7:$K$16,U9,$M$7:$M$16) + SUMIF($N$7:$N$16,U9,$L$7:$L$16)</f>
        <v>6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-19980400</v>
      </c>
      <c r="AG9" s="91">
        <f t="shared" si="8"/>
        <v>-19980410</v>
      </c>
      <c r="AH9" s="91">
        <f>AG9+N25</f>
        <v>-19980406</v>
      </c>
    </row>
    <row r="10" spans="2:35" x14ac:dyDescent="0.2">
      <c r="B10" s="58">
        <v>3</v>
      </c>
      <c r="C10" s="59" t="str">
        <f t="shared" ca="1" si="1"/>
        <v>Peru</v>
      </c>
      <c r="D10" s="60">
        <f t="shared" ca="1" si="1"/>
        <v>7</v>
      </c>
      <c r="E10" s="60">
        <f t="shared" ca="1" si="1"/>
        <v>6</v>
      </c>
      <c r="F10" s="60">
        <f t="shared" ca="1" si="1"/>
        <v>5</v>
      </c>
      <c r="G10" s="61">
        <f t="shared" ca="1" si="1"/>
        <v>1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 ca="1">_xlfn.RANK.EQ(AH10,AH$7:AH$11,1)</f>
        <v>3</v>
      </c>
      <c r="U10" s="91" t="s">
        <v>5</v>
      </c>
      <c r="V10" s="91">
        <f>SUMIF($K$7:$K$16,U10,$P$7:$P$16) + SUMIF($N$7:$N$16,U10,$Q$7:$Q$16)</f>
        <v>7</v>
      </c>
      <c r="W10" s="91">
        <f t="shared" si="9"/>
        <v>1</v>
      </c>
      <c r="X10" s="91">
        <f>SUMIF($K$7:$K$16,U10,$L$7:$L$16) + SUMIF($N$7:$N$16,U10,$M$7:$M$16)</f>
        <v>6</v>
      </c>
      <c r="Y10" s="91">
        <f>SUMIF($K$7:$K$16,U10,$M$7:$M$16) + SUMIF($N$7:$N$16,U10,$L$7:$L$16)</f>
        <v>5</v>
      </c>
      <c r="AB10" s="91" t="str">
        <f t="shared" si="5"/>
        <v>Peru</v>
      </c>
      <c r="AC10" s="91" t="str">
        <f>IF(AF10=AF11,AB11,IF(AF10=AF7,AB7,IF(AF10=AF8,AB8,IF(AF10=AF9,AB9,""))))</f>
        <v>Colombia</v>
      </c>
      <c r="AD10" s="91" t="str">
        <f ca="1">IF(AC10="","",IFERROR(VLOOKUP(CONCATENATE(AB10,"_",AC10),$O$7:$R$16,4,FALSE),VLOOKUP(CONCATENATE(AC10,"_",AB10),$O$7:$R$16,4,FALSE)))</f>
        <v>SIN GANADOR</v>
      </c>
      <c r="AE10" s="91">
        <f t="shared" ca="1" si="6"/>
        <v>0</v>
      </c>
      <c r="AF10" s="91">
        <f t="shared" si="7"/>
        <v>-70010600</v>
      </c>
      <c r="AG10" s="91">
        <f t="shared" ca="1" si="8"/>
        <v>-70010600</v>
      </c>
      <c r="AH10" s="91">
        <f ca="1">AG10+N26</f>
        <v>-70010597</v>
      </c>
    </row>
    <row r="11" spans="2:35" x14ac:dyDescent="0.2">
      <c r="B11" s="66">
        <v>4</v>
      </c>
      <c r="C11" s="67" t="str">
        <f t="shared" ca="1" si="1"/>
        <v>Ecuador</v>
      </c>
      <c r="D11" s="68">
        <f t="shared" ca="1" si="1"/>
        <v>2</v>
      </c>
      <c r="E11" s="68">
        <f t="shared" ca="1" si="1"/>
        <v>4</v>
      </c>
      <c r="F11" s="68">
        <f t="shared" ca="1" si="1"/>
        <v>6</v>
      </c>
      <c r="G11" s="69">
        <f t="shared" ca="1" si="1"/>
        <v>-2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 ca="1">_xlfn.RANK.EQ(AH11,AH$7:AH$11,1)</f>
        <v>5</v>
      </c>
      <c r="U11" s="91" t="s">
        <v>4</v>
      </c>
      <c r="V11" s="91">
        <f>SUMIF($K$7:$K$16,U11,$P$7:$P$16) + SUMIF($N$7:$N$16,U11,$Q$7:$Q$16)</f>
        <v>1</v>
      </c>
      <c r="W11" s="91">
        <f t="shared" si="9"/>
        <v>-5</v>
      </c>
      <c r="X11" s="91">
        <f>SUMIF($K$7:$K$16,U11,$L$7:$L$16) + SUMIF($N$7:$N$16,U11,$M$7:$M$16)</f>
        <v>3</v>
      </c>
      <c r="Y11" s="91">
        <f>SUMIF($K$7:$K$16,U11,$M$7:$M$16) + SUMIF($N$7:$N$16,U11,$L$7:$L$16)</f>
        <v>8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-9950300</v>
      </c>
      <c r="AG11" s="91">
        <f t="shared" si="8"/>
        <v>-9950310</v>
      </c>
      <c r="AH11" s="91">
        <f>AG11+N27</f>
        <v>-9950305</v>
      </c>
    </row>
    <row r="12" spans="2:35" s="1" customFormat="1" ht="16" thickBot="1" x14ac:dyDescent="0.25">
      <c r="B12" s="54">
        <v>5</v>
      </c>
      <c r="C12" s="55" t="str">
        <f t="shared" ca="1" si="1"/>
        <v>Venezuela</v>
      </c>
      <c r="D12" s="56">
        <f t="shared" ca="1" si="1"/>
        <v>1</v>
      </c>
      <c r="E12" s="56">
        <f t="shared" ca="1" si="1"/>
        <v>3</v>
      </c>
      <c r="F12" s="56">
        <f t="shared" ca="1" si="1"/>
        <v>8</v>
      </c>
      <c r="G12" s="57">
        <f t="shared" ca="1" si="1"/>
        <v>-5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1</v>
      </c>
      <c r="Q12" s="91">
        <f t="shared" ref="Q12:Q15" si="10">IF(P12=3,0,IF(P12=1,1,3))</f>
        <v>1</v>
      </c>
      <c r="R12" s="91" t="str">
        <f t="shared" si="4"/>
        <v>SIN GANADOR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">
      <c r="I13" s="28">
        <v>13</v>
      </c>
      <c r="J13" s="24">
        <v>44370</v>
      </c>
      <c r="K13" s="25" t="s">
        <v>13</v>
      </c>
      <c r="L13" s="26">
        <v>1</v>
      </c>
      <c r="M13" s="27">
        <v>2</v>
      </c>
      <c r="N13" s="28" t="s">
        <v>5</v>
      </c>
      <c r="O13" s="92" t="str">
        <f t="shared" si="2"/>
        <v>Ecuador_Peru</v>
      </c>
      <c r="P13" s="91">
        <f t="shared" si="0"/>
        <v>0</v>
      </c>
      <c r="Q13" s="91">
        <f t="shared" si="10"/>
        <v>3</v>
      </c>
      <c r="R13" s="91" t="str">
        <f t="shared" si="4"/>
        <v>Peru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">
      <c r="I14" s="31">
        <v>14</v>
      </c>
      <c r="J14" s="29">
        <v>44370</v>
      </c>
      <c r="K14" s="30" t="s">
        <v>12</v>
      </c>
      <c r="L14" s="26">
        <v>1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">
      <c r="I15" s="28">
        <v>17</v>
      </c>
      <c r="J15" s="24">
        <v>44374</v>
      </c>
      <c r="K15" s="25" t="s">
        <v>13</v>
      </c>
      <c r="L15" s="26">
        <v>1</v>
      </c>
      <c r="M15" s="27">
        <v>1</v>
      </c>
      <c r="N15" s="28" t="s">
        <v>2</v>
      </c>
      <c r="O15" s="92" t="str">
        <f t="shared" si="2"/>
        <v>Ecuador_Brasil</v>
      </c>
      <c r="P15" s="91">
        <f t="shared" si="0"/>
        <v>1</v>
      </c>
      <c r="Q15" s="91">
        <f t="shared" si="10"/>
        <v>1</v>
      </c>
      <c r="R15" s="91" t="str">
        <f t="shared" si="4"/>
        <v>SIN GANADOR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6" thickBot="1" x14ac:dyDescent="0.25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6" thickBot="1" x14ac:dyDescent="0.25"/>
    <row r="22" spans="2:35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4</v>
      </c>
      <c r="N25" s="1">
        <f>IF(J25="",0,M25)</f>
        <v>4</v>
      </c>
    </row>
    <row r="26" spans="2:35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3</v>
      </c>
      <c r="N26" s="1">
        <f>IF(J26="",0,M26)</f>
        <v>3</v>
      </c>
    </row>
    <row r="27" spans="2:35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6" thickBot="1" x14ac:dyDescent="0.25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">
      <c r="J29" s="1"/>
      <c r="K29" s="1"/>
      <c r="L29" s="1"/>
      <c r="M29" s="1"/>
    </row>
  </sheetData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28"/>
  <sheetViews>
    <sheetView showGridLines="0" zoomScale="140" zoomScaleNormal="140" zoomScalePageLayoutView="140" workbookViewId="0">
      <selection activeCell="M23" sqref="M23"/>
    </sheetView>
  </sheetViews>
  <sheetFormatPr baseColWidth="10" defaultRowHeight="15" x14ac:dyDescent="0.2"/>
  <cols>
    <col min="1" max="7" width="10.83203125" style="1"/>
    <col min="8" max="8" width="5.83203125" style="1" customWidth="1"/>
    <col min="9" max="9" width="5.33203125" style="1" customWidth="1"/>
    <col min="10" max="10" width="10.83203125" style="1"/>
    <col min="11" max="11" width="13.33203125" style="1" customWidth="1"/>
    <col min="12" max="13" width="10.83203125" style="1"/>
    <col min="14" max="14" width="14.83203125" style="70" customWidth="1"/>
    <col min="15" max="15" width="18.83203125" style="91" bestFit="1" customWidth="1"/>
    <col min="16" max="26" width="10.8320312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6" width="10.83203125" style="91"/>
    <col min="37" max="16384" width="10.83203125" style="1"/>
  </cols>
  <sheetData>
    <row r="2" spans="2:34" ht="16" thickBot="1" x14ac:dyDescent="0.25"/>
    <row r="3" spans="2:34" x14ac:dyDescent="0.2">
      <c r="B3" s="118" t="s">
        <v>24</v>
      </c>
      <c r="C3" s="119"/>
      <c r="D3" s="119"/>
      <c r="E3" s="119"/>
      <c r="F3" s="119"/>
      <c r="G3" s="120"/>
    </row>
    <row r="4" spans="2:34" ht="16" thickBot="1" x14ac:dyDescent="0.25">
      <c r="B4" s="121"/>
      <c r="C4" s="122"/>
      <c r="D4" s="122"/>
      <c r="E4" s="122"/>
      <c r="F4" s="122"/>
      <c r="G4" s="123"/>
    </row>
    <row r="5" spans="2:34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2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0</v>
      </c>
      <c r="Q7" s="91">
        <f>IF(P7=3,0,IF(P7=1,1,3))</f>
        <v>3</v>
      </c>
      <c r="R7" s="91" t="str">
        <f>IF(P7&gt;Q7,K7,IF(Q7&gt;P7,N7,"SIN GANADOR"))</f>
        <v>Chile</v>
      </c>
      <c r="T7" s="91">
        <f>_xlfn.RANK.EQ(AH7,AH$7:AH$11,1)</f>
        <v>2</v>
      </c>
      <c r="U7" s="91" t="s">
        <v>25</v>
      </c>
      <c r="V7" s="91">
        <f>SUMIF($K$7:$K$16,U7,$P$7:$P$16) + SUMIF($N$7:$N$16,U7,$Q$7:$Q$16)</f>
        <v>7</v>
      </c>
      <c r="W7" s="91">
        <f>X7-Y7</f>
        <v>6</v>
      </c>
      <c r="X7" s="91">
        <f>SUMIF($K$7:$K$16,U7,$L$7:$L$16) + SUMIF($N$7:$N$16,U7,$M$7:$M$16)</f>
        <v>9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-70060900</v>
      </c>
      <c r="AG7" s="91">
        <f>AF7-AE7*10</f>
        <v>-70060910</v>
      </c>
      <c r="AH7" s="91">
        <f>AG7+N23</f>
        <v>-70060908</v>
      </c>
    </row>
    <row r="8" spans="2:34" x14ac:dyDescent="0.2">
      <c r="B8" s="50">
        <v>1</v>
      </c>
      <c r="C8" s="32" t="str">
        <f t="shared" ref="C8:G12" si="1">IFERROR(VLOOKUP($B8,$T$7:$Y$11,C$5,FALSE),"")</f>
        <v>Chile</v>
      </c>
      <c r="D8" s="33">
        <f t="shared" si="1"/>
        <v>10</v>
      </c>
      <c r="E8" s="33">
        <f t="shared" si="1"/>
        <v>6</v>
      </c>
      <c r="F8" s="33">
        <f t="shared" si="1"/>
        <v>2</v>
      </c>
      <c r="G8" s="34">
        <f t="shared" si="1"/>
        <v>4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4</v>
      </c>
      <c r="U8" s="91" t="s">
        <v>3</v>
      </c>
      <c r="V8" s="91">
        <f>SUMIF($K$7:$K$16,U8,$P$7:$P$16) + SUMIF($N$7:$N$16,U8,$Q$7:$Q$16)</f>
        <v>2</v>
      </c>
      <c r="W8" s="91">
        <f>X8-Y8</f>
        <v>-7</v>
      </c>
      <c r="X8" s="91">
        <f>SUMIF($K$7:$K$16,U8,$L$7:$L$16) + SUMIF($N$7:$N$16,U8,$M$7:$M$16)</f>
        <v>1</v>
      </c>
      <c r="Y8" s="91">
        <f>SUMIF($K$7:$K$16,U8,$M$7:$M$16) + SUMIF($N$7:$N$16,U8,$L$7:$L$16)</f>
        <v>8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-19930100</v>
      </c>
      <c r="AG8" s="91">
        <f t="shared" ref="AG8:AG11" si="8">AF8-AE8*10</f>
        <v>-19930110</v>
      </c>
      <c r="AH8" s="91">
        <f>AG8+N24</f>
        <v>-19930105</v>
      </c>
    </row>
    <row r="9" spans="2:34" x14ac:dyDescent="0.2">
      <c r="B9" s="62">
        <v>2</v>
      </c>
      <c r="C9" s="63" t="str">
        <f t="shared" si="1"/>
        <v>Argentina</v>
      </c>
      <c r="D9" s="64">
        <f t="shared" si="1"/>
        <v>7</v>
      </c>
      <c r="E9" s="64">
        <f t="shared" si="1"/>
        <v>9</v>
      </c>
      <c r="F9" s="64">
        <f t="shared" si="1"/>
        <v>3</v>
      </c>
      <c r="G9" s="65">
        <f t="shared" si="1"/>
        <v>6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1</v>
      </c>
      <c r="U9" s="91" t="s">
        <v>26</v>
      </c>
      <c r="V9" s="91">
        <f>SUMIF($K$7:$K$16,U9,$P$7:$P$16) + SUMIF($N$7:$N$16,U9,$Q$7:$Q$16)</f>
        <v>10</v>
      </c>
      <c r="W9" s="91">
        <f t="shared" ref="W9:W11" si="9">X9-Y9</f>
        <v>4</v>
      </c>
      <c r="X9" s="91">
        <f>SUMIF($K$7:$K$16,U9,$L$7:$L$16) + SUMIF($N$7:$N$16,U9,$M$7:$M$16)</f>
        <v>6</v>
      </c>
      <c r="Y9" s="91">
        <f>SUMIF($K$7:$K$16,U9,$M$7:$M$16) + SUMIF($N$7:$N$16,U9,$L$7:$L$16)</f>
        <v>2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-100040600</v>
      </c>
      <c r="AG9" s="91">
        <f t="shared" si="8"/>
        <v>-100040610</v>
      </c>
      <c r="AH9" s="91">
        <f>AG9+N25</f>
        <v>-100040609</v>
      </c>
    </row>
    <row r="10" spans="2:34" x14ac:dyDescent="0.2">
      <c r="B10" s="58">
        <v>3</v>
      </c>
      <c r="C10" s="59" t="str">
        <f t="shared" si="1"/>
        <v>Uruguay</v>
      </c>
      <c r="D10" s="60">
        <f t="shared" si="1"/>
        <v>6</v>
      </c>
      <c r="E10" s="60">
        <f t="shared" si="1"/>
        <v>5</v>
      </c>
      <c r="F10" s="60">
        <f t="shared" si="1"/>
        <v>2</v>
      </c>
      <c r="G10" s="61">
        <f t="shared" si="1"/>
        <v>3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5</v>
      </c>
      <c r="U10" s="91" t="s">
        <v>27</v>
      </c>
      <c r="V10" s="91">
        <f>SUMIF($K$7:$K$16,U10,$P$7:$P$16) + SUMIF($N$7:$N$16,U10,$Q$7:$Q$16)</f>
        <v>1</v>
      </c>
      <c r="W10" s="91">
        <f t="shared" si="9"/>
        <v>-6</v>
      </c>
      <c r="X10" s="91">
        <f>SUMIF($K$7:$K$16,U10,$L$7:$L$16) + SUMIF($N$7:$N$16,U10,$M$7:$M$16)</f>
        <v>1</v>
      </c>
      <c r="Y10" s="91">
        <f>SUMIF($K$7:$K$16,U10,$M$7:$M$16) + SUMIF($N$7:$N$16,U10,$L$7:$L$16)</f>
        <v>7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-9940100</v>
      </c>
      <c r="AG10" s="91">
        <f t="shared" si="8"/>
        <v>-9940110</v>
      </c>
      <c r="AH10" s="91">
        <f>AG10+N26</f>
        <v>-9940106</v>
      </c>
    </row>
    <row r="11" spans="2:34" x14ac:dyDescent="0.2">
      <c r="B11" s="66">
        <v>4</v>
      </c>
      <c r="C11" s="67" t="str">
        <f t="shared" si="1"/>
        <v>Bolivia</v>
      </c>
      <c r="D11" s="68">
        <f t="shared" si="1"/>
        <v>2</v>
      </c>
      <c r="E11" s="68">
        <f t="shared" si="1"/>
        <v>1</v>
      </c>
      <c r="F11" s="68">
        <f t="shared" si="1"/>
        <v>8</v>
      </c>
      <c r="G11" s="69">
        <f t="shared" si="1"/>
        <v>-7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3</v>
      </c>
      <c r="U11" s="91" t="s">
        <v>28</v>
      </c>
      <c r="V11" s="91">
        <f>SUMIF($K$7:$K$16,U11,$P$7:$P$16) + SUMIF($N$7:$N$16,U11,$Q$7:$Q$16)</f>
        <v>6</v>
      </c>
      <c r="W11" s="91">
        <f t="shared" si="9"/>
        <v>3</v>
      </c>
      <c r="X11" s="91">
        <f>SUMIF($K$7:$K$16,U11,$L$7:$L$16) + SUMIF($N$7:$N$16,U11,$M$7:$M$16)</f>
        <v>5</v>
      </c>
      <c r="Y11" s="91">
        <f>SUMIF($K$7:$K$16,U11,$M$7:$M$16) + SUMIF($N$7:$N$16,U11,$L$7:$L$16)</f>
        <v>2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-60030500</v>
      </c>
      <c r="AG11" s="91">
        <f t="shared" si="8"/>
        <v>-60030510</v>
      </c>
      <c r="AH11" s="91">
        <f>AG11+N27</f>
        <v>-60030507</v>
      </c>
    </row>
    <row r="12" spans="2:34" ht="16" thickBot="1" x14ac:dyDescent="0.25">
      <c r="B12" s="54">
        <v>5</v>
      </c>
      <c r="C12" s="55" t="str">
        <f t="shared" si="1"/>
        <v>Paraguay</v>
      </c>
      <c r="D12" s="56">
        <f t="shared" si="1"/>
        <v>1</v>
      </c>
      <c r="E12" s="56">
        <f t="shared" si="1"/>
        <v>1</v>
      </c>
      <c r="F12" s="56">
        <f t="shared" si="1"/>
        <v>7</v>
      </c>
      <c r="G12" s="57">
        <f t="shared" si="1"/>
        <v>-6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">
      <c r="I13" s="28">
        <v>15</v>
      </c>
      <c r="J13" s="24">
        <v>44371</v>
      </c>
      <c r="K13" s="25" t="s">
        <v>3</v>
      </c>
      <c r="L13" s="26">
        <v>0</v>
      </c>
      <c r="M13" s="27">
        <v>0</v>
      </c>
      <c r="N13" s="28" t="s">
        <v>28</v>
      </c>
      <c r="O13" s="92" t="str">
        <f t="shared" si="2"/>
        <v>Bolivia_Uruguay</v>
      </c>
      <c r="P13" s="91">
        <f t="shared" si="0"/>
        <v>1</v>
      </c>
      <c r="Q13" s="91">
        <f t="shared" si="3"/>
        <v>1</v>
      </c>
      <c r="R13" s="91" t="str">
        <f t="shared" si="4"/>
        <v>SIN GANADOR</v>
      </c>
    </row>
    <row r="14" spans="2:34" x14ac:dyDescent="0.2">
      <c r="I14" s="31">
        <v>16</v>
      </c>
      <c r="J14" s="29">
        <v>44371</v>
      </c>
      <c r="K14" s="30" t="s">
        <v>26</v>
      </c>
      <c r="L14" s="26">
        <v>1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">
      <c r="I15" s="28">
        <v>19</v>
      </c>
      <c r="J15" s="24">
        <v>44375</v>
      </c>
      <c r="K15" s="25" t="s">
        <v>28</v>
      </c>
      <c r="L15" s="26">
        <v>3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6" thickBot="1" x14ac:dyDescent="0.25">
      <c r="I16" s="15">
        <v>20</v>
      </c>
      <c r="J16" s="7">
        <v>44375</v>
      </c>
      <c r="K16" s="14" t="s">
        <v>25</v>
      </c>
      <c r="L16" s="22">
        <v>5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6" thickBot="1" x14ac:dyDescent="0.25"/>
    <row r="22" spans="2:14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2</v>
      </c>
      <c r="N23" s="1">
        <f>IF(J23="",0,M23)</f>
        <v>2</v>
      </c>
    </row>
    <row r="24" spans="2:14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1</v>
      </c>
      <c r="N25" s="1">
        <f>IF(J25="",0,M25)</f>
        <v>1</v>
      </c>
    </row>
    <row r="26" spans="2:14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6" thickBot="1" x14ac:dyDescent="0.25">
      <c r="B28" s="43"/>
      <c r="C28" s="44"/>
      <c r="D28" s="44"/>
      <c r="E28" s="44"/>
      <c r="F28" s="44"/>
      <c r="G28" s="44"/>
      <c r="H28" s="45"/>
    </row>
  </sheetData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4"/>
  <sheetViews>
    <sheetView showGridLines="0" tabSelected="1" zoomScale="140" zoomScaleNormal="140" zoomScalePageLayoutView="140" workbookViewId="0">
      <selection activeCell="M25" sqref="M25"/>
    </sheetView>
  </sheetViews>
  <sheetFormatPr baseColWidth="10" defaultRowHeight="15" x14ac:dyDescent="0.2"/>
  <cols>
    <col min="1" max="2" width="10.83203125" style="1"/>
    <col min="3" max="3" width="11.33203125" style="1" bestFit="1" customWidth="1"/>
    <col min="4" max="4" width="9.1640625" style="1" bestFit="1" customWidth="1"/>
    <col min="5" max="8" width="10.83203125" style="1"/>
    <col min="9" max="9" width="9.1640625" style="1" bestFit="1" customWidth="1"/>
    <col min="10" max="13" width="10.83203125" style="1"/>
    <col min="14" max="14" width="9.1640625" style="1" bestFit="1" customWidth="1"/>
    <col min="15" max="16" width="10.83203125" style="1"/>
    <col min="17" max="17" width="16.83203125" style="1" bestFit="1" customWidth="1"/>
    <col min="18" max="16384" width="10.83203125" style="1"/>
  </cols>
  <sheetData>
    <row r="2" spans="2:43" ht="16" thickBot="1" x14ac:dyDescent="0.25"/>
    <row r="3" spans="2:43" ht="16" thickBot="1" x14ac:dyDescent="0.25">
      <c r="B3" s="135" t="s">
        <v>29</v>
      </c>
      <c r="C3" s="136"/>
      <c r="D3" s="137"/>
    </row>
    <row r="4" spans="2:43" ht="16" thickBot="1" x14ac:dyDescent="0.25"/>
    <row r="5" spans="2:43" ht="16" thickBot="1" x14ac:dyDescent="0.25">
      <c r="G5" s="135" t="s">
        <v>30</v>
      </c>
      <c r="H5" s="136"/>
      <c r="I5" s="137"/>
    </row>
    <row r="6" spans="2:43" ht="16" thickBot="1" x14ac:dyDescent="0.25">
      <c r="B6" s="90">
        <v>24</v>
      </c>
      <c r="C6" s="72" t="s">
        <v>31</v>
      </c>
      <c r="D6" s="73" t="s">
        <v>32</v>
      </c>
    </row>
    <row r="7" spans="2:43" ht="16" thickBot="1" x14ac:dyDescent="0.25">
      <c r="B7" s="74" t="str">
        <f>'Grupo B'!C8</f>
        <v>Chile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6" thickBot="1" x14ac:dyDescent="0.25">
      <c r="B8" s="76" t="str">
        <f ca="1">'Grupo A'!C11</f>
        <v>Ecuador</v>
      </c>
      <c r="C8" s="42">
        <v>0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6" thickBot="1" x14ac:dyDescent="0.25">
      <c r="E9" s="79"/>
      <c r="G9" s="74" t="str">
        <f>IF(C8&gt;C7,B8,IF(C7&gt;C8,B7,IF(D8&gt;D7,B8,IF(D7&gt;D8,B7,""))))</f>
        <v>Chile</v>
      </c>
      <c r="H9" s="41">
        <v>1</v>
      </c>
      <c r="I9" s="75">
        <v>5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6" thickBot="1" x14ac:dyDescent="0.25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Argentina</v>
      </c>
      <c r="H10" s="42">
        <v>1</v>
      </c>
      <c r="I10" s="77">
        <v>3</v>
      </c>
      <c r="J10" s="78"/>
    </row>
    <row r="11" spans="2:43" ht="16" thickBot="1" x14ac:dyDescent="0.25">
      <c r="B11" s="74" t="str">
        <f>'Grupo B'!C9</f>
        <v>Argentina</v>
      </c>
      <c r="C11" s="41">
        <v>1</v>
      </c>
      <c r="D11" s="75">
        <v>5</v>
      </c>
      <c r="E11" s="82"/>
      <c r="J11" s="79"/>
    </row>
    <row r="12" spans="2:43" ht="16" thickBot="1" x14ac:dyDescent="0.25">
      <c r="B12" s="76" t="str">
        <f ca="1">'Grupo A'!C10</f>
        <v>Peru</v>
      </c>
      <c r="C12" s="42">
        <v>1</v>
      </c>
      <c r="D12" s="77">
        <v>4</v>
      </c>
      <c r="E12" s="83"/>
      <c r="J12" s="79"/>
      <c r="L12" s="90">
        <v>28</v>
      </c>
      <c r="M12" s="72" t="s">
        <v>31</v>
      </c>
      <c r="N12" s="73" t="s">
        <v>32</v>
      </c>
    </row>
    <row r="13" spans="2:43" ht="16" thickBot="1" x14ac:dyDescent="0.25">
      <c r="J13" s="79"/>
      <c r="L13" s="74" t="str">
        <f>IF(H10&gt;H9,G10,IF(H9&gt;H10,G9,IF(I10&gt;I9,G10,IF(I9&gt;I10,G9,""))))</f>
        <v>Chile</v>
      </c>
      <c r="M13" s="41">
        <v>1</v>
      </c>
      <c r="N13" s="75">
        <v>3</v>
      </c>
    </row>
    <row r="14" spans="2:43" ht="16" thickBot="1" x14ac:dyDescent="0.25">
      <c r="B14" s="90">
        <v>21</v>
      </c>
      <c r="C14" s="72" t="s">
        <v>31</v>
      </c>
      <c r="D14" s="73" t="s">
        <v>32</v>
      </c>
      <c r="J14" s="79"/>
      <c r="K14" s="81"/>
      <c r="L14" s="76" t="str">
        <f ca="1">IF(H18&gt;H17,G18,IF(H17&gt;H18,G17,IF(I18&gt;I17,G18,IF(I17&gt;I18,G17,""))))</f>
        <v>Brasil</v>
      </c>
      <c r="M14" s="42">
        <v>1</v>
      </c>
      <c r="N14" s="77">
        <v>0</v>
      </c>
    </row>
    <row r="15" spans="2:43" ht="16" thickBot="1" x14ac:dyDescent="0.25">
      <c r="B15" s="74" t="str">
        <f ca="1">'Grupo A'!C9</f>
        <v>Colombia</v>
      </c>
      <c r="C15" s="41">
        <v>1</v>
      </c>
      <c r="D15" s="75">
        <v>5</v>
      </c>
      <c r="J15" s="79"/>
      <c r="U15" s="35" t="s">
        <v>37</v>
      </c>
      <c r="V15" s="36"/>
      <c r="W15" s="36"/>
      <c r="X15" s="36"/>
      <c r="Y15" s="36"/>
      <c r="Z15" s="37"/>
    </row>
    <row r="16" spans="2:43" ht="16" thickBot="1" x14ac:dyDescent="0.25">
      <c r="B16" s="76" t="str">
        <f>'Grupo B'!C10</f>
        <v>Uruguay</v>
      </c>
      <c r="C16" s="42">
        <v>1</v>
      </c>
      <c r="D16" s="77">
        <v>3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6" thickBot="1" x14ac:dyDescent="0.25">
      <c r="E17" s="79"/>
      <c r="G17" s="74" t="str">
        <f ca="1">IF(C16&gt;C15,B16,IF(C15&gt;C16,B15,IF(D16&gt;D15,B16,IF(D15&gt;D16,B15,""))))</f>
        <v>Colombia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Chile</v>
      </c>
      <c r="U17" s="38" t="s">
        <v>41</v>
      </c>
      <c r="V17" s="39"/>
      <c r="W17" s="39"/>
      <c r="X17" s="39"/>
      <c r="Y17" s="39"/>
      <c r="Z17" s="40"/>
    </row>
    <row r="18" spans="2:26" ht="16" thickBot="1" x14ac:dyDescent="0.25">
      <c r="B18" s="90">
        <v>22</v>
      </c>
      <c r="C18" s="72" t="s">
        <v>31</v>
      </c>
      <c r="D18" s="73" t="s">
        <v>32</v>
      </c>
      <c r="E18" s="80"/>
      <c r="F18" s="81"/>
      <c r="G18" s="76" t="str">
        <f ca="1"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 ca="1">IF(R17=L13,L14,IF(R17=L14,L13,""))</f>
        <v>Brasil</v>
      </c>
      <c r="U18" s="43" t="s">
        <v>44</v>
      </c>
      <c r="V18" s="44"/>
      <c r="W18" s="44"/>
      <c r="X18" s="44"/>
      <c r="Y18" s="44"/>
      <c r="Z18" s="45"/>
    </row>
    <row r="19" spans="2:26" ht="16" thickBot="1" x14ac:dyDescent="0.25">
      <c r="B19" s="74" t="str">
        <f ca="1">'Grupo A'!C8</f>
        <v>Brasil</v>
      </c>
      <c r="C19" s="41">
        <v>4</v>
      </c>
      <c r="D19" s="75"/>
      <c r="E19" s="82"/>
      <c r="Q19" s="76" t="s">
        <v>45</v>
      </c>
      <c r="R19" s="87" t="str">
        <f ca="1">IF(M22&gt;M23,L22,IF(M23&gt;M22,L23,IF(N22&gt;N23,L22,IF(N23&gt;N22,L23,""))))</f>
        <v>Colombia</v>
      </c>
    </row>
    <row r="20" spans="2:26" ht="16" thickBot="1" x14ac:dyDescent="0.25">
      <c r="B20" s="76" t="str">
        <f>'Grupo B'!C11</f>
        <v>Bolivia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6" thickBot="1" x14ac:dyDescent="0.25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">
      <c r="L22" s="74" t="str">
        <f>IF(L13=G9,G10,IF(L13=G10,G9,""))</f>
        <v>Argentina</v>
      </c>
      <c r="M22" s="41">
        <v>1</v>
      </c>
      <c r="N22" s="75"/>
      <c r="U22" s="127" t="s">
        <v>49</v>
      </c>
      <c r="V22" s="129"/>
      <c r="W22" s="88">
        <v>1</v>
      </c>
    </row>
    <row r="23" spans="2:26" ht="16" thickBot="1" x14ac:dyDescent="0.25">
      <c r="L23" s="76" t="str">
        <f ca="1">IF(L14=G17,G18,IF(L14=G18,G17,""))</f>
        <v>Colombia</v>
      </c>
      <c r="M23" s="42">
        <v>2</v>
      </c>
      <c r="N23" s="77"/>
      <c r="U23" s="133" t="s">
        <v>49</v>
      </c>
      <c r="V23" s="134"/>
      <c r="W23" s="88">
        <v>2</v>
      </c>
    </row>
    <row r="24" spans="2:26" ht="16" thickBot="1" x14ac:dyDescent="0.25">
      <c r="U24" s="112" t="s">
        <v>49</v>
      </c>
      <c r="V24" s="114"/>
      <c r="W24" s="46">
        <v>3</v>
      </c>
    </row>
  </sheetData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Usuario de Microsoft Office</cp:lastModifiedBy>
  <dcterms:created xsi:type="dcterms:W3CDTF">2021-05-30T22:13:47Z</dcterms:created>
  <dcterms:modified xsi:type="dcterms:W3CDTF">2021-06-08T19:49:19Z</dcterms:modified>
</cp:coreProperties>
</file>