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Álvaro González Cruz\Downloads\"/>
    </mc:Choice>
  </mc:AlternateContent>
  <xr:revisionPtr revIDLastSave="0" documentId="8_{3A4A3124-5845-4F30-8A6D-6BCEAF1AF4CA}" xr6:coauthVersionLast="47" xr6:coauthVersionMax="47" xr10:uidLastSave="{00000000-0000-0000-0000-000000000000}"/>
  <bookViews>
    <workbookView xWindow="-120" yWindow="-120" windowWidth="20730" windowHeight="11160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l="1"/>
  <c r="C8" i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B15" i="3"/>
  <c r="L22" i="3" l="1"/>
  <c r="R19" i="3" s="1"/>
  <c r="R17" i="3"/>
  <c r="R18" i="3" s="1"/>
</calcChain>
</file>

<file path=xl/sharedStrings.xml><?xml version="1.0" encoding="utf-8"?>
<sst xmlns="http://schemas.openxmlformats.org/spreadsheetml/2006/main" count="190" uniqueCount="84">
  <si>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</si>
  <si>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</si>
  <si>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</si>
  <si>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</si>
  <si>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</si>
  <si>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</si>
  <si>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</si>
  <si>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</si>
  <si>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</si>
  <si>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</si>
  <si>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</si>
  <si>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</si>
  <si>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</si>
  <si>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</si>
  <si>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</si>
  <si>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</si>
  <si>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</si>
  <si>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</si>
  <si>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</si>
  <si>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</si>
  <si>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</si>
  <si>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</si>
  <si>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</si>
  <si>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</si>
  <si>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</si>
  <si>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</si>
  <si>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</si>
  <si>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</si>
  <si>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</si>
  <si>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</si>
  <si>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</si>
  <si>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</si>
  <si>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</si>
  <si>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</si>
  <si>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</si>
  <si>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</si>
  <si>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</si>
  <si>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</si>
  <si>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</si>
  <si>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</si>
  <si>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</si>
  <si>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</si>
  <si>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</si>
  <si>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</si>
  <si>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</si>
  <si>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</si>
  <si>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</si>
  <si>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</si>
  <si>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</si>
  <si>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</si>
  <si>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</si>
  <si>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</si>
  <si>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</si>
  <si>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</si>
  <si>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</si>
  <si>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</si>
  <si>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</si>
  <si>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</si>
  <si>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</si>
  <si>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</si>
  <si>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</si>
  <si>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</si>
  <si>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</si>
  <si>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</si>
  <si>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</si>
  <si>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</si>
  <si>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</si>
  <si>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</si>
  <si>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</si>
  <si>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</si>
  <si>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</si>
  <si>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</si>
  <si>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</si>
  <si>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</si>
  <si>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</si>
  <si>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</si>
  <si>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</si>
  <si>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</si>
  <si>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</si>
  <si>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</si>
  <si>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</si>
  <si>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Álvaro González Cruz el toro</t>
  </si>
  <si>
    <t>aigonzc97@gmail.com</t>
  </si>
  <si>
    <t>la cato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</si>
</sst>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Normal="100" workbookViewId="0">
      <selection activeCell="C12" sqref="C12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Real Madrid</v>
      </c>
      <c r="D5" s="99" t="s">
        <v>79</v>
      </c>
      <c r="G5" s="91" t="s">
        <v>60</v>
      </c>
    </row>
    <row r="6" spans="2:7" ht="30.75" customHeight="1" thickBot="1" x14ac:dyDescent="0.3">
      <c r="B6" s="98" t="s">
        <v>80</v>
      </c>
      <c r="C6" s="100" t="s">
        <v>83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A16" zoomScale="90" zoomScaleNormal="90" workbookViewId="0">
      <selection activeCell="O18" sqref="O18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1</v>
      </c>
      <c r="M7" s="19">
        <v>1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4</v>
      </c>
      <c r="X7" s="91">
        <f>SUMIF($K$7:$K$16,U7,$L$7:$L$16) + SUMIF($N$7:$N$16,U7,$M$7:$M$16)</f>
        <v>8</v>
      </c>
      <c r="Y7" s="91">
        <f>SUMIF($K$7:$K$16,U7,$M$7:$M$16) + SUMIF($N$7:$N$16,U7,$L$7:$L$16)</f>
        <v>4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-100040800</v>
      </c>
      <c r="AG7" s="91">
        <f>AF7-AE7*10</f>
        <v>-100040810</v>
      </c>
      <c r="AH7" s="91">
        <f>AG7+N23</f>
        <v>-100040809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10</v>
      </c>
      <c r="E8" s="33">
        <f t="shared" si="1"/>
        <v>8</v>
      </c>
      <c r="F8" s="33">
        <f t="shared" si="1"/>
        <v>4</v>
      </c>
      <c r="G8" s="34">
        <f t="shared" si="1"/>
        <v>4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4</v>
      </c>
      <c r="U8" s="91" t="s">
        <v>12</v>
      </c>
      <c r="V8" s="91">
        <f>SUMIF($K$7:$K$16,U8,$P$7:$P$16) + SUMIF($N$7:$N$16,U8,$Q$7:$Q$16)</f>
        <v>4</v>
      </c>
      <c r="W8" s="91">
        <f>X8-Y8</f>
        <v>-3</v>
      </c>
      <c r="X8" s="91">
        <f>SUMIF($K$7:$K$16,U8,$L$7:$L$16) + SUMIF($N$7:$N$16,U8,$M$7:$M$16)</f>
        <v>5</v>
      </c>
      <c r="Y8" s="91">
        <f>SUMIF($K$7:$K$16,U8,$M$7:$M$16) + SUMIF($N$7:$N$16,U8,$L$7:$L$16)</f>
        <v>8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-39970500</v>
      </c>
      <c r="AG8" s="91">
        <f t="shared" ref="AG8:AG11" si="8">AF8-AE8*10</f>
        <v>-39970510</v>
      </c>
      <c r="AH8" s="91">
        <f>AG8+N24</f>
        <v>-39970508</v>
      </c>
    </row>
    <row r="9" spans="2:35" x14ac:dyDescent="0.25">
      <c r="B9" s="62">
        <v>2</v>
      </c>
      <c r="C9" s="63" t="str">
        <f t="shared" si="1"/>
        <v>Peru</v>
      </c>
      <c r="D9" s="64">
        <f t="shared" si="1"/>
        <v>7</v>
      </c>
      <c r="E9" s="64">
        <f t="shared" si="1"/>
        <v>7</v>
      </c>
      <c r="F9" s="64">
        <f t="shared" si="1"/>
        <v>4</v>
      </c>
      <c r="G9" s="65">
        <f t="shared" si="1"/>
        <v>3</v>
      </c>
      <c r="H9" s="71"/>
      <c r="I9" s="9">
        <v>5</v>
      </c>
      <c r="J9" s="13">
        <v>44364</v>
      </c>
      <c r="K9" s="8" t="s">
        <v>12</v>
      </c>
      <c r="L9" s="20">
        <v>1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1</v>
      </c>
      <c r="Q9" s="91">
        <f t="shared" si="3"/>
        <v>1</v>
      </c>
      <c r="R9" s="91" t="str">
        <f t="shared" si="4"/>
        <v>SIN GANADOR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4</v>
      </c>
      <c r="W9" s="91">
        <f t="shared" ref="W9:W11" si="9">X9-Y9</f>
        <v>0</v>
      </c>
      <c r="X9" s="91">
        <f>SUMIF($K$7:$K$16,U9,$L$7:$L$16) + SUMIF($N$7:$N$16,U9,$M$7:$M$16)</f>
        <v>5</v>
      </c>
      <c r="Y9" s="91">
        <f>SUMIF($K$7:$K$16,U9,$M$7:$M$16) + SUMIF($N$7:$N$16,U9,$L$7:$L$16)</f>
        <v>5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-40000500</v>
      </c>
      <c r="AG9" s="91">
        <f t="shared" si="8"/>
        <v>-40000510</v>
      </c>
      <c r="AH9" s="91">
        <f>AG9+N25</f>
        <v>-40000507</v>
      </c>
    </row>
    <row r="10" spans="2:35" x14ac:dyDescent="0.25">
      <c r="B10" s="58">
        <v>3</v>
      </c>
      <c r="C10" s="59" t="str">
        <f t="shared" si="1"/>
        <v>Ecuador</v>
      </c>
      <c r="D10" s="60">
        <f t="shared" si="1"/>
        <v>4</v>
      </c>
      <c r="E10" s="60">
        <f t="shared" si="1"/>
        <v>5</v>
      </c>
      <c r="F10" s="60">
        <f t="shared" si="1"/>
        <v>5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2</v>
      </c>
      <c r="U10" s="91" t="s">
        <v>5</v>
      </c>
      <c r="V10" s="91">
        <f>SUMIF($K$7:$K$16,U10,$P$7:$P$16) + SUMIF($N$7:$N$16,U10,$Q$7:$Q$16)</f>
        <v>7</v>
      </c>
      <c r="W10" s="91">
        <f t="shared" si="9"/>
        <v>3</v>
      </c>
      <c r="X10" s="91">
        <f>SUMIF($K$7:$K$16,U10,$L$7:$L$16) + SUMIF($N$7:$N$16,U10,$M$7:$M$16)</f>
        <v>7</v>
      </c>
      <c r="Y10" s="91">
        <f>SUMIF($K$7:$K$16,U10,$M$7:$M$16) + SUMIF($N$7:$N$16,U10,$L$7:$L$16)</f>
        <v>4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-70030700</v>
      </c>
      <c r="AG10" s="91">
        <f t="shared" si="8"/>
        <v>-70030710</v>
      </c>
      <c r="AH10" s="91">
        <f>AG10+N26</f>
        <v>-70030706</v>
      </c>
    </row>
    <row r="11" spans="2:35" x14ac:dyDescent="0.25">
      <c r="B11" s="66">
        <v>4</v>
      </c>
      <c r="C11" s="67" t="str">
        <f t="shared" si="1"/>
        <v>Colombia</v>
      </c>
      <c r="D11" s="68">
        <f t="shared" si="1"/>
        <v>4</v>
      </c>
      <c r="E11" s="68">
        <f t="shared" si="1"/>
        <v>5</v>
      </c>
      <c r="F11" s="68">
        <f t="shared" si="1"/>
        <v>8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2</v>
      </c>
      <c r="W11" s="91">
        <f t="shared" si="9"/>
        <v>-4</v>
      </c>
      <c r="X11" s="91">
        <f>SUMIF($K$7:$K$16,U11,$L$7:$L$16) + SUMIF($N$7:$N$16,U11,$M$7:$M$16)</f>
        <v>2</v>
      </c>
      <c r="Y11" s="91">
        <f>SUMIF($K$7:$K$16,U11,$M$7:$M$16) + SUMIF($N$7:$N$16,U11,$L$7:$L$16)</f>
        <v>6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-19960200</v>
      </c>
      <c r="AG11" s="91">
        <f t="shared" si="8"/>
        <v>-19960210</v>
      </c>
      <c r="AH11" s="91">
        <f>AG11+N27</f>
        <v>-19960205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2</v>
      </c>
      <c r="E12" s="56">
        <f t="shared" si="1"/>
        <v>2</v>
      </c>
      <c r="F12" s="56">
        <f t="shared" si="1"/>
        <v>6</v>
      </c>
      <c r="G12" s="57">
        <f t="shared" si="1"/>
        <v>-4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3</v>
      </c>
      <c r="N12" s="31" t="s">
        <v>5</v>
      </c>
      <c r="O12" s="92" t="str">
        <f t="shared" si="2"/>
        <v>Colombia_Peru</v>
      </c>
      <c r="P12" s="91">
        <f t="shared" si="0"/>
        <v>0</v>
      </c>
      <c r="Q12" s="91">
        <f t="shared" ref="Q12:Q15" si="10">IF(P12=3,0,IF(P12=1,1,3))</f>
        <v>3</v>
      </c>
      <c r="R12" s="91" t="str">
        <f t="shared" si="4"/>
        <v>Peru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1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3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A10" zoomScaleNormal="100" workbookViewId="0">
      <selection activeCell="N20" sqref="N20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2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8</v>
      </c>
      <c r="W7" s="91">
        <f>X7-Y7</f>
        <v>3</v>
      </c>
      <c r="X7" s="91">
        <f>SUMIF($K$7:$K$16,U7,$L$7:$L$16) + SUMIF($N$7:$N$16,U7,$M$7:$M$16)</f>
        <v>10</v>
      </c>
      <c r="Y7" s="91">
        <f>SUMIF($K$7:$K$16,U7,$M$7:$M$16) + SUMIF($N$7:$N$16,U7,$L$7:$L$16)</f>
        <v>7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-80031000</v>
      </c>
      <c r="AG7" s="91">
        <f>AF7-AE7*10</f>
        <v>-80031010</v>
      </c>
      <c r="AH7" s="91">
        <f>AG7+N23</f>
        <v>-80031009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8</v>
      </c>
      <c r="E8" s="33">
        <f t="shared" si="1"/>
        <v>10</v>
      </c>
      <c r="F8" s="33">
        <f t="shared" si="1"/>
        <v>7</v>
      </c>
      <c r="G8" s="34">
        <f t="shared" si="1"/>
        <v>3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-7</v>
      </c>
      <c r="X8" s="91">
        <f>SUMIF($K$7:$K$16,U8,$L$7:$L$16) + SUMIF($N$7:$N$16,U8,$M$7:$M$16)</f>
        <v>2</v>
      </c>
      <c r="Y8" s="91">
        <f>SUMIF($K$7:$K$16,U8,$M$7:$M$16) + SUMIF($N$7:$N$16,U8,$L$7:$L$16)</f>
        <v>9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69800</v>
      </c>
      <c r="AG8" s="91">
        <f t="shared" ref="AG8:AG11" si="8">AF8-AE8*10</f>
        <v>69790</v>
      </c>
      <c r="AH8" s="91">
        <f>AG8+N24</f>
        <v>69795</v>
      </c>
    </row>
    <row r="9" spans="2:34" x14ac:dyDescent="0.25">
      <c r="B9" s="62">
        <v>2</v>
      </c>
      <c r="C9" s="63" t="str">
        <f t="shared" si="1"/>
        <v>Uruguay</v>
      </c>
      <c r="D9" s="64">
        <f t="shared" si="1"/>
        <v>7</v>
      </c>
      <c r="E9" s="64">
        <f t="shared" si="1"/>
        <v>7</v>
      </c>
      <c r="F9" s="64">
        <f t="shared" si="1"/>
        <v>4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4</v>
      </c>
      <c r="U9" s="91" t="s">
        <v>26</v>
      </c>
      <c r="V9" s="91">
        <f>SUMIF($K$7:$K$16,U9,$P$7:$P$16) + SUMIF($N$7:$N$16,U9,$Q$7:$Q$16)</f>
        <v>5</v>
      </c>
      <c r="W9" s="91">
        <f t="shared" ref="W9:W11" si="9">X9-Y9</f>
        <v>0</v>
      </c>
      <c r="X9" s="91">
        <f>SUMIF($K$7:$K$16,U9,$L$7:$L$16) + SUMIF($N$7:$N$16,U9,$M$7:$M$16)</f>
        <v>5</v>
      </c>
      <c r="Y9" s="91">
        <f>SUMIF($K$7:$K$16,U9,$M$7:$M$16) + SUMIF($N$7:$N$16,U9,$L$7:$L$16)</f>
        <v>5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-50000500</v>
      </c>
      <c r="AG9" s="91">
        <f t="shared" si="8"/>
        <v>-50000510</v>
      </c>
      <c r="AH9" s="91">
        <f>AG9+N25</f>
        <v>-50000508</v>
      </c>
    </row>
    <row r="10" spans="2:34" x14ac:dyDescent="0.25">
      <c r="B10" s="58">
        <v>3</v>
      </c>
      <c r="C10" s="59" t="str">
        <f t="shared" si="1"/>
        <v>Paraguay</v>
      </c>
      <c r="D10" s="60">
        <f t="shared" si="1"/>
        <v>7</v>
      </c>
      <c r="E10" s="60">
        <f t="shared" si="1"/>
        <v>5</v>
      </c>
      <c r="F10" s="60">
        <f t="shared" si="1"/>
        <v>4</v>
      </c>
      <c r="G10" s="61">
        <f t="shared" si="1"/>
        <v>1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3</v>
      </c>
      <c r="U10" s="91" t="s">
        <v>27</v>
      </c>
      <c r="V10" s="91">
        <f>SUMIF($K$7:$K$16,U10,$P$7:$P$16) + SUMIF($N$7:$N$16,U10,$Q$7:$Q$16)</f>
        <v>7</v>
      </c>
      <c r="W10" s="91">
        <f t="shared" si="9"/>
        <v>1</v>
      </c>
      <c r="X10" s="91">
        <f>SUMIF($K$7:$K$16,U10,$L$7:$L$16) + SUMIF($N$7:$N$16,U10,$M$7:$M$16)</f>
        <v>5</v>
      </c>
      <c r="Y10" s="91">
        <f>SUMIF($K$7:$K$16,U10,$M$7:$M$16) + SUMIF($N$7:$N$16,U10,$L$7:$L$16)</f>
        <v>4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-70010500</v>
      </c>
      <c r="AG10" s="91">
        <f t="shared" si="8"/>
        <v>-70010510</v>
      </c>
      <c r="AH10" s="91">
        <f>AG10+N26</f>
        <v>-70010506</v>
      </c>
    </row>
    <row r="11" spans="2:34" x14ac:dyDescent="0.25">
      <c r="B11" s="66">
        <v>4</v>
      </c>
      <c r="C11" s="67" t="str">
        <f t="shared" si="1"/>
        <v>Chile</v>
      </c>
      <c r="D11" s="68">
        <f t="shared" si="1"/>
        <v>5</v>
      </c>
      <c r="E11" s="68">
        <f t="shared" si="1"/>
        <v>5</v>
      </c>
      <c r="F11" s="68">
        <f t="shared" si="1"/>
        <v>5</v>
      </c>
      <c r="G11" s="69">
        <f t="shared" si="1"/>
        <v>0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0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7</v>
      </c>
      <c r="W11" s="91">
        <f t="shared" si="9"/>
        <v>3</v>
      </c>
      <c r="X11" s="91">
        <f>SUMIF($K$7:$K$16,U11,$L$7:$L$16) + SUMIF($N$7:$N$16,U11,$M$7:$M$16)</f>
        <v>7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-70030700</v>
      </c>
      <c r="AG11" s="91">
        <f t="shared" si="8"/>
        <v>-70030710</v>
      </c>
      <c r="AH11" s="91">
        <f>AG11+N27</f>
        <v>-70030707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2</v>
      </c>
      <c r="F12" s="56">
        <f t="shared" si="1"/>
        <v>9</v>
      </c>
      <c r="G12" s="57">
        <f t="shared" si="1"/>
        <v>-7</v>
      </c>
      <c r="H12" s="71"/>
      <c r="I12" s="31">
        <v>12</v>
      </c>
      <c r="J12" s="29">
        <v>44368</v>
      </c>
      <c r="K12" s="30" t="s">
        <v>25</v>
      </c>
      <c r="L12" s="26">
        <v>3</v>
      </c>
      <c r="M12" s="27">
        <v>2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1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1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1</v>
      </c>
      <c r="Q14" s="91">
        <f t="shared" si="3"/>
        <v>1</v>
      </c>
      <c r="R14" s="91" t="str">
        <f t="shared" si="4"/>
        <v>SIN GANADOR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0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0</v>
      </c>
      <c r="Q15" s="91">
        <f t="shared" si="3"/>
        <v>3</v>
      </c>
      <c r="R15" s="91" t="str">
        <f t="shared" si="4"/>
        <v>Paraguay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1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opLeftCell="A7" zoomScaleNormal="100" workbookViewId="0">
      <selection activeCell="L17" sqref="L17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1</v>
      </c>
      <c r="D7" s="75">
        <v>3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Colombia</v>
      </c>
      <c r="C8" s="42">
        <v>1</v>
      </c>
      <c r="D8" s="77">
        <v>2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3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2</v>
      </c>
      <c r="I10" s="77"/>
      <c r="J10" s="78"/>
    </row>
    <row r="11" spans="2:43" ht="15.75" thickBot="1" x14ac:dyDescent="0.3">
      <c r="B11" s="74" t="str">
        <f>'Grupo B'!C9</f>
        <v>Uruguay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Ecuador</v>
      </c>
      <c r="C12" s="42">
        <v>0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Argentina</v>
      </c>
      <c r="M13" s="41">
        <v>3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Chile</v>
      </c>
      <c r="M14" s="42">
        <v>2</v>
      </c>
      <c r="N14" s="77"/>
    </row>
    <row r="15" spans="2:43" ht="15.75" thickBot="1" x14ac:dyDescent="0.3">
      <c r="B15" s="74" t="str">
        <f>'Grupo A'!C9</f>
        <v>Peru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Paraguay</v>
      </c>
      <c r="C16" s="42">
        <v>2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Paraguay</v>
      </c>
      <c r="H17" s="41">
        <v>1</v>
      </c>
      <c r="I17" s="75">
        <v>2</v>
      </c>
      <c r="J17" s="82"/>
      <c r="Q17" s="74" t="s">
        <v>40</v>
      </c>
      <c r="R17" s="84" t="str">
        <f>IF(M13&gt;M14,L13,IF(M14&gt;M13,L14,IF(N13&gt;N14,L13,IF(N14&gt;N13,L14,""))))</f>
        <v>Argentina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Chile</v>
      </c>
      <c r="H18" s="42">
        <v>1</v>
      </c>
      <c r="I18" s="77">
        <v>3</v>
      </c>
      <c r="L18" s="135" t="s">
        <v>42</v>
      </c>
      <c r="M18" s="136"/>
      <c r="N18" s="137"/>
      <c r="Q18" s="85" t="s">
        <v>43</v>
      </c>
      <c r="R18" s="86" t="str">
        <f>IF(R17=L13,L14,IF(R17=L14,L13,""))</f>
        <v>Chile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0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5.75" thickBot="1" x14ac:dyDescent="0.3">
      <c r="B20" s="76" t="str">
        <f>'Grupo B'!C11</f>
        <v>Chile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Uruguay</v>
      </c>
      <c r="M22" s="41">
        <v>1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Paraguay</v>
      </c>
      <c r="M23" s="42">
        <v>0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Álvaro González Cruz</cp:lastModifiedBy>
  <dcterms:created xsi:type="dcterms:W3CDTF">2021-05-30T22:13:47Z</dcterms:created>
  <dcterms:modified xsi:type="dcterms:W3CDTF">2021-06-13T00:03:14Z</dcterms:modified>
</cp:coreProperties>
</file>