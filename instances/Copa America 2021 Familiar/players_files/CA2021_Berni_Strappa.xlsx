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gX0B+8p/mxJ9d/l1CDsMDmThgUBw=="/>
    </ext>
  </extLst>
</workbook>
</file>

<file path=xl/sharedStrings.xml><?xml version="1.0" encoding="utf-8"?>
<sst xmlns="http://schemas.openxmlformats.org/spreadsheetml/2006/main" count="191" uniqueCount="85">
  <si>
    <t>Información del Jugador</t>
  </si>
  <si>
    <t>Nombre</t>
  </si>
  <si>
    <t xml:space="preserve">Bernardita Strappa </t>
  </si>
  <si>
    <t>Mail</t>
  </si>
  <si>
    <t xml:space="preserve">bastrappa@uc.cl </t>
  </si>
  <si>
    <t xml:space="preserve">¿Cuál es el mejor equipo del mundo? </t>
  </si>
  <si>
    <t>Barcelona</t>
  </si>
  <si>
    <t>Chelsea</t>
  </si>
  <si>
    <t>Si no existiera Brasil, quien ganaría la copa?</t>
  </si>
  <si>
    <t xml:space="preserve">Chile </t>
  </si>
  <si>
    <t>PSG</t>
  </si>
  <si>
    <t>Bayern Munich</t>
  </si>
  <si>
    <t>Real Madrid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</si>
  <si>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</si>
  <si>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</si>
  <si>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</si>
  <si>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</si>
  <si>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</si>
  <si>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</si>
  <si>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</si>
  <si>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</si>
  <si>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</si>
  <si>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</si>
  <si>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</si>
  <si>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</si>
  <si>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</si>
  <si>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</si>
  <si>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</si>
  <si>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</si>
  <si>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</si>
  <si>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</si>
  <si>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</si>
  <si>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</si>
  <si>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</si>
  <si>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</si>
  <si>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</si>
  <si>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</si>
  <si>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</si>
  <si>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</si>
  <si>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</si>
  <si>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</si>
  <si>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</si>
  <si>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</si>
  <si>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</si>
  <si>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</si>
  <si>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</si>
  <si>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</si>
  <si>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</si>
  <si>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</si>
  <si>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</si>
  <si>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</si>
  <si>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</si>
  <si>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</si>
  <si>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</si>
  <si>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</si>
  <si>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</si>
  <si>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</si>
  <si>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</si>
  <si>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</si>
  <si>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</si>
  <si>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</si>
  <si>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</si>
  <si>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</si>
  <si>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</si>
  <si>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</si>
  <si>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</si>
  <si>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</si>
  <si>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</si>
  <si>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</si>
  <si>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</si>
  <si>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</si>
  <si>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</si>
  <si>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CHILE TRICAMPEOOOOOOONNNN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</si>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</sst>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8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2" numFmtId="0" xfId="0" applyBorder="1" applyFont="1"/>
    <xf borderId="9" fillId="0" fontId="9" numFmtId="0" xfId="0" applyAlignment="1" applyBorder="1" applyFont="1">
      <alignment readingOrder="0"/>
    </xf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9" numFmtId="0" xfId="0" applyAlignment="1" applyBorder="1" applyFont="1">
      <alignment readingOrder="0"/>
    </xf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9" numFmtId="0" xfId="0" applyAlignment="1" applyBorder="1" applyFont="1">
      <alignment readingOrder="0"/>
    </xf>
    <xf borderId="65" fillId="11" fontId="2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9" numFmtId="0" xfId="0" applyAlignment="1" applyBorder="1" applyFont="1">
      <alignment readingOrder="0"/>
    </xf>
    <xf borderId="66" fillId="11" fontId="2" numFmtId="0" xfId="0" applyBorder="1" applyFont="1"/>
    <xf borderId="46" fillId="0" fontId="2" numFmtId="0" xfId="0" applyBorder="1" applyFont="1"/>
    <xf borderId="67" fillId="0" fontId="2" numFmtId="0" xfId="0" applyBorder="1" applyFont="1"/>
    <xf borderId="65" fillId="11" fontId="2" numFmtId="0" xfId="0" applyAlignment="1" applyBorder="1" applyFont="1">
      <alignment readingOrder="0"/>
    </xf>
    <xf borderId="68" fillId="0" fontId="2" numFmtId="0" xfId="0" applyBorder="1" applyFont="1"/>
    <xf borderId="12" fillId="0" fontId="2" numFmtId="0" xfId="0" applyBorder="1" applyFont="1"/>
    <xf borderId="66" fillId="11" fontId="2" numFmtId="0" xfId="0" applyAlignment="1" applyBorder="1" applyFont="1">
      <alignment readingOrder="0"/>
    </xf>
    <xf borderId="69" fillId="0" fontId="2" numFmtId="0" xfId="0" applyBorder="1" applyFont="1"/>
    <xf borderId="70" fillId="0" fontId="2" numFmtId="0" xfId="0" applyBorder="1" applyFont="1"/>
    <xf borderId="0" fillId="0" fontId="9" numFmtId="0" xfId="0" applyAlignment="1" applyFont="1">
      <alignment readingOrder="0"/>
    </xf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6</v>
      </c>
    </row>
    <row r="7">
      <c r="G7" s="1" t="s">
        <v>10</v>
      </c>
    </row>
    <row r="8">
      <c r="G8" s="1" t="s">
        <v>11</v>
      </c>
    </row>
    <row r="9">
      <c r="G9" s="1" t="s">
        <v>12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3.0</v>
      </c>
      <c r="M7" s="39">
        <v>0.0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12</v>
      </c>
      <c r="W7" s="1">
        <f t="shared" ref="W7:W11" si="8">X7-Y7</f>
        <v>9</v>
      </c>
      <c r="X7" s="1">
        <f t="shared" ref="X7:X11" si="9">SUMIF($K$7:$K$16,U7,$L$7:$L$16) + SUMIF($N$7:$N$16,U7,$M$7:$M$16)</f>
        <v>11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-120091100</v>
      </c>
      <c r="AG7" s="1">
        <f t="shared" ref="AG7:AG11" si="15">AF7-AE7*10</f>
        <v>-120091110</v>
      </c>
      <c r="AH7" s="1">
        <f t="shared" ref="AH7:AH11" si="16">AG7+N23</f>
        <v>-120091109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12</v>
      </c>
      <c r="E8" s="42">
        <f t="shared" si="1"/>
        <v>11</v>
      </c>
      <c r="F8" s="42">
        <f t="shared" si="1"/>
        <v>2</v>
      </c>
      <c r="G8" s="43">
        <f t="shared" si="1"/>
        <v>9</v>
      </c>
      <c r="H8" s="24"/>
      <c r="I8" s="44">
        <v>2.0</v>
      </c>
      <c r="J8" s="45">
        <v>44360.0</v>
      </c>
      <c r="K8" s="46" t="s">
        <v>47</v>
      </c>
      <c r="L8" s="47">
        <v>2.0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Colombia</v>
      </c>
      <c r="S8" s="1"/>
      <c r="T8" s="1">
        <f t="shared" si="6"/>
        <v>2</v>
      </c>
      <c r="U8" s="1" t="s">
        <v>47</v>
      </c>
      <c r="V8" s="1">
        <f t="shared" si="7"/>
        <v>9</v>
      </c>
      <c r="W8" s="1">
        <f t="shared" si="8"/>
        <v>3</v>
      </c>
      <c r="X8" s="1">
        <f t="shared" si="9"/>
        <v>7</v>
      </c>
      <c r="Y8" s="1">
        <f t="shared" si="10"/>
        <v>4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-90030700</v>
      </c>
      <c r="AG8" s="1">
        <f t="shared" si="15"/>
        <v>-90030710</v>
      </c>
      <c r="AH8" s="1">
        <f t="shared" si="16"/>
        <v>-90030708</v>
      </c>
      <c r="AI8" s="1"/>
    </row>
    <row r="9">
      <c r="B9" s="49">
        <v>2.0</v>
      </c>
      <c r="C9" s="50" t="str">
        <f t="shared" ref="C9:G9" si="17">IFERROR(VLOOKUP($B9,$T$7:$Y$11,C$5,FALSE),"")</f>
        <v>Colombia</v>
      </c>
      <c r="D9" s="51">
        <f t="shared" si="17"/>
        <v>9</v>
      </c>
      <c r="E9" s="51">
        <f t="shared" si="17"/>
        <v>7</v>
      </c>
      <c r="F9" s="51">
        <f t="shared" si="17"/>
        <v>4</v>
      </c>
      <c r="G9" s="52">
        <f t="shared" si="17"/>
        <v>3</v>
      </c>
      <c r="H9" s="24"/>
      <c r="I9" s="53">
        <v>5.0</v>
      </c>
      <c r="J9" s="54">
        <v>44364.0</v>
      </c>
      <c r="K9" s="55" t="s">
        <v>47</v>
      </c>
      <c r="L9" s="47">
        <v>2.0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5</v>
      </c>
      <c r="U9" s="1" t="s">
        <v>48</v>
      </c>
      <c r="V9" s="1">
        <f t="shared" si="7"/>
        <v>1</v>
      </c>
      <c r="W9" s="1">
        <f t="shared" si="8"/>
        <v>-5</v>
      </c>
      <c r="X9" s="1">
        <f t="shared" si="9"/>
        <v>2</v>
      </c>
      <c r="Y9" s="1">
        <f t="shared" si="10"/>
        <v>7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-9950200</v>
      </c>
      <c r="AG9" s="1">
        <f t="shared" si="15"/>
        <v>-9950210</v>
      </c>
      <c r="AH9" s="1">
        <f t="shared" si="16"/>
        <v>-9950205</v>
      </c>
      <c r="AI9" s="1"/>
    </row>
    <row r="10">
      <c r="B10" s="56">
        <v>3.0</v>
      </c>
      <c r="C10" s="57" t="str">
        <f t="shared" ref="C10:G10" si="18">IFERROR(VLOOKUP($B10,$T$7:$Y$11,C$5,FALSE),"")</f>
        <v>Peru</v>
      </c>
      <c r="D10" s="58">
        <f t="shared" si="18"/>
        <v>4</v>
      </c>
      <c r="E10" s="58">
        <f t="shared" si="18"/>
        <v>4</v>
      </c>
      <c r="F10" s="58">
        <f t="shared" si="18"/>
        <v>6</v>
      </c>
      <c r="G10" s="59">
        <f t="shared" si="18"/>
        <v>-2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3.0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3</v>
      </c>
      <c r="U10" s="1" t="s">
        <v>49</v>
      </c>
      <c r="V10" s="1">
        <f t="shared" si="7"/>
        <v>4</v>
      </c>
      <c r="W10" s="1">
        <f t="shared" si="8"/>
        <v>-2</v>
      </c>
      <c r="X10" s="1">
        <f t="shared" si="9"/>
        <v>4</v>
      </c>
      <c r="Y10" s="1">
        <f t="shared" si="10"/>
        <v>6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-39980400</v>
      </c>
      <c r="AG10" s="1">
        <f t="shared" si="15"/>
        <v>-39980410</v>
      </c>
      <c r="AH10" s="1">
        <f t="shared" si="16"/>
        <v>-39980407</v>
      </c>
      <c r="AI10" s="1"/>
    </row>
    <row r="11">
      <c r="B11" s="60">
        <v>4.0</v>
      </c>
      <c r="C11" s="61" t="str">
        <f t="shared" ref="C11:G11" si="19">IFERROR(VLOOKUP($B11,$T$7:$Y$11,C$5,FALSE),"")</f>
        <v>Venezuela</v>
      </c>
      <c r="D11" s="62">
        <f t="shared" si="19"/>
        <v>2</v>
      </c>
      <c r="E11" s="62">
        <f t="shared" si="19"/>
        <v>2</v>
      </c>
      <c r="F11" s="62">
        <f t="shared" si="19"/>
        <v>7</v>
      </c>
      <c r="G11" s="63">
        <f t="shared" si="19"/>
        <v>-5</v>
      </c>
      <c r="H11" s="24"/>
      <c r="I11" s="53">
        <v>9.0</v>
      </c>
      <c r="J11" s="54">
        <v>44367.0</v>
      </c>
      <c r="K11" s="55" t="s">
        <v>46</v>
      </c>
      <c r="L11" s="47">
        <v>1.0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4</v>
      </c>
      <c r="U11" s="1" t="s">
        <v>46</v>
      </c>
      <c r="V11" s="1">
        <f t="shared" si="7"/>
        <v>2</v>
      </c>
      <c r="W11" s="1">
        <f t="shared" si="8"/>
        <v>-5</v>
      </c>
      <c r="X11" s="1">
        <f t="shared" si="9"/>
        <v>2</v>
      </c>
      <c r="Y11" s="1">
        <f t="shared" si="10"/>
        <v>7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-19950200</v>
      </c>
      <c r="AG11" s="1">
        <f t="shared" si="15"/>
        <v>-19950210</v>
      </c>
      <c r="AH11" s="1">
        <f t="shared" si="16"/>
        <v>-19950206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Ecuador</v>
      </c>
      <c r="D12" s="66">
        <f t="shared" si="20"/>
        <v>1</v>
      </c>
      <c r="E12" s="66">
        <f t="shared" si="20"/>
        <v>2</v>
      </c>
      <c r="F12" s="66">
        <f t="shared" si="20"/>
        <v>7</v>
      </c>
      <c r="G12" s="67">
        <f t="shared" si="20"/>
        <v>-5</v>
      </c>
      <c r="H12" s="24"/>
      <c r="I12" s="68">
        <v>10.0</v>
      </c>
      <c r="J12" s="69">
        <v>44367.0</v>
      </c>
      <c r="K12" s="70" t="s">
        <v>47</v>
      </c>
      <c r="L12" s="71">
        <v>2.0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Colombia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0.0</v>
      </c>
      <c r="M13" s="72">
        <v>1.0</v>
      </c>
      <c r="N13" s="73" t="s">
        <v>49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Peru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1.0</v>
      </c>
      <c r="M14" s="72">
        <v>2.0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0.0</v>
      </c>
      <c r="M15" s="72">
        <v>3.0</v>
      </c>
      <c r="N15" s="73" t="s">
        <v>45</v>
      </c>
      <c r="O15" s="25" t="str">
        <f t="shared" si="2"/>
        <v>#N/A</v>
      </c>
      <c r="P15" s="1">
        <f t="shared" si="3"/>
        <v>0</v>
      </c>
      <c r="Q15" s="1">
        <f t="shared" si="4"/>
        <v>3</v>
      </c>
      <c r="R15" s="1" t="str">
        <f t="shared" si="5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1.0</v>
      </c>
      <c r="M16" s="80">
        <v>1.0</v>
      </c>
      <c r="N16" s="76" t="s">
        <v>49</v>
      </c>
      <c r="O16" s="25" t="str">
        <f t="shared" si="2"/>
        <v>#N/A</v>
      </c>
      <c r="P16" s="1">
        <f t="shared" si="3"/>
        <v>1</v>
      </c>
      <c r="Q16" s="1">
        <f t="shared" si="4"/>
        <v>1</v>
      </c>
      <c r="R16" s="1" t="str">
        <f t="shared" si="5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2.0</v>
      </c>
      <c r="N24" s="11">
        <f t="shared" si="22"/>
        <v>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4">
        <v>5.0</v>
      </c>
      <c r="N25" s="11">
        <f t="shared" si="22"/>
        <v>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4">
        <v>3.0</v>
      </c>
      <c r="N26" s="11">
        <f t="shared" si="22"/>
        <v>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5" t="s">
        <v>46</v>
      </c>
      <c r="K27" s="96"/>
      <c r="L27" s="17"/>
      <c r="M27" s="97">
        <v>4.0</v>
      </c>
      <c r="N27" s="11">
        <f t="shared" si="22"/>
        <v>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8"/>
      <c r="C28" s="99"/>
      <c r="D28" s="99"/>
      <c r="E28" s="99"/>
      <c r="F28" s="99"/>
      <c r="G28" s="99"/>
      <c r="H28" s="100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1.0</v>
      </c>
      <c r="M7" s="39">
        <v>1.0</v>
      </c>
      <c r="N7" s="35" t="s">
        <v>59</v>
      </c>
      <c r="O7" s="25" t="str">
        <f t="shared" ref="O7:O16" si="2">CONCAT(K7,"_",N7)</f>
        <v>#N/A</v>
      </c>
      <c r="P7" s="1">
        <f t="shared" ref="P7:P16" si="3">IF(L7&gt;M7,3,IF(L7&lt;M7,0,1))</f>
        <v>1</v>
      </c>
      <c r="Q7" s="1">
        <f t="shared" ref="Q7:Q16" si="4">IF(P7=3,0,IF(P7=1,1,3))</f>
        <v>1</v>
      </c>
      <c r="R7" s="1" t="str">
        <f t="shared" ref="R7:R16" si="5">IF(P7&gt;Q7,K7,IF(Q7&gt;P7,N7,"SIN GANADOR"))</f>
        <v>SIN GANADOR</v>
      </c>
      <c r="S7" s="1"/>
      <c r="T7" s="1">
        <f t="shared" ref="T7:T11" si="6">_xlfn.RANK.EQ(AH7,AH$7:AH$11,1)</f>
        <v>1</v>
      </c>
      <c r="U7" s="1" t="s">
        <v>58</v>
      </c>
      <c r="V7" s="1">
        <f t="shared" ref="V7:V11" si="7">SUMIF($K$7:$K$16,U7,$P$7:$P$16) + SUMIF($N$7:$N$16,U7,$Q$7:$Q$16)</f>
        <v>10</v>
      </c>
      <c r="W7" s="1">
        <f t="shared" ref="W7:W11" si="8">X7-Y7</f>
        <v>6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-100060800</v>
      </c>
      <c r="AG7" s="1">
        <f t="shared" ref="AG7:AG11" si="15">AF7-AE7*10</f>
        <v>-100060810</v>
      </c>
      <c r="AH7" s="1">
        <f t="shared" ref="AH7:AH11" si="16">AG7+N23</f>
        <v>-100060809</v>
      </c>
    </row>
    <row r="8">
      <c r="A8" s="11"/>
      <c r="B8" s="40">
        <v>1.0</v>
      </c>
      <c r="C8" s="41" t="str">
        <f t="shared" ref="C8:G8" si="1">IFERROR(VLOOKUP($B8,$T$7:$Y$11,C$5,FALSE),"")</f>
        <v>Argentina</v>
      </c>
      <c r="D8" s="42">
        <f t="shared" si="1"/>
        <v>10</v>
      </c>
      <c r="E8" s="42">
        <f t="shared" si="1"/>
        <v>8</v>
      </c>
      <c r="F8" s="42">
        <f t="shared" si="1"/>
        <v>2</v>
      </c>
      <c r="G8" s="43">
        <f t="shared" si="1"/>
        <v>6</v>
      </c>
      <c r="H8" s="24"/>
      <c r="I8" s="44">
        <v>4.0</v>
      </c>
      <c r="J8" s="45">
        <v>44361.0</v>
      </c>
      <c r="K8" s="46" t="s">
        <v>60</v>
      </c>
      <c r="L8" s="47">
        <v>2.0</v>
      </c>
      <c r="M8" s="48">
        <v>1.0</v>
      </c>
      <c r="N8" s="44" t="s">
        <v>61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Paraguay</v>
      </c>
      <c r="S8" s="1"/>
      <c r="T8" s="1">
        <f t="shared" si="6"/>
        <v>5</v>
      </c>
      <c r="U8" s="1" t="s">
        <v>61</v>
      </c>
      <c r="V8" s="1">
        <f t="shared" si="7"/>
        <v>0</v>
      </c>
      <c r="W8" s="1">
        <f t="shared" si="8"/>
        <v>-8</v>
      </c>
      <c r="X8" s="1">
        <f t="shared" si="9"/>
        <v>1</v>
      </c>
      <c r="Y8" s="1">
        <f t="shared" si="10"/>
        <v>9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79900</v>
      </c>
      <c r="AG8" s="1">
        <f t="shared" si="15"/>
        <v>79890</v>
      </c>
      <c r="AH8" s="1">
        <f t="shared" si="16"/>
        <v>79894</v>
      </c>
    </row>
    <row r="9">
      <c r="A9" s="11"/>
      <c r="B9" s="49">
        <v>2.0</v>
      </c>
      <c r="C9" s="50" t="str">
        <f t="shared" ref="C9:G9" si="17">IFERROR(VLOOKUP($B9,$T$7:$Y$11,C$5,FALSE),"")</f>
        <v>Chile</v>
      </c>
      <c r="D9" s="51">
        <f t="shared" si="17"/>
        <v>8</v>
      </c>
      <c r="E9" s="51">
        <f t="shared" si="17"/>
        <v>7</v>
      </c>
      <c r="F9" s="51">
        <f t="shared" si="17"/>
        <v>4</v>
      </c>
      <c r="G9" s="52">
        <f t="shared" si="17"/>
        <v>3</v>
      </c>
      <c r="H9" s="24"/>
      <c r="I9" s="53">
        <v>7.0</v>
      </c>
      <c r="J9" s="54">
        <v>44365.0</v>
      </c>
      <c r="K9" s="55" t="s">
        <v>59</v>
      </c>
      <c r="L9" s="47">
        <v>2.0</v>
      </c>
      <c r="M9" s="48">
        <v>0.0</v>
      </c>
      <c r="N9" s="53" t="s">
        <v>61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2</v>
      </c>
      <c r="U9" s="1" t="s">
        <v>59</v>
      </c>
      <c r="V9" s="1">
        <f t="shared" si="7"/>
        <v>8</v>
      </c>
      <c r="W9" s="1">
        <f t="shared" si="8"/>
        <v>3</v>
      </c>
      <c r="X9" s="1">
        <f t="shared" si="9"/>
        <v>7</v>
      </c>
      <c r="Y9" s="1">
        <f t="shared" si="10"/>
        <v>4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-80030700</v>
      </c>
      <c r="AG9" s="1">
        <f t="shared" si="15"/>
        <v>-80030710</v>
      </c>
      <c r="AH9" s="1">
        <f t="shared" si="16"/>
        <v>-80030707</v>
      </c>
    </row>
    <row r="10">
      <c r="A10" s="11"/>
      <c r="B10" s="56">
        <v>3.0</v>
      </c>
      <c r="C10" s="57" t="str">
        <f t="shared" ref="C10:G10" si="18">IFERROR(VLOOKUP($B10,$T$7:$Y$11,C$5,FALSE),"")</f>
        <v>Uruguay</v>
      </c>
      <c r="D10" s="58">
        <f t="shared" si="18"/>
        <v>7</v>
      </c>
      <c r="E10" s="58">
        <f t="shared" si="18"/>
        <v>9</v>
      </c>
      <c r="F10" s="58">
        <f t="shared" si="18"/>
        <v>5</v>
      </c>
      <c r="G10" s="59">
        <f t="shared" si="18"/>
        <v>4</v>
      </c>
      <c r="H10" s="24"/>
      <c r="I10" s="44">
        <v>8.0</v>
      </c>
      <c r="J10" s="45">
        <v>44365.0</v>
      </c>
      <c r="K10" s="46" t="s">
        <v>58</v>
      </c>
      <c r="L10" s="47">
        <v>2.0</v>
      </c>
      <c r="M10" s="48">
        <v>1.0</v>
      </c>
      <c r="N10" s="44" t="s">
        <v>62</v>
      </c>
      <c r="O10" s="25" t="str">
        <f t="shared" si="2"/>
        <v>#N/A</v>
      </c>
      <c r="P10" s="1">
        <f t="shared" si="3"/>
        <v>3</v>
      </c>
      <c r="Q10" s="1">
        <f t="shared" si="4"/>
        <v>0</v>
      </c>
      <c r="R10" s="1" t="str">
        <f t="shared" si="5"/>
        <v>Argentina</v>
      </c>
      <c r="S10" s="1"/>
      <c r="T10" s="1">
        <f t="shared" si="6"/>
        <v>4</v>
      </c>
      <c r="U10" s="1" t="s">
        <v>60</v>
      </c>
      <c r="V10" s="1">
        <f t="shared" si="7"/>
        <v>3</v>
      </c>
      <c r="W10" s="1">
        <f t="shared" si="8"/>
        <v>-5</v>
      </c>
      <c r="X10" s="1">
        <f t="shared" si="9"/>
        <v>4</v>
      </c>
      <c r="Y10" s="1">
        <f t="shared" si="10"/>
        <v>9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-29950400</v>
      </c>
      <c r="AG10" s="1">
        <f t="shared" si="15"/>
        <v>-29950410</v>
      </c>
      <c r="AH10" s="1">
        <f t="shared" si="16"/>
        <v>-29950405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3</v>
      </c>
      <c r="E11" s="62">
        <f t="shared" si="19"/>
        <v>4</v>
      </c>
      <c r="F11" s="62">
        <f t="shared" si="19"/>
        <v>9</v>
      </c>
      <c r="G11" s="63">
        <f t="shared" si="19"/>
        <v>-5</v>
      </c>
      <c r="H11" s="24"/>
      <c r="I11" s="53">
        <v>11.0</v>
      </c>
      <c r="J11" s="54">
        <v>44368.0</v>
      </c>
      <c r="K11" s="55" t="s">
        <v>62</v>
      </c>
      <c r="L11" s="47">
        <v>2.0</v>
      </c>
      <c r="M11" s="48">
        <v>2.0</v>
      </c>
      <c r="N11" s="53" t="s">
        <v>59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3</v>
      </c>
      <c r="U11" s="1" t="s">
        <v>62</v>
      </c>
      <c r="V11" s="1">
        <f t="shared" si="7"/>
        <v>7</v>
      </c>
      <c r="W11" s="1">
        <f t="shared" si="8"/>
        <v>4</v>
      </c>
      <c r="X11" s="1">
        <f t="shared" si="9"/>
        <v>9</v>
      </c>
      <c r="Y11" s="1">
        <f t="shared" si="10"/>
        <v>5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-70040900</v>
      </c>
      <c r="AG11" s="1">
        <f t="shared" si="15"/>
        <v>-70040910</v>
      </c>
      <c r="AH11" s="1">
        <f t="shared" si="16"/>
        <v>-70040908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0</v>
      </c>
      <c r="E12" s="66">
        <f t="shared" si="20"/>
        <v>1</v>
      </c>
      <c r="F12" s="66">
        <f t="shared" si="20"/>
        <v>9</v>
      </c>
      <c r="G12" s="67">
        <f t="shared" si="20"/>
        <v>-8</v>
      </c>
      <c r="H12" s="24"/>
      <c r="I12" s="68">
        <v>12.0</v>
      </c>
      <c r="J12" s="69">
        <v>44368.0</v>
      </c>
      <c r="K12" s="70" t="s">
        <v>58</v>
      </c>
      <c r="L12" s="71">
        <v>3.0</v>
      </c>
      <c r="M12" s="72">
        <v>0.0</v>
      </c>
      <c r="N12" s="68" t="s">
        <v>60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61</v>
      </c>
      <c r="L13" s="71">
        <v>0.0</v>
      </c>
      <c r="M13" s="72">
        <v>3.0</v>
      </c>
      <c r="N13" s="73" t="s">
        <v>62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59</v>
      </c>
      <c r="L14" s="71">
        <v>2.0</v>
      </c>
      <c r="M14" s="72">
        <v>1.0</v>
      </c>
      <c r="N14" s="68" t="s">
        <v>60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62</v>
      </c>
      <c r="L15" s="71">
        <v>3.0</v>
      </c>
      <c r="M15" s="72">
        <v>1.0</v>
      </c>
      <c r="N15" s="73" t="s">
        <v>60</v>
      </c>
      <c r="O15" s="25" t="str">
        <f t="shared" si="2"/>
        <v>#N/A</v>
      </c>
      <c r="P15" s="1">
        <f t="shared" si="3"/>
        <v>3</v>
      </c>
      <c r="Q15" s="1">
        <f t="shared" si="4"/>
        <v>0</v>
      </c>
      <c r="R15" s="1" t="str">
        <f t="shared" si="5"/>
        <v>Uruguay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58</v>
      </c>
      <c r="L16" s="79">
        <v>2.0</v>
      </c>
      <c r="M16" s="80">
        <v>0.0</v>
      </c>
      <c r="N16" s="76" t="s">
        <v>61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58</v>
      </c>
      <c r="K23" s="88"/>
      <c r="L23" s="7"/>
      <c r="M23" s="89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61</v>
      </c>
      <c r="K24" s="92"/>
      <c r="L24" s="10"/>
      <c r="M24" s="94">
        <v>4.0</v>
      </c>
      <c r="N24" s="11">
        <f t="shared" si="22"/>
        <v>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59</v>
      </c>
      <c r="K25" s="92"/>
      <c r="L25" s="10"/>
      <c r="M25" s="94">
        <v>3.0</v>
      </c>
      <c r="N25" s="11">
        <f t="shared" si="22"/>
        <v>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60</v>
      </c>
      <c r="K26" s="92"/>
      <c r="L26" s="10"/>
      <c r="M26" s="94">
        <v>5.0</v>
      </c>
      <c r="N26" s="11">
        <f t="shared" si="22"/>
        <v>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5" t="s">
        <v>62</v>
      </c>
      <c r="K27" s="96"/>
      <c r="L27" s="17"/>
      <c r="M27" s="97">
        <v>2.0</v>
      </c>
      <c r="N27" s="11">
        <f t="shared" si="22"/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8"/>
      <c r="C28" s="99"/>
      <c r="D28" s="99"/>
      <c r="E28" s="99"/>
      <c r="F28" s="99"/>
      <c r="G28" s="99"/>
      <c r="H28" s="100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63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64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1">
        <v>24.0</v>
      </c>
      <c r="C6" s="102" t="s">
        <v>65</v>
      </c>
      <c r="D6" s="103" t="s">
        <v>66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4" t="str">
        <f>'Grupo B'!C8</f>
        <v>Argentina</v>
      </c>
      <c r="C7" s="105">
        <v>2.0</v>
      </c>
      <c r="D7" s="106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7">
        <v>1.0</v>
      </c>
      <c r="T7" s="107" t="s">
        <v>67</v>
      </c>
      <c r="U7" s="107" t="s">
        <v>46</v>
      </c>
      <c r="V7" s="107">
        <v>5.0</v>
      </c>
      <c r="W7" s="107">
        <v>2.0</v>
      </c>
      <c r="X7" s="107">
        <v>2.0</v>
      </c>
      <c r="Y7" s="107">
        <v>0.0</v>
      </c>
      <c r="Z7" s="107"/>
      <c r="AA7" s="107"/>
      <c r="AB7" s="107">
        <v>1.0</v>
      </c>
      <c r="AC7" s="107">
        <v>1.0</v>
      </c>
      <c r="AD7" s="107">
        <v>3.0</v>
      </c>
      <c r="AE7" s="107">
        <v>1.0</v>
      </c>
      <c r="AF7" s="107">
        <v>1.0</v>
      </c>
      <c r="AG7" s="107"/>
      <c r="AH7" s="107">
        <v>1.0</v>
      </c>
      <c r="AI7" s="107">
        <v>1.0</v>
      </c>
      <c r="AJ7" s="107">
        <v>1.0</v>
      </c>
      <c r="AK7" s="107">
        <v>4.0</v>
      </c>
      <c r="AL7" s="107">
        <v>1.0</v>
      </c>
      <c r="AM7" s="107"/>
      <c r="AN7" s="107"/>
      <c r="AO7" s="107"/>
      <c r="AP7" s="107"/>
      <c r="AQ7" s="107"/>
    </row>
    <row r="8">
      <c r="A8" s="11"/>
      <c r="B8" s="108" t="str">
        <f>'Grupo A'!C11</f>
        <v>Venezuela</v>
      </c>
      <c r="C8" s="109">
        <v>0.0</v>
      </c>
      <c r="D8" s="110"/>
      <c r="E8" s="111"/>
      <c r="F8" s="11"/>
      <c r="G8" s="101">
        <v>26.0</v>
      </c>
      <c r="H8" s="102" t="s">
        <v>65</v>
      </c>
      <c r="I8" s="103" t="s">
        <v>66</v>
      </c>
      <c r="J8" s="11"/>
      <c r="K8" s="11"/>
      <c r="L8" s="11"/>
      <c r="M8" s="11"/>
      <c r="N8" s="11"/>
      <c r="O8" s="11"/>
      <c r="P8" s="11"/>
      <c r="Q8" s="11"/>
      <c r="R8" s="11"/>
      <c r="S8" s="107">
        <v>2.0</v>
      </c>
      <c r="T8" s="107" t="s">
        <v>68</v>
      </c>
      <c r="U8" s="107" t="s">
        <v>60</v>
      </c>
      <c r="V8" s="107">
        <v>2.0</v>
      </c>
      <c r="W8" s="107">
        <v>-2.0</v>
      </c>
      <c r="X8" s="107">
        <v>3.0</v>
      </c>
      <c r="Y8" s="107">
        <v>5.0</v>
      </c>
      <c r="Z8" s="107"/>
      <c r="AA8" s="107"/>
      <c r="AB8" s="107">
        <v>2.0</v>
      </c>
      <c r="AC8" s="107">
        <v>2.0</v>
      </c>
      <c r="AD8" s="107">
        <v>1.0</v>
      </c>
      <c r="AE8" s="107">
        <v>2.0</v>
      </c>
      <c r="AF8" s="107">
        <v>2.0</v>
      </c>
      <c r="AG8" s="107"/>
      <c r="AH8" s="107">
        <v>2.0</v>
      </c>
      <c r="AI8" s="107">
        <v>2.0</v>
      </c>
      <c r="AJ8" s="107">
        <v>2.0</v>
      </c>
      <c r="AK8" s="107">
        <v>8.0</v>
      </c>
      <c r="AL8" s="107">
        <v>2.0</v>
      </c>
      <c r="AM8" s="107"/>
      <c r="AN8" s="107"/>
      <c r="AO8" s="107"/>
      <c r="AP8" s="107"/>
      <c r="AQ8" s="107"/>
    </row>
    <row r="9">
      <c r="A9" s="11"/>
      <c r="B9" s="11"/>
      <c r="C9" s="11"/>
      <c r="D9" s="11"/>
      <c r="E9" s="112"/>
      <c r="F9" s="11"/>
      <c r="G9" s="104" t="str">
        <f>IF(C8&gt;C7,B8,IF(C7&gt;C8,B7,IF(D8&gt;D7,B8,IF(D7&gt;D8,B7,""))))</f>
        <v>Argentina</v>
      </c>
      <c r="H9" s="105">
        <v>1.0</v>
      </c>
      <c r="I9" s="113">
        <v>5.0</v>
      </c>
      <c r="J9" s="11"/>
      <c r="K9" s="11"/>
      <c r="L9" s="26" t="s">
        <v>69</v>
      </c>
      <c r="M9" s="27"/>
      <c r="N9" s="28"/>
      <c r="O9" s="11"/>
      <c r="P9" s="11"/>
      <c r="Q9" s="11"/>
      <c r="R9" s="11"/>
      <c r="S9" s="107">
        <v>3.0</v>
      </c>
      <c r="T9" s="107" t="s">
        <v>70</v>
      </c>
      <c r="U9" s="107" t="s">
        <v>71</v>
      </c>
      <c r="V9" s="107">
        <v>2.0</v>
      </c>
      <c r="W9" s="107">
        <v>-4.0</v>
      </c>
      <c r="X9" s="107">
        <v>3.0</v>
      </c>
      <c r="Y9" s="107">
        <v>7.0</v>
      </c>
      <c r="Z9" s="107"/>
      <c r="AA9" s="107"/>
      <c r="AB9" s="107">
        <v>2.0</v>
      </c>
      <c r="AC9" s="107">
        <v>3.0</v>
      </c>
      <c r="AD9" s="107">
        <v>1.0</v>
      </c>
      <c r="AE9" s="107">
        <v>2.1</v>
      </c>
      <c r="AF9" s="107">
        <v>2.1</v>
      </c>
      <c r="AG9" s="107"/>
      <c r="AH9" s="107">
        <v>3.0</v>
      </c>
      <c r="AI9" s="107">
        <v>3.0</v>
      </c>
      <c r="AJ9" s="107">
        <v>3.0</v>
      </c>
      <c r="AK9" s="107">
        <v>12.0</v>
      </c>
      <c r="AL9" s="107">
        <v>3.0</v>
      </c>
      <c r="AM9" s="107"/>
      <c r="AN9" s="107"/>
      <c r="AO9" s="107"/>
      <c r="AP9" s="107"/>
      <c r="AQ9" s="107"/>
    </row>
    <row r="10">
      <c r="A10" s="11"/>
      <c r="B10" s="101">
        <v>23.0</v>
      </c>
      <c r="C10" s="102" t="s">
        <v>65</v>
      </c>
      <c r="D10" s="103" t="s">
        <v>66</v>
      </c>
      <c r="E10" s="114"/>
      <c r="F10" s="115"/>
      <c r="G10" s="108" t="str">
        <f>IF(C12&gt;C11,B12,IF(C11&gt;C12,B11,IF(D12&gt;D11,B12,IF(D11&gt;D12,B11,""))))</f>
        <v>Chile</v>
      </c>
      <c r="H10" s="109">
        <v>1.0</v>
      </c>
      <c r="I10" s="116">
        <v>6.0</v>
      </c>
      <c r="J10" s="1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4" t="str">
        <f>'Grupo B'!C9</f>
        <v>Chile</v>
      </c>
      <c r="C11" s="105">
        <v>2.0</v>
      </c>
      <c r="D11" s="106"/>
      <c r="E11" s="117"/>
      <c r="F11" s="11"/>
      <c r="G11" s="11"/>
      <c r="H11" s="11"/>
      <c r="I11" s="11"/>
      <c r="J11" s="1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8" t="str">
        <f>'Grupo A'!C10</f>
        <v>Peru</v>
      </c>
      <c r="C12" s="109">
        <v>1.0</v>
      </c>
      <c r="D12" s="110"/>
      <c r="E12" s="118"/>
      <c r="F12" s="11"/>
      <c r="G12" s="11"/>
      <c r="H12" s="11"/>
      <c r="I12" s="11"/>
      <c r="J12" s="112"/>
      <c r="K12" s="11"/>
      <c r="L12" s="101">
        <v>28.0</v>
      </c>
      <c r="M12" s="102" t="s">
        <v>65</v>
      </c>
      <c r="N12" s="103" t="s">
        <v>66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2"/>
      <c r="K13" s="11"/>
      <c r="L13" s="104" t="str">
        <f>IF(H10&gt;H9,G10,IF(H9&gt;H10,G9,IF(I10&gt;I9,G10,IF(I9&gt;I10,G9,""))))</f>
        <v>Chile</v>
      </c>
      <c r="M13" s="105">
        <v>0.0</v>
      </c>
      <c r="N13" s="106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1">
        <v>21.0</v>
      </c>
      <c r="C14" s="102" t="s">
        <v>65</v>
      </c>
      <c r="D14" s="103" t="s">
        <v>66</v>
      </c>
      <c r="E14" s="11"/>
      <c r="F14" s="11"/>
      <c r="G14" s="11"/>
      <c r="H14" s="11"/>
      <c r="I14" s="11"/>
      <c r="J14" s="112"/>
      <c r="K14" s="115"/>
      <c r="L14" s="108" t="str">
        <f>IF(H18&gt;H17,G18,IF(H17&gt;H18,G17,IF(I18&gt;I17,G18,IF(I17&gt;I18,G17,""))))</f>
        <v>Brasil</v>
      </c>
      <c r="M14" s="109">
        <v>2.0</v>
      </c>
      <c r="N14" s="110"/>
      <c r="O14" s="11"/>
      <c r="P14" s="119" t="s">
        <v>72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4" t="str">
        <f>'Grupo A'!C9</f>
        <v>Colombia</v>
      </c>
      <c r="C15" s="105">
        <v>2.0</v>
      </c>
      <c r="D15" s="113">
        <v>6.0</v>
      </c>
      <c r="E15" s="11"/>
      <c r="F15" s="11"/>
      <c r="G15" s="11"/>
      <c r="H15" s="11"/>
      <c r="I15" s="11"/>
      <c r="J15" s="1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1" t="s">
        <v>73</v>
      </c>
      <c r="V15" s="82"/>
      <c r="W15" s="82"/>
      <c r="X15" s="82"/>
      <c r="Y15" s="82"/>
      <c r="Z15" s="83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8" t="str">
        <f>'Grupo B'!C10</f>
        <v>Uruguay</v>
      </c>
      <c r="C16" s="109">
        <v>2.0</v>
      </c>
      <c r="D16" s="116">
        <v>5.0</v>
      </c>
      <c r="E16" s="111"/>
      <c r="F16" s="11"/>
      <c r="G16" s="101">
        <v>25.0</v>
      </c>
      <c r="H16" s="102" t="s">
        <v>65</v>
      </c>
      <c r="I16" s="103" t="s">
        <v>66</v>
      </c>
      <c r="J16" s="112"/>
      <c r="K16" s="11"/>
      <c r="L16" s="11"/>
      <c r="M16" s="11"/>
      <c r="N16" s="11"/>
      <c r="O16" s="11"/>
      <c r="P16" s="11"/>
      <c r="Q16" s="26" t="s">
        <v>74</v>
      </c>
      <c r="R16" s="28"/>
      <c r="S16" s="11"/>
      <c r="T16" s="11"/>
      <c r="U16" s="84" t="s">
        <v>75</v>
      </c>
      <c r="V16" s="85"/>
      <c r="W16" s="85"/>
      <c r="X16" s="85"/>
      <c r="Y16" s="85"/>
      <c r="Z16" s="86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2"/>
      <c r="F17" s="11"/>
      <c r="G17" s="104" t="str">
        <f>IF(C16&gt;C15,B16,IF(C15&gt;C16,B15,IF(D16&gt;D15,B16,IF(D15&gt;D16,B15,""))))</f>
        <v>Colombia</v>
      </c>
      <c r="H17" s="105">
        <v>2.0</v>
      </c>
      <c r="I17" s="106"/>
      <c r="J17" s="117"/>
      <c r="K17" s="11"/>
      <c r="L17" s="11"/>
      <c r="M17" s="11"/>
      <c r="N17" s="11"/>
      <c r="O17" s="11"/>
      <c r="P17" s="11"/>
      <c r="Q17" s="104" t="s">
        <v>76</v>
      </c>
      <c r="R17" s="120" t="str">
        <f>IF(M13&gt;M14,L13,IF(M14&gt;M13,L14,IF(N13&gt;N14,L13,IF(N14&gt;N13,L14,""))))</f>
        <v>Brasil</v>
      </c>
      <c r="S17" s="11"/>
      <c r="T17" s="11"/>
      <c r="U17" s="84" t="s">
        <v>77</v>
      </c>
      <c r="V17" s="85"/>
      <c r="W17" s="85"/>
      <c r="X17" s="85"/>
      <c r="Y17" s="85"/>
      <c r="Z17" s="8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1">
        <v>22.0</v>
      </c>
      <c r="C18" s="102" t="s">
        <v>65</v>
      </c>
      <c r="D18" s="103" t="s">
        <v>66</v>
      </c>
      <c r="E18" s="114"/>
      <c r="F18" s="115"/>
      <c r="G18" s="108" t="str">
        <f>IF(C20&gt;C19,B20,IF(C19&gt;C20,B19,IF(D20&gt;D19,B20,IF(D19&gt;D20,B19,""))))</f>
        <v>Brasil</v>
      </c>
      <c r="H18" s="109">
        <v>3.0</v>
      </c>
      <c r="I18" s="110"/>
      <c r="J18" s="11"/>
      <c r="K18" s="11"/>
      <c r="L18" s="26" t="s">
        <v>78</v>
      </c>
      <c r="M18" s="27"/>
      <c r="N18" s="28"/>
      <c r="O18" s="11"/>
      <c r="P18" s="11"/>
      <c r="Q18" s="121" t="s">
        <v>79</v>
      </c>
      <c r="R18" s="122" t="str">
        <f>IF(R17=L13,L14,IF(R17=L14,L13,""))</f>
        <v>Chile</v>
      </c>
      <c r="S18" s="11"/>
      <c r="T18" s="11"/>
      <c r="U18" s="98" t="s">
        <v>80</v>
      </c>
      <c r="V18" s="99"/>
      <c r="W18" s="99"/>
      <c r="X18" s="99"/>
      <c r="Y18" s="99"/>
      <c r="Z18" s="100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4" t="str">
        <f>'Grupo A'!C8</f>
        <v>Brasil</v>
      </c>
      <c r="C19" s="105">
        <v>3.0</v>
      </c>
      <c r="D19" s="106"/>
      <c r="E19" s="11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8" t="s">
        <v>81</v>
      </c>
      <c r="R19" s="123" t="str">
        <f>IF(M22&gt;M23,L22,IF(M23&gt;M22,L23,IF(N22&gt;N23,L22,IF(N23&gt;N22,L23,""))))</f>
        <v>Colombia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8" t="str">
        <f>'Grupo B'!C11</f>
        <v>Paraguay</v>
      </c>
      <c r="C20" s="109">
        <v>1.0</v>
      </c>
      <c r="D20" s="110"/>
      <c r="E20" s="11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82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1">
        <v>27.0</v>
      </c>
      <c r="M21" s="102" t="s">
        <v>65</v>
      </c>
      <c r="N21" s="103" t="s">
        <v>66</v>
      </c>
      <c r="O21" s="11"/>
      <c r="P21" s="11"/>
      <c r="Q21" s="11"/>
      <c r="R21" s="11"/>
      <c r="S21" s="11"/>
      <c r="T21" s="11"/>
      <c r="U21" s="124" t="s">
        <v>83</v>
      </c>
      <c r="V21" s="125"/>
      <c r="W21" s="126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4" t="str">
        <f>IF(L13=G9,G10,IF(L13=G10,G9,""))</f>
        <v>Argentina</v>
      </c>
      <c r="M22" s="105">
        <v>1.0</v>
      </c>
      <c r="N22" s="106"/>
      <c r="O22" s="11"/>
      <c r="P22" s="11"/>
      <c r="Q22" s="11"/>
      <c r="R22" s="11"/>
      <c r="S22" s="11"/>
      <c r="T22" s="11"/>
      <c r="U22" s="87" t="s">
        <v>84</v>
      </c>
      <c r="V22" s="7"/>
      <c r="W22" s="127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8" t="str">
        <f>IF(L14=G17,G18,IF(L14=G18,G17,""))</f>
        <v>Colombia</v>
      </c>
      <c r="M23" s="109">
        <v>2.0</v>
      </c>
      <c r="N23" s="110"/>
      <c r="O23" s="11"/>
      <c r="P23" s="11"/>
      <c r="Q23" s="11"/>
      <c r="R23" s="11"/>
      <c r="S23" s="11"/>
      <c r="T23" s="11"/>
      <c r="U23" s="128" t="s">
        <v>84</v>
      </c>
      <c r="V23" s="10"/>
      <c r="W23" s="127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5" t="s">
        <v>84</v>
      </c>
      <c r="V24" s="17"/>
      <c r="W24" s="129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