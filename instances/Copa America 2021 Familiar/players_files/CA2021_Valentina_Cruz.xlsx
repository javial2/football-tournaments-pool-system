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ntina\Desktop\"/>
    </mc:Choice>
  </mc:AlternateContent>
  <xr:revisionPtr revIDLastSave="0" documentId="8_{FAB8CA33-0B97-4AFC-82B1-68EAD9D191BA}" xr6:coauthVersionLast="47" xr6:coauthVersionMax="47" xr10:uidLastSave="{00000000-0000-0000-0000-000000000000}"/>
  <bookViews>
    <workbookView xWindow="-120" yWindow="-120" windowWidth="20730" windowHeight="11160" activeTab="3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T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7" i="2" l="1"/>
  <c r="T10" i="2"/>
  <c r="T11" i="2"/>
  <c r="T8" i="2"/>
  <c r="G10" i="2" s="1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D10" i="2" l="1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/>
  <c r="T8" i="1" l="1"/>
  <c r="T11" i="1"/>
  <c r="T9" i="1"/>
  <c r="D8" i="1" s="1"/>
  <c r="R17" i="3"/>
  <c r="C8" i="1" l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<sst xmlns="http://schemas.openxmlformats.org/spreadsheetml/2006/main" count="189" uniqueCount="83">
  <si>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</si>
  <si>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</si>
  <si>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</si>
  <si>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</si>
  <si>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</si>
  <si>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</si>
  <si>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</si>
  <si>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</si>
  <si>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</si>
  <si>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</si>
  <si>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</si>
  <si>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</si>
  <si>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</si>
  <si>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</si>
  <si>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</si>
  <si>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</si>
  <si>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</si>
  <si>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</si>
  <si>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</si>
  <si>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</si>
  <si>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</si>
  <si>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</si>
  <si>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</si>
  <si>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</si>
  <si>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</si>
  <si>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</si>
  <si>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</si>
  <si>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</si>
  <si>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</si>
  <si>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</si>
  <si>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</si>
  <si>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</si>
  <si>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</si>
  <si>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</si>
  <si>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</si>
  <si>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</si>
  <si>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</si>
  <si>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</si>
  <si>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</si>
  <si>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</si>
  <si>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</si>
  <si>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</si>
  <si>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</si>
  <si>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</si>
  <si>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</si>
  <si>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</si>
  <si>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</si>
  <si>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</si>
  <si>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</si>
  <si>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</si>
  <si>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</si>
  <si>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</si>
  <si>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</si>
  <si>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</si>
  <si>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</si>
  <si>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</si>
  <si>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</si>
  <si>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</si>
  <si>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</si>
  <si>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</si>
  <si>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</si>
  <si>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</si>
  <si>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</si>
  <si>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</si>
  <si>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</si>
  <si>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</si>
  <si>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</si>
  <si>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</si>
  <si>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</si>
  <si>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</si>
  <si>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</si>
  <si>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</si>
  <si>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</si>
  <si>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</si>
  <si>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</si>
  <si>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</si>
  <si>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</si>
  <si>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</si>
  <si>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</si>
  <si>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</si>
  <si>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</si>
  <si>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Valentina Cruz</t>
  </si>
  <si>
    <t>mvcruz92@gmail.com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</si>
</sst>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160" zoomScaleNormal="160" workbookViewId="0">
      <selection activeCell="C6" sqref="C6:D6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 t="s">
        <v>82</v>
      </c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Seleccione de la lista -&gt;</v>
      </c>
      <c r="D5" s="99"/>
      <c r="G5" s="91" t="s">
        <v>60</v>
      </c>
    </row>
    <row r="6" spans="2:7" ht="30.75" customHeight="1" thickBot="1" x14ac:dyDescent="0.3">
      <c r="B6" s="98" t="s">
        <v>80</v>
      </c>
      <c r="C6" s="100" t="s">
        <v>26</v>
      </c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zoomScale="140" zoomScaleNormal="140" workbookViewId="0">
      <selection activeCell="M24" sqref="M24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7</v>
      </c>
      <c r="X7" s="91">
        <f>SUMIF($K$7:$K$16,U7,$L$7:$L$16) + SUMIF($N$7:$N$16,U7,$M$7:$M$16)</f>
        <v>9</v>
      </c>
      <c r="Y7" s="91">
        <f>SUMIF($K$7:$K$16,U7,$M$7:$M$16) + SUMIF($N$7:$N$16,U7,$L$7:$L$16)</f>
        <v>2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-120070900</v>
      </c>
      <c r="AG7" s="91">
        <f>AF7-AE7*10</f>
        <v>-120070910</v>
      </c>
      <c r="AH7" s="91">
        <f>AG7+N23</f>
        <v>-120070909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9</v>
      </c>
      <c r="F8" s="33">
        <f t="shared" si="1"/>
        <v>2</v>
      </c>
      <c r="G8" s="34">
        <f t="shared" si="1"/>
        <v>7</v>
      </c>
      <c r="H8" s="71"/>
      <c r="I8" s="12">
        <v>2</v>
      </c>
      <c r="J8" s="6">
        <v>44360</v>
      </c>
      <c r="K8" s="11" t="s">
        <v>12</v>
      </c>
      <c r="L8" s="20">
        <v>0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0</v>
      </c>
      <c r="Q8" s="91">
        <f t="shared" ref="Q8:Q16" si="3">IF(P8=3,0,IF(P8=1,1,3))</f>
        <v>3</v>
      </c>
      <c r="R8" s="91" t="str">
        <f t="shared" ref="R8:R16" si="4">IF(P8&gt;Q8,K8,IF(Q8&gt;P8,N8,"SIN GANADOR"))</f>
        <v>Ecuador</v>
      </c>
      <c r="T8" s="91">
        <f>_xlfn.RANK.EQ(AH8,AH$7:AH$11,1)</f>
        <v>4</v>
      </c>
      <c r="U8" s="91" t="s">
        <v>12</v>
      </c>
      <c r="V8" s="91">
        <f>SUMIF($K$7:$K$16,U8,$P$7:$P$16) + SUMIF($N$7:$N$16,U8,$Q$7:$Q$16)</f>
        <v>4</v>
      </c>
      <c r="W8" s="91">
        <f>X8-Y8</f>
        <v>-1</v>
      </c>
      <c r="X8" s="91">
        <f>SUMIF($K$7:$K$16,U8,$L$7:$L$16) + SUMIF($N$7:$N$16,U8,$M$7:$M$16)</f>
        <v>3</v>
      </c>
      <c r="Y8" s="91">
        <f>SUMIF($K$7:$K$16,U8,$M$7:$M$16) + SUMIF($N$7:$N$16,U8,$L$7:$L$16)</f>
        <v>4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-39990300</v>
      </c>
      <c r="AG8" s="91">
        <f t="shared" ref="AG8:AG11" si="8">AF8-AE8*10</f>
        <v>-39990310</v>
      </c>
      <c r="AH8" s="91">
        <f>AG8+N24</f>
        <v>-39990307</v>
      </c>
    </row>
    <row r="9" spans="2:35" x14ac:dyDescent="0.25">
      <c r="B9" s="62">
        <v>2</v>
      </c>
      <c r="C9" s="63" t="str">
        <f t="shared" si="1"/>
        <v>Ecuador</v>
      </c>
      <c r="D9" s="64">
        <f t="shared" si="1"/>
        <v>9</v>
      </c>
      <c r="E9" s="64">
        <f t="shared" si="1"/>
        <v>6</v>
      </c>
      <c r="F9" s="64">
        <f t="shared" si="1"/>
        <v>3</v>
      </c>
      <c r="G9" s="65">
        <f t="shared" si="1"/>
        <v>3</v>
      </c>
      <c r="H9" s="71"/>
      <c r="I9" s="9">
        <v>5</v>
      </c>
      <c r="J9" s="13">
        <v>44364</v>
      </c>
      <c r="K9" s="8" t="s">
        <v>12</v>
      </c>
      <c r="L9" s="20">
        <v>1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2</v>
      </c>
      <c r="U9" s="91" t="s">
        <v>13</v>
      </c>
      <c r="V9" s="91">
        <f>SUMIF($K$7:$K$16,U9,$P$7:$P$16) + SUMIF($N$7:$N$16,U9,$Q$7:$Q$16)</f>
        <v>9</v>
      </c>
      <c r="W9" s="91">
        <f t="shared" ref="W9:W11" si="9">X9-Y9</f>
        <v>3</v>
      </c>
      <c r="X9" s="91">
        <f>SUMIF($K$7:$K$16,U9,$L$7:$L$16) + SUMIF($N$7:$N$16,U9,$M$7:$M$16)</f>
        <v>6</v>
      </c>
      <c r="Y9" s="91">
        <f>SUMIF($K$7:$K$16,U9,$M$7:$M$16) + SUMIF($N$7:$N$16,U9,$L$7:$L$16)</f>
        <v>3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-90030600</v>
      </c>
      <c r="AG9" s="91">
        <f t="shared" si="8"/>
        <v>-90030610</v>
      </c>
      <c r="AH9" s="91">
        <f>AG9+N25</f>
        <v>-90030608</v>
      </c>
    </row>
    <row r="10" spans="2:35" x14ac:dyDescent="0.25">
      <c r="B10" s="58">
        <v>3</v>
      </c>
      <c r="C10" s="59" t="str">
        <f t="shared" si="1"/>
        <v>Peru</v>
      </c>
      <c r="D10" s="60">
        <f t="shared" si="1"/>
        <v>4</v>
      </c>
      <c r="E10" s="60">
        <f t="shared" si="1"/>
        <v>4</v>
      </c>
      <c r="F10" s="60">
        <f t="shared" si="1"/>
        <v>5</v>
      </c>
      <c r="G10" s="61">
        <f t="shared" si="1"/>
        <v>-1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3</v>
      </c>
      <c r="U10" s="91" t="s">
        <v>5</v>
      </c>
      <c r="V10" s="91">
        <f>SUMIF($K$7:$K$16,U10,$P$7:$P$16) + SUMIF($N$7:$N$16,U10,$Q$7:$Q$16)</f>
        <v>4</v>
      </c>
      <c r="W10" s="91">
        <f t="shared" si="9"/>
        <v>-1</v>
      </c>
      <c r="X10" s="91">
        <f>SUMIF($K$7:$K$16,U10,$L$7:$L$16) + SUMIF($N$7:$N$16,U10,$M$7:$M$16)</f>
        <v>4</v>
      </c>
      <c r="Y10" s="91">
        <f>SUMIF($K$7:$K$16,U10,$M$7:$M$16) + SUMIF($N$7:$N$16,U10,$L$7:$L$16)</f>
        <v>5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-39990400</v>
      </c>
      <c r="AG10" s="91">
        <f t="shared" si="8"/>
        <v>-39990410</v>
      </c>
      <c r="AH10" s="91">
        <f>AG10+N26</f>
        <v>-39990406</v>
      </c>
    </row>
    <row r="11" spans="2:35" x14ac:dyDescent="0.25">
      <c r="B11" s="66">
        <v>4</v>
      </c>
      <c r="C11" s="67" t="str">
        <f t="shared" si="1"/>
        <v>Colombia</v>
      </c>
      <c r="D11" s="68">
        <f t="shared" si="1"/>
        <v>4</v>
      </c>
      <c r="E11" s="68">
        <f t="shared" si="1"/>
        <v>3</v>
      </c>
      <c r="F11" s="68">
        <f t="shared" si="1"/>
        <v>4</v>
      </c>
      <c r="G11" s="69">
        <f t="shared" si="1"/>
        <v>-1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-8</v>
      </c>
      <c r="X11" s="91">
        <f>SUMIF($K$7:$K$16,U11,$L$7:$L$16) + SUMIF($N$7:$N$16,U11,$M$7:$M$16)</f>
        <v>0</v>
      </c>
      <c r="Y11" s="91">
        <f>SUMIF($K$7:$K$16,U11,$M$7:$M$16) + SUMIF($N$7:$N$16,U11,$L$7:$L$16)</f>
        <v>8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80000</v>
      </c>
      <c r="AG11" s="91">
        <f t="shared" si="8"/>
        <v>79990</v>
      </c>
      <c r="AH11" s="91">
        <f>AG11+N27</f>
        <v>79995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0</v>
      </c>
      <c r="F12" s="56">
        <f t="shared" si="1"/>
        <v>8</v>
      </c>
      <c r="G12" s="57">
        <f t="shared" si="1"/>
        <v>-8</v>
      </c>
      <c r="H12" s="71"/>
      <c r="I12" s="31">
        <v>10</v>
      </c>
      <c r="J12" s="29">
        <v>44367</v>
      </c>
      <c r="K12" s="30" t="s">
        <v>12</v>
      </c>
      <c r="L12" s="26">
        <v>1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1</v>
      </c>
      <c r="Q12" s="91">
        <f t="shared" ref="Q12:Q15" si="10">IF(P12=3,0,IF(P12=1,1,3))</f>
        <v>1</v>
      </c>
      <c r="R12" s="91" t="str">
        <f t="shared" si="4"/>
        <v>SIN GANADOR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2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1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1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2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3</v>
      </c>
      <c r="N24" s="1">
        <f>IF(J24="",0,M24)</f>
        <v>3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2</v>
      </c>
      <c r="N25" s="1">
        <f>IF(J25="",0,M25)</f>
        <v>2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C6" zoomScale="140" zoomScaleNormal="140" workbookViewId="0">
      <selection activeCell="M14" sqref="M14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1</v>
      </c>
      <c r="Q7" s="91">
        <f>IF(P7=3,0,IF(P7=1,1,3))</f>
        <v>1</v>
      </c>
      <c r="R7" s="91" t="str">
        <f>IF(P7&gt;Q7,K7,IF(Q7&gt;P7,N7,"SIN GANADOR"))</f>
        <v>SIN GANADOR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10</v>
      </c>
      <c r="W7" s="91">
        <f>X7-Y7</f>
        <v>5</v>
      </c>
      <c r="X7" s="91">
        <f>SUMIF($K$7:$K$16,U7,$L$7:$L$16) + SUMIF($N$7:$N$16,U7,$M$7:$M$16)</f>
        <v>7</v>
      </c>
      <c r="Y7" s="91">
        <f>SUMIF($K$7:$K$16,U7,$M$7:$M$16) + SUMIF($N$7:$N$16,U7,$L$7:$L$16)</f>
        <v>2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-100050700</v>
      </c>
      <c r="AG7" s="91">
        <f>AF7-AE7*10</f>
        <v>-100050710</v>
      </c>
      <c r="AH7" s="91">
        <f>AG7+N23</f>
        <v>-100050709</v>
      </c>
    </row>
    <row r="8" spans="2:34" x14ac:dyDescent="0.25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10</v>
      </c>
      <c r="E8" s="33">
        <f t="shared" si="1"/>
        <v>7</v>
      </c>
      <c r="F8" s="33">
        <f t="shared" si="1"/>
        <v>2</v>
      </c>
      <c r="G8" s="34">
        <f t="shared" si="1"/>
        <v>5</v>
      </c>
      <c r="H8" s="71"/>
      <c r="I8" s="12">
        <v>4</v>
      </c>
      <c r="J8" s="6">
        <v>44361</v>
      </c>
      <c r="K8" s="11" t="s">
        <v>27</v>
      </c>
      <c r="L8" s="20">
        <v>0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1</v>
      </c>
      <c r="W8" s="91">
        <f>X8-Y8</f>
        <v>-5</v>
      </c>
      <c r="X8" s="91">
        <f>SUMIF($K$7:$K$16,U8,$L$7:$L$16) + SUMIF($N$7:$N$16,U8,$M$7:$M$16)</f>
        <v>0</v>
      </c>
      <c r="Y8" s="91">
        <f>SUMIF($K$7:$K$16,U8,$M$7:$M$16) + SUMIF($N$7:$N$16,U8,$L$7:$L$16)</f>
        <v>5</v>
      </c>
      <c r="AB8" s="91" t="str">
        <f t="shared" ref="AB8:AB11" si="5">U8</f>
        <v>Bolivia</v>
      </c>
      <c r="AC8" s="91" t="str">
        <f>IF(AF8=AF9,AB9,IF(AF8=AF10,AB10,IF(AF8=AF11,AB11,IF(AF8=AF7,AB7,""))))</f>
        <v>Paraguay</v>
      </c>
      <c r="AD8" s="91" t="str">
        <f>IF(AC8="","",IFERROR(VLOOKUP(CONCATENATE(AB8,"_",AC8),$O$7:$R$16,4,FALSE),VLOOKUP(CONCATENATE(AC8,"_",AB8),$O$7:$R$16,4,FALSE)))</f>
        <v>SIN GANADOR</v>
      </c>
      <c r="AE8" s="91">
        <f t="shared" ref="AE8:AE11" si="6">IF(AD8="",1,IF(AD8=AB8,1,0))</f>
        <v>0</v>
      </c>
      <c r="AF8" s="91">
        <f t="shared" ref="AF8:AF11" si="7">-V8*10000000 - W8*10000 - X8*100</f>
        <v>-9950000</v>
      </c>
      <c r="AG8" s="91">
        <f t="shared" ref="AG8:AG11" si="8">AF8-AE8*10</f>
        <v>-9950000</v>
      </c>
      <c r="AH8" s="91">
        <f>AG8+N24</f>
        <v>-9949995</v>
      </c>
    </row>
    <row r="9" spans="2:34" x14ac:dyDescent="0.25">
      <c r="B9" s="62">
        <v>2</v>
      </c>
      <c r="C9" s="63" t="str">
        <f t="shared" si="1"/>
        <v>Chile</v>
      </c>
      <c r="D9" s="64">
        <f t="shared" si="1"/>
        <v>10</v>
      </c>
      <c r="E9" s="64">
        <f t="shared" si="1"/>
        <v>5</v>
      </c>
      <c r="F9" s="64">
        <f t="shared" si="1"/>
        <v>1</v>
      </c>
      <c r="G9" s="65">
        <f t="shared" si="1"/>
        <v>4</v>
      </c>
      <c r="H9" s="71"/>
      <c r="I9" s="9">
        <v>7</v>
      </c>
      <c r="J9" s="13">
        <v>44365</v>
      </c>
      <c r="K9" s="8" t="s">
        <v>26</v>
      </c>
      <c r="L9" s="20">
        <v>1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2</v>
      </c>
      <c r="U9" s="91" t="s">
        <v>26</v>
      </c>
      <c r="V9" s="91">
        <f>SUMIF($K$7:$K$16,U9,$P$7:$P$16) + SUMIF($N$7:$N$16,U9,$Q$7:$Q$16)</f>
        <v>10</v>
      </c>
      <c r="W9" s="91">
        <f t="shared" ref="W9:W11" si="9">X9-Y9</f>
        <v>4</v>
      </c>
      <c r="X9" s="91">
        <f>SUMIF($K$7:$K$16,U9,$L$7:$L$16) + SUMIF($N$7:$N$16,U9,$M$7:$M$16)</f>
        <v>5</v>
      </c>
      <c r="Y9" s="91">
        <f>SUMIF($K$7:$K$16,U9,$M$7:$M$16) + SUMIF($N$7:$N$16,U9,$L$7:$L$16)</f>
        <v>1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-100040500</v>
      </c>
      <c r="AG9" s="91">
        <f t="shared" si="8"/>
        <v>-100040510</v>
      </c>
      <c r="AH9" s="91">
        <f>AG9+N25</f>
        <v>-100040508</v>
      </c>
    </row>
    <row r="10" spans="2:34" x14ac:dyDescent="0.25">
      <c r="B10" s="58">
        <v>3</v>
      </c>
      <c r="C10" s="59" t="str">
        <f t="shared" si="1"/>
        <v>Uruguay</v>
      </c>
      <c r="D10" s="60">
        <f t="shared" si="1"/>
        <v>6</v>
      </c>
      <c r="E10" s="60">
        <f t="shared" si="1"/>
        <v>4</v>
      </c>
      <c r="F10" s="60">
        <f t="shared" si="1"/>
        <v>3</v>
      </c>
      <c r="G10" s="61">
        <f t="shared" si="1"/>
        <v>1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3</v>
      </c>
      <c r="Q10" s="91">
        <f t="shared" si="3"/>
        <v>0</v>
      </c>
      <c r="R10" s="91" t="str">
        <f t="shared" si="4"/>
        <v>Argentina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1</v>
      </c>
      <c r="W10" s="91">
        <f t="shared" si="9"/>
        <v>-5</v>
      </c>
      <c r="X10" s="91">
        <f>SUMIF($K$7:$K$16,U10,$L$7:$L$16) + SUMIF($N$7:$N$16,U10,$M$7:$M$16)</f>
        <v>0</v>
      </c>
      <c r="Y10" s="91">
        <f>SUMIF($K$7:$K$16,U10,$M$7:$M$16) + SUMIF($N$7:$N$16,U10,$L$7:$L$16)</f>
        <v>5</v>
      </c>
      <c r="AB10" s="91" t="str">
        <f t="shared" si="5"/>
        <v>Paraguay</v>
      </c>
      <c r="AC10" s="91" t="str">
        <f>IF(AF10=AF11,AB11,IF(AF10=AF7,AB7,IF(AF10=AF8,AB8,IF(AF10=AF9,AB9,""))))</f>
        <v>Bolivia</v>
      </c>
      <c r="AD10" s="91" t="str">
        <f>IF(AC10="","",IFERROR(VLOOKUP(CONCATENATE(AB10,"_",AC10),$O$7:$R$16,4,FALSE),VLOOKUP(CONCATENATE(AC10,"_",AB10),$O$7:$R$16,4,FALSE)))</f>
        <v>SIN GANADOR</v>
      </c>
      <c r="AE10" s="91">
        <f t="shared" si="6"/>
        <v>0</v>
      </c>
      <c r="AF10" s="91">
        <f t="shared" si="7"/>
        <v>-9950000</v>
      </c>
      <c r="AG10" s="91">
        <f t="shared" si="8"/>
        <v>-9950000</v>
      </c>
      <c r="AH10" s="91">
        <f>AG10+N26</f>
        <v>-9949996</v>
      </c>
    </row>
    <row r="11" spans="2:34" x14ac:dyDescent="0.25">
      <c r="B11" s="66">
        <v>4</v>
      </c>
      <c r="C11" s="67" t="str">
        <f t="shared" si="1"/>
        <v>Paraguay</v>
      </c>
      <c r="D11" s="68">
        <f t="shared" si="1"/>
        <v>1</v>
      </c>
      <c r="E11" s="68">
        <f t="shared" si="1"/>
        <v>0</v>
      </c>
      <c r="F11" s="68">
        <f t="shared" si="1"/>
        <v>5</v>
      </c>
      <c r="G11" s="69">
        <f t="shared" si="1"/>
        <v>-5</v>
      </c>
      <c r="H11" s="71"/>
      <c r="I11" s="9">
        <v>11</v>
      </c>
      <c r="J11" s="13">
        <v>44368</v>
      </c>
      <c r="K11" s="8" t="s">
        <v>28</v>
      </c>
      <c r="L11" s="20">
        <v>0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0</v>
      </c>
      <c r="Q11" s="91">
        <f t="shared" si="3"/>
        <v>3</v>
      </c>
      <c r="R11" s="91" t="str">
        <f t="shared" si="4"/>
        <v>Chile</v>
      </c>
      <c r="T11" s="91">
        <f>_xlfn.RANK.EQ(AH11,AH$7:AH$11,1)</f>
        <v>3</v>
      </c>
      <c r="U11" s="91" t="s">
        <v>28</v>
      </c>
      <c r="V11" s="91">
        <f>SUMIF($K$7:$K$16,U11,$P$7:$P$16) + SUMIF($N$7:$N$16,U11,$Q$7:$Q$16)</f>
        <v>6</v>
      </c>
      <c r="W11" s="91">
        <f t="shared" si="9"/>
        <v>1</v>
      </c>
      <c r="X11" s="91">
        <f>SUMIF($K$7:$K$16,U11,$L$7:$L$16) + SUMIF($N$7:$N$16,U11,$M$7:$M$16)</f>
        <v>4</v>
      </c>
      <c r="Y11" s="91">
        <f>SUMIF($K$7:$K$16,U11,$M$7:$M$16) + SUMIF($N$7:$N$16,U11,$L$7:$L$16)</f>
        <v>3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-60010400</v>
      </c>
      <c r="AG11" s="91">
        <f t="shared" si="8"/>
        <v>-60010410</v>
      </c>
      <c r="AH11" s="91">
        <f>AG11+N27</f>
        <v>-60010407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1</v>
      </c>
      <c r="E12" s="56">
        <f t="shared" si="1"/>
        <v>0</v>
      </c>
      <c r="F12" s="56">
        <f t="shared" si="1"/>
        <v>5</v>
      </c>
      <c r="G12" s="57">
        <f t="shared" si="1"/>
        <v>-5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2</v>
      </c>
      <c r="M14" s="27">
        <v>0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1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2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abSelected="1" topLeftCell="A5" zoomScale="140" zoomScaleNormal="140" workbookViewId="0">
      <selection activeCell="O23" sqref="O23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Argentina</v>
      </c>
      <c r="C7" s="41">
        <v>1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Colombia</v>
      </c>
      <c r="C8" s="42">
        <v>0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Argentina</v>
      </c>
      <c r="H9" s="41">
        <v>0</v>
      </c>
      <c r="I9" s="75">
        <v>4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Chile</v>
      </c>
      <c r="H10" s="42">
        <v>0</v>
      </c>
      <c r="I10" s="77">
        <v>5</v>
      </c>
      <c r="J10" s="78"/>
    </row>
    <row r="11" spans="2:43" ht="15.75" thickBot="1" x14ac:dyDescent="0.3">
      <c r="B11" s="74" t="str">
        <f>'Grupo B'!C9</f>
        <v>Chile</v>
      </c>
      <c r="C11" s="41">
        <v>1</v>
      </c>
      <c r="D11" s="75"/>
      <c r="E11" s="82"/>
      <c r="J11" s="79"/>
    </row>
    <row r="12" spans="2:43" ht="15.75" thickBot="1" x14ac:dyDescent="0.3">
      <c r="B12" s="76" t="str">
        <f>'Grupo A'!C10</f>
        <v>Peru</v>
      </c>
      <c r="C12" s="42">
        <v>0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Chile</v>
      </c>
      <c r="M13" s="41">
        <v>1</v>
      </c>
      <c r="N13" s="75">
        <v>4</v>
      </c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1</v>
      </c>
      <c r="N14" s="77">
        <v>3</v>
      </c>
    </row>
    <row r="15" spans="2:43" ht="15.75" thickBot="1" x14ac:dyDescent="0.3">
      <c r="B15" s="74" t="str">
        <f>'Grupo A'!C9</f>
        <v>Ecuador</v>
      </c>
      <c r="C15" s="41">
        <v>1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Uruguay</v>
      </c>
      <c r="C16" s="42">
        <v>0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Ecuador</v>
      </c>
      <c r="H17" s="41">
        <v>0</v>
      </c>
      <c r="I17" s="75"/>
      <c r="J17" s="82"/>
      <c r="Q17" s="74" t="s">
        <v>40</v>
      </c>
      <c r="R17" s="84" t="str">
        <f>IF(M13&gt;M14,L13,IF(M14&gt;M13,L14,IF(N13&gt;N14,L13,IF(N14&gt;N13,L14,""))))</f>
        <v>Chile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1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Brasil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2</v>
      </c>
      <c r="D19" s="75"/>
      <c r="E19" s="82"/>
      <c r="Q19" s="76" t="s">
        <v>45</v>
      </c>
      <c r="R19" s="87" t="str">
        <f>IF(M22&gt;M23,L22,IF(M23&gt;M22,L23,IF(N22&gt;N23,L22,IF(N23&gt;N22,L23,""))))</f>
        <v>Argentina</v>
      </c>
    </row>
    <row r="20" spans="2:26" ht="15.75" thickBot="1" x14ac:dyDescent="0.3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Argentina</v>
      </c>
      <c r="M22" s="41">
        <v>2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Ecuador</v>
      </c>
      <c r="M23" s="42">
        <v>1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Valentina</cp:lastModifiedBy>
  <dcterms:created xsi:type="dcterms:W3CDTF">2021-05-30T22:13:47Z</dcterms:created>
  <dcterms:modified xsi:type="dcterms:W3CDTF">2021-06-12T15:26:35Z</dcterms:modified>
</cp:coreProperties>
</file>