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29C9800C-2956-4519-B955-167B899CBCB5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7" i="2" l="1"/>
  <c r="AF11" i="2"/>
  <c r="V10" i="2"/>
  <c r="AF10" i="2" s="1"/>
  <c r="AF8" i="2"/>
  <c r="R8" i="2"/>
  <c r="R13" i="2"/>
  <c r="AF9" i="2"/>
  <c r="R14" i="2"/>
  <c r="AC11" i="2" l="1"/>
  <c r="AD11" i="2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W7" i="1"/>
  <c r="W10" i="1"/>
  <c r="W11" i="1"/>
  <c r="W8" i="1"/>
  <c r="W9" i="1"/>
  <c r="V8" i="1"/>
  <c r="Q11" i="1"/>
  <c r="G10" i="2" l="1"/>
  <c r="V11" i="1"/>
  <c r="AF11" i="1" s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<sst xmlns="http://schemas.openxmlformats.org/spreadsheetml/2006/main" count="187" uniqueCount="82">
  <si>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</si>
  <si>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</si>
  <si>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</si>
  <si>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</si>
  <si>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</si>
  <si>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</si>
  <si>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</si>
  <si>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</si>
  <si>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</si>
  <si>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</si>
  <si>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</si>
  <si>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</si>
  <si>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</si>
  <si>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</si>
  <si>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</si>
  <si>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</si>
  <si>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</si>
  <si>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</si>
  <si>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</si>
  <si>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</si>
  <si>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</si>
  <si>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</si>
  <si>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</si>
  <si>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</si>
  <si>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</si>
  <si>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</si>
  <si>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</si>
  <si>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</si>
  <si>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</si>
  <si>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</si>
  <si>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</si>
  <si>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</si>
  <si>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</si>
  <si>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</si>
  <si>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</si>
  <si>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</si>
  <si>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</si>
  <si>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</si>
  <si>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</si>
  <si>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</si>
  <si>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</si>
  <si>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</si>
  <si>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</si>
  <si>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</si>
  <si>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</si>
  <si>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</si>
  <si>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</si>
  <si>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</si>
  <si>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</si>
  <si>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</si>
  <si>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</si>
  <si>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</si>
  <si>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</si>
  <si>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</si>
  <si>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</si>
  <si>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</si>
  <si>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</si>
  <si>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</si>
  <si>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</si>
  <si>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</si>
  <si>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</si>
  <si>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</si>
  <si>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</si>
  <si>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</si>
  <si>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</si>
  <si>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</si>
  <si>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</si>
  <si>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</si>
  <si>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</si>
  <si>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</si>
  <si>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</si>
  <si>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</si>
  <si>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</si>
  <si>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</si>
  <si>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</si>
  <si>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</si>
  <si>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</si>
  <si>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</si>
  <si>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</si>
  <si>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</si>
  <si>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</si>
  <si>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German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</si>
</sst>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8" zoomScale="115" zoomScaleNormal="115" workbookViewId="0">
      <selection activeCell="L19" sqref="L1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-70010600</v>
      </c>
      <c r="AG8" s="91">
        <f t="shared" ref="AG8:AG11" si="8">AF8-AE8*10</f>
        <v>-70010610</v>
      </c>
      <c r="AH8" s="91">
        <f>AG8+N24</f>
        <v>-70010608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-50000400</v>
      </c>
      <c r="AG9" s="91">
        <f t="shared" si="8"/>
        <v>-50000410</v>
      </c>
      <c r="AH9" s="91">
        <f>AG9+N25</f>
        <v>-50000407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-4</v>
      </c>
      <c r="X11" s="91">
        <f>SUMIF($K$7:$K$16,U11,$L$7:$L$16) + SUMIF($N$7:$N$16,U11,$M$7:$M$16)</f>
        <v>2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-9960200</v>
      </c>
      <c r="AG11" s="91">
        <f t="shared" si="8"/>
        <v>-9960210</v>
      </c>
      <c r="AH11" s="91">
        <f>AG11+N27</f>
        <v>-9960205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6</v>
      </c>
      <c r="G12" s="57">
        <f t="shared" si="1"/>
        <v>-4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21" zoomScale="101" zoomScaleNormal="140" workbookViewId="0">
      <selection activeCell="M15" sqref="M15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0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-80050700</v>
      </c>
      <c r="AG7" s="91">
        <f>AF7-AE7*10</f>
        <v>-80050710</v>
      </c>
      <c r="AH7" s="91">
        <f>AG7+N23</f>
        <v>-80050709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8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1</v>
      </c>
      <c r="Y8" s="91">
        <f>SUMIF($K$7:$K$16,U8,$M$7:$M$16) + SUMIF($N$7:$N$16,U8,$L$7:$L$16)</f>
        <v>11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99900</v>
      </c>
      <c r="AG8" s="91">
        <f t="shared" ref="AG8:AG11" si="8">AF8-AE8*10</f>
        <v>99890</v>
      </c>
      <c r="AH8" s="91">
        <f>AG8+N24</f>
        <v>99895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5</v>
      </c>
      <c r="F9" s="64">
        <f t="shared" si="1"/>
        <v>1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4</v>
      </c>
      <c r="X9" s="91">
        <f>SUMIF($K$7:$K$16,U9,$L$7:$L$16) + SUMIF($N$7:$N$16,U9,$M$7:$M$16)</f>
        <v>5</v>
      </c>
      <c r="Y9" s="91">
        <f>SUMIF($K$7:$K$16,U9,$M$7:$M$16) + SUMIF($N$7:$N$16,U9,$L$7:$L$16)</f>
        <v>1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-80040500</v>
      </c>
      <c r="AG9" s="91">
        <f t="shared" si="8"/>
        <v>-80040510</v>
      </c>
      <c r="AH9" s="91">
        <f>AG9+N25</f>
        <v>-80040508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5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5</v>
      </c>
      <c r="W10" s="91">
        <f t="shared" si="9"/>
        <v>1</v>
      </c>
      <c r="X10" s="91">
        <f>SUMIF($K$7:$K$16,U10,$L$7:$L$16) + SUMIF($N$7:$N$16,U10,$M$7:$M$16)</f>
        <v>5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-50010500</v>
      </c>
      <c r="AG10" s="91">
        <f t="shared" si="8"/>
        <v>-50010510</v>
      </c>
      <c r="AH10" s="91">
        <f>AG10+N26</f>
        <v>-50010506</v>
      </c>
    </row>
    <row r="11" spans="2:34" x14ac:dyDescent="0.25">
      <c r="B11" s="66">
        <v>4</v>
      </c>
      <c r="C11" s="67" t="str">
        <f t="shared" si="1"/>
        <v>Uruguay</v>
      </c>
      <c r="D11" s="68">
        <f t="shared" si="1"/>
        <v>5</v>
      </c>
      <c r="E11" s="68">
        <f t="shared" si="1"/>
        <v>4</v>
      </c>
      <c r="F11" s="68">
        <f t="shared" si="1"/>
        <v>4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4</v>
      </c>
      <c r="U11" s="91" t="s">
        <v>28</v>
      </c>
      <c r="V11" s="91">
        <f>SUMIF($K$7:$K$16,U11,$P$7:$P$16) + SUMIF($N$7:$N$16,U11,$Q$7:$Q$16)</f>
        <v>5</v>
      </c>
      <c r="W11" s="91">
        <f t="shared" si="9"/>
        <v>0</v>
      </c>
      <c r="X11" s="91">
        <f>SUMIF($K$7:$K$16,U11,$L$7:$L$16) + SUMIF($N$7:$N$16,U11,$M$7:$M$16)</f>
        <v>4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-50000400</v>
      </c>
      <c r="AG11" s="91">
        <f t="shared" si="8"/>
        <v>-50000410</v>
      </c>
      <c r="AH11" s="91">
        <f>AG11+N27</f>
        <v>-50000407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61" zoomScaleNormal="140" workbookViewId="0">
      <selection activeCell="O21" sqref="O21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4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Paraguay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Uruguay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Paraguay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2021-06-12T16:45:08Z</dcterms:modified>
</cp:coreProperties>
</file>