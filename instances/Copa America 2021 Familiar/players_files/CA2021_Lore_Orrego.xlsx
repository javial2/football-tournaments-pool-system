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Cristobal Vial\Desktop\"/>
    </mc:Choice>
  </mc:AlternateContent>
  <bookViews>
    <workbookView xWindow="20370" yWindow="-120" windowWidth="29040" windowHeight="15840" activeTab="1"/>
  </bookViews>
  <sheets>
    <sheet name="INFORMACION" sheetId="4" r:id="rId1"/>
    <sheet name="Grupo A" sheetId="1" r:id="rId2"/>
    <sheet name="Grupo B" sheetId="2" r:id="rId3"/>
    <sheet name="Play-Off" sheetId="3" r:id="rId4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5" i="4" l="1"/>
  <c r="P16" i="2"/>
  <c r="O16" i="2"/>
  <c r="P15" i="2"/>
  <c r="O15" i="2"/>
  <c r="P14" i="2"/>
  <c r="O14" i="2"/>
  <c r="P13" i="2"/>
  <c r="O13" i="2"/>
  <c r="P12" i="2"/>
  <c r="O12" i="2"/>
  <c r="AB11" i="2"/>
  <c r="Y11" i="2"/>
  <c r="X11" i="2"/>
  <c r="P11" i="2"/>
  <c r="Q11" i="2" s="1"/>
  <c r="O11" i="2"/>
  <c r="AB10" i="2"/>
  <c r="Y10" i="2"/>
  <c r="X10" i="2"/>
  <c r="P10" i="2"/>
  <c r="Q10" i="2" s="1"/>
  <c r="R10" i="2" s="1"/>
  <c r="O10" i="2"/>
  <c r="AB9" i="2"/>
  <c r="Y9" i="2"/>
  <c r="X9" i="2"/>
  <c r="P9" i="2"/>
  <c r="Q9" i="2" s="1"/>
  <c r="R9" i="2" s="1"/>
  <c r="O9" i="2"/>
  <c r="AB8" i="2"/>
  <c r="Y8" i="2"/>
  <c r="X8" i="2"/>
  <c r="P8" i="2"/>
  <c r="O8" i="2"/>
  <c r="AB7" i="2"/>
  <c r="Y7" i="2"/>
  <c r="X7" i="2"/>
  <c r="P7" i="2"/>
  <c r="Q7" i="2" s="1"/>
  <c r="O7" i="2"/>
  <c r="O8" i="1"/>
  <c r="O9" i="1"/>
  <c r="O10" i="1"/>
  <c r="O11" i="1"/>
  <c r="O12" i="1"/>
  <c r="O13" i="1"/>
  <c r="O14" i="1"/>
  <c r="O15" i="1"/>
  <c r="O16" i="1"/>
  <c r="O7" i="1"/>
  <c r="AB8" i="1"/>
  <c r="AB9" i="1"/>
  <c r="AB10" i="1"/>
  <c r="AB11" i="1"/>
  <c r="AB7" i="1"/>
  <c r="W11" i="2" l="1"/>
  <c r="W7" i="2"/>
  <c r="W10" i="2"/>
  <c r="W9" i="2"/>
  <c r="W8" i="2"/>
  <c r="R7" i="2"/>
  <c r="Q8" i="2"/>
  <c r="V8" i="2" s="1"/>
  <c r="V9" i="2"/>
  <c r="R11" i="2"/>
  <c r="Q12" i="2"/>
  <c r="R12" i="2" s="1"/>
  <c r="Q13" i="2"/>
  <c r="V11" i="2" s="1"/>
  <c r="Q14" i="2"/>
  <c r="V7" i="2" s="1"/>
  <c r="AF7" i="2" s="1"/>
  <c r="Q15" i="2"/>
  <c r="R15" i="2" s="1"/>
  <c r="Q16" i="2"/>
  <c r="R16" i="2" s="1"/>
  <c r="AF11" i="2" l="1"/>
  <c r="V10" i="2"/>
  <c r="AF10" i="2" s="1"/>
  <c r="AF8" i="2"/>
  <c r="R8" i="2"/>
  <c r="R13" i="2"/>
  <c r="AF9" i="2"/>
  <c r="R14" i="2"/>
  <c r="AC11" i="2" l="1"/>
  <c r="AD11" i="2" s="1"/>
  <c r="AE11" i="2" s="1"/>
  <c r="AG11" i="2" s="1"/>
  <c r="AC9" i="2"/>
  <c r="AC10" i="2"/>
  <c r="AC7" i="2"/>
  <c r="AC8" i="2"/>
  <c r="AD7" i="2" l="1"/>
  <c r="AE7" i="2" s="1"/>
  <c r="AG7" i="2" s="1"/>
  <c r="AD10" i="2"/>
  <c r="AE10" i="2" s="1"/>
  <c r="AG10" i="2" s="1"/>
  <c r="I26" i="2"/>
  <c r="AD9" i="2"/>
  <c r="AE9" i="2" s="1"/>
  <c r="AG9" i="2" s="1"/>
  <c r="AD8" i="2"/>
  <c r="AE8" i="2" s="1"/>
  <c r="AG8" i="2" s="1"/>
  <c r="I24" i="2"/>
  <c r="N23" i="2"/>
  <c r="I25" i="2"/>
  <c r="N27" i="2"/>
  <c r="AH11" i="2" s="1"/>
  <c r="AH7" i="2" l="1"/>
  <c r="N26" i="2"/>
  <c r="AH10" i="2" s="1"/>
  <c r="N24" i="2"/>
  <c r="AH8" i="2" s="1"/>
  <c r="N25" i="2"/>
  <c r="AH9" i="2" s="1"/>
  <c r="I23" i="2"/>
  <c r="I27" i="2"/>
  <c r="X7" i="1"/>
  <c r="P12" i="1"/>
  <c r="P13" i="1"/>
  <c r="P14" i="1"/>
  <c r="P15" i="1"/>
  <c r="P16" i="1"/>
  <c r="X11" i="1"/>
  <c r="Y11" i="1"/>
  <c r="P11" i="1"/>
  <c r="Y10" i="1"/>
  <c r="X10" i="1"/>
  <c r="P10" i="1"/>
  <c r="Y9" i="1"/>
  <c r="X9" i="1"/>
  <c r="P9" i="1"/>
  <c r="Y8" i="1"/>
  <c r="X8" i="1"/>
  <c r="P8" i="1"/>
  <c r="Y7" i="1"/>
  <c r="P7" i="1"/>
  <c r="T9" i="2" l="1"/>
  <c r="T7" i="2"/>
  <c r="T10" i="2"/>
  <c r="T11" i="2"/>
  <c r="T8" i="2"/>
  <c r="Q12" i="1"/>
  <c r="R12" i="1" s="1"/>
  <c r="Q7" i="1"/>
  <c r="R7" i="1" s="1"/>
  <c r="Q10" i="1"/>
  <c r="R10" i="1" s="1"/>
  <c r="Q14" i="1"/>
  <c r="R14" i="1" s="1"/>
  <c r="Q8" i="1"/>
  <c r="R8" i="1" s="1"/>
  <c r="Q9" i="1"/>
  <c r="R9" i="1" s="1"/>
  <c r="Q15" i="1"/>
  <c r="Q16" i="1"/>
  <c r="R16" i="1" s="1"/>
  <c r="Q13" i="1"/>
  <c r="R13" i="1" s="1"/>
  <c r="V11" i="1"/>
  <c r="W7" i="1"/>
  <c r="W10" i="1"/>
  <c r="W11" i="1"/>
  <c r="W8" i="1"/>
  <c r="W9" i="1"/>
  <c r="V8" i="1"/>
  <c r="Q11" i="1"/>
  <c r="G10" i="2" l="1"/>
  <c r="D10" i="2"/>
  <c r="G8" i="2"/>
  <c r="E8" i="2"/>
  <c r="F8" i="2"/>
  <c r="C8" i="2"/>
  <c r="D8" i="2"/>
  <c r="D12" i="2"/>
  <c r="D11" i="2"/>
  <c r="C10" i="2"/>
  <c r="B16" i="3" s="1"/>
  <c r="D9" i="2"/>
  <c r="C11" i="2"/>
  <c r="B20" i="3" s="1"/>
  <c r="F10" i="2"/>
  <c r="C12" i="2"/>
  <c r="C9" i="2"/>
  <c r="G11" i="2"/>
  <c r="E11" i="2"/>
  <c r="F11" i="2"/>
  <c r="F9" i="2"/>
  <c r="G12" i="2"/>
  <c r="G9" i="2"/>
  <c r="E9" i="2"/>
  <c r="F12" i="2"/>
  <c r="E12" i="2"/>
  <c r="E10" i="2"/>
  <c r="V10" i="1"/>
  <c r="AF10" i="1" s="1"/>
  <c r="R11" i="1"/>
  <c r="AF11" i="1"/>
  <c r="AF8" i="1"/>
  <c r="V7" i="1"/>
  <c r="AF7" i="1" s="1"/>
  <c r="R15" i="1"/>
  <c r="V9" i="1"/>
  <c r="AF9" i="1" s="1"/>
  <c r="B11" i="3" l="1"/>
  <c r="B7" i="3"/>
  <c r="AC7" i="1"/>
  <c r="AC9" i="1"/>
  <c r="AD9" i="1" l="1"/>
  <c r="AE9" i="1" s="1"/>
  <c r="AG9" i="1" s="1"/>
  <c r="AD7" i="1"/>
  <c r="AE7" i="1" s="1"/>
  <c r="AG7" i="1" s="1"/>
  <c r="AC11" i="1" l="1"/>
  <c r="AC8" i="1"/>
  <c r="AC10" i="1"/>
  <c r="AD8" i="1" l="1"/>
  <c r="AE8" i="1" s="1"/>
  <c r="AG8" i="1" s="1"/>
  <c r="AD11" i="1"/>
  <c r="AE11" i="1" s="1"/>
  <c r="AG11" i="1" s="1"/>
  <c r="AD10" i="1"/>
  <c r="AE10" i="1" s="1"/>
  <c r="AG10" i="1" s="1"/>
  <c r="I23" i="1"/>
  <c r="N26" i="1" l="1"/>
  <c r="AH10" i="1" s="1"/>
  <c r="I24" i="1"/>
  <c r="N23" i="1"/>
  <c r="AH7" i="1" s="1"/>
  <c r="N25" i="1"/>
  <c r="AH9" i="1" s="1"/>
  <c r="I25" i="1"/>
  <c r="N27" i="1"/>
  <c r="AH11" i="1" s="1"/>
  <c r="I27" i="1"/>
  <c r="I26" i="1" l="1"/>
  <c r="N24" i="1"/>
  <c r="AH8" i="1" s="1"/>
  <c r="T7" i="1" s="1"/>
  <c r="T10" i="1"/>
  <c r="T8" i="1" l="1"/>
  <c r="T11" i="1"/>
  <c r="T9" i="1"/>
  <c r="D8" i="1" l="1"/>
  <c r="C8" i="1"/>
  <c r="B19" i="3" s="1"/>
  <c r="G18" i="3" s="1"/>
  <c r="E8" i="1"/>
  <c r="F8" i="1"/>
  <c r="F9" i="1"/>
  <c r="G8" i="1"/>
  <c r="F11" i="1"/>
  <c r="D11" i="1"/>
  <c r="G12" i="1"/>
  <c r="E10" i="1"/>
  <c r="D10" i="1"/>
  <c r="C9" i="1"/>
  <c r="D12" i="1"/>
  <c r="F12" i="1"/>
  <c r="C11" i="1"/>
  <c r="B8" i="3" s="1"/>
  <c r="C12" i="1"/>
  <c r="D9" i="1"/>
  <c r="F10" i="1"/>
  <c r="G10" i="1"/>
  <c r="E12" i="1"/>
  <c r="G11" i="1"/>
  <c r="G9" i="1"/>
  <c r="E9" i="1"/>
  <c r="E11" i="1"/>
  <c r="C10" i="1"/>
  <c r="B12" i="3" s="1"/>
  <c r="G10" i="3" s="1"/>
  <c r="G9" i="3" l="1"/>
  <c r="L13" i="3" s="1"/>
  <c r="L22" i="3" s="1"/>
  <c r="R19" i="3" s="1"/>
  <c r="B15" i="3"/>
  <c r="G17" i="3" s="1"/>
  <c r="L14" i="3" s="1"/>
  <c r="L23" i="3" l="1"/>
  <c r="R17" i="3"/>
  <c r="R18" i="3" s="1"/>
</calcChain>
</file>

<file path=xl/sharedStrings.xml><?xml version="1.0" encoding="utf-8"?>
<sst xmlns="http://schemas.openxmlformats.org/spreadsheetml/2006/main" count="188" uniqueCount="82">
  <si>
    <t>Fecha</t>
  </si>
  <si>
    <t>Partidos</t>
  </si>
  <si>
    <t>Brasil</t>
  </si>
  <si>
    <t>Bolivia</t>
  </si>
  <si>
    <t>Venezuela</t>
  </si>
  <si>
    <t>Peru</t>
  </si>
  <si>
    <t>Orden</t>
  </si>
  <si>
    <t>Equipo</t>
  </si>
  <si>
    <t>Puntos</t>
  </si>
  <si>
    <t>DG</t>
  </si>
  <si>
    <t>GF</t>
  </si>
  <si>
    <t>GC</t>
  </si>
  <si>
    <t>Colombia</t>
  </si>
  <si>
    <t>Ecuador</t>
  </si>
  <si>
    <t>GRUPO A</t>
  </si>
  <si>
    <t>Tabla de Posiciones</t>
  </si>
  <si>
    <t>Posición</t>
  </si>
  <si>
    <t>Escoja por prioridad los siguientes equipos:</t>
  </si>
  <si>
    <t>Formula Rank</t>
  </si>
  <si>
    <t>Formula Rank Con Prioridad</t>
  </si>
  <si>
    <t>Empatado Con</t>
  </si>
  <si>
    <t>Ganador</t>
  </si>
  <si>
    <t xml:space="preserve">Ganador? </t>
  </si>
  <si>
    <t>Formula Rank Con Duelo Directo</t>
  </si>
  <si>
    <t>GRUPO B</t>
  </si>
  <si>
    <t>Argentina</t>
  </si>
  <si>
    <t>Chile</t>
  </si>
  <si>
    <t>Paraguay</t>
  </si>
  <si>
    <t>Uruguay</t>
  </si>
  <si>
    <t>Cuartos de Final</t>
  </si>
  <si>
    <t>Semi Final</t>
  </si>
  <si>
    <t>Resultado</t>
  </si>
  <si>
    <t>Penales</t>
  </si>
  <si>
    <t>A</t>
  </si>
  <si>
    <t>B</t>
  </si>
  <si>
    <t>Final</t>
  </si>
  <si>
    <t>C</t>
  </si>
  <si>
    <t>Esta ventana se abrió porque estos equipos están igualados en todo</t>
  </si>
  <si>
    <t>RESULTADOS TORNEO</t>
  </si>
  <si>
    <t xml:space="preserve">para clasificar como uno de los mejores terceros. Por favor, coloque </t>
  </si>
  <si>
    <t>CAMPEÓN</t>
  </si>
  <si>
    <t xml:space="preserve">un 0 en la celda correspondiente al equipo que quedará eliminado. </t>
  </si>
  <si>
    <t>Tercer y Cuarto Lugar</t>
  </si>
  <si>
    <t>SUB CAMPEÓN</t>
  </si>
  <si>
    <t>En la copa real, esto se hace por cantidad de tarjetas amarillas.</t>
  </si>
  <si>
    <t>TERCER LUGAR</t>
  </si>
  <si>
    <t xml:space="preserve">Escoja cual de los siguientes </t>
  </si>
  <si>
    <t>equipos queda eliminado.</t>
  </si>
  <si>
    <t>Japon</t>
  </si>
  <si>
    <t/>
  </si>
  <si>
    <t xml:space="preserve">El recuadro de la derecha sirve para desempatar, en caso de que haya empate entre </t>
  </si>
  <si>
    <t>uno o más equipos en todos los criterios considerados.</t>
  </si>
  <si>
    <t>Puede pensarlo como el lugar que quedarían en la tabla de posiciones.</t>
  </si>
  <si>
    <t>Para utilizarlo, asigne una prioridad entre 1 y 5 (siendo más bajo mejor) a cada equipo.</t>
  </si>
  <si>
    <t>A modo de ejemplo, si su predicción es que todos los partidos terminan 0-0, el orden</t>
  </si>
  <si>
    <t>asignado en este recuadro es el que finalmente quedará en la tabla de posiciones.</t>
  </si>
  <si>
    <t>Información del Jugador</t>
  </si>
  <si>
    <t>Nombre</t>
  </si>
  <si>
    <t>Mail</t>
  </si>
  <si>
    <t xml:space="preserve">¿Cuál es el mejor equipo del mundo? </t>
  </si>
  <si>
    <t>Chelsea</t>
  </si>
  <si>
    <t>Barcelona</t>
  </si>
  <si>
    <t>PSG</t>
  </si>
  <si>
    <t>Real Madrid</t>
  </si>
  <si>
    <t>Arsenal</t>
  </si>
  <si>
    <t>Atl. Madrid</t>
  </si>
  <si>
    <t>Liverpool</t>
  </si>
  <si>
    <t>Palmeiras</t>
  </si>
  <si>
    <t>Man United</t>
  </si>
  <si>
    <t>Boca</t>
  </si>
  <si>
    <t>River</t>
  </si>
  <si>
    <t>Santos</t>
  </si>
  <si>
    <t>Independiente</t>
  </si>
  <si>
    <t>Flamengo</t>
  </si>
  <si>
    <t>Bayern Munich</t>
  </si>
  <si>
    <t>Juventus</t>
  </si>
  <si>
    <t>Mila</t>
  </si>
  <si>
    <t>Inter</t>
  </si>
  <si>
    <t>Napoli</t>
  </si>
  <si>
    <t>Totti</t>
  </si>
  <si>
    <t>Si no existiera Brasil, quien ganaría la copa?</t>
  </si>
  <si>
    <t>Lore Orrego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</si>
</sst>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20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99FF33"/>
        <bgColor indexed="64"/>
      </patternFill>
    </fill>
    <fill>
      <patternFill patternType="solid">
        <fgColor rgb="FFEAEAE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3">
    <xf numFmtId="0" fontId="0" fillId="0" borderId="0"/>
    <xf numFmtId="0" fontId="2" fillId="0" borderId="0"/>
    <xf numFmtId="0" fontId="5" fillId="0" borderId="0" applyNumberFormat="0" applyFill="0" applyBorder="0" applyAlignment="0" applyProtection="0"/>
  </cellStyleXfs>
  <cellXfs count="142">
    <xf numFmtId="0" fontId="0" fillId="0" borderId="0" xfId="0"/>
    <xf numFmtId="0" fontId="0" fillId="0" borderId="0" xfId="0"/>
    <xf numFmtId="0" fontId="0" fillId="0" borderId="0" xfId="0" applyAlignment="1">
      <alignment horizontal="center"/>
    </xf>
    <xf numFmtId="0" fontId="0" fillId="6" borderId="2" xfId="0" applyFill="1" applyBorder="1" applyAlignment="1">
      <alignment horizontal="center"/>
    </xf>
    <xf numFmtId="0" fontId="0" fillId="6" borderId="20" xfId="0" applyFill="1" applyBorder="1" applyAlignment="1">
      <alignment horizontal="center"/>
    </xf>
    <xf numFmtId="0" fontId="0" fillId="6" borderId="6" xfId="0" applyFill="1" applyBorder="1" applyAlignment="1">
      <alignment horizontal="center"/>
    </xf>
    <xf numFmtId="16" fontId="0" fillId="6" borderId="7" xfId="0" applyNumberFormat="1" applyFill="1" applyBorder="1" applyAlignment="1">
      <alignment horizontal="center"/>
    </xf>
    <xf numFmtId="16" fontId="0" fillId="6" borderId="8" xfId="0" applyNumberFormat="1" applyFill="1" applyBorder="1" applyAlignment="1">
      <alignment horizontal="center"/>
    </xf>
    <xf numFmtId="0" fontId="0" fillId="6" borderId="21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16" fontId="0" fillId="8" borderId="23" xfId="0" applyNumberFormat="1" applyFill="1" applyBorder="1" applyAlignment="1">
      <alignment horizontal="center"/>
    </xf>
    <xf numFmtId="0" fontId="0" fillId="8" borderId="21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16" fontId="0" fillId="8" borderId="7" xfId="0" applyNumberFormat="1" applyFill="1" applyBorder="1" applyAlignment="1">
      <alignment horizontal="center"/>
    </xf>
    <xf numFmtId="0" fontId="0" fillId="8" borderId="22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8" borderId="2" xfId="0" applyFill="1" applyBorder="1" applyAlignment="1" applyProtection="1">
      <alignment horizontal="center"/>
      <protection locked="0"/>
    </xf>
    <xf numFmtId="0" fontId="1" fillId="10" borderId="0" xfId="0" applyFont="1" applyFill="1"/>
    <xf numFmtId="0" fontId="3" fillId="0" borderId="49" xfId="1" applyFont="1" applyBorder="1" applyAlignment="1">
      <alignment horizontal="center"/>
    </xf>
    <xf numFmtId="0" fontId="3" fillId="0" borderId="50" xfId="1" applyFont="1" applyBorder="1" applyAlignment="1">
      <alignment horizontal="center"/>
    </xf>
    <xf numFmtId="0" fontId="3" fillId="0" borderId="51" xfId="1" applyFont="1" applyBorder="1" applyAlignment="1">
      <alignment horizontal="center"/>
    </xf>
    <xf numFmtId="0" fontId="3" fillId="0" borderId="52" xfId="1" applyFont="1" applyBorder="1" applyAlignment="1">
      <alignment horizontal="center"/>
    </xf>
    <xf numFmtId="0" fontId="3" fillId="0" borderId="53" xfId="1" applyFont="1" applyBorder="1" applyAlignment="1">
      <alignment horizontal="center"/>
    </xf>
    <xf numFmtId="0" fontId="3" fillId="0" borderId="54" xfId="1" applyFont="1" applyBorder="1" applyAlignment="1">
      <alignment horizontal="center"/>
    </xf>
    <xf numFmtId="16" fontId="0" fillId="8" borderId="43" xfId="0" applyNumberFormat="1" applyFill="1" applyBorder="1" applyAlignment="1">
      <alignment horizontal="center"/>
    </xf>
    <xf numFmtId="0" fontId="0" fillId="6" borderId="55" xfId="0" applyFill="1" applyBorder="1" applyAlignment="1">
      <alignment horizontal="center"/>
    </xf>
    <xf numFmtId="0" fontId="3" fillId="0" borderId="56" xfId="1" applyFont="1" applyBorder="1" applyAlignment="1">
      <alignment horizontal="center"/>
    </xf>
    <xf numFmtId="0" fontId="3" fillId="0" borderId="57" xfId="1" applyFont="1" applyBorder="1" applyAlignment="1">
      <alignment horizontal="center"/>
    </xf>
    <xf numFmtId="0" fontId="0" fillId="6" borderId="43" xfId="0" applyFill="1" applyBorder="1" applyAlignment="1">
      <alignment horizontal="center"/>
    </xf>
    <xf numFmtId="16" fontId="0" fillId="6" borderId="43" xfId="0" applyNumberFormat="1" applyFill="1" applyBorder="1" applyAlignment="1">
      <alignment horizontal="center"/>
    </xf>
    <xf numFmtId="0" fontId="0" fillId="8" borderId="55" xfId="0" applyFill="1" applyBorder="1" applyAlignment="1">
      <alignment horizontal="center"/>
    </xf>
    <xf numFmtId="0" fontId="0" fillId="8" borderId="43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9" borderId="37" xfId="0" applyFill="1" applyBorder="1"/>
    <xf numFmtId="0" fontId="0" fillId="9" borderId="38" xfId="0" applyFill="1" applyBorder="1"/>
    <xf numFmtId="0" fontId="0" fillId="9" borderId="39" xfId="0" applyFill="1" applyBorder="1"/>
    <xf numFmtId="0" fontId="0" fillId="9" borderId="44" xfId="0" applyFill="1" applyBorder="1"/>
    <xf numFmtId="0" fontId="0" fillId="9" borderId="0" xfId="0" applyFill="1"/>
    <xf numFmtId="0" fontId="0" fillId="9" borderId="48" xfId="0" applyFill="1" applyBorder="1"/>
    <xf numFmtId="0" fontId="0" fillId="0" borderId="6" xfId="0" applyBorder="1"/>
    <xf numFmtId="0" fontId="0" fillId="0" borderId="8" xfId="0" applyBorder="1"/>
    <xf numFmtId="0" fontId="0" fillId="9" borderId="40" xfId="0" applyFill="1" applyBorder="1"/>
    <xf numFmtId="0" fontId="0" fillId="9" borderId="41" xfId="0" applyFill="1" applyBorder="1"/>
    <xf numFmtId="0" fontId="0" fillId="9" borderId="42" xfId="0" applyFill="1" applyBorder="1"/>
    <xf numFmtId="0" fontId="0" fillId="0" borderId="42" xfId="0" applyBorder="1"/>
    <xf numFmtId="0" fontId="0" fillId="0" borderId="24" xfId="0" applyBorder="1"/>
    <xf numFmtId="0" fontId="0" fillId="0" borderId="29" xfId="0" applyBorder="1"/>
    <xf numFmtId="0" fontId="0" fillId="0" borderId="25" xfId="0" applyBorder="1"/>
    <xf numFmtId="0" fontId="0" fillId="2" borderId="58" xfId="0" applyFill="1" applyBorder="1" applyAlignment="1">
      <alignment horizontal="center"/>
    </xf>
    <xf numFmtId="0" fontId="0" fillId="8" borderId="59" xfId="0" applyFill="1" applyBorder="1" applyAlignment="1" applyProtection="1">
      <alignment horizontal="center"/>
      <protection locked="0"/>
    </xf>
    <xf numFmtId="0" fontId="0" fillId="8" borderId="46" xfId="0" applyFill="1" applyBorder="1" applyAlignment="1" applyProtection="1">
      <alignment horizontal="center"/>
      <protection locked="0"/>
    </xf>
    <xf numFmtId="0" fontId="0" fillId="8" borderId="47" xfId="0" applyFill="1" applyBorder="1" applyAlignment="1" applyProtection="1">
      <alignment horizontal="center"/>
      <protection locked="0"/>
    </xf>
    <xf numFmtId="0" fontId="0" fillId="0" borderId="18" xfId="0" applyFill="1" applyBorder="1" applyAlignment="1">
      <alignment horizontal="center"/>
    </xf>
    <xf numFmtId="0" fontId="0" fillId="0" borderId="14" xfId="0" applyFill="1" applyBorder="1" applyAlignment="1">
      <alignment horizontal="center"/>
    </xf>
    <xf numFmtId="0" fontId="0" fillId="0" borderId="15" xfId="0" applyFill="1" applyBorder="1" applyAlignment="1">
      <alignment horizontal="center"/>
    </xf>
    <xf numFmtId="0" fontId="0" fillId="0" borderId="16" xfId="0" applyFill="1" applyBorder="1" applyAlignment="1">
      <alignment horizontal="center"/>
    </xf>
    <xf numFmtId="0" fontId="0" fillId="11" borderId="17" xfId="0" applyFill="1" applyBorder="1" applyAlignment="1">
      <alignment horizontal="center"/>
    </xf>
    <xf numFmtId="0" fontId="0" fillId="11" borderId="12" xfId="0" applyFill="1" applyBorder="1" applyAlignment="1">
      <alignment horizontal="center"/>
    </xf>
    <xf numFmtId="0" fontId="0" fillId="11" borderId="1" xfId="0" applyFill="1" applyBorder="1" applyAlignment="1">
      <alignment horizontal="center"/>
    </xf>
    <xf numFmtId="0" fontId="0" fillId="11" borderId="13" xfId="0" applyFill="1" applyBorder="1" applyAlignment="1">
      <alignment horizontal="center"/>
    </xf>
    <xf numFmtId="0" fontId="0" fillId="12" borderId="17" xfId="0" applyFill="1" applyBorder="1" applyAlignment="1">
      <alignment horizontal="center"/>
    </xf>
    <xf numFmtId="0" fontId="0" fillId="12" borderId="12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12" borderId="13" xfId="0" applyFill="1" applyBorder="1" applyAlignment="1">
      <alignment horizontal="center"/>
    </xf>
    <xf numFmtId="0" fontId="0" fillId="13" borderId="32" xfId="0" applyFill="1" applyBorder="1" applyAlignment="1">
      <alignment horizontal="center"/>
    </xf>
    <xf numFmtId="0" fontId="0" fillId="13" borderId="12" xfId="0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3" borderId="13" xfId="0" applyFill="1" applyBorder="1" applyAlignment="1">
      <alignment horizontal="center"/>
    </xf>
    <xf numFmtId="0" fontId="0" fillId="0" borderId="0" xfId="0" applyFill="1"/>
    <xf numFmtId="0" fontId="0" fillId="0" borderId="0" xfId="0" applyFill="1" applyBorder="1" applyAlignment="1">
      <alignment horizontal="center"/>
    </xf>
    <xf numFmtId="0" fontId="0" fillId="6" borderId="2" xfId="0" applyFill="1" applyBorder="1"/>
    <xf numFmtId="0" fontId="0" fillId="6" borderId="26" xfId="0" applyFill="1" applyBorder="1"/>
    <xf numFmtId="0" fontId="0" fillId="6" borderId="6" xfId="0" applyFill="1" applyBorder="1"/>
    <xf numFmtId="0" fontId="0" fillId="4" borderId="24" xfId="0" applyFill="1" applyBorder="1"/>
    <xf numFmtId="0" fontId="0" fillId="6" borderId="8" xfId="0" applyFill="1" applyBorder="1"/>
    <xf numFmtId="0" fontId="0" fillId="4" borderId="25" xfId="0" applyFill="1" applyBorder="1"/>
    <xf numFmtId="0" fontId="0" fillId="0" borderId="33" xfId="0" applyBorder="1"/>
    <xf numFmtId="0" fontId="0" fillId="0" borderId="34" xfId="0" applyBorder="1"/>
    <xf numFmtId="0" fontId="0" fillId="0" borderId="36" xfId="0" applyBorder="1"/>
    <xf numFmtId="0" fontId="0" fillId="0" borderId="35" xfId="0" applyBorder="1"/>
    <xf numFmtId="0" fontId="0" fillId="0" borderId="27" xfId="0" applyBorder="1"/>
    <xf numFmtId="0" fontId="0" fillId="0" borderId="32" xfId="0" applyBorder="1"/>
    <xf numFmtId="0" fontId="0" fillId="2" borderId="28" xfId="0" applyFill="1" applyBorder="1"/>
    <xf numFmtId="0" fontId="0" fillId="6" borderId="7" xfId="0" applyFill="1" applyBorder="1"/>
    <xf numFmtId="0" fontId="0" fillId="3" borderId="29" xfId="0" applyFill="1" applyBorder="1"/>
    <xf numFmtId="0" fontId="0" fillId="5" borderId="25" xfId="0" applyFill="1" applyBorder="1"/>
    <xf numFmtId="0" fontId="0" fillId="0" borderId="28" xfId="0" applyBorder="1"/>
    <xf numFmtId="0" fontId="0" fillId="0" borderId="0" xfId="0" applyFill="1" applyBorder="1" applyAlignment="1" applyProtection="1">
      <alignment horizontal="center"/>
      <protection locked="0"/>
    </xf>
    <xf numFmtId="0" fontId="0" fillId="14" borderId="2" xfId="0" applyFill="1" applyBorder="1" applyAlignment="1">
      <alignment horizontal="center"/>
    </xf>
    <xf numFmtId="0" fontId="1" fillId="0" borderId="0" xfId="0" applyFont="1"/>
    <xf numFmtId="0" fontId="1" fillId="0" borderId="0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0" fillId="8" borderId="17" xfId="0" applyFill="1" applyBorder="1" applyAlignment="1">
      <alignment horizontal="center" vertical="center"/>
    </xf>
    <xf numFmtId="0" fontId="0" fillId="6" borderId="58" xfId="0" applyFill="1" applyBorder="1" applyAlignment="1">
      <alignment horizontal="center" vertical="center"/>
    </xf>
    <xf numFmtId="0" fontId="0" fillId="6" borderId="32" xfId="0" applyFill="1" applyBorder="1" applyAlignment="1">
      <alignment horizontal="center" vertical="center"/>
    </xf>
    <xf numFmtId="0" fontId="6" fillId="0" borderId="62" xfId="2" applyFont="1" applyBorder="1" applyAlignment="1">
      <alignment horizontal="center" vertical="center"/>
    </xf>
    <xf numFmtId="0" fontId="0" fillId="8" borderId="14" xfId="0" applyFill="1" applyBorder="1" applyAlignment="1">
      <alignment wrapText="1"/>
    </xf>
    <xf numFmtId="0" fontId="1" fillId="0" borderId="35" xfId="0" applyFont="1" applyBorder="1"/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7" borderId="45" xfId="0" applyFill="1" applyBorder="1" applyAlignment="1">
      <alignment horizontal="center"/>
    </xf>
    <xf numFmtId="0" fontId="0" fillId="7" borderId="46" xfId="0" applyFill="1" applyBorder="1" applyAlignment="1">
      <alignment horizontal="center"/>
    </xf>
    <xf numFmtId="0" fontId="0" fillId="7" borderId="47" xfId="0" applyFill="1" applyBorder="1" applyAlignment="1">
      <alignment horizontal="center"/>
    </xf>
    <xf numFmtId="0" fontId="0" fillId="0" borderId="61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5" fillId="0" borderId="60" xfId="2" applyBorder="1" applyAlignment="1">
      <alignment horizontal="center" vertical="center"/>
    </xf>
    <xf numFmtId="0" fontId="5" fillId="0" borderId="29" xfId="2" applyBorder="1" applyAlignment="1">
      <alignment horizontal="center" vertical="center"/>
    </xf>
    <xf numFmtId="0" fontId="0" fillId="6" borderId="12" xfId="0" applyFill="1" applyBorder="1" applyAlignment="1">
      <alignment horizontal="center"/>
    </xf>
    <xf numFmtId="0" fontId="0" fillId="6" borderId="1" xfId="0" applyFill="1" applyBorder="1" applyAlignment="1">
      <alignment horizontal="center"/>
    </xf>
    <xf numFmtId="0" fontId="0" fillId="6" borderId="13" xfId="0" applyFill="1" applyBorder="1" applyAlignment="1">
      <alignment horizontal="center"/>
    </xf>
    <xf numFmtId="0" fontId="0" fillId="6" borderId="14" xfId="0" applyFill="1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0" fillId="6" borderId="16" xfId="0" applyFill="1" applyBorder="1" applyAlignment="1">
      <alignment horizontal="center"/>
    </xf>
    <xf numFmtId="0" fontId="0" fillId="7" borderId="19" xfId="0" applyFill="1" applyBorder="1" applyAlignment="1">
      <alignment horizontal="center"/>
    </xf>
    <xf numFmtId="0" fontId="0" fillId="7" borderId="4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4" fillId="6" borderId="37" xfId="0" applyFont="1" applyFill="1" applyBorder="1" applyAlignment="1">
      <alignment horizontal="center" vertical="center"/>
    </xf>
    <xf numFmtId="0" fontId="4" fillId="6" borderId="38" xfId="0" applyFont="1" applyFill="1" applyBorder="1" applyAlignment="1">
      <alignment horizontal="center" vertical="center"/>
    </xf>
    <xf numFmtId="0" fontId="4" fillId="6" borderId="39" xfId="0" applyFont="1" applyFill="1" applyBorder="1" applyAlignment="1">
      <alignment horizontal="center" vertical="center"/>
    </xf>
    <xf numFmtId="0" fontId="4" fillId="6" borderId="40" xfId="0" applyFont="1" applyFill="1" applyBorder="1" applyAlignment="1">
      <alignment horizontal="center" vertical="center"/>
    </xf>
    <xf numFmtId="0" fontId="4" fillId="6" borderId="41" xfId="0" applyFont="1" applyFill="1" applyBorder="1" applyAlignment="1">
      <alignment horizontal="center" vertical="center"/>
    </xf>
    <xf numFmtId="0" fontId="4" fillId="6" borderId="42" xfId="0" applyFont="1" applyFill="1" applyBorder="1" applyAlignment="1">
      <alignment horizontal="center" vertical="center"/>
    </xf>
    <xf numFmtId="0" fontId="0" fillId="7" borderId="3" xfId="0" applyFill="1" applyBorder="1" applyAlignment="1" applyProtection="1">
      <alignment horizontal="center"/>
      <protection locked="0"/>
    </xf>
    <xf numFmtId="0" fontId="0" fillId="7" borderId="4" xfId="0" applyFill="1" applyBorder="1" applyAlignment="1" applyProtection="1">
      <alignment horizontal="center"/>
      <protection locked="0"/>
    </xf>
    <xf numFmtId="0" fontId="0" fillId="7" borderId="5" xfId="0" applyFill="1" applyBorder="1" applyAlignment="1" applyProtection="1">
      <alignment horizontal="center"/>
      <protection locked="0"/>
    </xf>
    <xf numFmtId="0" fontId="0" fillId="6" borderId="9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0" fillId="6" borderId="11" xfId="0" applyFill="1" applyBorder="1" applyAlignment="1">
      <alignment horizontal="center"/>
    </xf>
    <xf numFmtId="0" fontId="0" fillId="7" borderId="44" xfId="0" applyFill="1" applyBorder="1" applyAlignment="1">
      <alignment horizontal="center"/>
    </xf>
    <xf numFmtId="0" fontId="0" fillId="7" borderId="0" xfId="0" applyFill="1" applyAlignment="1">
      <alignment horizontal="center"/>
    </xf>
    <xf numFmtId="0" fontId="0" fillId="7" borderId="42" xfId="0" applyFill="1" applyBorder="1" applyAlignment="1">
      <alignment horizontal="center"/>
    </xf>
    <xf numFmtId="0" fontId="0" fillId="8" borderId="12" xfId="0" applyFill="1" applyBorder="1" applyAlignment="1">
      <alignment horizontal="center"/>
    </xf>
    <xf numFmtId="0" fontId="0" fillId="8" borderId="13" xfId="0" applyFill="1" applyBorder="1" applyAlignment="1">
      <alignment horizontal="center"/>
    </xf>
    <xf numFmtId="0" fontId="0" fillId="7" borderId="30" xfId="0" applyFill="1" applyBorder="1" applyAlignment="1">
      <alignment horizontal="center"/>
    </xf>
    <xf numFmtId="0" fontId="0" fillId="7" borderId="31" xfId="0" applyFill="1" applyBorder="1" applyAlignment="1">
      <alignment horizontal="center"/>
    </xf>
    <xf numFmtId="0" fontId="0" fillId="7" borderId="26" xfId="0" applyFill="1" applyBorder="1" applyAlignment="1">
      <alignment horizontal="center"/>
    </xf>
    <xf numFmtId="0" fontId="0" fillId="7" borderId="3" xfId="0" applyFill="1" applyBorder="1" applyAlignment="1">
      <alignment horizontal="center"/>
    </xf>
    <xf numFmtId="0" fontId="0" fillId="7" borderId="37" xfId="0" applyFill="1" applyBorder="1" applyAlignment="1">
      <alignment horizontal="center"/>
    </xf>
    <xf numFmtId="0" fontId="0" fillId="7" borderId="38" xfId="0" applyFill="1" applyBorder="1" applyAlignment="1">
      <alignment horizontal="center"/>
    </xf>
    <xf numFmtId="0" fontId="0" fillId="7" borderId="39" xfId="0" applyFill="1" applyBorder="1" applyAlignment="1">
      <alignment horizontal="center"/>
    </xf>
  </cellXfs>
  <cellStyles count="3">
    <cellStyle name="Hipervínculo" xfId="2" builtinId="8"/>
    <cellStyle name="Normal" xfId="0" builtinId="0"/>
    <cellStyle name="Normal 2" xfId="1"/>
  </cellStyles>
  <dxfs count="29"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</border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G24"/>
  <sheetViews>
    <sheetView showGridLines="0" zoomScale="160" zoomScaleNormal="160" workbookViewId="0">
      <selection activeCell="C6" sqref="C6:D6"/>
    </sheetView>
  </sheetViews>
  <sheetFormatPr baseColWidth="10" defaultRowHeight="15" x14ac:dyDescent="0.25"/>
  <cols>
    <col min="1" max="1" width="7" customWidth="1"/>
    <col min="2" max="2" width="33" customWidth="1"/>
    <col min="3" max="3" width="34.7109375" customWidth="1"/>
    <col min="4" max="4" width="3.28515625" customWidth="1"/>
    <col min="7" max="7" width="11.42578125" style="91"/>
  </cols>
  <sheetData>
    <row r="1" spans="2:7" ht="15.75" thickBot="1" x14ac:dyDescent="0.3"/>
    <row r="2" spans="2:7" ht="15.75" thickBot="1" x14ac:dyDescent="0.3">
      <c r="B2" s="102" t="s">
        <v>56</v>
      </c>
      <c r="C2" s="103"/>
      <c r="D2" s="104"/>
    </row>
    <row r="3" spans="2:7" x14ac:dyDescent="0.25">
      <c r="B3" s="95" t="s">
        <v>57</v>
      </c>
      <c r="C3" s="105" t="s">
        <v>81</v>
      </c>
      <c r="D3" s="106"/>
    </row>
    <row r="4" spans="2:7" x14ac:dyDescent="0.25">
      <c r="B4" s="94" t="s">
        <v>58</v>
      </c>
      <c r="C4" s="107"/>
      <c r="D4" s="108"/>
    </row>
    <row r="5" spans="2:7" s="1" customFormat="1" x14ac:dyDescent="0.25">
      <c r="B5" s="96" t="s">
        <v>59</v>
      </c>
      <c r="C5" s="97" t="str">
        <f>IF(D5="","Seleccione de la lista -&gt;","Real Madrid")</f>
        <v>Seleccione de la lista -&gt;</v>
      </c>
      <c r="D5" s="99"/>
      <c r="G5" s="91" t="s">
        <v>60</v>
      </c>
    </row>
    <row r="6" spans="2:7" ht="30.75" customHeight="1" thickBot="1" x14ac:dyDescent="0.3">
      <c r="B6" s="98" t="s">
        <v>80</v>
      </c>
      <c r="C6" s="100" t="s">
        <v>3</v>
      </c>
      <c r="D6" s="101"/>
      <c r="G6" s="91" t="s">
        <v>61</v>
      </c>
    </row>
    <row r="7" spans="2:7" x14ac:dyDescent="0.25">
      <c r="G7" s="91" t="s">
        <v>62</v>
      </c>
    </row>
    <row r="8" spans="2:7" x14ac:dyDescent="0.25">
      <c r="G8" s="91" t="s">
        <v>74</v>
      </c>
    </row>
    <row r="9" spans="2:7" x14ac:dyDescent="0.25">
      <c r="G9" s="91" t="s">
        <v>63</v>
      </c>
    </row>
    <row r="10" spans="2:7" x14ac:dyDescent="0.25">
      <c r="G10" s="91" t="s">
        <v>64</v>
      </c>
    </row>
    <row r="11" spans="2:7" x14ac:dyDescent="0.25">
      <c r="G11" s="91" t="s">
        <v>65</v>
      </c>
    </row>
    <row r="12" spans="2:7" x14ac:dyDescent="0.25">
      <c r="G12" s="91" t="s">
        <v>66</v>
      </c>
    </row>
    <row r="13" spans="2:7" x14ac:dyDescent="0.25">
      <c r="G13" s="91" t="s">
        <v>68</v>
      </c>
    </row>
    <row r="14" spans="2:7" x14ac:dyDescent="0.25">
      <c r="G14" s="91" t="s">
        <v>69</v>
      </c>
    </row>
    <row r="15" spans="2:7" x14ac:dyDescent="0.25">
      <c r="G15" s="91" t="s">
        <v>70</v>
      </c>
    </row>
    <row r="16" spans="2:7" x14ac:dyDescent="0.25">
      <c r="G16" s="91" t="s">
        <v>71</v>
      </c>
    </row>
    <row r="17" spans="7:7" x14ac:dyDescent="0.25">
      <c r="G17" s="91" t="s">
        <v>72</v>
      </c>
    </row>
    <row r="18" spans="7:7" x14ac:dyDescent="0.25">
      <c r="G18" s="91" t="s">
        <v>67</v>
      </c>
    </row>
    <row r="19" spans="7:7" x14ac:dyDescent="0.25">
      <c r="G19" s="91" t="s">
        <v>73</v>
      </c>
    </row>
    <row r="20" spans="7:7" x14ac:dyDescent="0.25">
      <c r="G20" s="91" t="s">
        <v>75</v>
      </c>
    </row>
    <row r="21" spans="7:7" x14ac:dyDescent="0.25">
      <c r="G21" s="91" t="s">
        <v>76</v>
      </c>
    </row>
    <row r="22" spans="7:7" x14ac:dyDescent="0.25">
      <c r="G22" s="91" t="s">
        <v>77</v>
      </c>
    </row>
    <row r="23" spans="7:7" x14ac:dyDescent="0.25">
      <c r="G23" s="91" t="s">
        <v>78</v>
      </c>
    </row>
    <row r="24" spans="7:7" x14ac:dyDescent="0.25">
      <c r="G24" s="91" t="s">
        <v>79</v>
      </c>
    </row>
  </sheetData>
  <sheetProtection sheet="1" objects="1" scenarios="1"/>
  <protectedRanges>
    <protectedRange sqref="C3 C4 C6 D5" name="Info"/>
  </protectedRanges>
  <mergeCells count="4">
    <mergeCell ref="C6:D6"/>
    <mergeCell ref="B2:D2"/>
    <mergeCell ref="C3:D3"/>
    <mergeCell ref="C4:D4"/>
  </mergeCells>
  <dataValidations count="1">
    <dataValidation type="list" allowBlank="1" showInputMessage="1" showErrorMessage="1" sqref="D5">
      <formula1>$G$5:$G$24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I29"/>
  <sheetViews>
    <sheetView showGridLines="0" tabSelected="1" topLeftCell="H1" zoomScale="120" zoomScaleNormal="120" workbookViewId="0">
      <selection activeCell="P12" sqref="P12"/>
    </sheetView>
  </sheetViews>
  <sheetFormatPr baseColWidth="10" defaultRowHeight="15" x14ac:dyDescent="0.25"/>
  <cols>
    <col min="8" max="8" width="8.42578125" customWidth="1"/>
    <col min="9" max="9" width="5.85546875" customWidth="1"/>
    <col min="11" max="11" width="10.42578125" bestFit="1" customWidth="1"/>
    <col min="14" max="14" width="10.42578125" style="70" bestFit="1" customWidth="1"/>
    <col min="15" max="15" width="20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5" width="11.42578125" style="91"/>
  </cols>
  <sheetData>
    <row r="1" spans="2:35" s="1" customFormat="1" x14ac:dyDescent="0.25">
      <c r="N1" s="70"/>
      <c r="O1" s="91"/>
      <c r="P1" s="91"/>
      <c r="Q1" s="91"/>
      <c r="R1" s="91"/>
      <c r="S1" s="91"/>
      <c r="T1" s="91"/>
      <c r="U1" s="91"/>
      <c r="V1" s="91"/>
      <c r="W1" s="91"/>
      <c r="X1" s="91"/>
      <c r="Y1" s="91"/>
      <c r="Z1" s="91"/>
      <c r="AA1" s="91"/>
      <c r="AB1" s="91"/>
      <c r="AC1" s="91"/>
      <c r="AD1" s="91"/>
      <c r="AE1" s="91"/>
      <c r="AF1" s="91"/>
      <c r="AG1" s="91"/>
      <c r="AH1" s="91"/>
      <c r="AI1" s="91"/>
    </row>
    <row r="2" spans="2:35" ht="15.75" thickBot="1" x14ac:dyDescent="0.3"/>
    <row r="3" spans="2:35" x14ac:dyDescent="0.25">
      <c r="B3" s="118" t="s">
        <v>14</v>
      </c>
      <c r="C3" s="119"/>
      <c r="D3" s="119"/>
      <c r="E3" s="119"/>
      <c r="F3" s="119"/>
      <c r="G3" s="120"/>
    </row>
    <row r="4" spans="2:35" ht="15.75" thickBot="1" x14ac:dyDescent="0.3">
      <c r="B4" s="121"/>
      <c r="C4" s="122"/>
      <c r="D4" s="122"/>
      <c r="E4" s="122"/>
      <c r="F4" s="122"/>
      <c r="G4" s="123"/>
    </row>
    <row r="5" spans="2:35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5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5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1</v>
      </c>
      <c r="J7" s="10">
        <v>44360</v>
      </c>
      <c r="K7" s="4" t="s">
        <v>2</v>
      </c>
      <c r="L7" s="18">
        <v>3</v>
      </c>
      <c r="M7" s="19">
        <v>0</v>
      </c>
      <c r="N7" s="5" t="s">
        <v>4</v>
      </c>
      <c r="O7" s="92" t="str">
        <f>_xlfn.CONCAT(K7,"_",N7)</f>
        <v>Brasil_Venezuela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Brasil</v>
      </c>
      <c r="T7" s="91">
        <f>_xlfn.RANK.EQ(AH7,AH$7:AH$11,1)</f>
        <v>1</v>
      </c>
      <c r="U7" s="91" t="s">
        <v>2</v>
      </c>
      <c r="V7" s="91">
        <f>SUMIF($K$7:$K$16,U7,$P$7:$P$16) + SUMIF($N$7:$N$16,U7,$Q$7:$Q$16)</f>
        <v>12</v>
      </c>
      <c r="W7" s="91">
        <f>X7-Y7</f>
        <v>9</v>
      </c>
      <c r="X7" s="91">
        <f>SUMIF($K$7:$K$16,U7,$L$7:$L$16) + SUMIF($N$7:$N$16,U7,$M$7:$M$16)</f>
        <v>13</v>
      </c>
      <c r="Y7" s="91">
        <f>SUMIF($K$7:$K$16,U7,$M$7:$M$16) + SUMIF($N$7:$N$16,U7,$L$7:$L$16)</f>
        <v>4</v>
      </c>
      <c r="AB7" s="91" t="str">
        <f>U7</f>
        <v>Brasil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-120091300</v>
      </c>
      <c r="AG7" s="91">
        <f>AF7-AE7*10</f>
        <v>-120091310</v>
      </c>
      <c r="AH7" s="91">
        <f>AG7+N23</f>
        <v>-120091309</v>
      </c>
    </row>
    <row r="8" spans="2:35" x14ac:dyDescent="0.25">
      <c r="B8" s="50">
        <v>1</v>
      </c>
      <c r="C8" s="32" t="str">
        <f t="shared" ref="C8:G12" si="1">IFERROR(VLOOKUP($B8,$T$7:$Y$11,C$5,FALSE),"")</f>
        <v>Brasil</v>
      </c>
      <c r="D8" s="33">
        <f t="shared" si="1"/>
        <v>12</v>
      </c>
      <c r="E8" s="33">
        <f t="shared" si="1"/>
        <v>13</v>
      </c>
      <c r="F8" s="33">
        <f t="shared" si="1"/>
        <v>4</v>
      </c>
      <c r="G8" s="34">
        <f t="shared" si="1"/>
        <v>9</v>
      </c>
      <c r="H8" s="71"/>
      <c r="I8" s="12">
        <v>2</v>
      </c>
      <c r="J8" s="6">
        <v>44360</v>
      </c>
      <c r="K8" s="11" t="s">
        <v>12</v>
      </c>
      <c r="L8" s="20">
        <v>1</v>
      </c>
      <c r="M8" s="21">
        <v>1</v>
      </c>
      <c r="N8" s="12" t="s">
        <v>13</v>
      </c>
      <c r="O8" s="92" t="str">
        <f t="shared" ref="O8:O16" si="2">_xlfn.CONCAT(K8,"_",N8)</f>
        <v>Colombia_Ecuador</v>
      </c>
      <c r="P8" s="91">
        <f t="shared" si="0"/>
        <v>1</v>
      </c>
      <c r="Q8" s="91">
        <f t="shared" ref="Q8:Q16" si="3">IF(P8=3,0,IF(P8=1,1,3))</f>
        <v>1</v>
      </c>
      <c r="R8" s="91" t="str">
        <f t="shared" ref="R8:R16" si="4">IF(P8&gt;Q8,K8,IF(Q8&gt;P8,N8,"SIN GANADOR"))</f>
        <v>SIN GANADOR</v>
      </c>
      <c r="T8" s="91">
        <f>_xlfn.RANK.EQ(AH8,AH$7:AH$11,1)</f>
        <v>2</v>
      </c>
      <c r="U8" s="91" t="s">
        <v>12</v>
      </c>
      <c r="V8" s="91">
        <f>SUMIF($K$7:$K$16,U8,$P$7:$P$16) + SUMIF($N$7:$N$16,U8,$Q$7:$Q$16)</f>
        <v>7</v>
      </c>
      <c r="W8" s="91">
        <f>X8-Y8</f>
        <v>2</v>
      </c>
      <c r="X8" s="91">
        <f>SUMIF($K$7:$K$16,U8,$L$7:$L$16) + SUMIF($N$7:$N$16,U8,$M$7:$M$16)</f>
        <v>7</v>
      </c>
      <c r="Y8" s="91">
        <f>SUMIF($K$7:$K$16,U8,$M$7:$M$16) + SUMIF($N$7:$N$16,U8,$L$7:$L$16)</f>
        <v>5</v>
      </c>
      <c r="AB8" s="91" t="str">
        <f t="shared" ref="AB8:AB11" si="5">U8</f>
        <v>Colombia</v>
      </c>
      <c r="AC8" s="91" t="str">
        <f>IF(AF8=AF9,AB9,IF(AF8=AF10,AB10,IF(AF8=AF11,AB11,IF(AF8=AF7,AB7,""))))</f>
        <v/>
      </c>
      <c r="AD8" s="91" t="str">
        <f>IF(AC8="","",IFERROR(VLOOKUP(CONCATENATE(AB8,"_",AC8),$O$7:$R$16,4,FALSE),VLOOKUP(CONCATENATE(AC8,"_",AB8),$O$7:$R$16,4,FALSE)))</f>
        <v/>
      </c>
      <c r="AE8" s="91">
        <f t="shared" ref="AE8:AE11" si="6">IF(AD8="",1,IF(AD8=AB8,1,0))</f>
        <v>1</v>
      </c>
      <c r="AF8" s="91">
        <f t="shared" ref="AF8:AF11" si="7">-V8*10000000 - W8*10000 - X8*100</f>
        <v>-70020700</v>
      </c>
      <c r="AG8" s="91">
        <f t="shared" ref="AG8:AG11" si="8">AF8-AE8*10</f>
        <v>-70020710</v>
      </c>
      <c r="AH8" s="91">
        <f>AG8+N24</f>
        <v>-70020708</v>
      </c>
    </row>
    <row r="9" spans="2:35" x14ac:dyDescent="0.25">
      <c r="B9" s="62">
        <v>2</v>
      </c>
      <c r="C9" s="63" t="str">
        <f t="shared" si="1"/>
        <v>Colombia</v>
      </c>
      <c r="D9" s="64">
        <f t="shared" si="1"/>
        <v>7</v>
      </c>
      <c r="E9" s="64">
        <f t="shared" si="1"/>
        <v>7</v>
      </c>
      <c r="F9" s="64">
        <f t="shared" si="1"/>
        <v>5</v>
      </c>
      <c r="G9" s="65">
        <f t="shared" si="1"/>
        <v>2</v>
      </c>
      <c r="H9" s="71"/>
      <c r="I9" s="9">
        <v>5</v>
      </c>
      <c r="J9" s="13">
        <v>44364</v>
      </c>
      <c r="K9" s="8" t="s">
        <v>12</v>
      </c>
      <c r="L9" s="20">
        <v>3</v>
      </c>
      <c r="M9" s="21">
        <v>0</v>
      </c>
      <c r="N9" s="9" t="s">
        <v>4</v>
      </c>
      <c r="O9" s="92" t="str">
        <f t="shared" si="2"/>
        <v>Colombia_Venezuela</v>
      </c>
      <c r="P9" s="91">
        <f t="shared" si="0"/>
        <v>3</v>
      </c>
      <c r="Q9" s="91">
        <f t="shared" si="3"/>
        <v>0</v>
      </c>
      <c r="R9" s="91" t="str">
        <f t="shared" si="4"/>
        <v>Colombia</v>
      </c>
      <c r="T9" s="91">
        <f>_xlfn.RANK.EQ(AH9,AH$7:AH$11,1)</f>
        <v>3</v>
      </c>
      <c r="U9" s="91" t="s">
        <v>13</v>
      </c>
      <c r="V9" s="91">
        <f>SUMIF($K$7:$K$16,U9,$P$7:$P$16) + SUMIF($N$7:$N$16,U9,$Q$7:$Q$16)</f>
        <v>7</v>
      </c>
      <c r="W9" s="91">
        <f t="shared" ref="W9:W11" si="9">X9-Y9</f>
        <v>2</v>
      </c>
      <c r="X9" s="91">
        <f>SUMIF($K$7:$K$16,U9,$L$7:$L$16) + SUMIF($N$7:$N$16,U9,$M$7:$M$16)</f>
        <v>6</v>
      </c>
      <c r="Y9" s="91">
        <f>SUMIF($K$7:$K$16,U9,$M$7:$M$16) + SUMIF($N$7:$N$16,U9,$L$7:$L$16)</f>
        <v>4</v>
      </c>
      <c r="AB9" s="91" t="str">
        <f t="shared" si="5"/>
        <v>Ecuador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-70020600</v>
      </c>
      <c r="AG9" s="91">
        <f t="shared" si="8"/>
        <v>-70020610</v>
      </c>
      <c r="AH9" s="91">
        <f>AG9+N25</f>
        <v>-70020607</v>
      </c>
    </row>
    <row r="10" spans="2:35" x14ac:dyDescent="0.25">
      <c r="B10" s="58">
        <v>3</v>
      </c>
      <c r="C10" s="59" t="str">
        <f t="shared" si="1"/>
        <v>Ecuador</v>
      </c>
      <c r="D10" s="60">
        <f t="shared" si="1"/>
        <v>7</v>
      </c>
      <c r="E10" s="60">
        <f t="shared" si="1"/>
        <v>6</v>
      </c>
      <c r="F10" s="60">
        <f t="shared" si="1"/>
        <v>4</v>
      </c>
      <c r="G10" s="61">
        <f t="shared" si="1"/>
        <v>2</v>
      </c>
      <c r="H10" s="71"/>
      <c r="I10" s="12">
        <v>6</v>
      </c>
      <c r="J10" s="6">
        <v>44364</v>
      </c>
      <c r="K10" s="11" t="s">
        <v>5</v>
      </c>
      <c r="L10" s="20">
        <v>1</v>
      </c>
      <c r="M10" s="21">
        <v>3</v>
      </c>
      <c r="N10" s="12" t="s">
        <v>2</v>
      </c>
      <c r="O10" s="92" t="str">
        <f t="shared" si="2"/>
        <v>Peru_Brasil</v>
      </c>
      <c r="P10" s="91">
        <f t="shared" si="0"/>
        <v>0</v>
      </c>
      <c r="Q10" s="91">
        <f t="shared" si="3"/>
        <v>3</v>
      </c>
      <c r="R10" s="91" t="str">
        <f t="shared" si="4"/>
        <v>Brasil</v>
      </c>
      <c r="T10" s="91">
        <f>_xlfn.RANK.EQ(AH10,AH$7:AH$11,1)</f>
        <v>4</v>
      </c>
      <c r="U10" s="91" t="s">
        <v>5</v>
      </c>
      <c r="V10" s="91">
        <f>SUMIF($K$7:$K$16,U10,$P$7:$P$16) + SUMIF($N$7:$N$16,U10,$Q$7:$Q$16)</f>
        <v>3</v>
      </c>
      <c r="W10" s="91">
        <f t="shared" si="9"/>
        <v>-3</v>
      </c>
      <c r="X10" s="91">
        <f>SUMIF($K$7:$K$16,U10,$L$7:$L$16) + SUMIF($N$7:$N$16,U10,$M$7:$M$16)</f>
        <v>3</v>
      </c>
      <c r="Y10" s="91">
        <f>SUMIF($K$7:$K$16,U10,$M$7:$M$16) + SUMIF($N$7:$N$16,U10,$L$7:$L$16)</f>
        <v>6</v>
      </c>
      <c r="AB10" s="91" t="str">
        <f t="shared" si="5"/>
        <v>Peru</v>
      </c>
      <c r="AC10" s="91" t="str">
        <f>IF(AF10=AF11,AB11,IF(AF10=AF7,AB7,IF(AF10=AF8,AB8,IF(AF10=AF9,AB9,""))))</f>
        <v/>
      </c>
      <c r="AD10" s="91" t="str">
        <f>IF(AC10="","",IFERROR(VLOOKUP(CONCATENATE(AB10,"_",AC10),$O$7:$R$16,4,FALSE),VLOOKUP(CONCATENATE(AC10,"_",AB10),$O$7:$R$16,4,FALSE)))</f>
        <v/>
      </c>
      <c r="AE10" s="91">
        <f t="shared" si="6"/>
        <v>1</v>
      </c>
      <c r="AF10" s="91">
        <f t="shared" si="7"/>
        <v>-29970300</v>
      </c>
      <c r="AG10" s="91">
        <f t="shared" si="8"/>
        <v>-29970310</v>
      </c>
      <c r="AH10" s="91">
        <f>AG10+N26</f>
        <v>-29970306</v>
      </c>
    </row>
    <row r="11" spans="2:35" x14ac:dyDescent="0.25">
      <c r="B11" s="66">
        <v>4</v>
      </c>
      <c r="C11" s="67" t="str">
        <f t="shared" si="1"/>
        <v>Peru</v>
      </c>
      <c r="D11" s="68">
        <f t="shared" si="1"/>
        <v>3</v>
      </c>
      <c r="E11" s="68">
        <f t="shared" si="1"/>
        <v>3</v>
      </c>
      <c r="F11" s="68">
        <f t="shared" si="1"/>
        <v>6</v>
      </c>
      <c r="G11" s="69">
        <f t="shared" si="1"/>
        <v>-3</v>
      </c>
      <c r="H11" s="71"/>
      <c r="I11" s="9">
        <v>9</v>
      </c>
      <c r="J11" s="13">
        <v>44367</v>
      </c>
      <c r="K11" s="8" t="s">
        <v>4</v>
      </c>
      <c r="L11" s="20">
        <v>0</v>
      </c>
      <c r="M11" s="21">
        <v>2</v>
      </c>
      <c r="N11" s="9" t="s">
        <v>13</v>
      </c>
      <c r="O11" s="92" t="str">
        <f t="shared" si="2"/>
        <v>Venezuela_Ecuador</v>
      </c>
      <c r="P11" s="91">
        <f t="shared" si="0"/>
        <v>0</v>
      </c>
      <c r="Q11" s="91">
        <f t="shared" si="3"/>
        <v>3</v>
      </c>
      <c r="R11" s="91" t="str">
        <f t="shared" si="4"/>
        <v>Ecuador</v>
      </c>
      <c r="T11" s="91">
        <f>_xlfn.RANK.EQ(AH11,AH$7:AH$11,1)</f>
        <v>5</v>
      </c>
      <c r="U11" s="91" t="s">
        <v>4</v>
      </c>
      <c r="V11" s="91">
        <f>SUMIF($K$7:$K$16,U11,$P$7:$P$16) + SUMIF($N$7:$N$16,U11,$Q$7:$Q$16)</f>
        <v>0</v>
      </c>
      <c r="W11" s="91">
        <f t="shared" si="9"/>
        <v>-10</v>
      </c>
      <c r="X11" s="91">
        <f>SUMIF($K$7:$K$16,U11,$L$7:$L$16) + SUMIF($N$7:$N$16,U11,$M$7:$M$16)</f>
        <v>0</v>
      </c>
      <c r="Y11" s="91">
        <f>SUMIF($K$7:$K$16,U11,$M$7:$M$16) + SUMIF($N$7:$N$16,U11,$L$7:$L$16)</f>
        <v>10</v>
      </c>
      <c r="AB11" s="91" t="str">
        <f t="shared" si="5"/>
        <v>Venezuela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100000</v>
      </c>
      <c r="AG11" s="91">
        <f t="shared" si="8"/>
        <v>99990</v>
      </c>
      <c r="AH11" s="91">
        <f>AG11+N27</f>
        <v>99995</v>
      </c>
    </row>
    <row r="12" spans="2:35" s="1" customFormat="1" ht="15.75" thickBot="1" x14ac:dyDescent="0.3">
      <c r="B12" s="54">
        <v>5</v>
      </c>
      <c r="C12" s="55" t="str">
        <f t="shared" si="1"/>
        <v>Venezuela</v>
      </c>
      <c r="D12" s="56">
        <f t="shared" si="1"/>
        <v>0</v>
      </c>
      <c r="E12" s="56">
        <f t="shared" si="1"/>
        <v>0</v>
      </c>
      <c r="F12" s="56">
        <f t="shared" si="1"/>
        <v>10</v>
      </c>
      <c r="G12" s="57">
        <f t="shared" si="1"/>
        <v>-10</v>
      </c>
      <c r="H12" s="71"/>
      <c r="I12" s="31">
        <v>10</v>
      </c>
      <c r="J12" s="29">
        <v>44367</v>
      </c>
      <c r="K12" s="30" t="s">
        <v>12</v>
      </c>
      <c r="L12" s="26">
        <v>1</v>
      </c>
      <c r="M12" s="27">
        <v>0</v>
      </c>
      <c r="N12" s="31" t="s">
        <v>5</v>
      </c>
      <c r="O12" s="92" t="str">
        <f t="shared" si="2"/>
        <v>Colombia_Peru</v>
      </c>
      <c r="P12" s="91">
        <f t="shared" si="0"/>
        <v>3</v>
      </c>
      <c r="Q12" s="91">
        <f t="shared" ref="Q12:Q15" si="10">IF(P12=3,0,IF(P12=1,1,3))</f>
        <v>0</v>
      </c>
      <c r="R12" s="91" t="str">
        <f t="shared" si="4"/>
        <v>Colombia</v>
      </c>
      <c r="S12" s="91"/>
      <c r="T12" s="91"/>
      <c r="U12" s="91"/>
      <c r="V12" s="91"/>
      <c r="W12" s="91"/>
      <c r="X12" s="91"/>
      <c r="Y12" s="91"/>
      <c r="Z12" s="91"/>
      <c r="AA12" s="91"/>
      <c r="AB12" s="91"/>
      <c r="AC12" s="91"/>
      <c r="AD12" s="91"/>
      <c r="AE12" s="91"/>
      <c r="AF12" s="91"/>
      <c r="AG12" s="91"/>
      <c r="AH12" s="91"/>
      <c r="AI12" s="91"/>
    </row>
    <row r="13" spans="2:35" s="1" customFormat="1" x14ac:dyDescent="0.25">
      <c r="I13" s="28">
        <v>13</v>
      </c>
      <c r="J13" s="24">
        <v>44370</v>
      </c>
      <c r="K13" s="25" t="s">
        <v>13</v>
      </c>
      <c r="L13" s="26">
        <v>2</v>
      </c>
      <c r="M13" s="27">
        <v>0</v>
      </c>
      <c r="N13" s="28" t="s">
        <v>5</v>
      </c>
      <c r="O13" s="92" t="str">
        <f t="shared" si="2"/>
        <v>Ecuador_Peru</v>
      </c>
      <c r="P13" s="91">
        <f t="shared" si="0"/>
        <v>3</v>
      </c>
      <c r="Q13" s="91">
        <f t="shared" si="10"/>
        <v>0</v>
      </c>
      <c r="R13" s="91" t="str">
        <f t="shared" si="4"/>
        <v>Ecuador</v>
      </c>
      <c r="S13" s="91"/>
      <c r="T13" s="91"/>
      <c r="U13" s="91"/>
      <c r="V13" s="91"/>
      <c r="W13" s="91"/>
      <c r="X13" s="91"/>
      <c r="Y13" s="91"/>
      <c r="Z13" s="91"/>
      <c r="AA13" s="91"/>
      <c r="AB13" s="91"/>
      <c r="AC13" s="91"/>
      <c r="AD13" s="91"/>
      <c r="AE13" s="91"/>
      <c r="AF13" s="91"/>
      <c r="AG13" s="91"/>
      <c r="AH13" s="91"/>
      <c r="AI13" s="91"/>
    </row>
    <row r="14" spans="2:35" s="1" customFormat="1" x14ac:dyDescent="0.25">
      <c r="I14" s="31">
        <v>14</v>
      </c>
      <c r="J14" s="29">
        <v>44370</v>
      </c>
      <c r="K14" s="30" t="s">
        <v>12</v>
      </c>
      <c r="L14" s="26">
        <v>2</v>
      </c>
      <c r="M14" s="27">
        <v>4</v>
      </c>
      <c r="N14" s="31" t="s">
        <v>2</v>
      </c>
      <c r="O14" s="92" t="str">
        <f t="shared" si="2"/>
        <v>Colombia_Brasil</v>
      </c>
      <c r="P14" s="91">
        <f t="shared" si="0"/>
        <v>0</v>
      </c>
      <c r="Q14" s="91">
        <f t="shared" si="10"/>
        <v>3</v>
      </c>
      <c r="R14" s="91" t="str">
        <f t="shared" si="4"/>
        <v>Brasil</v>
      </c>
      <c r="S14" s="91"/>
      <c r="T14" s="91"/>
      <c r="U14" s="91"/>
      <c r="V14" s="91"/>
      <c r="W14" s="91"/>
      <c r="X14" s="91"/>
      <c r="Y14" s="91"/>
      <c r="Z14" s="91"/>
      <c r="AA14" s="91"/>
      <c r="AB14" s="91"/>
      <c r="AC14" s="91"/>
      <c r="AD14" s="91"/>
      <c r="AE14" s="91"/>
      <c r="AF14" s="91"/>
      <c r="AG14" s="91"/>
      <c r="AH14" s="91"/>
      <c r="AI14" s="91"/>
    </row>
    <row r="15" spans="2:35" s="1" customFormat="1" x14ac:dyDescent="0.25">
      <c r="I15" s="28">
        <v>17</v>
      </c>
      <c r="J15" s="24">
        <v>44374</v>
      </c>
      <c r="K15" s="25" t="s">
        <v>13</v>
      </c>
      <c r="L15" s="26">
        <v>1</v>
      </c>
      <c r="M15" s="27">
        <v>3</v>
      </c>
      <c r="N15" s="28" t="s">
        <v>2</v>
      </c>
      <c r="O15" s="92" t="str">
        <f t="shared" si="2"/>
        <v>Ecuador_Brasil</v>
      </c>
      <c r="P15" s="91">
        <f t="shared" si="0"/>
        <v>0</v>
      </c>
      <c r="Q15" s="91">
        <f t="shared" si="10"/>
        <v>3</v>
      </c>
      <c r="R15" s="91" t="str">
        <f t="shared" si="4"/>
        <v>Brasil</v>
      </c>
      <c r="S15" s="91"/>
      <c r="T15" s="91"/>
      <c r="U15" s="91"/>
      <c r="V15" s="91"/>
      <c r="W15" s="91"/>
      <c r="X15" s="91"/>
      <c r="Y15" s="91"/>
      <c r="Z15" s="91"/>
      <c r="AA15" s="91"/>
      <c r="AB15" s="91"/>
      <c r="AC15" s="91"/>
      <c r="AD15" s="91"/>
      <c r="AE15" s="91"/>
      <c r="AF15" s="91"/>
      <c r="AG15" s="91"/>
      <c r="AH15" s="91"/>
      <c r="AI15" s="91"/>
    </row>
    <row r="16" spans="2:35" ht="15.75" thickBot="1" x14ac:dyDescent="0.3">
      <c r="B16" s="1"/>
      <c r="C16" s="1"/>
      <c r="D16" s="1"/>
      <c r="E16" s="1"/>
      <c r="F16" s="1"/>
      <c r="G16" s="1"/>
      <c r="H16" s="1"/>
      <c r="I16" s="15">
        <v>18</v>
      </c>
      <c r="J16" s="7">
        <v>44374</v>
      </c>
      <c r="K16" s="14" t="s">
        <v>4</v>
      </c>
      <c r="L16" s="22">
        <v>0</v>
      </c>
      <c r="M16" s="23">
        <v>2</v>
      </c>
      <c r="N16" s="15" t="s">
        <v>5</v>
      </c>
      <c r="O16" s="92" t="str">
        <f t="shared" si="2"/>
        <v>Venezuela_Peru</v>
      </c>
      <c r="P16" s="91">
        <f t="shared" si="0"/>
        <v>0</v>
      </c>
      <c r="Q16" s="91">
        <f t="shared" si="3"/>
        <v>3</v>
      </c>
      <c r="R16" s="91" t="str">
        <f t="shared" si="4"/>
        <v>Peru</v>
      </c>
    </row>
    <row r="18" spans="2:35" s="1" customFormat="1" x14ac:dyDescent="0.25">
      <c r="N18" s="70"/>
      <c r="O18" s="91"/>
      <c r="P18" s="91"/>
      <c r="Q18" s="91"/>
      <c r="R18" s="91"/>
      <c r="S18" s="91"/>
      <c r="T18" s="91"/>
      <c r="U18" s="91"/>
      <c r="V18" s="91"/>
      <c r="W18" s="91"/>
      <c r="X18" s="91"/>
      <c r="Y18" s="91"/>
      <c r="Z18" s="91"/>
      <c r="AA18" s="91"/>
      <c r="AB18" s="91"/>
      <c r="AC18" s="91"/>
      <c r="AD18" s="91"/>
      <c r="AE18" s="91"/>
      <c r="AF18" s="91"/>
      <c r="AG18" s="91"/>
      <c r="AH18" s="91"/>
      <c r="AI18" s="91"/>
    </row>
    <row r="19" spans="2:35" s="1" customFormat="1" x14ac:dyDescent="0.25">
      <c r="N19" s="70"/>
      <c r="O19" s="91"/>
      <c r="P19" s="91"/>
      <c r="Q19" s="91"/>
      <c r="R19" s="91"/>
      <c r="S19" s="91"/>
      <c r="T19" s="91"/>
      <c r="U19" s="91"/>
      <c r="V19" s="91"/>
      <c r="W19" s="91"/>
      <c r="X19" s="91"/>
      <c r="Y19" s="91"/>
      <c r="Z19" s="91"/>
      <c r="AA19" s="91"/>
      <c r="AB19" s="91"/>
      <c r="AC19" s="91"/>
      <c r="AD19" s="91"/>
      <c r="AE19" s="91"/>
      <c r="AF19" s="91"/>
      <c r="AG19" s="91"/>
      <c r="AH19" s="91"/>
      <c r="AI19" s="91"/>
    </row>
    <row r="21" spans="2:35" ht="15.75" thickBot="1" x14ac:dyDescent="0.3"/>
    <row r="22" spans="2:35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35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</v>
      </c>
      <c r="K23" s="128"/>
      <c r="L23" s="129"/>
      <c r="M23" s="47">
        <v>1</v>
      </c>
      <c r="N23">
        <f>IF(J23="",0,M23)</f>
        <v>1</v>
      </c>
    </row>
    <row r="24" spans="2:35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1">IF(J24="",0,1)</f>
        <v>1</v>
      </c>
      <c r="J24" s="109" t="s">
        <v>12</v>
      </c>
      <c r="K24" s="110"/>
      <c r="L24" s="111"/>
      <c r="M24" s="48">
        <v>2</v>
      </c>
      <c r="N24" s="1">
        <f>IF(J24="",0,M24)</f>
        <v>2</v>
      </c>
    </row>
    <row r="25" spans="2:35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1"/>
        <v>1</v>
      </c>
      <c r="J25" s="109" t="s">
        <v>13</v>
      </c>
      <c r="K25" s="110"/>
      <c r="L25" s="111"/>
      <c r="M25" s="48">
        <v>3</v>
      </c>
      <c r="N25" s="1">
        <f>IF(J25="",0,M25)</f>
        <v>3</v>
      </c>
    </row>
    <row r="26" spans="2:35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1"/>
        <v>1</v>
      </c>
      <c r="J26" s="109" t="s">
        <v>5</v>
      </c>
      <c r="K26" s="110"/>
      <c r="L26" s="111"/>
      <c r="M26" s="48">
        <v>4</v>
      </c>
      <c r="N26" s="1">
        <f>IF(J26="",0,M26)</f>
        <v>4</v>
      </c>
    </row>
    <row r="27" spans="2:35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1"/>
        <v>1</v>
      </c>
      <c r="J27" s="112" t="s">
        <v>4</v>
      </c>
      <c r="K27" s="113"/>
      <c r="L27" s="114"/>
      <c r="M27" s="49">
        <v>5</v>
      </c>
      <c r="N27" s="1">
        <f>IF(J27="",0,M27)</f>
        <v>5</v>
      </c>
    </row>
    <row r="28" spans="2:35" ht="15.75" thickBot="1" x14ac:dyDescent="0.3">
      <c r="B28" s="43"/>
      <c r="C28" s="44"/>
      <c r="D28" s="44"/>
      <c r="E28" s="44"/>
      <c r="F28" s="44"/>
      <c r="G28" s="44"/>
      <c r="H28" s="45"/>
      <c r="I28" s="1"/>
      <c r="J28" s="1"/>
      <c r="K28" s="1"/>
      <c r="L28" s="1"/>
      <c r="M28" s="1"/>
    </row>
    <row r="29" spans="2:35" x14ac:dyDescent="0.25">
      <c r="J29" s="1"/>
      <c r="K29" s="1"/>
      <c r="L29" s="1"/>
      <c r="M29" s="1"/>
    </row>
  </sheetData>
  <sheetProtection sheet="1" objects="1" scenarios="1"/>
  <protectedRanges>
    <protectedRange sqref="M23:M27" name="Prioridades Grupo A"/>
    <protectedRange sqref="L7:M16" name="Resultados Grupo A"/>
  </protectedRanges>
  <mergeCells count="9">
    <mergeCell ref="J25:L25"/>
    <mergeCell ref="J27:L27"/>
    <mergeCell ref="J26:L26"/>
    <mergeCell ref="K6:N6"/>
    <mergeCell ref="B3:G4"/>
    <mergeCell ref="B6:G6"/>
    <mergeCell ref="J22:M22"/>
    <mergeCell ref="J23:L23"/>
    <mergeCell ref="J24:L24"/>
  </mergeCells>
  <conditionalFormatting sqref="M23:N27">
    <cfRule type="expression" dxfId="28" priority="4">
      <formula>J23=""</formula>
    </cfRule>
  </conditionalFormatting>
  <conditionalFormatting sqref="M24:N26">
    <cfRule type="expression" dxfId="27" priority="3">
      <formula>J24=""</formula>
    </cfRule>
  </conditionalFormatting>
  <conditionalFormatting sqref="M25:N25">
    <cfRule type="expression" dxfId="26" priority="2">
      <formula>J25=""</formula>
    </cfRule>
  </conditionalFormatting>
  <conditionalFormatting sqref="M27:N27">
    <cfRule type="expression" dxfId="25" priority="1">
      <formula>J27=""</formula>
    </cfRule>
  </conditionalFormatting>
  <conditionalFormatting sqref="B22:H28 J22:N27">
    <cfRule type="expression" dxfId="24" priority="6">
      <formula>OR($I$22=0,AND($J$20="",$J$21="",$J$22="",$J$23=""))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J28"/>
  <sheetViews>
    <sheetView showGridLines="0" topLeftCell="A3" zoomScale="140" zoomScaleNormal="140" workbookViewId="0">
      <selection activeCell="M17" sqref="M17"/>
    </sheetView>
  </sheetViews>
  <sheetFormatPr baseColWidth="10" defaultRowHeight="15" x14ac:dyDescent="0.25"/>
  <cols>
    <col min="1" max="7" width="11.42578125" style="1"/>
    <col min="8" max="8" width="5.85546875" style="1" customWidth="1"/>
    <col min="9" max="9" width="5.28515625" style="1" customWidth="1"/>
    <col min="10" max="10" width="11.42578125" style="1"/>
    <col min="11" max="11" width="13.28515625" style="1" customWidth="1"/>
    <col min="12" max="13" width="11.42578125" style="1"/>
    <col min="14" max="14" width="14.85546875" style="70" customWidth="1"/>
    <col min="15" max="15" width="18.85546875" style="91" bestFit="1" customWidth="1"/>
    <col min="16" max="26" width="11.42578125" style="91"/>
    <col min="27" max="27" width="10.42578125" style="91" bestFit="1" customWidth="1"/>
    <col min="28" max="28" width="13.7109375" style="91" bestFit="1" customWidth="1"/>
    <col min="29" max="29" width="10.42578125" style="91" bestFit="1" customWidth="1"/>
    <col min="30" max="30" width="9.85546875" style="91" bestFit="1" customWidth="1"/>
    <col min="31" max="31" width="13" style="91" bestFit="1" customWidth="1"/>
    <col min="32" max="32" width="29.85546875" style="91" bestFit="1" customWidth="1"/>
    <col min="33" max="33" width="25.7109375" style="91" bestFit="1" customWidth="1"/>
    <col min="34" max="36" width="11.42578125" style="91"/>
    <col min="37" max="16384" width="11.42578125" style="1"/>
  </cols>
  <sheetData>
    <row r="2" spans="2:34" ht="15.75" thickBot="1" x14ac:dyDescent="0.3"/>
    <row r="3" spans="2:34" x14ac:dyDescent="0.25">
      <c r="B3" s="118" t="s">
        <v>24</v>
      </c>
      <c r="C3" s="119"/>
      <c r="D3" s="119"/>
      <c r="E3" s="119"/>
      <c r="F3" s="119"/>
      <c r="G3" s="120"/>
    </row>
    <row r="4" spans="2:34" ht="15.75" thickBot="1" x14ac:dyDescent="0.3">
      <c r="B4" s="121"/>
      <c r="C4" s="122"/>
      <c r="D4" s="122"/>
      <c r="E4" s="122"/>
      <c r="F4" s="122"/>
      <c r="G4" s="123"/>
    </row>
    <row r="5" spans="2:34" ht="15.75" thickBot="1" x14ac:dyDescent="0.3">
      <c r="B5" s="2"/>
      <c r="C5" s="93">
        <v>2</v>
      </c>
      <c r="D5" s="93">
        <v>3</v>
      </c>
      <c r="E5" s="93">
        <v>5</v>
      </c>
      <c r="F5" s="93">
        <v>6</v>
      </c>
      <c r="G5" s="93">
        <v>4</v>
      </c>
    </row>
    <row r="6" spans="2:34" ht="15.75" thickBot="1" x14ac:dyDescent="0.3">
      <c r="B6" s="124" t="s">
        <v>15</v>
      </c>
      <c r="C6" s="125"/>
      <c r="D6" s="125"/>
      <c r="E6" s="125"/>
      <c r="F6" s="125"/>
      <c r="G6" s="126"/>
      <c r="H6" s="89"/>
      <c r="J6" s="3" t="s">
        <v>0</v>
      </c>
      <c r="K6" s="115" t="s">
        <v>1</v>
      </c>
      <c r="L6" s="116"/>
      <c r="M6" s="116"/>
      <c r="N6" s="117"/>
      <c r="O6" s="92"/>
      <c r="P6" s="91">
        <v>1</v>
      </c>
      <c r="Q6" s="91">
        <v>2</v>
      </c>
      <c r="R6" s="91" t="s">
        <v>21</v>
      </c>
      <c r="T6" s="91" t="s">
        <v>6</v>
      </c>
      <c r="U6" s="91" t="s">
        <v>7</v>
      </c>
      <c r="V6" s="91" t="s">
        <v>8</v>
      </c>
      <c r="W6" s="91" t="s">
        <v>9</v>
      </c>
      <c r="X6" s="91" t="s">
        <v>10</v>
      </c>
      <c r="Y6" s="91" t="s">
        <v>11</v>
      </c>
      <c r="AB6" s="91" t="s">
        <v>7</v>
      </c>
      <c r="AC6" s="91" t="s">
        <v>20</v>
      </c>
      <c r="AD6" s="91" t="s">
        <v>21</v>
      </c>
      <c r="AE6" s="91" t="s">
        <v>22</v>
      </c>
      <c r="AF6" s="91" t="s">
        <v>18</v>
      </c>
      <c r="AG6" s="91" t="s">
        <v>23</v>
      </c>
      <c r="AH6" s="91" t="s">
        <v>19</v>
      </c>
    </row>
    <row r="7" spans="2:34" ht="15.75" thickBot="1" x14ac:dyDescent="0.3">
      <c r="B7" s="16" t="s">
        <v>16</v>
      </c>
      <c r="C7" s="51" t="s">
        <v>7</v>
      </c>
      <c r="D7" s="52" t="s">
        <v>8</v>
      </c>
      <c r="E7" s="52" t="s">
        <v>10</v>
      </c>
      <c r="F7" s="52" t="s">
        <v>11</v>
      </c>
      <c r="G7" s="53" t="s">
        <v>9</v>
      </c>
      <c r="H7" s="89"/>
      <c r="I7" s="5">
        <v>3</v>
      </c>
      <c r="J7" s="10">
        <v>44361</v>
      </c>
      <c r="K7" s="4" t="s">
        <v>25</v>
      </c>
      <c r="L7" s="18">
        <v>1</v>
      </c>
      <c r="M7" s="19">
        <v>0</v>
      </c>
      <c r="N7" s="5" t="s">
        <v>26</v>
      </c>
      <c r="O7" s="92" t="str">
        <f>_xlfn.CONCAT(K7,"_",N7)</f>
        <v>Argentina_Chile</v>
      </c>
      <c r="P7" s="91">
        <f t="shared" ref="P7:P16" si="0">IF(L7&gt;M7,3,IF(L7&lt;M7,0,1))</f>
        <v>3</v>
      </c>
      <c r="Q7" s="91">
        <f>IF(P7=3,0,IF(P7=1,1,3))</f>
        <v>0</v>
      </c>
      <c r="R7" s="91" t="str">
        <f>IF(P7&gt;Q7,K7,IF(Q7&gt;P7,N7,"SIN GANADOR"))</f>
        <v>Argentina</v>
      </c>
      <c r="T7" s="91">
        <f>_xlfn.RANK.EQ(AH7,AH$7:AH$11,1)</f>
        <v>2</v>
      </c>
      <c r="U7" s="91" t="s">
        <v>25</v>
      </c>
      <c r="V7" s="91">
        <f>SUMIF($K$7:$K$16,U7,$P$7:$P$16) + SUMIF($N$7:$N$16,U7,$Q$7:$Q$16)</f>
        <v>7</v>
      </c>
      <c r="W7" s="91">
        <f>X7-Y7</f>
        <v>1</v>
      </c>
      <c r="X7" s="91">
        <f>SUMIF($K$7:$K$16,U7,$L$7:$L$16) + SUMIF($N$7:$N$16,U7,$M$7:$M$16)</f>
        <v>5</v>
      </c>
      <c r="Y7" s="91">
        <f>SUMIF($K$7:$K$16,U7,$M$7:$M$16) + SUMIF($N$7:$N$16,U7,$L$7:$L$16)</f>
        <v>4</v>
      </c>
      <c r="AB7" s="91" t="str">
        <f>U7</f>
        <v>Argentina</v>
      </c>
      <c r="AC7" s="91" t="str">
        <f>IF(AF7=AF8,AB8,IF(AF7=AF9,AB9,IF(AF7=AF10,AB10,IF(AF7=AF11,AB11,""))))</f>
        <v/>
      </c>
      <c r="AD7" s="91" t="str">
        <f>IF(AC7="","",IFERROR(VLOOKUP(CONCATENATE(AB7,"_",AC7),$O$7:$R$16,4,FALSE),VLOOKUP(CONCATENATE(AC7,"_",AB7),$O$7:$R$16,4,FALSE)))</f>
        <v/>
      </c>
      <c r="AE7" s="91">
        <f>IF(AD7="",1,IF(AD7=AB7,1,0))</f>
        <v>1</v>
      </c>
      <c r="AF7" s="91">
        <f>-V7*10000000 - W7*10000 - X7*100</f>
        <v>-70010500</v>
      </c>
      <c r="AG7" s="91">
        <f>AF7-AE7*10</f>
        <v>-70010510</v>
      </c>
      <c r="AH7" s="91">
        <f>AG7+N23</f>
        <v>-70010509</v>
      </c>
    </row>
    <row r="8" spans="2:34" x14ac:dyDescent="0.25">
      <c r="B8" s="50">
        <v>1</v>
      </c>
      <c r="C8" s="32" t="str">
        <f t="shared" ref="C8:G12" si="1">IFERROR(VLOOKUP($B8,$T$7:$Y$11,C$5,FALSE),"")</f>
        <v>Chile</v>
      </c>
      <c r="D8" s="33">
        <f t="shared" si="1"/>
        <v>9</v>
      </c>
      <c r="E8" s="33">
        <f t="shared" si="1"/>
        <v>4</v>
      </c>
      <c r="F8" s="33">
        <f t="shared" si="1"/>
        <v>2</v>
      </c>
      <c r="G8" s="34">
        <f t="shared" si="1"/>
        <v>2</v>
      </c>
      <c r="H8" s="71"/>
      <c r="I8" s="12">
        <v>4</v>
      </c>
      <c r="J8" s="6">
        <v>44361</v>
      </c>
      <c r="K8" s="11" t="s">
        <v>27</v>
      </c>
      <c r="L8" s="20">
        <v>1</v>
      </c>
      <c r="M8" s="21">
        <v>2</v>
      </c>
      <c r="N8" s="12" t="s">
        <v>3</v>
      </c>
      <c r="O8" s="92" t="str">
        <f t="shared" ref="O8:O16" si="2">_xlfn.CONCAT(K8,"_",N8)</f>
        <v>Paraguay_Bolivia</v>
      </c>
      <c r="P8" s="91">
        <f t="shared" si="0"/>
        <v>0</v>
      </c>
      <c r="Q8" s="91">
        <f t="shared" ref="Q8:Q16" si="3">IF(P8=3,0,IF(P8=1,1,3))</f>
        <v>3</v>
      </c>
      <c r="R8" s="91" t="str">
        <f t="shared" ref="R8:R16" si="4">IF(P8&gt;Q8,K8,IF(Q8&gt;P8,N8,"SIN GANADOR"))</f>
        <v>Bolivia</v>
      </c>
      <c r="T8" s="91">
        <f>_xlfn.RANK.EQ(AH8,AH$7:AH$11,1)</f>
        <v>4</v>
      </c>
      <c r="U8" s="91" t="s">
        <v>3</v>
      </c>
      <c r="V8" s="91">
        <f>SUMIF($K$7:$K$16,U8,$P$7:$P$16) + SUMIF($N$7:$N$16,U8,$Q$7:$Q$16)</f>
        <v>4</v>
      </c>
      <c r="W8" s="91">
        <f>X8-Y8</f>
        <v>-1</v>
      </c>
      <c r="X8" s="91">
        <f>SUMIF($K$7:$K$16,U8,$L$7:$L$16) + SUMIF($N$7:$N$16,U8,$M$7:$M$16)</f>
        <v>4</v>
      </c>
      <c r="Y8" s="91">
        <f>SUMIF($K$7:$K$16,U8,$M$7:$M$16) + SUMIF($N$7:$N$16,U8,$L$7:$L$16)</f>
        <v>5</v>
      </c>
      <c r="AB8" s="91" t="str">
        <f t="shared" ref="AB8:AB11" si="5">U8</f>
        <v>Bolivia</v>
      </c>
      <c r="AC8" s="91" t="str">
        <f>IF(AF8=AF9,AB9,IF(AF8=AF10,AB10,IF(AF8=AF11,AB11,IF(AF8=AF7,AB7,""))))</f>
        <v>Paraguay</v>
      </c>
      <c r="AD8" s="91" t="str">
        <f>IF(AC8="","",IFERROR(VLOOKUP(CONCATENATE(AB8,"_",AC8),$O$7:$R$16,4,FALSE),VLOOKUP(CONCATENATE(AC8,"_",AB8),$O$7:$R$16,4,FALSE)))</f>
        <v>Bolivia</v>
      </c>
      <c r="AE8" s="91">
        <f t="shared" ref="AE8:AE11" si="6">IF(AD8="",1,IF(AD8=AB8,1,0))</f>
        <v>1</v>
      </c>
      <c r="AF8" s="91">
        <f t="shared" ref="AF8:AF11" si="7">-V8*10000000 - W8*10000 - X8*100</f>
        <v>-39990400</v>
      </c>
      <c r="AG8" s="91">
        <f t="shared" ref="AG8:AG11" si="8">AF8-AE8*10</f>
        <v>-39990410</v>
      </c>
      <c r="AH8" s="91">
        <f>AG8+N24</f>
        <v>-39990405</v>
      </c>
    </row>
    <row r="9" spans="2:34" x14ac:dyDescent="0.25">
      <c r="B9" s="62">
        <v>2</v>
      </c>
      <c r="C9" s="63" t="str">
        <f t="shared" si="1"/>
        <v>Argentina</v>
      </c>
      <c r="D9" s="64">
        <f t="shared" si="1"/>
        <v>7</v>
      </c>
      <c r="E9" s="64">
        <f t="shared" si="1"/>
        <v>5</v>
      </c>
      <c r="F9" s="64">
        <f t="shared" si="1"/>
        <v>4</v>
      </c>
      <c r="G9" s="65">
        <f t="shared" si="1"/>
        <v>1</v>
      </c>
      <c r="H9" s="71"/>
      <c r="I9" s="9">
        <v>7</v>
      </c>
      <c r="J9" s="13">
        <v>44365</v>
      </c>
      <c r="K9" s="8" t="s">
        <v>26</v>
      </c>
      <c r="L9" s="20">
        <v>1</v>
      </c>
      <c r="M9" s="21">
        <v>0</v>
      </c>
      <c r="N9" s="9" t="s">
        <v>3</v>
      </c>
      <c r="O9" s="92" t="str">
        <f t="shared" si="2"/>
        <v>Chile_Bolivia</v>
      </c>
      <c r="P9" s="91">
        <f t="shared" si="0"/>
        <v>3</v>
      </c>
      <c r="Q9" s="91">
        <f t="shared" si="3"/>
        <v>0</v>
      </c>
      <c r="R9" s="91" t="str">
        <f t="shared" si="4"/>
        <v>Chile</v>
      </c>
      <c r="T9" s="91">
        <f>_xlfn.RANK.EQ(AH9,AH$7:AH$11,1)</f>
        <v>1</v>
      </c>
      <c r="U9" s="91" t="s">
        <v>26</v>
      </c>
      <c r="V9" s="91">
        <f>SUMIF($K$7:$K$16,U9,$P$7:$P$16) + SUMIF($N$7:$N$16,U9,$Q$7:$Q$16)</f>
        <v>9</v>
      </c>
      <c r="W9" s="91">
        <f t="shared" ref="W9:W11" si="9">X9-Y9</f>
        <v>2</v>
      </c>
      <c r="X9" s="91">
        <f>SUMIF($K$7:$K$16,U9,$L$7:$L$16) + SUMIF($N$7:$N$16,U9,$M$7:$M$16)</f>
        <v>4</v>
      </c>
      <c r="Y9" s="91">
        <f>SUMIF($K$7:$K$16,U9,$M$7:$M$16) + SUMIF($N$7:$N$16,U9,$L$7:$L$16)</f>
        <v>2</v>
      </c>
      <c r="AB9" s="91" t="str">
        <f t="shared" si="5"/>
        <v>Chile</v>
      </c>
      <c r="AC9" s="91" t="str">
        <f>IF(AF9=AF10,AB10,IF(AF9=AF11,AB11,IF(AF9=AF7,AB7,IF(AF9=AF8,AB8,""))))</f>
        <v/>
      </c>
      <c r="AD9" s="91" t="str">
        <f>IF(AC9="","",IFERROR(VLOOKUP(CONCATENATE(AB9,"_",AC9),$O$7:$R$16,4,FALSE),VLOOKUP(CONCATENATE(AC9,"_",AB9),$O$7:$R$16,4,FALSE)))</f>
        <v/>
      </c>
      <c r="AE9" s="91">
        <f t="shared" si="6"/>
        <v>1</v>
      </c>
      <c r="AF9" s="91">
        <f t="shared" si="7"/>
        <v>-90020400</v>
      </c>
      <c r="AG9" s="91">
        <f t="shared" si="8"/>
        <v>-90020410</v>
      </c>
      <c r="AH9" s="91">
        <f>AG9+N25</f>
        <v>-90020408</v>
      </c>
    </row>
    <row r="10" spans="2:34" x14ac:dyDescent="0.25">
      <c r="B10" s="58">
        <v>3</v>
      </c>
      <c r="C10" s="59" t="str">
        <f t="shared" si="1"/>
        <v>Uruguay</v>
      </c>
      <c r="D10" s="60">
        <f t="shared" si="1"/>
        <v>4</v>
      </c>
      <c r="E10" s="60">
        <f t="shared" si="1"/>
        <v>5</v>
      </c>
      <c r="F10" s="60">
        <f t="shared" si="1"/>
        <v>6</v>
      </c>
      <c r="G10" s="61">
        <f t="shared" si="1"/>
        <v>-1</v>
      </c>
      <c r="H10" s="71"/>
      <c r="I10" s="12">
        <v>8</v>
      </c>
      <c r="J10" s="6">
        <v>44365</v>
      </c>
      <c r="K10" s="11" t="s">
        <v>25</v>
      </c>
      <c r="L10" s="20">
        <v>1</v>
      </c>
      <c r="M10" s="21">
        <v>2</v>
      </c>
      <c r="N10" s="12" t="s">
        <v>28</v>
      </c>
      <c r="O10" s="92" t="str">
        <f t="shared" si="2"/>
        <v>Argentina_Uruguay</v>
      </c>
      <c r="P10" s="91">
        <f t="shared" si="0"/>
        <v>0</v>
      </c>
      <c r="Q10" s="91">
        <f t="shared" si="3"/>
        <v>3</v>
      </c>
      <c r="R10" s="91" t="str">
        <f t="shared" si="4"/>
        <v>Uruguay</v>
      </c>
      <c r="T10" s="91">
        <f>_xlfn.RANK.EQ(AH10,AH$7:AH$11,1)</f>
        <v>5</v>
      </c>
      <c r="U10" s="91" t="s">
        <v>27</v>
      </c>
      <c r="V10" s="91">
        <f>SUMIF($K$7:$K$16,U10,$P$7:$P$16) + SUMIF($N$7:$N$16,U10,$Q$7:$Q$16)</f>
        <v>4</v>
      </c>
      <c r="W10" s="91">
        <f t="shared" si="9"/>
        <v>-1</v>
      </c>
      <c r="X10" s="91">
        <f>SUMIF($K$7:$K$16,U10,$L$7:$L$16) + SUMIF($N$7:$N$16,U10,$M$7:$M$16)</f>
        <v>4</v>
      </c>
      <c r="Y10" s="91">
        <f>SUMIF($K$7:$K$16,U10,$M$7:$M$16) + SUMIF($N$7:$N$16,U10,$L$7:$L$16)</f>
        <v>5</v>
      </c>
      <c r="AB10" s="91" t="str">
        <f t="shared" si="5"/>
        <v>Paraguay</v>
      </c>
      <c r="AC10" s="91" t="str">
        <f>IF(AF10=AF11,AB11,IF(AF10=AF7,AB7,IF(AF10=AF8,AB8,IF(AF10=AF9,AB9,""))))</f>
        <v>Bolivia</v>
      </c>
      <c r="AD10" s="91" t="str">
        <f>IF(AC10="","",IFERROR(VLOOKUP(CONCATENATE(AB10,"_",AC10),$O$7:$R$16,4,FALSE),VLOOKUP(CONCATENATE(AC10,"_",AB10),$O$7:$R$16,4,FALSE)))</f>
        <v>Bolivia</v>
      </c>
      <c r="AE10" s="91">
        <f t="shared" si="6"/>
        <v>0</v>
      </c>
      <c r="AF10" s="91">
        <f t="shared" si="7"/>
        <v>-39990400</v>
      </c>
      <c r="AG10" s="91">
        <f t="shared" si="8"/>
        <v>-39990400</v>
      </c>
      <c r="AH10" s="91">
        <f>AG10+N26</f>
        <v>-39990396</v>
      </c>
    </row>
    <row r="11" spans="2:34" x14ac:dyDescent="0.25">
      <c r="B11" s="66">
        <v>4</v>
      </c>
      <c r="C11" s="67" t="str">
        <f t="shared" si="1"/>
        <v>Bolivia</v>
      </c>
      <c r="D11" s="68">
        <f t="shared" si="1"/>
        <v>4</v>
      </c>
      <c r="E11" s="68">
        <f t="shared" si="1"/>
        <v>4</v>
      </c>
      <c r="F11" s="68">
        <f t="shared" si="1"/>
        <v>5</v>
      </c>
      <c r="G11" s="69">
        <f t="shared" si="1"/>
        <v>-1</v>
      </c>
      <c r="H11" s="71"/>
      <c r="I11" s="9">
        <v>11</v>
      </c>
      <c r="J11" s="13">
        <v>44368</v>
      </c>
      <c r="K11" s="8" t="s">
        <v>28</v>
      </c>
      <c r="L11" s="20">
        <v>1</v>
      </c>
      <c r="M11" s="21">
        <v>2</v>
      </c>
      <c r="N11" s="9" t="s">
        <v>26</v>
      </c>
      <c r="O11" s="92" t="str">
        <f t="shared" si="2"/>
        <v>Uruguay_Chile</v>
      </c>
      <c r="P11" s="91">
        <f t="shared" si="0"/>
        <v>0</v>
      </c>
      <c r="Q11" s="91">
        <f t="shared" si="3"/>
        <v>3</v>
      </c>
      <c r="R11" s="91" t="str">
        <f t="shared" si="4"/>
        <v>Chile</v>
      </c>
      <c r="T11" s="91">
        <f>_xlfn.RANK.EQ(AH11,AH$7:AH$11,1)</f>
        <v>3</v>
      </c>
      <c r="U11" s="91" t="s">
        <v>28</v>
      </c>
      <c r="V11" s="91">
        <f>SUMIF($K$7:$K$16,U11,$P$7:$P$16) + SUMIF($N$7:$N$16,U11,$Q$7:$Q$16)</f>
        <v>4</v>
      </c>
      <c r="W11" s="91">
        <f t="shared" si="9"/>
        <v>-1</v>
      </c>
      <c r="X11" s="91">
        <f>SUMIF($K$7:$K$16,U11,$L$7:$L$16) + SUMIF($N$7:$N$16,U11,$M$7:$M$16)</f>
        <v>5</v>
      </c>
      <c r="Y11" s="91">
        <f>SUMIF($K$7:$K$16,U11,$M$7:$M$16) + SUMIF($N$7:$N$16,U11,$L$7:$L$16)</f>
        <v>6</v>
      </c>
      <c r="AB11" s="91" t="str">
        <f t="shared" si="5"/>
        <v>Uruguay</v>
      </c>
      <c r="AC11" s="91" t="str">
        <f>IF(AF11=AF7,AB7,IF(AF11=AF8,AB8,IF(AF11=AF9,AB9,IF(AF11=AF10,AB10,""))))</f>
        <v/>
      </c>
      <c r="AD11" s="91" t="str">
        <f>IF(AC11="","",IFERROR(VLOOKUP(CONCATENATE(AB11,"_",AC11),$O$7:$R$16,4,FALSE),VLOOKUP(CONCATENATE(AC11,"_",AB11),$O$7:$R$16,4,FALSE)))</f>
        <v/>
      </c>
      <c r="AE11" s="91">
        <f t="shared" si="6"/>
        <v>1</v>
      </c>
      <c r="AF11" s="91">
        <f t="shared" si="7"/>
        <v>-39990500</v>
      </c>
      <c r="AG11" s="91">
        <f t="shared" si="8"/>
        <v>-39990510</v>
      </c>
      <c r="AH11" s="91">
        <f>AG11+N27</f>
        <v>-39990507</v>
      </c>
    </row>
    <row r="12" spans="2:34" ht="15.75" thickBot="1" x14ac:dyDescent="0.3">
      <c r="B12" s="54">
        <v>5</v>
      </c>
      <c r="C12" s="55" t="str">
        <f t="shared" si="1"/>
        <v>Paraguay</v>
      </c>
      <c r="D12" s="56">
        <f t="shared" si="1"/>
        <v>4</v>
      </c>
      <c r="E12" s="56">
        <f t="shared" si="1"/>
        <v>4</v>
      </c>
      <c r="F12" s="56">
        <f t="shared" si="1"/>
        <v>5</v>
      </c>
      <c r="G12" s="57">
        <f t="shared" si="1"/>
        <v>-1</v>
      </c>
      <c r="H12" s="71"/>
      <c r="I12" s="31">
        <v>12</v>
      </c>
      <c r="J12" s="29">
        <v>44368</v>
      </c>
      <c r="K12" s="30" t="s">
        <v>25</v>
      </c>
      <c r="L12" s="26">
        <v>1</v>
      </c>
      <c r="M12" s="27">
        <v>1</v>
      </c>
      <c r="N12" s="31" t="s">
        <v>27</v>
      </c>
      <c r="O12" s="92" t="str">
        <f t="shared" si="2"/>
        <v>Argentina_Paraguay</v>
      </c>
      <c r="P12" s="91">
        <f t="shared" si="0"/>
        <v>1</v>
      </c>
      <c r="Q12" s="91">
        <f t="shared" si="3"/>
        <v>1</v>
      </c>
      <c r="R12" s="91" t="str">
        <f t="shared" si="4"/>
        <v>SIN GANADOR</v>
      </c>
    </row>
    <row r="13" spans="2:34" x14ac:dyDescent="0.25">
      <c r="I13" s="28">
        <v>15</v>
      </c>
      <c r="J13" s="24">
        <v>44371</v>
      </c>
      <c r="K13" s="25" t="s">
        <v>3</v>
      </c>
      <c r="L13" s="26">
        <v>1</v>
      </c>
      <c r="M13" s="27">
        <v>1</v>
      </c>
      <c r="N13" s="28" t="s">
        <v>28</v>
      </c>
      <c r="O13" s="92" t="str">
        <f t="shared" si="2"/>
        <v>Bolivia_Uruguay</v>
      </c>
      <c r="P13" s="91">
        <f t="shared" si="0"/>
        <v>1</v>
      </c>
      <c r="Q13" s="91">
        <f t="shared" si="3"/>
        <v>1</v>
      </c>
      <c r="R13" s="91" t="str">
        <f t="shared" si="4"/>
        <v>SIN GANADOR</v>
      </c>
    </row>
    <row r="14" spans="2:34" x14ac:dyDescent="0.25">
      <c r="I14" s="31">
        <v>16</v>
      </c>
      <c r="J14" s="29">
        <v>44371</v>
      </c>
      <c r="K14" s="30" t="s">
        <v>26</v>
      </c>
      <c r="L14" s="26">
        <v>1</v>
      </c>
      <c r="M14" s="27">
        <v>0</v>
      </c>
      <c r="N14" s="31" t="s">
        <v>27</v>
      </c>
      <c r="O14" s="92" t="str">
        <f t="shared" si="2"/>
        <v>Chile_Paraguay</v>
      </c>
      <c r="P14" s="91">
        <f t="shared" si="0"/>
        <v>3</v>
      </c>
      <c r="Q14" s="91">
        <f t="shared" si="3"/>
        <v>0</v>
      </c>
      <c r="R14" s="91" t="str">
        <f t="shared" si="4"/>
        <v>Chile</v>
      </c>
    </row>
    <row r="15" spans="2:34" x14ac:dyDescent="0.25">
      <c r="I15" s="28">
        <v>19</v>
      </c>
      <c r="J15" s="24">
        <v>44375</v>
      </c>
      <c r="K15" s="25" t="s">
        <v>28</v>
      </c>
      <c r="L15" s="26">
        <v>1</v>
      </c>
      <c r="M15" s="27">
        <v>2</v>
      </c>
      <c r="N15" s="28" t="s">
        <v>27</v>
      </c>
      <c r="O15" s="92" t="str">
        <f t="shared" si="2"/>
        <v>Uruguay_Paraguay</v>
      </c>
      <c r="P15" s="91">
        <f t="shared" si="0"/>
        <v>0</v>
      </c>
      <c r="Q15" s="91">
        <f t="shared" si="3"/>
        <v>3</v>
      </c>
      <c r="R15" s="91" t="str">
        <f t="shared" si="4"/>
        <v>Paraguay</v>
      </c>
    </row>
    <row r="16" spans="2:34" ht="15.75" thickBot="1" x14ac:dyDescent="0.3">
      <c r="I16" s="15">
        <v>20</v>
      </c>
      <c r="J16" s="7">
        <v>44375</v>
      </c>
      <c r="K16" s="14" t="s">
        <v>25</v>
      </c>
      <c r="L16" s="22">
        <v>2</v>
      </c>
      <c r="M16" s="23">
        <v>1</v>
      </c>
      <c r="N16" s="15" t="s">
        <v>3</v>
      </c>
      <c r="O16" s="92" t="str">
        <f t="shared" si="2"/>
        <v>Argentina_Bolivia</v>
      </c>
      <c r="P16" s="91">
        <f t="shared" si="0"/>
        <v>3</v>
      </c>
      <c r="Q16" s="91">
        <f t="shared" si="3"/>
        <v>0</v>
      </c>
      <c r="R16" s="91" t="str">
        <f t="shared" si="4"/>
        <v>Argentina</v>
      </c>
    </row>
    <row r="21" spans="2:14" ht="15.75" thickBot="1" x14ac:dyDescent="0.3"/>
    <row r="22" spans="2:14" ht="15.75" thickBot="1" x14ac:dyDescent="0.3">
      <c r="B22" s="35" t="s">
        <v>50</v>
      </c>
      <c r="C22" s="36"/>
      <c r="D22" s="36"/>
      <c r="E22" s="36"/>
      <c r="F22" s="36"/>
      <c r="G22" s="36"/>
      <c r="H22" s="37"/>
      <c r="I22" s="91">
        <v>1</v>
      </c>
      <c r="J22" s="102" t="s">
        <v>17</v>
      </c>
      <c r="K22" s="103"/>
      <c r="L22" s="103"/>
      <c r="M22" s="104"/>
      <c r="N22" s="71"/>
    </row>
    <row r="23" spans="2:14" x14ac:dyDescent="0.25">
      <c r="B23" s="38" t="s">
        <v>51</v>
      </c>
      <c r="C23" s="39"/>
      <c r="D23" s="39"/>
      <c r="E23" s="39"/>
      <c r="F23" s="39"/>
      <c r="G23" s="39"/>
      <c r="H23" s="40"/>
      <c r="I23" s="91">
        <f>IF(J23="",0,1)</f>
        <v>1</v>
      </c>
      <c r="J23" s="127" t="s">
        <v>25</v>
      </c>
      <c r="K23" s="128"/>
      <c r="L23" s="129"/>
      <c r="M23" s="47">
        <v>1</v>
      </c>
      <c r="N23" s="1">
        <f>IF(J23="",0,M23)</f>
        <v>1</v>
      </c>
    </row>
    <row r="24" spans="2:14" x14ac:dyDescent="0.25">
      <c r="B24" s="38" t="s">
        <v>53</v>
      </c>
      <c r="C24" s="39"/>
      <c r="D24" s="39"/>
      <c r="E24" s="39"/>
      <c r="F24" s="39"/>
      <c r="G24" s="39"/>
      <c r="H24" s="40"/>
      <c r="I24" s="91">
        <f t="shared" ref="I24:I27" si="10">IF(J24="",0,1)</f>
        <v>1</v>
      </c>
      <c r="J24" s="109" t="s">
        <v>3</v>
      </c>
      <c r="K24" s="110"/>
      <c r="L24" s="111"/>
      <c r="M24" s="48">
        <v>5</v>
      </c>
      <c r="N24" s="1">
        <f>IF(J24="",0,M24)</f>
        <v>5</v>
      </c>
    </row>
    <row r="25" spans="2:14" x14ac:dyDescent="0.25">
      <c r="B25" s="38" t="s">
        <v>52</v>
      </c>
      <c r="C25" s="39"/>
      <c r="D25" s="39"/>
      <c r="E25" s="39"/>
      <c r="F25" s="39"/>
      <c r="G25" s="39"/>
      <c r="H25" s="40"/>
      <c r="I25" s="91">
        <f t="shared" si="10"/>
        <v>1</v>
      </c>
      <c r="J25" s="109" t="s">
        <v>26</v>
      </c>
      <c r="K25" s="110"/>
      <c r="L25" s="111"/>
      <c r="M25" s="48">
        <v>2</v>
      </c>
      <c r="N25" s="1">
        <f>IF(J25="",0,M25)</f>
        <v>2</v>
      </c>
    </row>
    <row r="26" spans="2:14" x14ac:dyDescent="0.25">
      <c r="B26" s="38" t="s">
        <v>54</v>
      </c>
      <c r="C26" s="39"/>
      <c r="D26" s="39"/>
      <c r="E26" s="39"/>
      <c r="F26" s="39"/>
      <c r="G26" s="39"/>
      <c r="H26" s="40"/>
      <c r="I26" s="91">
        <f t="shared" si="10"/>
        <v>1</v>
      </c>
      <c r="J26" s="109" t="s">
        <v>27</v>
      </c>
      <c r="K26" s="110"/>
      <c r="L26" s="111"/>
      <c r="M26" s="48">
        <v>4</v>
      </c>
      <c r="N26" s="1">
        <f>IF(J26="",0,M26)</f>
        <v>4</v>
      </c>
    </row>
    <row r="27" spans="2:14" ht="15.75" thickBot="1" x14ac:dyDescent="0.3">
      <c r="B27" s="38" t="s">
        <v>55</v>
      </c>
      <c r="C27" s="39"/>
      <c r="D27" s="39"/>
      <c r="E27" s="39"/>
      <c r="F27" s="39"/>
      <c r="G27" s="39"/>
      <c r="H27" s="40"/>
      <c r="I27" s="91">
        <f t="shared" si="10"/>
        <v>1</v>
      </c>
      <c r="J27" s="112" t="s">
        <v>28</v>
      </c>
      <c r="K27" s="113"/>
      <c r="L27" s="114"/>
      <c r="M27" s="49">
        <v>3</v>
      </c>
      <c r="N27" s="1">
        <f>IF(J27="",0,M27)</f>
        <v>3</v>
      </c>
    </row>
    <row r="28" spans="2:14" ht="15.75" thickBot="1" x14ac:dyDescent="0.3">
      <c r="B28" s="43"/>
      <c r="C28" s="44"/>
      <c r="D28" s="44"/>
      <c r="E28" s="44"/>
      <c r="F28" s="44"/>
      <c r="G28" s="44"/>
      <c r="H28" s="45"/>
    </row>
  </sheetData>
  <sheetProtection sheet="1" objects="1" scenarios="1"/>
  <protectedRanges>
    <protectedRange sqref="M23:M27" name="Prioridades Grupo B"/>
    <protectedRange sqref="L7:M16" name="Resultados Grupo B"/>
  </protectedRanges>
  <mergeCells count="9">
    <mergeCell ref="J25:L25"/>
    <mergeCell ref="J26:L26"/>
    <mergeCell ref="J27:L27"/>
    <mergeCell ref="B3:G4"/>
    <mergeCell ref="B6:G6"/>
    <mergeCell ref="K6:N6"/>
    <mergeCell ref="J22:M22"/>
    <mergeCell ref="J23:L23"/>
    <mergeCell ref="J24:L24"/>
  </mergeCells>
  <conditionalFormatting sqref="M23:N27">
    <cfRule type="expression" dxfId="23" priority="6">
      <formula>J23=""</formula>
    </cfRule>
  </conditionalFormatting>
  <conditionalFormatting sqref="M24:N26">
    <cfRule type="expression" dxfId="22" priority="5">
      <formula>J24=""</formula>
    </cfRule>
  </conditionalFormatting>
  <conditionalFormatting sqref="M25:N25">
    <cfRule type="expression" dxfId="21" priority="4">
      <formula>J25=""</formula>
    </cfRule>
  </conditionalFormatting>
  <conditionalFormatting sqref="M27:N27">
    <cfRule type="expression" dxfId="20" priority="3">
      <formula>J27=""</formula>
    </cfRule>
  </conditionalFormatting>
  <conditionalFormatting sqref="B28:H28 J22:N22 M23:N27 C22:H27">
    <cfRule type="expression" dxfId="19" priority="7">
      <formula>OR($I$22=0,AND($J$20="",$J$21="",$J$22="",$J$23=""))</formula>
    </cfRule>
  </conditionalFormatting>
  <conditionalFormatting sqref="J23:L27">
    <cfRule type="expression" dxfId="18" priority="2">
      <formula>OR($I$22=0,AND($J$20="",$J$21="",$J$22="",$J$23=""))</formula>
    </cfRule>
  </conditionalFormatting>
  <conditionalFormatting sqref="B22:B27">
    <cfRule type="expression" dxfId="17" priority="1">
      <formula>OR($I$22=0,AND($J$20="",$J$21="",$J$22="",$J$23=""))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AQ24"/>
  <sheetViews>
    <sheetView showGridLines="0" zoomScale="140" zoomScaleNormal="140" workbookViewId="0">
      <selection activeCell="M24" sqref="M24"/>
    </sheetView>
  </sheetViews>
  <sheetFormatPr baseColWidth="10" defaultRowHeight="15" x14ac:dyDescent="0.25"/>
  <cols>
    <col min="1" max="2" width="11.42578125" style="1"/>
    <col min="3" max="3" width="11.28515625" style="1" bestFit="1" customWidth="1"/>
    <col min="4" max="4" width="9.140625" style="1" bestFit="1" customWidth="1"/>
    <col min="5" max="8" width="11.42578125" style="1"/>
    <col min="9" max="9" width="9.140625" style="1" bestFit="1" customWidth="1"/>
    <col min="10" max="13" width="11.42578125" style="1"/>
    <col min="14" max="14" width="9.140625" style="1" bestFit="1" customWidth="1"/>
    <col min="15" max="16" width="11.42578125" style="1"/>
    <col min="17" max="17" width="16.85546875" style="1" bestFit="1" customWidth="1"/>
    <col min="18" max="16384" width="11.42578125" style="1"/>
  </cols>
  <sheetData>
    <row r="2" spans="2:43" ht="15.75" thickBot="1" x14ac:dyDescent="0.3"/>
    <row r="3" spans="2:43" ht="15.75" thickBot="1" x14ac:dyDescent="0.3">
      <c r="B3" s="135" t="s">
        <v>29</v>
      </c>
      <c r="C3" s="136"/>
      <c r="D3" s="137"/>
    </row>
    <row r="4" spans="2:43" ht="15.75" thickBot="1" x14ac:dyDescent="0.3"/>
    <row r="5" spans="2:43" ht="15.75" thickBot="1" x14ac:dyDescent="0.3">
      <c r="G5" s="135" t="s">
        <v>30</v>
      </c>
      <c r="H5" s="136"/>
      <c r="I5" s="137"/>
    </row>
    <row r="6" spans="2:43" ht="15.75" thickBot="1" x14ac:dyDescent="0.3">
      <c r="B6" s="90">
        <v>24</v>
      </c>
      <c r="C6" s="72" t="s">
        <v>31</v>
      </c>
      <c r="D6" s="73" t="s">
        <v>32</v>
      </c>
    </row>
    <row r="7" spans="2:43" ht="15.75" thickBot="1" x14ac:dyDescent="0.3">
      <c r="B7" s="74" t="str">
        <f>'Grupo B'!C8</f>
        <v>Chile</v>
      </c>
      <c r="C7" s="41">
        <v>2</v>
      </c>
      <c r="D7" s="75">
        <v>3</v>
      </c>
      <c r="S7" s="17">
        <v>1</v>
      </c>
      <c r="T7" s="17" t="s">
        <v>33</v>
      </c>
      <c r="U7" s="17" t="s">
        <v>4</v>
      </c>
      <c r="V7" s="17">
        <v>5</v>
      </c>
      <c r="W7" s="17">
        <v>2</v>
      </c>
      <c r="X7" s="17">
        <v>2</v>
      </c>
      <c r="Y7" s="17">
        <v>0</v>
      </c>
      <c r="Z7" s="17"/>
      <c r="AA7" s="17"/>
      <c r="AB7" s="17">
        <v>1</v>
      </c>
      <c r="AC7" s="17">
        <v>1</v>
      </c>
      <c r="AD7" s="17">
        <v>3</v>
      </c>
      <c r="AE7" s="17">
        <v>1</v>
      </c>
      <c r="AF7" s="17">
        <v>1</v>
      </c>
      <c r="AG7" s="17"/>
      <c r="AH7" s="17">
        <v>1</v>
      </c>
      <c r="AI7" s="17">
        <v>1</v>
      </c>
      <c r="AJ7" s="17">
        <v>1</v>
      </c>
      <c r="AK7" s="17">
        <v>4</v>
      </c>
      <c r="AL7" s="17">
        <v>1</v>
      </c>
      <c r="AM7" s="17"/>
      <c r="AN7" s="17"/>
      <c r="AO7" s="17"/>
      <c r="AP7" s="17"/>
      <c r="AQ7" s="17"/>
    </row>
    <row r="8" spans="2:43" ht="15.75" thickBot="1" x14ac:dyDescent="0.3">
      <c r="B8" s="76" t="str">
        <f>'Grupo A'!C11</f>
        <v>Peru</v>
      </c>
      <c r="C8" s="42">
        <v>1</v>
      </c>
      <c r="D8" s="77">
        <v>2</v>
      </c>
      <c r="E8" s="78"/>
      <c r="G8" s="90">
        <v>26</v>
      </c>
      <c r="H8" s="72" t="s">
        <v>31</v>
      </c>
      <c r="I8" s="73" t="s">
        <v>32</v>
      </c>
      <c r="S8" s="17">
        <v>2</v>
      </c>
      <c r="T8" s="17" t="s">
        <v>34</v>
      </c>
      <c r="U8" s="17" t="s">
        <v>27</v>
      </c>
      <c r="V8" s="17">
        <v>2</v>
      </c>
      <c r="W8" s="17">
        <v>-2</v>
      </c>
      <c r="X8" s="17">
        <v>3</v>
      </c>
      <c r="Y8" s="17">
        <v>5</v>
      </c>
      <c r="Z8" s="17"/>
      <c r="AA8" s="17"/>
      <c r="AB8" s="17">
        <v>2</v>
      </c>
      <c r="AC8" s="17">
        <v>2</v>
      </c>
      <c r="AD8" s="17">
        <v>1</v>
      </c>
      <c r="AE8" s="17">
        <v>2</v>
      </c>
      <c r="AF8" s="17">
        <v>2</v>
      </c>
      <c r="AG8" s="17"/>
      <c r="AH8" s="17">
        <v>2</v>
      </c>
      <c r="AI8" s="17">
        <v>2</v>
      </c>
      <c r="AJ8" s="17">
        <v>2</v>
      </c>
      <c r="AK8" s="17">
        <v>8</v>
      </c>
      <c r="AL8" s="17">
        <v>2</v>
      </c>
      <c r="AM8" s="17"/>
      <c r="AN8" s="17"/>
      <c r="AO8" s="17"/>
      <c r="AP8" s="17"/>
      <c r="AQ8" s="17"/>
    </row>
    <row r="9" spans="2:43" ht="15.75" thickBot="1" x14ac:dyDescent="0.3">
      <c r="E9" s="79"/>
      <c r="G9" s="74" t="str">
        <f>IF(C8&gt;C7,B8,IF(C7&gt;C8,B7,IF(D8&gt;D7,B8,IF(D7&gt;D8,B7,""))))</f>
        <v>Chile</v>
      </c>
      <c r="H9" s="41">
        <v>1</v>
      </c>
      <c r="I9" s="75"/>
      <c r="L9" s="135" t="s">
        <v>35</v>
      </c>
      <c r="M9" s="136"/>
      <c r="N9" s="137"/>
      <c r="S9" s="17">
        <v>3</v>
      </c>
      <c r="T9" s="17" t="s">
        <v>36</v>
      </c>
      <c r="U9" s="17" t="s">
        <v>48</v>
      </c>
      <c r="V9" s="17">
        <v>2</v>
      </c>
      <c r="W9" s="17">
        <v>-4</v>
      </c>
      <c r="X9" s="17">
        <v>3</v>
      </c>
      <c r="Y9" s="17">
        <v>7</v>
      </c>
      <c r="Z9" s="17"/>
      <c r="AA9" s="17"/>
      <c r="AB9" s="17">
        <v>2</v>
      </c>
      <c r="AC9" s="17">
        <v>3</v>
      </c>
      <c r="AD9" s="17">
        <v>1</v>
      </c>
      <c r="AE9" s="17">
        <v>2.1</v>
      </c>
      <c r="AF9" s="17">
        <v>2.1</v>
      </c>
      <c r="AG9" s="17"/>
      <c r="AH9" s="17">
        <v>3</v>
      </c>
      <c r="AI9" s="17">
        <v>3</v>
      </c>
      <c r="AJ9" s="17">
        <v>3</v>
      </c>
      <c r="AK9" s="17">
        <v>12</v>
      </c>
      <c r="AL9" s="17">
        <v>3</v>
      </c>
      <c r="AM9" s="17"/>
      <c r="AN9" s="17"/>
      <c r="AO9" s="17"/>
      <c r="AP9" s="17"/>
      <c r="AQ9" s="17"/>
    </row>
    <row r="10" spans="2:43" ht="15.75" thickBot="1" x14ac:dyDescent="0.3">
      <c r="B10" s="90">
        <v>23</v>
      </c>
      <c r="C10" s="72" t="s">
        <v>31</v>
      </c>
      <c r="D10" s="73" t="s">
        <v>32</v>
      </c>
      <c r="E10" s="80"/>
      <c r="F10" s="81"/>
      <c r="G10" s="76" t="str">
        <f>IF(C12&gt;C11,B12,IF(C11&gt;C12,B11,IF(D12&gt;D11,B12,IF(D11&gt;D12,B11,""))))</f>
        <v>Ecuador</v>
      </c>
      <c r="H10" s="42">
        <v>2</v>
      </c>
      <c r="I10" s="77"/>
      <c r="J10" s="78"/>
    </row>
    <row r="11" spans="2:43" ht="15.75" thickBot="1" x14ac:dyDescent="0.3">
      <c r="B11" s="74" t="str">
        <f>'Grupo B'!C9</f>
        <v>Argentina</v>
      </c>
      <c r="C11" s="41">
        <v>1</v>
      </c>
      <c r="D11" s="75"/>
      <c r="E11" s="82"/>
      <c r="J11" s="79"/>
    </row>
    <row r="12" spans="2:43" ht="15.75" thickBot="1" x14ac:dyDescent="0.3">
      <c r="B12" s="76" t="str">
        <f>'Grupo A'!C10</f>
        <v>Ecuador</v>
      </c>
      <c r="C12" s="42">
        <v>2</v>
      </c>
      <c r="D12" s="77"/>
      <c r="E12" s="83"/>
      <c r="J12" s="79"/>
      <c r="L12" s="90">
        <v>28</v>
      </c>
      <c r="M12" s="72" t="s">
        <v>31</v>
      </c>
      <c r="N12" s="73" t="s">
        <v>32</v>
      </c>
    </row>
    <row r="13" spans="2:43" ht="15.75" thickBot="1" x14ac:dyDescent="0.3">
      <c r="J13" s="79"/>
      <c r="L13" s="74" t="str">
        <f>IF(H10&gt;H9,G10,IF(H9&gt;H10,G9,IF(I10&gt;I9,G10,IF(I9&gt;I10,G9,""))))</f>
        <v>Ecuador</v>
      </c>
      <c r="M13" s="41">
        <v>1</v>
      </c>
      <c r="N13" s="75"/>
    </row>
    <row r="14" spans="2:43" ht="15.75" thickBot="1" x14ac:dyDescent="0.3">
      <c r="B14" s="90">
        <v>21</v>
      </c>
      <c r="C14" s="72" t="s">
        <v>31</v>
      </c>
      <c r="D14" s="73" t="s">
        <v>32</v>
      </c>
      <c r="J14" s="79"/>
      <c r="K14" s="81"/>
      <c r="L14" s="76" t="str">
        <f>IF(H18&gt;H17,G18,IF(H17&gt;H18,G17,IF(I18&gt;I17,G18,IF(I17&gt;I18,G17,""))))</f>
        <v>Brasil</v>
      </c>
      <c r="M14" s="42">
        <v>3</v>
      </c>
      <c r="N14" s="77"/>
    </row>
    <row r="15" spans="2:43" ht="15.75" thickBot="1" x14ac:dyDescent="0.3">
      <c r="B15" s="74" t="str">
        <f>'Grupo A'!C9</f>
        <v>Colombia</v>
      </c>
      <c r="C15" s="41">
        <v>1</v>
      </c>
      <c r="D15" s="75"/>
      <c r="J15" s="79"/>
      <c r="U15" s="35" t="s">
        <v>37</v>
      </c>
      <c r="V15" s="36"/>
      <c r="W15" s="36"/>
      <c r="X15" s="36"/>
      <c r="Y15" s="36"/>
      <c r="Z15" s="37"/>
    </row>
    <row r="16" spans="2:43" ht="15.75" thickBot="1" x14ac:dyDescent="0.3">
      <c r="B16" s="76" t="str">
        <f>'Grupo B'!C10</f>
        <v>Uruguay</v>
      </c>
      <c r="C16" s="42">
        <v>0</v>
      </c>
      <c r="D16" s="77"/>
      <c r="E16" s="78"/>
      <c r="G16" s="90">
        <v>25</v>
      </c>
      <c r="H16" s="72" t="s">
        <v>31</v>
      </c>
      <c r="I16" s="73" t="s">
        <v>32</v>
      </c>
      <c r="J16" s="79"/>
      <c r="Q16" s="138" t="s">
        <v>38</v>
      </c>
      <c r="R16" s="117"/>
      <c r="U16" s="38" t="s">
        <v>39</v>
      </c>
      <c r="V16" s="39"/>
      <c r="W16" s="39"/>
      <c r="X16" s="39"/>
      <c r="Y16" s="39"/>
      <c r="Z16" s="40"/>
    </row>
    <row r="17" spans="2:26" ht="15.75" thickBot="1" x14ac:dyDescent="0.3">
      <c r="E17" s="79"/>
      <c r="G17" s="74" t="str">
        <f>IF(C16&gt;C15,B16,IF(C15&gt;C16,B15,IF(D16&gt;D15,B16,IF(D15&gt;D16,B15,""))))</f>
        <v>Colombia</v>
      </c>
      <c r="H17" s="41">
        <v>1</v>
      </c>
      <c r="I17" s="75">
        <v>4</v>
      </c>
      <c r="J17" s="82"/>
      <c r="Q17" s="74" t="s">
        <v>40</v>
      </c>
      <c r="R17" s="84" t="str">
        <f>IF(M13&gt;M14,L13,IF(M14&gt;M13,L14,IF(N13&gt;N14,L13,IF(N14&gt;N13,L14,""))))</f>
        <v>Brasil</v>
      </c>
      <c r="U17" s="38" t="s">
        <v>41</v>
      </c>
      <c r="V17" s="39"/>
      <c r="W17" s="39"/>
      <c r="X17" s="39"/>
      <c r="Y17" s="39"/>
      <c r="Z17" s="40"/>
    </row>
    <row r="18" spans="2:26" ht="15.75" thickBot="1" x14ac:dyDescent="0.3">
      <c r="B18" s="90">
        <v>22</v>
      </c>
      <c r="C18" s="72" t="s">
        <v>31</v>
      </c>
      <c r="D18" s="73" t="s">
        <v>32</v>
      </c>
      <c r="E18" s="80"/>
      <c r="F18" s="81"/>
      <c r="G18" s="76" t="str">
        <f>IF(C20&gt;C19,B20,IF(C19&gt;C20,B19,IF(D20&gt;D19,B20,IF(D19&gt;D20,B19,""))))</f>
        <v>Brasil</v>
      </c>
      <c r="H18" s="42">
        <v>1</v>
      </c>
      <c r="I18" s="77">
        <v>5</v>
      </c>
      <c r="L18" s="135" t="s">
        <v>42</v>
      </c>
      <c r="M18" s="136"/>
      <c r="N18" s="137"/>
      <c r="Q18" s="85" t="s">
        <v>43</v>
      </c>
      <c r="R18" s="86" t="str">
        <f>IF(R17=L13,L14,IF(R17=L14,L13,""))</f>
        <v>Ecuador</v>
      </c>
      <c r="U18" s="43" t="s">
        <v>44</v>
      </c>
      <c r="V18" s="44"/>
      <c r="W18" s="44"/>
      <c r="X18" s="44"/>
      <c r="Y18" s="44"/>
      <c r="Z18" s="45"/>
    </row>
    <row r="19" spans="2:26" ht="15.75" thickBot="1" x14ac:dyDescent="0.3">
      <c r="B19" s="74" t="str">
        <f>'Grupo A'!C8</f>
        <v>Brasil</v>
      </c>
      <c r="C19" s="41">
        <v>4</v>
      </c>
      <c r="D19" s="75"/>
      <c r="E19" s="82"/>
      <c r="Q19" s="76" t="s">
        <v>45</v>
      </c>
      <c r="R19" s="87" t="str">
        <f>IF(M22&gt;M23,L22,IF(M23&gt;M22,L23,IF(N22&gt;N23,L22,IF(N23&gt;N22,L23,""))))</f>
        <v>Chile</v>
      </c>
    </row>
    <row r="20" spans="2:26" ht="15.75" thickBot="1" x14ac:dyDescent="0.3">
      <c r="B20" s="76" t="str">
        <f>'Grupo B'!C11</f>
        <v>Bolivia</v>
      </c>
      <c r="C20" s="42">
        <v>0</v>
      </c>
      <c r="D20" s="77"/>
      <c r="E20" s="83"/>
      <c r="U20" s="139" t="s">
        <v>46</v>
      </c>
      <c r="V20" s="140"/>
      <c r="W20" s="141"/>
    </row>
    <row r="21" spans="2:26" ht="15.75" thickBot="1" x14ac:dyDescent="0.3">
      <c r="L21" s="90">
        <v>27</v>
      </c>
      <c r="M21" s="72" t="s">
        <v>31</v>
      </c>
      <c r="N21" s="73" t="s">
        <v>32</v>
      </c>
      <c r="U21" s="130" t="s">
        <v>47</v>
      </c>
      <c r="V21" s="131"/>
      <c r="W21" s="132"/>
    </row>
    <row r="22" spans="2:26" x14ac:dyDescent="0.25">
      <c r="L22" s="74" t="str">
        <f>IF(L13=G9,G10,IF(L13=G10,G9,""))</f>
        <v>Chile</v>
      </c>
      <c r="M22" s="41">
        <v>2</v>
      </c>
      <c r="N22" s="75"/>
      <c r="U22" s="127" t="s">
        <v>49</v>
      </c>
      <c r="V22" s="129"/>
      <c r="W22" s="88">
        <v>1</v>
      </c>
    </row>
    <row r="23" spans="2:26" ht="15.75" thickBot="1" x14ac:dyDescent="0.3">
      <c r="L23" s="76" t="str">
        <f>IF(L14=G17,G18,IF(L14=G18,G17,""))</f>
        <v>Colombia</v>
      </c>
      <c r="M23" s="42">
        <v>1</v>
      </c>
      <c r="N23" s="77"/>
      <c r="U23" s="133" t="s">
        <v>49</v>
      </c>
      <c r="V23" s="134"/>
      <c r="W23" s="88">
        <v>2</v>
      </c>
    </row>
    <row r="24" spans="2:26" ht="15.75" thickBot="1" x14ac:dyDescent="0.3">
      <c r="U24" s="112" t="s">
        <v>49</v>
      </c>
      <c r="V24" s="114"/>
      <c r="W24" s="46">
        <v>3</v>
      </c>
    </row>
  </sheetData>
  <sheetProtection sheet="1" objects="1" scenarios="1"/>
  <protectedRanges>
    <protectedRange sqref="C7:D8 C11:D12 C15:D16 C19:D20 H9:I10 H17:I18 M13:N14 M22:N23" name="Resultados Play Off"/>
  </protectedRanges>
  <mergeCells count="10">
    <mergeCell ref="U21:W21"/>
    <mergeCell ref="U22:V22"/>
    <mergeCell ref="U23:V23"/>
    <mergeCell ref="U24:V24"/>
    <mergeCell ref="B3:D3"/>
    <mergeCell ref="G5:I5"/>
    <mergeCell ref="L9:N9"/>
    <mergeCell ref="Q16:R16"/>
    <mergeCell ref="L18:N18"/>
    <mergeCell ref="U20:W20"/>
  </mergeCells>
  <conditionalFormatting sqref="D7">
    <cfRule type="expression" dxfId="16" priority="21">
      <formula>$C$7=$C$8</formula>
    </cfRule>
  </conditionalFormatting>
  <conditionalFormatting sqref="D8">
    <cfRule type="expression" dxfId="15" priority="20">
      <formula>$C$7=$C$8</formula>
    </cfRule>
  </conditionalFormatting>
  <conditionalFormatting sqref="D11">
    <cfRule type="expression" dxfId="14" priority="17">
      <formula>C11=C12</formula>
    </cfRule>
  </conditionalFormatting>
  <conditionalFormatting sqref="D12">
    <cfRule type="expression" dxfId="13" priority="16">
      <formula>C11=C12</formula>
    </cfRule>
  </conditionalFormatting>
  <conditionalFormatting sqref="D15">
    <cfRule type="expression" dxfId="12" priority="15">
      <formula>C15=C16</formula>
    </cfRule>
  </conditionalFormatting>
  <conditionalFormatting sqref="D16">
    <cfRule type="expression" dxfId="11" priority="14">
      <formula>C15=C16</formula>
    </cfRule>
  </conditionalFormatting>
  <conditionalFormatting sqref="D19">
    <cfRule type="expression" dxfId="10" priority="13">
      <formula>C19=C20</formula>
    </cfRule>
  </conditionalFormatting>
  <conditionalFormatting sqref="D20">
    <cfRule type="expression" dxfId="9" priority="12">
      <formula>C19=C20</formula>
    </cfRule>
  </conditionalFormatting>
  <conditionalFormatting sqref="I9">
    <cfRule type="expression" dxfId="8" priority="11">
      <formula>H9=H10</formula>
    </cfRule>
  </conditionalFormatting>
  <conditionalFormatting sqref="I10">
    <cfRule type="expression" dxfId="7" priority="10">
      <formula>H9=H10</formula>
    </cfRule>
  </conditionalFormatting>
  <conditionalFormatting sqref="I17">
    <cfRule type="expression" dxfId="6" priority="9">
      <formula>H17=H18</formula>
    </cfRule>
  </conditionalFormatting>
  <conditionalFormatting sqref="I18">
    <cfRule type="expression" dxfId="5" priority="8">
      <formula>H17=H18</formula>
    </cfRule>
  </conditionalFormatting>
  <conditionalFormatting sqref="N13">
    <cfRule type="expression" dxfId="4" priority="7">
      <formula>M13=M14</formula>
    </cfRule>
  </conditionalFormatting>
  <conditionalFormatting sqref="N14">
    <cfRule type="expression" dxfId="3" priority="6">
      <formula>M13=M14</formula>
    </cfRule>
  </conditionalFormatting>
  <conditionalFormatting sqref="U15:Z24">
    <cfRule type="expression" dxfId="2" priority="5">
      <formula>AND($U$22="",$U$23="",$U$24="")</formula>
    </cfRule>
  </conditionalFormatting>
  <conditionalFormatting sqref="N22">
    <cfRule type="expression" dxfId="1" priority="2">
      <formula>M22=M23</formula>
    </cfRule>
  </conditionalFormatting>
  <conditionalFormatting sqref="N23">
    <cfRule type="expression" dxfId="0" priority="1">
      <formula>M22=M23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INFORMACION</vt:lpstr>
      <vt:lpstr>Grupo A</vt:lpstr>
      <vt:lpstr>Grupo B</vt:lpstr>
      <vt:lpstr>Play-Off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Antonio</dc:creator>
  <cp:lastModifiedBy>Cristobal Vial</cp:lastModifiedBy>
  <dcterms:created xsi:type="dcterms:W3CDTF">2021-05-30T22:13:47Z</dcterms:created>
  <dcterms:modified xsi:type="dcterms:W3CDTF">2021-06-12T16:36:14Z</dcterms:modified>
</cp:coreProperties>
</file>