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\Desktop\"/>
    </mc:Choice>
  </mc:AlternateContent>
  <xr:revisionPtr revIDLastSave="0" documentId="13_ncr:1_{8A2A19A2-47F5-4C51-B84B-B2E945A21083}" xr6:coauthVersionLast="47" xr6:coauthVersionMax="47" xr10:uidLastSave="{00000000-0000-0000-0000-000000000000}"/>
  <bookViews>
    <workbookView xWindow="-108" yWindow="-108" windowWidth="23256" windowHeight="12576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l="1"/>
  <c r="C8" i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B15" i="3"/>
  <c r="R19" i="3" l="1"/>
  <c r="R18" i="3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<sst xmlns="http://schemas.openxmlformats.org/spreadsheetml/2006/main" count="190" uniqueCount="83">
  <si>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</si>
  <si>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</si>
  <si>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</si>
  <si>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</si>
  <si>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</si>
  <si>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</si>
  <si>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</si>
  <si>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</si>
  <si>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</si>
  <si>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</si>
  <si>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</si>
  <si>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</si>
  <si>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</si>
  <si>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</si>
  <si>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</si>
  <si>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</si>
  <si>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</si>
  <si>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</si>
  <si>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</si>
  <si>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</si>
  <si>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</si>
  <si>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</si>
  <si>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</si>
  <si>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</si>
  <si>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</si>
  <si>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</si>
  <si>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</si>
  <si>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</si>
  <si>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</si>
  <si>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</si>
  <si>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</si>
  <si>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</si>
  <si>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</si>
  <si>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</si>
  <si>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</si>
  <si>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</si>
  <si>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</si>
  <si>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</si>
  <si>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</si>
  <si>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</si>
  <si>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</si>
  <si>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</si>
  <si>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</si>
  <si>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</si>
  <si>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</si>
  <si>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</si>
  <si>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</si>
  <si>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</si>
  <si>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</si>
  <si>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</si>
  <si>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</si>
  <si>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</si>
  <si>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</si>
  <si>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</si>
  <si>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</si>
  <si>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</si>
  <si>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</si>
  <si>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</si>
  <si>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</si>
  <si>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</si>
  <si>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</si>
  <si>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</si>
  <si>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</si>
  <si>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</si>
  <si>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</si>
  <si>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</si>
  <si>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</si>
  <si>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</si>
  <si>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</si>
  <si>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</si>
  <si>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</si>
  <si>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</si>
  <si>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</si>
  <si>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</si>
  <si>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</si>
  <si>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</si>
  <si>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</si>
  <si>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</si>
  <si>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</si>
  <si>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</si>
  <si>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</si>
  <si>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Cristóbal Bar</t>
  </si>
  <si>
    <t>cibar@miuandes.cl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</si>
</sst>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96" zoomScaleNormal="160" workbookViewId="0"/>
  </sheetViews>
  <sheetFormatPr baseColWidth="10" defaultRowHeight="14.4" x14ac:dyDescent="0.3"/>
  <cols>
    <col min="1" max="1" width="7" customWidth="1"/>
    <col min="2" max="2" width="33" customWidth="1"/>
    <col min="3" max="3" width="34.6640625" customWidth="1"/>
    <col min="4" max="4" width="3.33203125" customWidth="1"/>
    <col min="7" max="7" width="11.44140625" style="91"/>
  </cols>
  <sheetData>
    <row r="1" spans="2:7" ht="15" thickBot="1" x14ac:dyDescent="0.35"/>
    <row r="2" spans="2:7" ht="15" thickBot="1" x14ac:dyDescent="0.35">
      <c r="B2" s="102" t="s">
        <v>56</v>
      </c>
      <c r="C2" s="103"/>
      <c r="D2" s="104"/>
    </row>
    <row r="3" spans="2:7" x14ac:dyDescent="0.3">
      <c r="B3" s="95" t="s">
        <v>57</v>
      </c>
      <c r="C3" s="105" t="s">
        <v>81</v>
      </c>
      <c r="D3" s="106"/>
    </row>
    <row r="4" spans="2:7" x14ac:dyDescent="0.3">
      <c r="B4" s="94" t="s">
        <v>58</v>
      </c>
      <c r="C4" s="107" t="s">
        <v>82</v>
      </c>
      <c r="D4" s="108"/>
    </row>
    <row r="5" spans="2:7" s="1" customFormat="1" x14ac:dyDescent="0.3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35">
      <c r="B6" s="98" t="s">
        <v>80</v>
      </c>
      <c r="C6" s="100" t="s">
        <v>25</v>
      </c>
      <c r="D6" s="101"/>
      <c r="G6" s="91" t="s">
        <v>61</v>
      </c>
    </row>
    <row r="7" spans="2:7" x14ac:dyDescent="0.3">
      <c r="G7" s="91" t="s">
        <v>62</v>
      </c>
    </row>
    <row r="8" spans="2:7" x14ac:dyDescent="0.3">
      <c r="G8" s="91" t="s">
        <v>74</v>
      </c>
    </row>
    <row r="9" spans="2:7" x14ac:dyDescent="0.3">
      <c r="G9" s="91" t="s">
        <v>63</v>
      </c>
    </row>
    <row r="10" spans="2:7" x14ac:dyDescent="0.3">
      <c r="G10" s="91" t="s">
        <v>64</v>
      </c>
    </row>
    <row r="11" spans="2:7" x14ac:dyDescent="0.3">
      <c r="G11" s="91" t="s">
        <v>65</v>
      </c>
    </row>
    <row r="12" spans="2:7" x14ac:dyDescent="0.3">
      <c r="G12" s="91" t="s">
        <v>66</v>
      </c>
    </row>
    <row r="13" spans="2:7" x14ac:dyDescent="0.3">
      <c r="G13" s="91" t="s">
        <v>68</v>
      </c>
    </row>
    <row r="14" spans="2:7" x14ac:dyDescent="0.3">
      <c r="G14" s="91" t="s">
        <v>69</v>
      </c>
    </row>
    <row r="15" spans="2:7" x14ac:dyDescent="0.3">
      <c r="G15" s="91" t="s">
        <v>70</v>
      </c>
    </row>
    <row r="16" spans="2:7" x14ac:dyDescent="0.3">
      <c r="G16" s="91" t="s">
        <v>71</v>
      </c>
    </row>
    <row r="17" spans="7:7" x14ac:dyDescent="0.3">
      <c r="G17" s="91" t="s">
        <v>72</v>
      </c>
    </row>
    <row r="18" spans="7:7" x14ac:dyDescent="0.3">
      <c r="G18" s="91" t="s">
        <v>67</v>
      </c>
    </row>
    <row r="19" spans="7:7" x14ac:dyDescent="0.3">
      <c r="G19" s="91" t="s">
        <v>73</v>
      </c>
    </row>
    <row r="20" spans="7:7" x14ac:dyDescent="0.3">
      <c r="G20" s="91" t="s">
        <v>75</v>
      </c>
    </row>
    <row r="21" spans="7:7" x14ac:dyDescent="0.3">
      <c r="G21" s="91" t="s">
        <v>76</v>
      </c>
    </row>
    <row r="22" spans="7:7" x14ac:dyDescent="0.3">
      <c r="G22" s="91" t="s">
        <v>77</v>
      </c>
    </row>
    <row r="23" spans="7:7" x14ac:dyDescent="0.3">
      <c r="G23" s="91" t="s">
        <v>78</v>
      </c>
    </row>
    <row r="24" spans="7:7" x14ac:dyDescent="0.3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85" zoomScaleNormal="140" workbookViewId="0"/>
  </sheetViews>
  <sheetFormatPr baseColWidth="10" defaultRowHeight="14.4" x14ac:dyDescent="0.3"/>
  <cols>
    <col min="8" max="8" width="8.44140625" customWidth="1"/>
    <col min="9" max="9" width="5.88671875" customWidth="1"/>
    <col min="11" max="11" width="10.44140625" bestFit="1" customWidth="1"/>
    <col min="14" max="14" width="10.44140625" style="70" bestFit="1" customWidth="1"/>
    <col min="15" max="15" width="20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5" width="11.44140625" style="91"/>
  </cols>
  <sheetData>
    <row r="1" spans="2:35" s="1" customFormat="1" x14ac:dyDescent="0.3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35"/>
    <row r="3" spans="2:35" x14ac:dyDescent="0.3">
      <c r="B3" s="118" t="s">
        <v>14</v>
      </c>
      <c r="C3" s="119"/>
      <c r="D3" s="119"/>
      <c r="E3" s="119"/>
      <c r="F3" s="119"/>
      <c r="G3" s="120"/>
    </row>
    <row r="4" spans="2:35" ht="15" thickBot="1" x14ac:dyDescent="0.35">
      <c r="B4" s="121"/>
      <c r="C4" s="122"/>
      <c r="D4" s="122"/>
      <c r="E4" s="122"/>
      <c r="F4" s="122"/>
      <c r="G4" s="123"/>
    </row>
    <row r="5" spans="2:35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11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-120091100</v>
      </c>
      <c r="AG7" s="91">
        <f>AF7-AE7*10</f>
        <v>-120091110</v>
      </c>
      <c r="AH7" s="91">
        <f>AG7+N23</f>
        <v>-120091109</v>
      </c>
    </row>
    <row r="8" spans="2:35" x14ac:dyDescent="0.3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2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3</v>
      </c>
      <c r="M8" s="21">
        <v>0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4</v>
      </c>
      <c r="X8" s="91">
        <f>SUMIF($K$7:$K$16,U8,$L$7:$L$16) + SUMIF($N$7:$N$16,U8,$M$7:$M$16)</f>
        <v>8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-90040800</v>
      </c>
      <c r="AG8" s="91">
        <f t="shared" ref="AG8:AG11" si="8">AF8-AE8*10</f>
        <v>-90040810</v>
      </c>
      <c r="AH8" s="91">
        <f>AG8+N24</f>
        <v>-90040808</v>
      </c>
    </row>
    <row r="9" spans="2:35" x14ac:dyDescent="0.3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8</v>
      </c>
      <c r="F9" s="64">
        <f t="shared" si="1"/>
        <v>4</v>
      </c>
      <c r="G9" s="65">
        <f t="shared" si="1"/>
        <v>4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5</v>
      </c>
      <c r="U9" s="91" t="s">
        <v>13</v>
      </c>
      <c r="V9" s="91">
        <f>SUMIF($K$7:$K$16,U9,$P$7:$P$16) + SUMIF($N$7:$N$16,U9,$Q$7:$Q$16)</f>
        <v>0</v>
      </c>
      <c r="W9" s="91">
        <f t="shared" ref="W9:W11" si="9">X9-Y9</f>
        <v>-11</v>
      </c>
      <c r="X9" s="91">
        <f>SUMIF($K$7:$K$16,U9,$L$7:$L$16) + SUMIF($N$7:$N$16,U9,$M$7:$M$16)</f>
        <v>1</v>
      </c>
      <c r="Y9" s="91">
        <f>SUMIF($K$7:$K$16,U9,$M$7:$M$16) + SUMIF($N$7:$N$16,U9,$L$7:$L$16)</f>
        <v>12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109900</v>
      </c>
      <c r="AG9" s="91">
        <f t="shared" si="8"/>
        <v>109890</v>
      </c>
      <c r="AH9" s="91">
        <f>AG9+N25</f>
        <v>109895</v>
      </c>
    </row>
    <row r="10" spans="2:35" x14ac:dyDescent="0.3">
      <c r="B10" s="58">
        <v>3</v>
      </c>
      <c r="C10" s="59" t="str">
        <f t="shared" si="1"/>
        <v>Peru</v>
      </c>
      <c r="D10" s="60">
        <f t="shared" si="1"/>
        <v>4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4</v>
      </c>
      <c r="W10" s="91">
        <f t="shared" si="9"/>
        <v>0</v>
      </c>
      <c r="X10" s="91">
        <f>SUMIF($K$7:$K$16,U10,$L$7:$L$16) + SUMIF($N$7:$N$16,U10,$M$7:$M$16)</f>
        <v>4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-40000400</v>
      </c>
      <c r="AG10" s="91">
        <f t="shared" si="8"/>
        <v>-40000410</v>
      </c>
      <c r="AH10" s="91">
        <f>AG10+N26</f>
        <v>-40000407</v>
      </c>
    </row>
    <row r="11" spans="2:35" x14ac:dyDescent="0.3">
      <c r="B11" s="66">
        <v>4</v>
      </c>
      <c r="C11" s="67" t="str">
        <f t="shared" si="1"/>
        <v>Venezuela</v>
      </c>
      <c r="D11" s="68">
        <f t="shared" si="1"/>
        <v>4</v>
      </c>
      <c r="E11" s="68">
        <f t="shared" si="1"/>
        <v>4</v>
      </c>
      <c r="F11" s="68">
        <f t="shared" si="1"/>
        <v>6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2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3</v>
      </c>
      <c r="Q11" s="91">
        <f t="shared" si="3"/>
        <v>0</v>
      </c>
      <c r="R11" s="91" t="str">
        <f t="shared" si="4"/>
        <v>Venezuela</v>
      </c>
      <c r="T11" s="91">
        <f>_xlfn.RANK.EQ(AH11,AH$7:AH$11,1)</f>
        <v>4</v>
      </c>
      <c r="U11" s="91" t="s">
        <v>4</v>
      </c>
      <c r="V11" s="91">
        <f>SUMIF($K$7:$K$16,U11,$P$7:$P$16) + SUMIF($N$7:$N$16,U11,$Q$7:$Q$16)</f>
        <v>4</v>
      </c>
      <c r="W11" s="91">
        <f t="shared" si="9"/>
        <v>-2</v>
      </c>
      <c r="X11" s="91">
        <f>SUMIF($K$7:$K$16,U11,$L$7:$L$16) + SUMIF($N$7:$N$16,U11,$M$7:$M$16)</f>
        <v>4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-39980400</v>
      </c>
      <c r="AG11" s="91">
        <f t="shared" si="8"/>
        <v>-39980410</v>
      </c>
      <c r="AH11" s="91">
        <f>AG11+N27</f>
        <v>-39980406</v>
      </c>
    </row>
    <row r="12" spans="2:35" s="1" customFormat="1" ht="15" thickBot="1" x14ac:dyDescent="0.35">
      <c r="B12" s="54">
        <v>5</v>
      </c>
      <c r="C12" s="55" t="str">
        <f t="shared" si="1"/>
        <v>Ecuador</v>
      </c>
      <c r="D12" s="56">
        <f t="shared" si="1"/>
        <v>0</v>
      </c>
      <c r="E12" s="56">
        <f t="shared" si="1"/>
        <v>1</v>
      </c>
      <c r="F12" s="56">
        <f t="shared" si="1"/>
        <v>12</v>
      </c>
      <c r="G12" s="57">
        <f t="shared" si="1"/>
        <v>-11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">
      <c r="I13" s="28">
        <v>13</v>
      </c>
      <c r="J13" s="24">
        <v>44370</v>
      </c>
      <c r="K13" s="25" t="s">
        <v>13</v>
      </c>
      <c r="L13" s="26">
        <v>0</v>
      </c>
      <c r="M13" s="27">
        <v>3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">
      <c r="I15" s="28">
        <v>17</v>
      </c>
      <c r="J15" s="24">
        <v>44374</v>
      </c>
      <c r="K15" s="25" t="s">
        <v>13</v>
      </c>
      <c r="L15" s="26">
        <v>0</v>
      </c>
      <c r="M15" s="27">
        <v>4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3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3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35"/>
    <row r="22" spans="2:35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5</v>
      </c>
      <c r="N25" s="1">
        <f>IF(J25="",0,M25)</f>
        <v>5</v>
      </c>
    </row>
    <row r="26" spans="2:35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4</v>
      </c>
      <c r="N27" s="1">
        <f>IF(J27="",0,M27)</f>
        <v>4</v>
      </c>
    </row>
    <row r="28" spans="2:35" ht="15" thickBot="1" x14ac:dyDescent="0.3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85" zoomScaleNormal="140" workbookViewId="0"/>
  </sheetViews>
  <sheetFormatPr baseColWidth="10" defaultColWidth="11.44140625" defaultRowHeight="14.4" x14ac:dyDescent="0.3"/>
  <cols>
    <col min="1" max="7" width="11.44140625" style="1"/>
    <col min="8" max="8" width="5.88671875" style="1" customWidth="1"/>
    <col min="9" max="9" width="5.33203125" style="1" customWidth="1"/>
    <col min="10" max="10" width="11.44140625" style="1"/>
    <col min="11" max="11" width="13.33203125" style="1" customWidth="1"/>
    <col min="12" max="13" width="11.44140625" style="1"/>
    <col min="14" max="14" width="14.88671875" style="70" customWidth="1"/>
    <col min="15" max="15" width="18.88671875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6" width="11.44140625" style="91"/>
    <col min="37" max="16384" width="11.44140625" style="1"/>
  </cols>
  <sheetData>
    <row r="2" spans="2:34" ht="15" thickBot="1" x14ac:dyDescent="0.35"/>
    <row r="3" spans="2:34" x14ac:dyDescent="0.3">
      <c r="B3" s="118" t="s">
        <v>24</v>
      </c>
      <c r="C3" s="119"/>
      <c r="D3" s="119"/>
      <c r="E3" s="119"/>
      <c r="F3" s="119"/>
      <c r="G3" s="120"/>
    </row>
    <row r="4" spans="2:34" ht="15" thickBot="1" x14ac:dyDescent="0.35">
      <c r="B4" s="121"/>
      <c r="C4" s="122"/>
      <c r="D4" s="122"/>
      <c r="E4" s="122"/>
      <c r="F4" s="122"/>
      <c r="G4" s="123"/>
    </row>
    <row r="5" spans="2:34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9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-120070900</v>
      </c>
      <c r="AG7" s="91">
        <f>AF7-AE7*10</f>
        <v>-120070910</v>
      </c>
      <c r="AH7" s="91">
        <f>AG7+N23</f>
        <v>-120070909</v>
      </c>
    </row>
    <row r="8" spans="2:34" x14ac:dyDescent="0.3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9</v>
      </c>
      <c r="F8" s="33">
        <f t="shared" si="1"/>
        <v>2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1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89900</v>
      </c>
      <c r="AG8" s="91">
        <f t="shared" ref="AG8:AG11" si="8">AF8-AE8*10</f>
        <v>89890</v>
      </c>
      <c r="AH8" s="91">
        <f>AG8+N24</f>
        <v>89895</v>
      </c>
    </row>
    <row r="9" spans="2:34" x14ac:dyDescent="0.3">
      <c r="B9" s="62">
        <v>2</v>
      </c>
      <c r="C9" s="63" t="str">
        <f t="shared" si="1"/>
        <v>Uruguay</v>
      </c>
      <c r="D9" s="64">
        <f t="shared" si="1"/>
        <v>9</v>
      </c>
      <c r="E9" s="64">
        <f t="shared" si="1"/>
        <v>8</v>
      </c>
      <c r="F9" s="64">
        <f t="shared" si="1"/>
        <v>3</v>
      </c>
      <c r="G9" s="65">
        <f t="shared" si="1"/>
        <v>5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1</v>
      </c>
      <c r="X9" s="91">
        <f>SUMIF($K$7:$K$16,U9,$L$7:$L$16) + SUMIF($N$7:$N$16,U9,$M$7:$M$16)</f>
        <v>6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-60010600</v>
      </c>
      <c r="AG9" s="91">
        <f t="shared" si="8"/>
        <v>-60010610</v>
      </c>
      <c r="AH9" s="91">
        <f>AG9+N25</f>
        <v>-60010607</v>
      </c>
    </row>
    <row r="10" spans="2:34" x14ac:dyDescent="0.3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6</v>
      </c>
      <c r="F10" s="60">
        <f t="shared" si="1"/>
        <v>5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-29960300</v>
      </c>
      <c r="AG10" s="91">
        <f t="shared" si="8"/>
        <v>-29960310</v>
      </c>
      <c r="AH10" s="91">
        <f>AG10+N26</f>
        <v>-29960306</v>
      </c>
    </row>
    <row r="11" spans="2:34" x14ac:dyDescent="0.3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9</v>
      </c>
      <c r="W11" s="91">
        <f t="shared" si="9"/>
        <v>5</v>
      </c>
      <c r="X11" s="91">
        <f>SUMIF($K$7:$K$16,U11,$L$7:$L$16) + SUMIF($N$7:$N$16,U11,$M$7:$M$16)</f>
        <v>8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-90050800</v>
      </c>
      <c r="AG11" s="91">
        <f t="shared" si="8"/>
        <v>-90050810</v>
      </c>
      <c r="AH11" s="91">
        <f>AG11+N27</f>
        <v>-90050808</v>
      </c>
    </row>
    <row r="12" spans="2:34" ht="15" thickBot="1" x14ac:dyDescent="0.3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35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35"/>
    <row r="22" spans="2:14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5" thickBot="1" x14ac:dyDescent="0.3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75" zoomScaleNormal="140" workbookViewId="0"/>
  </sheetViews>
  <sheetFormatPr baseColWidth="10" defaultColWidth="11.44140625" defaultRowHeight="14.4" x14ac:dyDescent="0.3"/>
  <cols>
    <col min="1" max="2" width="11.44140625" style="1"/>
    <col min="3" max="3" width="11.33203125" style="1" bestFit="1" customWidth="1"/>
    <col min="4" max="4" width="9.109375" style="1" bestFit="1" customWidth="1"/>
    <col min="5" max="8" width="11.44140625" style="1"/>
    <col min="9" max="9" width="9.109375" style="1" bestFit="1" customWidth="1"/>
    <col min="10" max="13" width="11.44140625" style="1"/>
    <col min="14" max="14" width="9.109375" style="1" bestFit="1" customWidth="1"/>
    <col min="15" max="16" width="11.44140625" style="1"/>
    <col min="17" max="17" width="16.88671875" style="1" bestFit="1" customWidth="1"/>
    <col min="18" max="16384" width="11.44140625" style="1"/>
  </cols>
  <sheetData>
    <row r="2" spans="2:43" ht="15" thickBot="1" x14ac:dyDescent="0.35"/>
    <row r="3" spans="2:43" ht="15" thickBot="1" x14ac:dyDescent="0.35">
      <c r="B3" s="135" t="s">
        <v>29</v>
      </c>
      <c r="C3" s="136"/>
      <c r="D3" s="137"/>
    </row>
    <row r="4" spans="2:43" ht="15" thickBot="1" x14ac:dyDescent="0.35"/>
    <row r="5" spans="2:43" ht="15" thickBot="1" x14ac:dyDescent="0.35">
      <c r="G5" s="135" t="s">
        <v>30</v>
      </c>
      <c r="H5" s="136"/>
      <c r="I5" s="137"/>
    </row>
    <row r="6" spans="2:43" ht="15" thickBot="1" x14ac:dyDescent="0.35">
      <c r="B6" s="90">
        <v>24</v>
      </c>
      <c r="C6" s="72" t="s">
        <v>31</v>
      </c>
      <c r="D6" s="73" t="s">
        <v>32</v>
      </c>
    </row>
    <row r="7" spans="2:43" ht="15" thickBot="1" x14ac:dyDescent="0.35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35">
      <c r="B8" s="76" t="str">
        <f>'Grupo A'!C11</f>
        <v>Venezuela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35">
      <c r="E9" s="79"/>
      <c r="G9" s="74" t="str">
        <f>IF(C8&gt;C7,B8,IF(C7&gt;C8,B7,IF(D8&gt;D7,B8,IF(D7&gt;D8,B7,""))))</f>
        <v>Argentina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3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/>
      <c r="J10" s="78"/>
    </row>
    <row r="11" spans="2:43" ht="15" thickBot="1" x14ac:dyDescent="0.35">
      <c r="B11" s="74" t="str">
        <f>'Grupo B'!C9</f>
        <v>Uruguay</v>
      </c>
      <c r="C11" s="41">
        <v>3</v>
      </c>
      <c r="D11" s="75"/>
      <c r="E11" s="82"/>
      <c r="J11" s="79"/>
    </row>
    <row r="12" spans="2:43" ht="15" thickBot="1" x14ac:dyDescent="0.35">
      <c r="B12" s="76" t="str">
        <f>'Grupo A'!C10</f>
        <v>Peru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35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" thickBot="1" x14ac:dyDescent="0.3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" thickBot="1" x14ac:dyDescent="0.35">
      <c r="B15" s="74" t="str">
        <f>'Grupo A'!C9</f>
        <v>Colombia</v>
      </c>
      <c r="C15" s="41">
        <v>2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35">
      <c r="B16" s="76" t="str">
        <f>'Grupo B'!C10</f>
        <v>Chile</v>
      </c>
      <c r="C16" s="42">
        <v>2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35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3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35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" thickBot="1" x14ac:dyDescent="0.3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3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" thickBot="1" x14ac:dyDescent="0.35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" thickBot="1" x14ac:dyDescent="0.3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cristobalbar</cp:lastModifiedBy>
  <dcterms:created xsi:type="dcterms:W3CDTF">2021-05-30T22:13:47Z</dcterms:created>
  <dcterms:modified xsi:type="dcterms:W3CDTF">2021-06-13T20:11:25Z</dcterms:modified>
</cp:coreProperties>
</file>