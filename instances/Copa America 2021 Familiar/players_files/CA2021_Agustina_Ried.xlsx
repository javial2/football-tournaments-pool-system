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70" windowHeight="8550" activeTab="3"/>
  </bookViews>
  <sheets>
    <sheet name="INFORMACION" sheetId="4" r:id="rId1"/>
    <sheet name="Grupo A" sheetId="1" r:id="rId2"/>
    <sheet name="Grupo B" sheetId="2" r:id="rId3"/>
    <sheet name="Play-Off" sheetId="3" r:id="rId4"/>
  </sheets>
  <calcPr calcId="144525"/>
</workbook>
</file>

<file path=xl/sharedStrings.xml><?xml version="1.0" encoding="utf-8"?>
<sst xmlns="http://schemas.openxmlformats.org/spreadsheetml/2006/main" count="189" uniqueCount="82">
  <si>
    <t>Información del Jugador</t>
  </si>
  <si>
    <t>Nombre</t>
  </si>
  <si>
    <t>Agustina ried</t>
  </si>
  <si>
    <t>Mail</t>
  </si>
  <si>
    <t xml:space="preserve">¿Cuál es el mejor equipo del mundo? </t>
  </si>
  <si>
    <t>Bayern Munich</t>
  </si>
  <si>
    <t>Chelsea</t>
  </si>
  <si>
    <t>Si no existiera Brasil, quien ganaría la copa?</t>
  </si>
  <si>
    <t>Argentina</t>
  </si>
  <si>
    <t>Barcelona</t>
  </si>
  <si>
    <t>PSG</t>
  </si>
  <si>
    <t>Real Madrid</t>
  </si>
  <si>
    <t>Arsenal</t>
  </si>
  <si>
    <t>Atl. Madrid</t>
  </si>
  <si>
    <t>Liverpool</t>
  </si>
  <si>
    <t>Man United</t>
  </si>
  <si>
    <t>Boca</t>
  </si>
  <si>
    <t>River</t>
  </si>
  <si>
    <t>Santos</t>
  </si>
  <si>
    <t>Independiente</t>
  </si>
  <si>
    <t>Palmeiras</t>
  </si>
  <si>
    <t>Flamengo</t>
  </si>
  <si>
    <t>Juventus</t>
  </si>
  <si>
    <t>Mila</t>
  </si>
  <si>
    <t>Inter</t>
  </si>
  <si>
    <t>Napoli</t>
  </si>
  <si>
    <t>Totti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</si>
  <si>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</si>
  <si>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</si>
  <si>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</si>
  <si>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</si>
  <si>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</si>
  <si>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</si>
  <si>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</si>
  <si>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</si>
  <si>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</si>
  <si>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</si>
  <si>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</si>
  <si>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</si>
  <si>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</si>
  <si>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</si>
  <si>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</si>
  <si>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</si>
  <si>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</si>
  <si>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Brasil</t>
  </si>
  <si>
    <t>Venezuela</t>
  </si>
  <si>
    <t>Colombia</t>
  </si>
  <si>
    <t>Ecuador</t>
  </si>
  <si>
    <t>Peru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</si>
  <si>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</si>
  <si>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</si>
  <si>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</si>
  <si>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</si>
  <si>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</si>
  <si>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</si>
  <si>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</si>
  <si>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</si>
  <si>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Chile</t>
  </si>
  <si>
    <t>Paraguay</t>
  </si>
  <si>
    <t>Bolivia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</si>
  <si>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</si>
  <si>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</si>
  <si>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</si>
  <si>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</si>
  <si>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</si>
  <si>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</si>
  <si>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</si>
  <si>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</si>
  <si>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</si>
  <si>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Japon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</si>
  <si>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</si>
  <si>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</si>
  <si>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</si>
  <si>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</si>
  <si>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</si>
  <si>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</si>
  <si>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</si>
  <si>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</si>
  <si>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</si>
  <si>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</si>
  <si>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</si>
  <si>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/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</si>
</sst>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6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20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theme="10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0000"/>
      <name val="Calibri"/>
      <charset val="134"/>
    </font>
  </fonts>
  <fills count="46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0" fontId="22" fillId="2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0" fillId="19" borderId="70" applyNumberFormat="0" applyAlignment="0" applyProtection="0">
      <alignment vertical="center"/>
    </xf>
    <xf numFmtId="0" fontId="15" fillId="0" borderId="67" applyNumberFormat="0" applyFill="0" applyAlignment="0" applyProtection="0">
      <alignment vertical="center"/>
    </xf>
    <xf numFmtId="0" fontId="7" fillId="15" borderId="63" applyNumberFormat="0" applyFont="0" applyAlignment="0" applyProtection="0">
      <alignment vertical="center"/>
    </xf>
    <xf numFmtId="0" fontId="4" fillId="0" borderId="0" applyNumberFormat="0" applyFill="0" applyBorder="0" applyAlignment="0" applyProtection="0"/>
    <xf numFmtId="0" fontId="21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67" applyNumberFormat="0" applyFill="0" applyAlignment="0" applyProtection="0">
      <alignment vertical="center"/>
    </xf>
    <xf numFmtId="0" fontId="14" fillId="0" borderId="6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8" borderId="65" applyNumberFormat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16" borderId="66" applyNumberFormat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1" fillId="16" borderId="65" applyNumberFormat="0" applyAlignment="0" applyProtection="0">
      <alignment vertical="center"/>
    </xf>
    <xf numFmtId="0" fontId="10" fillId="0" borderId="64" applyNumberFormat="0" applyFill="0" applyAlignment="0" applyProtection="0">
      <alignment vertical="center"/>
    </xf>
    <xf numFmtId="0" fontId="16" fillId="0" borderId="68" applyNumberFormat="0" applyFill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5" fillId="0" borderId="0"/>
    <xf numFmtId="0" fontId="22" fillId="42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</cellStyleXfs>
  <cellXfs count="14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4" xfId="0" applyFill="1" applyBorder="1"/>
    <xf numFmtId="0" fontId="0" fillId="4" borderId="3" xfId="0" applyFill="1" applyBorder="1"/>
    <xf numFmtId="0" fontId="0" fillId="4" borderId="5" xfId="0" applyFill="1" applyBorder="1"/>
    <xf numFmtId="0" fontId="0" fillId="0" borderId="5" xfId="0" applyBorder="1"/>
    <xf numFmtId="0" fontId="0" fillId="5" borderId="6" xfId="0" applyFill="1" applyBorder="1"/>
    <xf numFmtId="0" fontId="0" fillId="4" borderId="7" xfId="0" applyFill="1" applyBorder="1"/>
    <xf numFmtId="0" fontId="0" fillId="0" borderId="7" xfId="0" applyBorder="1"/>
    <xf numFmtId="0" fontId="0" fillId="5" borderId="8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6" borderId="0" xfId="0" applyFont="1" applyFill="1"/>
    <xf numFmtId="0" fontId="0" fillId="7" borderId="15" xfId="0" applyFill="1" applyBorder="1"/>
    <xf numFmtId="0" fontId="0" fillId="7" borderId="16" xfId="0" applyFill="1" applyBorder="1"/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7" borderId="19" xfId="0" applyFill="1" applyBorder="1"/>
    <xf numFmtId="0" fontId="0" fillId="7" borderId="0" xfId="0" applyFill="1"/>
    <xf numFmtId="0" fontId="0" fillId="8" borderId="20" xfId="0" applyFill="1" applyBorder="1"/>
    <xf numFmtId="0" fontId="0" fillId="4" borderId="21" xfId="0" applyFill="1" applyBorder="1"/>
    <xf numFmtId="0" fontId="0" fillId="9" borderId="22" xfId="0" applyFill="1" applyBorder="1"/>
    <xf numFmtId="0" fontId="0" fillId="7" borderId="23" xfId="0" applyFill="1" applyBorder="1"/>
    <xf numFmtId="0" fontId="0" fillId="7" borderId="24" xfId="0" applyFill="1" applyBorder="1"/>
    <xf numFmtId="0" fontId="0" fillId="10" borderId="8" xfId="0" applyFill="1" applyBorder="1"/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6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0" borderId="20" xfId="0" applyBorder="1"/>
    <xf numFmtId="0" fontId="0" fillId="11" borderId="29" xfId="0" applyFill="1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0" borderId="26" xfId="0" applyBorder="1"/>
    <xf numFmtId="0" fontId="0" fillId="7" borderId="25" xfId="0" applyFill="1" applyBorder="1"/>
    <xf numFmtId="0" fontId="0" fillId="7" borderId="33" xfId="0" applyFill="1" applyBorder="1"/>
    <xf numFmtId="0" fontId="0" fillId="7" borderId="26" xfId="0" applyFill="1" applyBorder="1"/>
    <xf numFmtId="0" fontId="0" fillId="0" borderId="0" xfId="0" applyFill="1"/>
    <xf numFmtId="0" fontId="1" fillId="0" borderId="0" xfId="0" applyFont="1"/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17" xfId="0" applyFill="1" applyBorder="1" applyAlignment="1" applyProtection="1">
      <alignment horizontal="center"/>
      <protection locked="0"/>
    </xf>
    <xf numFmtId="0" fontId="0" fillId="2" borderId="34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0" fillId="11" borderId="4" xfId="0" applyFill="1" applyBorder="1" applyAlignment="1" applyProtection="1">
      <alignment horizontal="center"/>
      <protection locked="0"/>
    </xf>
    <xf numFmtId="0" fontId="0" fillId="11" borderId="35" xfId="0" applyFill="1" applyBorder="1" applyAlignment="1" applyProtection="1">
      <alignment horizontal="center"/>
      <protection locked="0"/>
    </xf>
    <xf numFmtId="0" fontId="0" fillId="11" borderId="36" xfId="0" applyFill="1" applyBorder="1" applyAlignment="1" applyProtection="1">
      <alignment horizontal="center"/>
      <protection locked="0"/>
    </xf>
    <xf numFmtId="0" fontId="0" fillId="11" borderId="37" xfId="0" applyFill="1" applyBorder="1" applyAlignment="1" applyProtection="1">
      <alignment horizontal="center"/>
      <protection locked="0"/>
    </xf>
    <xf numFmtId="0" fontId="0" fillId="8" borderId="38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8" borderId="39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12" borderId="40" xfId="0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0" fillId="12" borderId="41" xfId="0" applyFill="1" applyBorder="1" applyAlignment="1">
      <alignment horizontal="center"/>
    </xf>
    <xf numFmtId="0" fontId="0" fillId="12" borderId="30" xfId="0" applyFill="1" applyBorder="1" applyAlignment="1">
      <alignment horizontal="center"/>
    </xf>
    <xf numFmtId="0" fontId="0" fillId="13" borderId="40" xfId="0" applyFill="1" applyBorder="1" applyAlignment="1">
      <alignment horizontal="center"/>
    </xf>
    <xf numFmtId="0" fontId="0" fillId="13" borderId="29" xfId="0" applyFill="1" applyBorder="1" applyAlignment="1">
      <alignment horizontal="center"/>
    </xf>
    <xf numFmtId="0" fontId="0" fillId="13" borderId="41" xfId="0" applyFill="1" applyBorder="1" applyAlignment="1">
      <alignment horizontal="center"/>
    </xf>
    <xf numFmtId="0" fontId="0" fillId="13" borderId="30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0" fontId="0" fillId="14" borderId="29" xfId="0" applyFill="1" applyBorder="1" applyAlignment="1">
      <alignment horizontal="center"/>
    </xf>
    <xf numFmtId="0" fontId="0" fillId="14" borderId="41" xfId="0" applyFill="1" applyBorder="1" applyAlignment="1">
      <alignment horizontal="center"/>
    </xf>
    <xf numFmtId="0" fontId="0" fillId="14" borderId="30" xfId="0" applyFill="1" applyBorder="1" applyAlignment="1">
      <alignment horizontal="center"/>
    </xf>
    <xf numFmtId="0" fontId="0" fillId="0" borderId="42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6" fontId="0" fillId="11" borderId="45" xfId="0" applyNumberFormat="1" applyFill="1" applyBorder="1" applyAlignment="1">
      <alignment horizontal="center"/>
    </xf>
    <xf numFmtId="0" fontId="0" fillId="4" borderId="46" xfId="0" applyFill="1" applyBorder="1" applyAlignment="1">
      <alignment horizontal="center"/>
    </xf>
    <xf numFmtId="0" fontId="3" fillId="0" borderId="47" xfId="32" applyFont="1" applyBorder="1" applyAlignment="1">
      <alignment horizontal="center"/>
    </xf>
    <xf numFmtId="0" fontId="3" fillId="0" borderId="48" xfId="32" applyFont="1" applyBorder="1" applyAlignment="1">
      <alignment horizontal="center"/>
    </xf>
    <xf numFmtId="0" fontId="0" fillId="11" borderId="21" xfId="0" applyFill="1" applyBorder="1" applyAlignment="1">
      <alignment horizontal="center"/>
    </xf>
    <xf numFmtId="16" fontId="0" fillId="4" borderId="21" xfId="0" applyNumberFormat="1" applyFill="1" applyBorder="1" applyAlignment="1">
      <alignment horizontal="center"/>
    </xf>
    <xf numFmtId="0" fontId="0" fillId="11" borderId="49" xfId="0" applyFill="1" applyBorder="1" applyAlignment="1">
      <alignment horizontal="center"/>
    </xf>
    <xf numFmtId="0" fontId="3" fillId="0" borderId="50" xfId="32" applyFont="1" applyBorder="1" applyAlignment="1">
      <alignment horizontal="center"/>
    </xf>
    <xf numFmtId="0" fontId="3" fillId="0" borderId="51" xfId="32" applyFont="1" applyBorder="1" applyAlignment="1">
      <alignment horizontal="center"/>
    </xf>
    <xf numFmtId="0" fontId="0" fillId="4" borderId="21" xfId="0" applyFill="1" applyBorder="1" applyAlignment="1">
      <alignment horizontal="center"/>
    </xf>
    <xf numFmtId="16" fontId="0" fillId="11" borderId="21" xfId="0" applyNumberFormat="1" applyFill="1" applyBorder="1" applyAlignment="1">
      <alignment horizontal="center"/>
    </xf>
    <xf numFmtId="0" fontId="0" fillId="4" borderId="49" xfId="0" applyFill="1" applyBorder="1" applyAlignment="1">
      <alignment horizontal="center"/>
    </xf>
    <xf numFmtId="0" fontId="0" fillId="11" borderId="52" xfId="0" applyFill="1" applyBorder="1" applyAlignment="1">
      <alignment horizontal="center"/>
    </xf>
    <xf numFmtId="16" fontId="0" fillId="4" borderId="52" xfId="0" applyNumberFormat="1" applyFill="1" applyBorder="1" applyAlignment="1">
      <alignment horizontal="center"/>
    </xf>
    <xf numFmtId="0" fontId="0" fillId="11" borderId="53" xfId="0" applyFill="1" applyBorder="1" applyAlignment="1">
      <alignment horizontal="center"/>
    </xf>
    <xf numFmtId="0" fontId="3" fillId="0" borderId="54" xfId="32" applyFont="1" applyBorder="1" applyAlignment="1">
      <alignment horizontal="center"/>
    </xf>
    <xf numFmtId="0" fontId="3" fillId="0" borderId="55" xfId="32" applyFont="1" applyBorder="1" applyAlignment="1">
      <alignment horizontal="center"/>
    </xf>
    <xf numFmtId="0" fontId="0" fillId="4" borderId="52" xfId="0" applyFill="1" applyBorder="1" applyAlignment="1">
      <alignment horizontal="center"/>
    </xf>
    <xf numFmtId="16" fontId="0" fillId="11" borderId="52" xfId="0" applyNumberFormat="1" applyFill="1" applyBorder="1" applyAlignment="1">
      <alignment horizontal="center"/>
    </xf>
    <xf numFmtId="0" fontId="0" fillId="4" borderId="53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16" fontId="0" fillId="4" borderId="7" xfId="0" applyNumberFormat="1" applyFill="1" applyBorder="1" applyAlignment="1">
      <alignment horizontal="center"/>
    </xf>
    <xf numFmtId="0" fontId="0" fillId="11" borderId="56" xfId="0" applyFill="1" applyBorder="1" applyAlignment="1">
      <alignment horizontal="center"/>
    </xf>
    <xf numFmtId="0" fontId="3" fillId="0" borderId="57" xfId="32" applyFont="1" applyBorder="1" applyAlignment="1">
      <alignment horizontal="center"/>
    </xf>
    <xf numFmtId="0" fontId="3" fillId="0" borderId="58" xfId="32" applyFont="1" applyBorder="1" applyAlignment="1">
      <alignment horizontal="center"/>
    </xf>
    <xf numFmtId="0" fontId="0" fillId="2" borderId="59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0" borderId="6" xfId="0" applyBorder="1"/>
    <xf numFmtId="0" fontId="0" fillId="4" borderId="2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0" borderId="22" xfId="0" applyBorder="1"/>
    <xf numFmtId="0" fontId="0" fillId="4" borderId="43" xfId="0" applyFill="1" applyBorder="1" applyAlignment="1">
      <alignment horizontal="center"/>
    </xf>
    <xf numFmtId="0" fontId="0" fillId="0" borderId="8" xfId="0" applyBorder="1"/>
    <xf numFmtId="0" fontId="0" fillId="4" borderId="38" xfId="0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1" borderId="40" xfId="0" applyFill="1" applyBorder="1" applyAlignment="1">
      <alignment horizontal="center" vertical="center"/>
    </xf>
    <xf numFmtId="0" fontId="4" fillId="0" borderId="61" xfId="10" applyBorder="1" applyAlignment="1">
      <alignment horizontal="center" vertical="center"/>
    </xf>
    <xf numFmtId="0" fontId="4" fillId="0" borderId="22" xfId="10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5" fillId="0" borderId="62" xfId="10" applyFont="1" applyBorder="1" applyAlignment="1">
      <alignment horizontal="center" vertical="center"/>
    </xf>
    <xf numFmtId="0" fontId="1" fillId="0" borderId="12" xfId="0" applyFont="1" applyBorder="1"/>
    <xf numFmtId="0" fontId="0" fillId="11" borderId="31" xfId="0" applyFill="1" applyBorder="1" applyAlignment="1">
      <alignment wrapText="1"/>
    </xf>
    <xf numFmtId="0" fontId="0" fillId="0" borderId="43" xfId="0" applyBorder="1" applyAlignment="1">
      <alignment horizontal="center"/>
    </xf>
    <xf numFmtId="0" fontId="0" fillId="0" borderId="32" xfId="0" applyBorder="1" applyAlignment="1">
      <alignment horizont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dxfs count="3">
    <dxf>
      <font>
        <color theme="0"/>
      </font>
    </dxf>
    <dxf>
      <font>
        <color theme="0"/>
      </font>
      <fill>
        <patternFill patternType="none"/>
      </fill>
      <border>
        <left/>
        <right/>
        <top/>
        <bottom/>
      </border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00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4"/>
  <sheetViews>
    <sheetView showGridLines="0" zoomScale="130" zoomScaleNormal="130" workbookViewId="0">
      <selection activeCell="D5" sqref="D5"/>
    </sheetView>
  </sheetViews>
  <sheetFormatPr defaultColWidth="11" defaultRowHeight="15" outlineLevelCol="6"/>
  <cols>
    <col min="1" max="1" width="7" customWidth="1"/>
    <col min="2" max="2" width="33" customWidth="1"/>
    <col min="3" max="3" width="34.7142857142857" customWidth="1"/>
    <col min="4" max="4" width="3.28571428571429" customWidth="1"/>
    <col min="7" max="7" width="11.4285714285714" style="50"/>
  </cols>
  <sheetData>
    <row r="1" ht="15.75"/>
    <row r="2" ht="15.75" spans="2:4">
      <c r="B2" s="118" t="s">
        <v>0</v>
      </c>
      <c r="C2" s="119"/>
      <c r="D2" s="120"/>
    </row>
    <row r="3" spans="2:4">
      <c r="B3" s="129" t="s">
        <v>1</v>
      </c>
      <c r="C3" s="130" t="s">
        <v>2</v>
      </c>
      <c r="D3" s="131"/>
    </row>
    <row r="4" spans="2:4">
      <c r="B4" s="132" t="s">
        <v>3</v>
      </c>
      <c r="C4" s="133"/>
      <c r="D4" s="134"/>
    </row>
    <row r="5" customFormat="1" spans="2:7">
      <c r="B5" s="135" t="s">
        <v>4</v>
      </c>
      <c r="C5" s="136" t="str">
        <f>IF(D5="","Seleccione de la lista -&gt;","Real Madrid")</f>
        <v>Real Madrid</v>
      </c>
      <c r="D5" s="137" t="s">
        <v>5</v>
      </c>
      <c r="G5" s="50" t="s">
        <v>6</v>
      </c>
    </row>
    <row r="6" ht="30.75" customHeight="1" spans="2:7">
      <c r="B6" s="138" t="s">
        <v>7</v>
      </c>
      <c r="C6" s="139" t="s">
        <v>8</v>
      </c>
      <c r="D6" s="140"/>
      <c r="G6" s="50" t="s">
        <v>9</v>
      </c>
    </row>
    <row r="7" spans="7:7">
      <c r="G7" s="50" t="s">
        <v>10</v>
      </c>
    </row>
    <row r="8" spans="7:7">
      <c r="G8" s="50" t="s">
        <v>5</v>
      </c>
    </row>
    <row r="9" spans="7:7">
      <c r="G9" s="50" t="s">
        <v>11</v>
      </c>
    </row>
    <row r="10" spans="7:7">
      <c r="G10" s="50" t="s">
        <v>12</v>
      </c>
    </row>
    <row r="11" spans="7:7">
      <c r="G11" s="50" t="s">
        <v>13</v>
      </c>
    </row>
    <row r="12" spans="7:7">
      <c r="G12" s="50" t="s">
        <v>14</v>
      </c>
    </row>
    <row r="13" spans="7:7">
      <c r="G13" s="50" t="s">
        <v>15</v>
      </c>
    </row>
    <row r="14" spans="7:7">
      <c r="G14" s="50" t="s">
        <v>16</v>
      </c>
    </row>
    <row r="15" spans="7:7">
      <c r="G15" s="50" t="s">
        <v>17</v>
      </c>
    </row>
    <row r="16" spans="7:7">
      <c r="G16" s="50" t="s">
        <v>18</v>
      </c>
    </row>
    <row r="17" spans="7:7">
      <c r="G17" s="50" t="s">
        <v>19</v>
      </c>
    </row>
    <row r="18" spans="7:7">
      <c r="G18" s="50" t="s">
        <v>20</v>
      </c>
    </row>
    <row r="19" spans="7:7">
      <c r="G19" s="50" t="s">
        <v>21</v>
      </c>
    </row>
    <row r="20" spans="7:7">
      <c r="G20" s="50" t="s">
        <v>22</v>
      </c>
    </row>
    <row r="21" spans="7:7">
      <c r="G21" s="50" t="s">
        <v>23</v>
      </c>
    </row>
    <row r="22" spans="7:7">
      <c r="G22" s="50" t="s">
        <v>24</v>
      </c>
    </row>
    <row r="23" spans="7:7">
      <c r="G23" s="50" t="s">
        <v>25</v>
      </c>
    </row>
    <row r="24" spans="7:7">
      <c r="G24" s="50" t="s">
        <v>26</v>
      </c>
    </row>
  </sheetData>
  <sheetProtection sheet="1" objects="1" scenarios="1"/>
  <protectedRanges>
    <protectedRange sqref="C3;C4;C6;D5" name="Info"/>
  </protectedRanges>
  <mergeCells count="4">
    <mergeCell ref="B2:D2"/>
    <mergeCell ref="C3:D3"/>
    <mergeCell ref="C4:D4"/>
    <mergeCell ref="C6:D6"/>
  </mergeCells>
  <dataValidations count="1">
    <dataValidation type="list" allowBlank="1" showInputMessage="1" showErrorMessage="1" sqref="D5">
      <formula1>$G$5:$G$24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I28"/>
  <sheetViews>
    <sheetView showGridLines="0" zoomScale="115" zoomScaleNormal="115" topLeftCell="A9" workbookViewId="0">
      <selection activeCell="M16" sqref="M16"/>
    </sheetView>
  </sheetViews>
  <sheetFormatPr defaultColWidth="11" defaultRowHeight="15"/>
  <cols>
    <col min="8" max="8" width="8.42857142857143" customWidth="1"/>
    <col min="9" max="9" width="5.85714285714286" customWidth="1"/>
    <col min="11" max="11" width="10.4285714285714" customWidth="1"/>
    <col min="14" max="14" width="10.4285714285714" style="49" customWidth="1"/>
    <col min="15" max="15" width="20" style="50" customWidth="1"/>
    <col min="16" max="26" width="11.4285714285714" style="50"/>
    <col min="27" max="27" width="10.4285714285714" style="50" customWidth="1"/>
    <col min="28" max="28" width="13.7142857142857" style="50" customWidth="1"/>
    <col min="29" max="29" width="10.4285714285714" style="50" customWidth="1"/>
    <col min="30" max="30" width="9.85714285714286" style="50" customWidth="1"/>
    <col min="31" max="31" width="13" style="50" customWidth="1"/>
    <col min="32" max="32" width="29.8571428571429" style="50" customWidth="1"/>
    <col min="33" max="33" width="25.7142857142857" style="50" customWidth="1"/>
    <col min="34" max="35" width="11.4285714285714" style="50"/>
  </cols>
  <sheetData>
    <row r="1" customFormat="1" spans="14:35">
      <c r="N1" s="49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</row>
    <row r="2" ht="15.75"/>
    <row r="3" spans="2:7">
      <c r="B3" s="51" t="s">
        <v>27</v>
      </c>
      <c r="C3" s="52"/>
      <c r="D3" s="52"/>
      <c r="E3" s="52"/>
      <c r="F3" s="52"/>
      <c r="G3" s="53"/>
    </row>
    <row r="4" ht="15.75" spans="2:7">
      <c r="B4" s="54"/>
      <c r="C4" s="55"/>
      <c r="D4" s="55"/>
      <c r="E4" s="55"/>
      <c r="F4" s="55"/>
      <c r="G4" s="56"/>
    </row>
    <row r="5" ht="15.75" spans="2:7">
      <c r="B5" s="57"/>
      <c r="C5" s="58">
        <v>2</v>
      </c>
      <c r="D5" s="58">
        <v>3</v>
      </c>
      <c r="E5" s="58">
        <v>5</v>
      </c>
      <c r="F5" s="58">
        <v>6</v>
      </c>
      <c r="G5" s="58">
        <v>4</v>
      </c>
    </row>
    <row r="6" ht="15.75" spans="2:34">
      <c r="B6" s="59" t="s">
        <v>28</v>
      </c>
      <c r="C6" s="60"/>
      <c r="D6" s="60"/>
      <c r="E6" s="60"/>
      <c r="F6" s="60"/>
      <c r="G6" s="61"/>
      <c r="H6" s="62"/>
      <c r="J6" s="88" t="s">
        <v>29</v>
      </c>
      <c r="K6" s="89" t="s">
        <v>30</v>
      </c>
      <c r="L6" s="90"/>
      <c r="M6" s="90"/>
      <c r="N6" s="23"/>
      <c r="O6" s="91"/>
      <c r="P6" s="50">
        <v>1</v>
      </c>
      <c r="Q6" s="50">
        <v>2</v>
      </c>
      <c r="R6" s="50" t="s">
        <v>31</v>
      </c>
      <c r="T6" s="50" t="s">
        <v>32</v>
      </c>
      <c r="U6" s="50" t="s">
        <v>33</v>
      </c>
      <c r="V6" s="50" t="s">
        <v>34</v>
      </c>
      <c r="W6" s="50" t="s">
        <v>35</v>
      </c>
      <c r="X6" s="50" t="s">
        <v>36</v>
      </c>
      <c r="Y6" s="50" t="s">
        <v>37</v>
      </c>
      <c r="AB6" s="50" t="s">
        <v>33</v>
      </c>
      <c r="AC6" s="50" t="s">
        <v>38</v>
      </c>
      <c r="AD6" s="50" t="s">
        <v>31</v>
      </c>
      <c r="AE6" s="50" t="s">
        <v>39</v>
      </c>
      <c r="AF6" s="50" t="s">
        <v>40</v>
      </c>
      <c r="AG6" s="50" t="s">
        <v>41</v>
      </c>
      <c r="AH6" s="50" t="s">
        <v>42</v>
      </c>
    </row>
    <row r="7" ht="15.75" spans="2:34">
      <c r="B7" s="63" t="s">
        <v>43</v>
      </c>
      <c r="C7" s="64" t="s">
        <v>33</v>
      </c>
      <c r="D7" s="65" t="s">
        <v>34</v>
      </c>
      <c r="E7" s="65" t="s">
        <v>36</v>
      </c>
      <c r="F7" s="65" t="s">
        <v>37</v>
      </c>
      <c r="G7" s="66" t="s">
        <v>35</v>
      </c>
      <c r="H7" s="62"/>
      <c r="I7" s="92">
        <v>1</v>
      </c>
      <c r="J7" s="93">
        <v>44360</v>
      </c>
      <c r="K7" s="94" t="s">
        <v>44</v>
      </c>
      <c r="L7" s="95">
        <v>3</v>
      </c>
      <c r="M7" s="96">
        <v>0</v>
      </c>
      <c r="N7" s="92" t="s">
        <v>45</v>
      </c>
      <c r="O7" s="91" t="str">
        <f>_xlfn.CONCAT(K7,"_",N7)</f>
        <v>Brasil_Venezuela</v>
      </c>
      <c r="P7" s="50">
        <f t="shared" ref="P7:P16" si="0">IF(L7&gt;M7,3,IF(L7&lt;M7,0,1))</f>
        <v>3</v>
      </c>
      <c r="Q7" s="50">
        <f>IF(P7=3,0,IF(P7=1,1,3))</f>
        <v>0</v>
      </c>
      <c r="R7" s="50" t="str">
        <f>IF(P7&gt;Q7,K7,IF(Q7&gt;P7,N7,"SIN GANADOR"))</f>
        <v>Brasil</v>
      </c>
      <c r="T7" s="50">
        <f>_xlfn.RANK.EQ(AH7,AH$7:AH$11,1)</f>
        <v>1</v>
      </c>
      <c r="U7" s="50" t="s">
        <v>44</v>
      </c>
      <c r="V7" s="50">
        <f>SUMIF($K$7:$K$16,U7,$P$7:$P$16)+SUMIF($N$7:$N$16,U7,$Q$7:$Q$16)</f>
        <v>12</v>
      </c>
      <c r="W7" s="50">
        <f>X7-Y7</f>
        <v>7</v>
      </c>
      <c r="X7" s="50">
        <f>SUMIF($K$7:$K$16,U7,$L$7:$L$16)+SUMIF($N$7:$N$16,U7,$M$7:$M$16)</f>
        <v>11</v>
      </c>
      <c r="Y7" s="50">
        <f>SUMIF($K$7:$K$16,U7,$M$7:$M$16)+SUMIF($N$7:$N$16,U7,$L$7:$L$16)</f>
        <v>4</v>
      </c>
      <c r="AB7" s="50" t="str">
        <f>U7</f>
        <v>Brasil</v>
      </c>
      <c r="AC7" s="50" t="str">
        <f>IF(AF7=AF8,AB8,IF(AF7=AF9,AB9,IF(AF7=AF10,AB10,IF(AF7=AF11,AB11,""))))</f>
        <v/>
      </c>
      <c r="AD7" s="50" t="str">
        <f>IF(AC7="","",IFERROR(VLOOKUP(CONCATENATE(AB7,"_",AC7),$O$7:$R$16,4,FALSE),VLOOKUP(CONCATENATE(AC7,"_",AB7),$O$7:$R$16,4,FALSE)))</f>
        <v/>
      </c>
      <c r="AE7" s="50">
        <f>IF(AD7="",1,IF(AD7=AB7,1,0))</f>
        <v>1</v>
      </c>
      <c r="AF7" s="50">
        <f>-V7*10000000-W7*10000-X7*100</f>
        <v>-120071100</v>
      </c>
      <c r="AG7" s="50">
        <f>AF7-AE7*10</f>
        <v>-120071110</v>
      </c>
      <c r="AH7" s="50">
        <f>AG7+N23</f>
        <v>-120071109</v>
      </c>
    </row>
    <row r="8" spans="2:34">
      <c r="B8" s="67">
        <v>1</v>
      </c>
      <c r="C8" s="68" t="str">
        <f t="shared" ref="C8:G12" si="1">IFERROR(VLOOKUP($B8,$T$7:$Y$11,C$5,FALSE),"")</f>
        <v>Brasil</v>
      </c>
      <c r="D8" s="69">
        <f t="shared" si="1"/>
        <v>12</v>
      </c>
      <c r="E8" s="69">
        <f t="shared" si="1"/>
        <v>11</v>
      </c>
      <c r="F8" s="69">
        <f t="shared" si="1"/>
        <v>4</v>
      </c>
      <c r="G8" s="70">
        <f t="shared" si="1"/>
        <v>7</v>
      </c>
      <c r="H8" s="71"/>
      <c r="I8" s="97">
        <v>2</v>
      </c>
      <c r="J8" s="98">
        <v>44360</v>
      </c>
      <c r="K8" s="99" t="s">
        <v>46</v>
      </c>
      <c r="L8" s="100">
        <v>1</v>
      </c>
      <c r="M8" s="101">
        <v>2</v>
      </c>
      <c r="N8" s="97" t="s">
        <v>47</v>
      </c>
      <c r="O8" s="91" t="str">
        <f t="shared" ref="O8:O16" si="2">_xlfn.CONCAT(K8,"_",N8)</f>
        <v>Colombia_Ecuador</v>
      </c>
      <c r="P8" s="50">
        <f t="shared" si="0"/>
        <v>0</v>
      </c>
      <c r="Q8" s="50">
        <f t="shared" ref="Q8:Q16" si="3">IF(P8=3,0,IF(P8=1,1,3))</f>
        <v>3</v>
      </c>
      <c r="R8" s="50" t="str">
        <f t="shared" ref="R8:R16" si="4">IF(P8&gt;Q8,K8,IF(Q8&gt;P8,N8,"SIN GANADOR"))</f>
        <v>Ecuador</v>
      </c>
      <c r="T8" s="50">
        <f>_xlfn.RANK.EQ(AH8,AH$7:AH$11,1)</f>
        <v>2</v>
      </c>
      <c r="U8" s="50" t="s">
        <v>46</v>
      </c>
      <c r="V8" s="50">
        <f>SUMIF($K$7:$K$16,U8,$P$7:$P$16)+SUMIF($N$7:$N$16,U8,$Q$7:$Q$16)</f>
        <v>4</v>
      </c>
      <c r="W8" s="50">
        <f>X8-Y8</f>
        <v>-1</v>
      </c>
      <c r="X8" s="50">
        <f>SUMIF($K$7:$K$16,U8,$L$7:$L$16)+SUMIF($N$7:$N$16,U8,$M$7:$M$16)</f>
        <v>6</v>
      </c>
      <c r="Y8" s="50">
        <f>SUMIF($K$7:$K$16,U8,$M$7:$M$16)+SUMIF($N$7:$N$16,U8,$L$7:$L$16)</f>
        <v>7</v>
      </c>
      <c r="AB8" s="50" t="str">
        <f t="shared" ref="AB8:AB11" si="5">U8</f>
        <v>Colombia</v>
      </c>
      <c r="AC8" s="50" t="str">
        <f>IF(AF8=AF9,AB9,IF(AF8=AF10,AB10,IF(AF8=AF11,AB11,IF(AF8=AF7,AB7,""))))</f>
        <v/>
      </c>
      <c r="AD8" s="50" t="str">
        <f>IF(AC8="","",IFERROR(VLOOKUP(CONCATENATE(AB8,"_",AC8),$O$7:$R$16,4,FALSE),VLOOKUP(CONCATENATE(AC8,"_",AB8),$O$7:$R$16,4,FALSE)))</f>
        <v/>
      </c>
      <c r="AE8" s="50">
        <f t="shared" ref="AE8:AE11" si="6">IF(AD8="",1,IF(AD8=AB8,1,0))</f>
        <v>1</v>
      </c>
      <c r="AF8" s="50">
        <f t="shared" ref="AF8:AF11" si="7">-V8*10000000-W8*10000-X8*100</f>
        <v>-39990600</v>
      </c>
      <c r="AG8" s="50">
        <f t="shared" ref="AG8:AG11" si="8">AF8-AE8*10</f>
        <v>-39990610</v>
      </c>
      <c r="AH8" s="50">
        <f>AG8+N24</f>
        <v>-39990608</v>
      </c>
    </row>
    <row r="9" spans="2:34">
      <c r="B9" s="72">
        <v>2</v>
      </c>
      <c r="C9" s="73" t="str">
        <f t="shared" si="1"/>
        <v>Colombia</v>
      </c>
      <c r="D9" s="74">
        <f t="shared" si="1"/>
        <v>4</v>
      </c>
      <c r="E9" s="74">
        <f t="shared" si="1"/>
        <v>6</v>
      </c>
      <c r="F9" s="74">
        <f t="shared" si="1"/>
        <v>7</v>
      </c>
      <c r="G9" s="75">
        <f t="shared" si="1"/>
        <v>-1</v>
      </c>
      <c r="H9" s="71"/>
      <c r="I9" s="102">
        <v>5</v>
      </c>
      <c r="J9" s="103">
        <v>44364</v>
      </c>
      <c r="K9" s="104" t="s">
        <v>46</v>
      </c>
      <c r="L9" s="100">
        <v>2</v>
      </c>
      <c r="M9" s="101">
        <v>1</v>
      </c>
      <c r="N9" s="102" t="s">
        <v>45</v>
      </c>
      <c r="O9" s="91" t="str">
        <f t="shared" si="2"/>
        <v>Colombia_Venezuela</v>
      </c>
      <c r="P9" s="50">
        <f t="shared" si="0"/>
        <v>3</v>
      </c>
      <c r="Q9" s="50">
        <f t="shared" si="3"/>
        <v>0</v>
      </c>
      <c r="R9" s="50" t="str">
        <f t="shared" si="4"/>
        <v>Colombia</v>
      </c>
      <c r="T9" s="50">
        <f>_xlfn.RANK.EQ(AH9,AH$7:AH$11,1)</f>
        <v>3</v>
      </c>
      <c r="U9" s="50" t="s">
        <v>47</v>
      </c>
      <c r="V9" s="50">
        <f>SUMIF($K$7:$K$16,U9,$P$7:$P$16)+SUMIF($N$7:$N$16,U9,$Q$7:$Q$16)</f>
        <v>4</v>
      </c>
      <c r="W9" s="50">
        <f t="shared" ref="W9:W11" si="9">X9-Y9</f>
        <v>-1</v>
      </c>
      <c r="X9" s="50">
        <f>SUMIF($K$7:$K$16,U9,$L$7:$L$16)+SUMIF($N$7:$N$16,U9,$M$7:$M$16)</f>
        <v>5</v>
      </c>
      <c r="Y9" s="50">
        <f>SUMIF($K$7:$K$16,U9,$M$7:$M$16)+SUMIF($N$7:$N$16,U9,$L$7:$L$16)</f>
        <v>6</v>
      </c>
      <c r="AB9" s="50" t="str">
        <f t="shared" si="5"/>
        <v>Ecuador</v>
      </c>
      <c r="AC9" s="50" t="str">
        <f>IF(AF9=AF10,AB10,IF(AF9=AF11,AB11,IF(AF9=AF7,AB7,IF(AF9=AF8,AB8,""))))</f>
        <v/>
      </c>
      <c r="AD9" s="50" t="str">
        <f>IF(AC9="","",IFERROR(VLOOKUP(CONCATENATE(AB9,"_",AC9),$O$7:$R$16,4,FALSE),VLOOKUP(CONCATENATE(AC9,"_",AB9),$O$7:$R$16,4,FALSE)))</f>
        <v/>
      </c>
      <c r="AE9" s="50">
        <f t="shared" si="6"/>
        <v>1</v>
      </c>
      <c r="AF9" s="50">
        <f t="shared" si="7"/>
        <v>-39990500</v>
      </c>
      <c r="AG9" s="50">
        <f t="shared" si="8"/>
        <v>-39990510</v>
      </c>
      <c r="AH9" s="50">
        <f>AG9+N25</f>
        <v>-39990507</v>
      </c>
    </row>
    <row r="10" spans="2:34">
      <c r="B10" s="76">
        <v>3</v>
      </c>
      <c r="C10" s="77" t="str">
        <f t="shared" si="1"/>
        <v>Ecuador</v>
      </c>
      <c r="D10" s="78">
        <f t="shared" si="1"/>
        <v>4</v>
      </c>
      <c r="E10" s="78">
        <f t="shared" si="1"/>
        <v>5</v>
      </c>
      <c r="F10" s="78">
        <f t="shared" si="1"/>
        <v>6</v>
      </c>
      <c r="G10" s="79">
        <f t="shared" si="1"/>
        <v>-1</v>
      </c>
      <c r="H10" s="71"/>
      <c r="I10" s="97">
        <v>6</v>
      </c>
      <c r="J10" s="98">
        <v>44364</v>
      </c>
      <c r="K10" s="99" t="s">
        <v>48</v>
      </c>
      <c r="L10" s="100">
        <v>1</v>
      </c>
      <c r="M10" s="101">
        <v>3</v>
      </c>
      <c r="N10" s="97" t="s">
        <v>44</v>
      </c>
      <c r="O10" s="91" t="str">
        <f t="shared" si="2"/>
        <v>Peru_Brasil</v>
      </c>
      <c r="P10" s="50">
        <f t="shared" si="0"/>
        <v>0</v>
      </c>
      <c r="Q10" s="50">
        <f t="shared" si="3"/>
        <v>3</v>
      </c>
      <c r="R10" s="50" t="str">
        <f t="shared" si="4"/>
        <v>Brasil</v>
      </c>
      <c r="T10" s="50">
        <f>_xlfn.RANK.EQ(AH10,AH$7:AH$11,1)</f>
        <v>4</v>
      </c>
      <c r="U10" s="50" t="s">
        <v>48</v>
      </c>
      <c r="V10" s="50">
        <f>SUMIF($K$7:$K$16,U10,$P$7:$P$16)+SUMIF($N$7:$N$16,U10,$Q$7:$Q$16)</f>
        <v>4</v>
      </c>
      <c r="W10" s="50">
        <f t="shared" si="9"/>
        <v>-2</v>
      </c>
      <c r="X10" s="50">
        <f>SUMIF($K$7:$K$16,U10,$L$7:$L$16)+SUMIF($N$7:$N$16,U10,$M$7:$M$16)</f>
        <v>4</v>
      </c>
      <c r="Y10" s="50">
        <f>SUMIF($K$7:$K$16,U10,$M$7:$M$16)+SUMIF($N$7:$N$16,U10,$L$7:$L$16)</f>
        <v>6</v>
      </c>
      <c r="AB10" s="50" t="str">
        <f t="shared" si="5"/>
        <v>Peru</v>
      </c>
      <c r="AC10" s="50" t="str">
        <f>IF(AF10=AF11,AB11,IF(AF10=AF7,AB7,IF(AF10=AF8,AB8,IF(AF10=AF9,AB9,""))))</f>
        <v/>
      </c>
      <c r="AD10" s="50" t="str">
        <f>IF(AC10="","",IFERROR(VLOOKUP(CONCATENATE(AB10,"_",AC10),$O$7:$R$16,4,FALSE),VLOOKUP(CONCATENATE(AC10,"_",AB10),$O$7:$R$16,4,FALSE)))</f>
        <v/>
      </c>
      <c r="AE10" s="50">
        <f t="shared" si="6"/>
        <v>1</v>
      </c>
      <c r="AF10" s="50">
        <f t="shared" si="7"/>
        <v>-39980400</v>
      </c>
      <c r="AG10" s="50">
        <f t="shared" si="8"/>
        <v>-39980410</v>
      </c>
      <c r="AH10" s="50">
        <f>AG10+N26</f>
        <v>-39980406</v>
      </c>
    </row>
    <row r="11" spans="2:34">
      <c r="B11" s="80">
        <v>4</v>
      </c>
      <c r="C11" s="81" t="str">
        <f t="shared" si="1"/>
        <v>Peru</v>
      </c>
      <c r="D11" s="82">
        <f t="shared" si="1"/>
        <v>4</v>
      </c>
      <c r="E11" s="82">
        <f t="shared" si="1"/>
        <v>4</v>
      </c>
      <c r="F11" s="82">
        <f t="shared" si="1"/>
        <v>6</v>
      </c>
      <c r="G11" s="83">
        <f t="shared" si="1"/>
        <v>-2</v>
      </c>
      <c r="H11" s="71"/>
      <c r="I11" s="102">
        <v>9</v>
      </c>
      <c r="J11" s="103">
        <v>44367</v>
      </c>
      <c r="K11" s="104" t="s">
        <v>45</v>
      </c>
      <c r="L11" s="100">
        <v>1</v>
      </c>
      <c r="M11" s="101">
        <v>1</v>
      </c>
      <c r="N11" s="102" t="s">
        <v>47</v>
      </c>
      <c r="O11" s="91" t="str">
        <f t="shared" si="2"/>
        <v>Venezuela_Ecuador</v>
      </c>
      <c r="P11" s="50">
        <f t="shared" si="0"/>
        <v>1</v>
      </c>
      <c r="Q11" s="50">
        <f t="shared" si="3"/>
        <v>1</v>
      </c>
      <c r="R11" s="50" t="str">
        <f t="shared" si="4"/>
        <v>SIN GANADOR</v>
      </c>
      <c r="T11" s="50">
        <f>_xlfn.RANK.EQ(AH11,AH$7:AH$11,1)</f>
        <v>5</v>
      </c>
      <c r="U11" s="50" t="s">
        <v>45</v>
      </c>
      <c r="V11" s="50">
        <f>SUMIF($K$7:$K$16,U11,$P$7:$P$16)+SUMIF($N$7:$N$16,U11,$Q$7:$Q$16)</f>
        <v>4</v>
      </c>
      <c r="W11" s="50">
        <f t="shared" si="9"/>
        <v>-3</v>
      </c>
      <c r="X11" s="50">
        <f>SUMIF($K$7:$K$16,U11,$L$7:$L$16)+SUMIF($N$7:$N$16,U11,$M$7:$M$16)</f>
        <v>3</v>
      </c>
      <c r="Y11" s="50">
        <f>SUMIF($K$7:$K$16,U11,$M$7:$M$16)+SUMIF($N$7:$N$16,U11,$L$7:$L$16)</f>
        <v>6</v>
      </c>
      <c r="AB11" s="50" t="str">
        <f t="shared" si="5"/>
        <v>Venezuela</v>
      </c>
      <c r="AC11" s="50" t="str">
        <f>IF(AF11=AF7,AB7,IF(AF11=AF8,AB8,IF(AF11=AF9,AB9,IF(AF11=AF10,AB10,""))))</f>
        <v/>
      </c>
      <c r="AD11" s="50" t="str">
        <f>IF(AC11="","",IFERROR(VLOOKUP(CONCATENATE(AB11,"_",AC11),$O$7:$R$16,4,FALSE),VLOOKUP(CONCATENATE(AC11,"_",AB11),$O$7:$R$16,4,FALSE)))</f>
        <v/>
      </c>
      <c r="AE11" s="50">
        <f t="shared" si="6"/>
        <v>1</v>
      </c>
      <c r="AF11" s="50">
        <f t="shared" si="7"/>
        <v>-39970300</v>
      </c>
      <c r="AG11" s="50">
        <f t="shared" si="8"/>
        <v>-39970310</v>
      </c>
      <c r="AH11" s="50">
        <f>AG11+N27</f>
        <v>-39970305</v>
      </c>
    </row>
    <row r="12" customFormat="1" ht="15.75" spans="2:35">
      <c r="B12" s="84">
        <v>5</v>
      </c>
      <c r="C12" s="85" t="str">
        <f t="shared" si="1"/>
        <v>Venezuela</v>
      </c>
      <c r="D12" s="86">
        <f t="shared" si="1"/>
        <v>4</v>
      </c>
      <c r="E12" s="86">
        <f t="shared" si="1"/>
        <v>3</v>
      </c>
      <c r="F12" s="86">
        <f t="shared" si="1"/>
        <v>6</v>
      </c>
      <c r="G12" s="87">
        <f t="shared" si="1"/>
        <v>-3</v>
      </c>
      <c r="H12" s="71"/>
      <c r="I12" s="105">
        <v>10</v>
      </c>
      <c r="J12" s="106">
        <v>44367</v>
      </c>
      <c r="K12" s="107" t="s">
        <v>46</v>
      </c>
      <c r="L12" s="108">
        <v>1</v>
      </c>
      <c r="M12" s="109">
        <v>1</v>
      </c>
      <c r="N12" s="105" t="s">
        <v>48</v>
      </c>
      <c r="O12" s="91" t="str">
        <f t="shared" si="2"/>
        <v>Colombia_Peru</v>
      </c>
      <c r="P12" s="50">
        <f t="shared" si="0"/>
        <v>1</v>
      </c>
      <c r="Q12" s="50">
        <f t="shared" ref="Q12:Q15" si="10">IF(P12=3,0,IF(P12=1,1,3))</f>
        <v>1</v>
      </c>
      <c r="R12" s="50" t="str">
        <f t="shared" si="4"/>
        <v>SIN GANADOR</v>
      </c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</row>
    <row r="13" customFormat="1" spans="9:35">
      <c r="I13" s="110">
        <v>13</v>
      </c>
      <c r="J13" s="111">
        <v>44370</v>
      </c>
      <c r="K13" s="112" t="s">
        <v>47</v>
      </c>
      <c r="L13" s="108">
        <v>1</v>
      </c>
      <c r="M13" s="109">
        <v>2</v>
      </c>
      <c r="N13" s="110" t="s">
        <v>48</v>
      </c>
      <c r="O13" s="91" t="str">
        <f t="shared" si="2"/>
        <v>Ecuador_Peru</v>
      </c>
      <c r="P13" s="50">
        <f t="shared" si="0"/>
        <v>0</v>
      </c>
      <c r="Q13" s="50">
        <f t="shared" si="10"/>
        <v>3</v>
      </c>
      <c r="R13" s="50" t="str">
        <f t="shared" si="4"/>
        <v>Peru</v>
      </c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</row>
    <row r="14" customFormat="1" spans="9:35">
      <c r="I14" s="105">
        <v>14</v>
      </c>
      <c r="J14" s="106">
        <v>44370</v>
      </c>
      <c r="K14" s="107" t="s">
        <v>46</v>
      </c>
      <c r="L14" s="108">
        <v>2</v>
      </c>
      <c r="M14" s="109">
        <v>3</v>
      </c>
      <c r="N14" s="105" t="s">
        <v>44</v>
      </c>
      <c r="O14" s="91" t="str">
        <f t="shared" si="2"/>
        <v>Colombia_Brasil</v>
      </c>
      <c r="P14" s="50">
        <f t="shared" si="0"/>
        <v>0</v>
      </c>
      <c r="Q14" s="50">
        <f t="shared" si="10"/>
        <v>3</v>
      </c>
      <c r="R14" s="50" t="str">
        <f t="shared" si="4"/>
        <v>Brasil</v>
      </c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</row>
    <row r="15" customFormat="1" spans="9:35">
      <c r="I15" s="110">
        <v>17</v>
      </c>
      <c r="J15" s="111">
        <v>44374</v>
      </c>
      <c r="K15" s="112" t="s">
        <v>47</v>
      </c>
      <c r="L15" s="108">
        <v>1</v>
      </c>
      <c r="M15" s="109">
        <v>2</v>
      </c>
      <c r="N15" s="110" t="s">
        <v>44</v>
      </c>
      <c r="O15" s="91" t="str">
        <f t="shared" si="2"/>
        <v>Ecuador_Brasil</v>
      </c>
      <c r="P15" s="50">
        <f t="shared" si="0"/>
        <v>0</v>
      </c>
      <c r="Q15" s="50">
        <f t="shared" si="10"/>
        <v>3</v>
      </c>
      <c r="R15" s="50" t="str">
        <f t="shared" si="4"/>
        <v>Brasil</v>
      </c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</row>
    <row r="16" ht="15.75" spans="9:18">
      <c r="I16" s="113">
        <v>18</v>
      </c>
      <c r="J16" s="114">
        <v>44374</v>
      </c>
      <c r="K16" s="115" t="s">
        <v>45</v>
      </c>
      <c r="L16" s="116">
        <v>1</v>
      </c>
      <c r="M16" s="117">
        <v>0</v>
      </c>
      <c r="N16" s="113" t="s">
        <v>48</v>
      </c>
      <c r="O16" s="91" t="str">
        <f t="shared" si="2"/>
        <v>Venezuela_Peru</v>
      </c>
      <c r="P16" s="50">
        <f t="shared" si="0"/>
        <v>3</v>
      </c>
      <c r="Q16" s="50">
        <f t="shared" si="3"/>
        <v>0</v>
      </c>
      <c r="R16" s="50" t="str">
        <f t="shared" si="4"/>
        <v>Venezuela</v>
      </c>
    </row>
    <row r="18" customFormat="1" spans="14:35">
      <c r="N18" s="49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</row>
    <row r="19" customFormat="1" spans="14:35">
      <c r="N19" s="49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</row>
    <row r="21" ht="15.75"/>
    <row r="22" ht="15.75" spans="2:14">
      <c r="B22" s="20" t="s">
        <v>49</v>
      </c>
      <c r="C22" s="21"/>
      <c r="D22" s="21"/>
      <c r="E22" s="21"/>
      <c r="F22" s="21"/>
      <c r="G22" s="21"/>
      <c r="H22" s="46"/>
      <c r="I22" s="50">
        <v>1</v>
      </c>
      <c r="J22" s="118" t="s">
        <v>50</v>
      </c>
      <c r="K22" s="119"/>
      <c r="L22" s="119"/>
      <c r="M22" s="120"/>
      <c r="N22" s="71"/>
    </row>
    <row r="23" spans="2:14">
      <c r="B23" s="24" t="s">
        <v>51</v>
      </c>
      <c r="C23" s="25"/>
      <c r="D23" s="25"/>
      <c r="E23" s="25"/>
      <c r="F23" s="25"/>
      <c r="G23" s="25"/>
      <c r="H23" s="47"/>
      <c r="I23" s="50">
        <f>IF(J23="",0,1)</f>
        <v>1</v>
      </c>
      <c r="J23" s="38" t="s">
        <v>44</v>
      </c>
      <c r="K23" s="121"/>
      <c r="L23" s="39"/>
      <c r="M23" s="122">
        <v>1</v>
      </c>
      <c r="N23">
        <f>IF(J23="",0,M23)</f>
        <v>1</v>
      </c>
    </row>
    <row r="24" spans="2:14">
      <c r="B24" s="24" t="s">
        <v>52</v>
      </c>
      <c r="C24" s="25"/>
      <c r="D24" s="25"/>
      <c r="E24" s="25"/>
      <c r="F24" s="25"/>
      <c r="G24" s="25"/>
      <c r="H24" s="47"/>
      <c r="I24" s="50">
        <f t="shared" ref="I24:I27" si="11">IF(J24="",0,1)</f>
        <v>1</v>
      </c>
      <c r="J24" s="123" t="s">
        <v>46</v>
      </c>
      <c r="K24" s="124"/>
      <c r="L24" s="125"/>
      <c r="M24" s="126">
        <v>2</v>
      </c>
      <c r="N24">
        <f>IF(J24="",0,M24)</f>
        <v>2</v>
      </c>
    </row>
    <row r="25" spans="2:14">
      <c r="B25" s="24" t="s">
        <v>53</v>
      </c>
      <c r="C25" s="25"/>
      <c r="D25" s="25"/>
      <c r="E25" s="25"/>
      <c r="F25" s="25"/>
      <c r="G25" s="25"/>
      <c r="H25" s="47"/>
      <c r="I25" s="50">
        <f t="shared" si="11"/>
        <v>1</v>
      </c>
      <c r="J25" s="123" t="s">
        <v>47</v>
      </c>
      <c r="K25" s="124"/>
      <c r="L25" s="125"/>
      <c r="M25" s="126">
        <v>3</v>
      </c>
      <c r="N25">
        <f>IF(J25="",0,M25)</f>
        <v>3</v>
      </c>
    </row>
    <row r="26" spans="2:14">
      <c r="B26" s="24" t="s">
        <v>54</v>
      </c>
      <c r="C26" s="25"/>
      <c r="D26" s="25"/>
      <c r="E26" s="25"/>
      <c r="F26" s="25"/>
      <c r="G26" s="25"/>
      <c r="H26" s="47"/>
      <c r="I26" s="50">
        <f t="shared" si="11"/>
        <v>1</v>
      </c>
      <c r="J26" s="123" t="s">
        <v>48</v>
      </c>
      <c r="K26" s="124"/>
      <c r="L26" s="125"/>
      <c r="M26" s="126">
        <v>4</v>
      </c>
      <c r="N26">
        <f>IF(J26="",0,M26)</f>
        <v>4</v>
      </c>
    </row>
    <row r="27" ht="15.75" spans="2:14">
      <c r="B27" s="24" t="s">
        <v>55</v>
      </c>
      <c r="C27" s="25"/>
      <c r="D27" s="25"/>
      <c r="E27" s="25"/>
      <c r="F27" s="25"/>
      <c r="G27" s="25"/>
      <c r="H27" s="47"/>
      <c r="I27" s="50">
        <f t="shared" si="11"/>
        <v>1</v>
      </c>
      <c r="J27" s="43" t="s">
        <v>45</v>
      </c>
      <c r="K27" s="127"/>
      <c r="L27" s="44"/>
      <c r="M27" s="128">
        <v>5</v>
      </c>
      <c r="N27">
        <f>IF(J27="",0,M27)</f>
        <v>5</v>
      </c>
    </row>
    <row r="28" ht="15.75" spans="2:8">
      <c r="B28" s="29"/>
      <c r="C28" s="30"/>
      <c r="D28" s="30"/>
      <c r="E28" s="30"/>
      <c r="F28" s="30"/>
      <c r="G28" s="30"/>
      <c r="H28" s="48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B6:G6"/>
    <mergeCell ref="K6:N6"/>
    <mergeCell ref="J22:M22"/>
    <mergeCell ref="J23:L23"/>
    <mergeCell ref="J24:L24"/>
    <mergeCell ref="J25:L25"/>
    <mergeCell ref="J26:L26"/>
    <mergeCell ref="J27:L27"/>
    <mergeCell ref="B3:G4"/>
  </mergeCells>
  <conditionalFormatting sqref="M25:N25">
    <cfRule type="expression" dxfId="0" priority="2">
      <formula>J25=""</formula>
    </cfRule>
  </conditionalFormatting>
  <conditionalFormatting sqref="M27:N27">
    <cfRule type="expression" dxfId="0" priority="1">
      <formula>J27=""</formula>
    </cfRule>
  </conditionalFormatting>
  <conditionalFormatting sqref="B22:H28;J22:N27">
    <cfRule type="expression" dxfId="1" priority="6">
      <formula>OR($I$22=0,AND($J$20="",$J$21="",$J$22="",$J$23=""))</formula>
    </cfRule>
  </conditionalFormatting>
  <conditionalFormatting sqref="M23:N27">
    <cfRule type="expression" dxfId="0" priority="4">
      <formula>J23=""</formula>
    </cfRule>
  </conditionalFormatting>
  <conditionalFormatting sqref="M24:N26">
    <cfRule type="expression" dxfId="0" priority="3">
      <formula>J24=""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28"/>
  <sheetViews>
    <sheetView showGridLines="0" topLeftCell="A7" workbookViewId="0">
      <selection activeCell="M17" sqref="M17"/>
    </sheetView>
  </sheetViews>
  <sheetFormatPr defaultColWidth="11" defaultRowHeight="15"/>
  <cols>
    <col min="1" max="7" width="11.4285714285714"/>
    <col min="8" max="8" width="5.85714285714286" customWidth="1"/>
    <col min="9" max="9" width="5.28571428571429" customWidth="1"/>
    <col min="10" max="10" width="11.4285714285714"/>
    <col min="11" max="11" width="13.2857142857143" customWidth="1"/>
    <col min="12" max="13" width="11.4285714285714"/>
    <col min="14" max="14" width="14.8571428571429" style="49" customWidth="1"/>
    <col min="15" max="15" width="18.8571428571429" style="50" customWidth="1"/>
    <col min="16" max="26" width="11.4285714285714" style="50"/>
    <col min="27" max="27" width="10.4285714285714" style="50" customWidth="1"/>
    <col min="28" max="28" width="13.7142857142857" style="50" customWidth="1"/>
    <col min="29" max="29" width="10.4285714285714" style="50" customWidth="1"/>
    <col min="30" max="30" width="9.85714285714286" style="50" customWidth="1"/>
    <col min="31" max="31" width="13" style="50" customWidth="1"/>
    <col min="32" max="32" width="29.8571428571429" style="50" customWidth="1"/>
    <col min="33" max="33" width="25.7142857142857" style="50" customWidth="1"/>
    <col min="34" max="36" width="11.4285714285714" style="50"/>
    <col min="37" max="16384" width="11.4285714285714"/>
  </cols>
  <sheetData>
    <row r="2" ht="15.75"/>
    <row r="3" spans="2:7">
      <c r="B3" s="51" t="s">
        <v>56</v>
      </c>
      <c r="C3" s="52"/>
      <c r="D3" s="52"/>
      <c r="E3" s="52"/>
      <c r="F3" s="52"/>
      <c r="G3" s="53"/>
    </row>
    <row r="4" ht="15.75" spans="2:7">
      <c r="B4" s="54"/>
      <c r="C4" s="55"/>
      <c r="D4" s="55"/>
      <c r="E4" s="55"/>
      <c r="F4" s="55"/>
      <c r="G4" s="56"/>
    </row>
    <row r="5" ht="15.75" spans="2:7">
      <c r="B5" s="57"/>
      <c r="C5" s="58">
        <v>2</v>
      </c>
      <c r="D5" s="58">
        <v>3</v>
      </c>
      <c r="E5" s="58">
        <v>5</v>
      </c>
      <c r="F5" s="58">
        <v>6</v>
      </c>
      <c r="G5" s="58">
        <v>4</v>
      </c>
    </row>
    <row r="6" ht="15.75" spans="2:34">
      <c r="B6" s="59" t="s">
        <v>28</v>
      </c>
      <c r="C6" s="60"/>
      <c r="D6" s="60"/>
      <c r="E6" s="60"/>
      <c r="F6" s="60"/>
      <c r="G6" s="61"/>
      <c r="H6" s="62"/>
      <c r="J6" s="88" t="s">
        <v>29</v>
      </c>
      <c r="K6" s="89" t="s">
        <v>30</v>
      </c>
      <c r="L6" s="90"/>
      <c r="M6" s="90"/>
      <c r="N6" s="23"/>
      <c r="O6" s="91"/>
      <c r="P6" s="50">
        <v>1</v>
      </c>
      <c r="Q6" s="50">
        <v>2</v>
      </c>
      <c r="R6" s="50" t="s">
        <v>31</v>
      </c>
      <c r="T6" s="50" t="s">
        <v>32</v>
      </c>
      <c r="U6" s="50" t="s">
        <v>33</v>
      </c>
      <c r="V6" s="50" t="s">
        <v>34</v>
      </c>
      <c r="W6" s="50" t="s">
        <v>35</v>
      </c>
      <c r="X6" s="50" t="s">
        <v>36</v>
      </c>
      <c r="Y6" s="50" t="s">
        <v>37</v>
      </c>
      <c r="AB6" s="50" t="s">
        <v>33</v>
      </c>
      <c r="AC6" s="50" t="s">
        <v>38</v>
      </c>
      <c r="AD6" s="50" t="s">
        <v>31</v>
      </c>
      <c r="AE6" s="50" t="s">
        <v>39</v>
      </c>
      <c r="AF6" s="50" t="s">
        <v>40</v>
      </c>
      <c r="AG6" s="50" t="s">
        <v>41</v>
      </c>
      <c r="AH6" s="50" t="s">
        <v>42</v>
      </c>
    </row>
    <row r="7" ht="15.75" spans="2:34">
      <c r="B7" s="63" t="s">
        <v>43</v>
      </c>
      <c r="C7" s="64" t="s">
        <v>33</v>
      </c>
      <c r="D7" s="65" t="s">
        <v>34</v>
      </c>
      <c r="E7" s="65" t="s">
        <v>36</v>
      </c>
      <c r="F7" s="65" t="s">
        <v>37</v>
      </c>
      <c r="G7" s="66" t="s">
        <v>35</v>
      </c>
      <c r="H7" s="62"/>
      <c r="I7" s="92">
        <v>3</v>
      </c>
      <c r="J7" s="93">
        <v>44361</v>
      </c>
      <c r="K7" s="94" t="s">
        <v>8</v>
      </c>
      <c r="L7" s="95">
        <v>2</v>
      </c>
      <c r="M7" s="96">
        <v>1</v>
      </c>
      <c r="N7" s="92" t="s">
        <v>57</v>
      </c>
      <c r="O7" s="91" t="str">
        <f>_xlfn.CONCAT(K7,"_",N7)</f>
        <v>Argentina_Chile</v>
      </c>
      <c r="P7" s="50">
        <f t="shared" ref="P7:P16" si="0">IF(L7&gt;M7,3,IF(L7&lt;M7,0,1))</f>
        <v>3</v>
      </c>
      <c r="Q7" s="50">
        <f>IF(P7=3,0,IF(P7=1,1,3))</f>
        <v>0</v>
      </c>
      <c r="R7" s="50" t="str">
        <f>IF(P7&gt;Q7,K7,IF(Q7&gt;P7,N7,"SIN GANADOR"))</f>
        <v>Argentina</v>
      </c>
      <c r="T7" s="50">
        <f>_xlfn.RANK.EQ(AH7,AH$7:AH$11,1)</f>
        <v>1</v>
      </c>
      <c r="U7" s="50" t="s">
        <v>8</v>
      </c>
      <c r="V7" s="50">
        <f>SUMIF($K$7:$K$16,U7,$P$7:$P$16)+SUMIF($N$7:$N$16,U7,$Q$7:$Q$16)</f>
        <v>10</v>
      </c>
      <c r="W7" s="50">
        <f>X7-Y7</f>
        <v>6</v>
      </c>
      <c r="X7" s="50">
        <f>SUMIF($K$7:$K$16,U7,$L$7:$L$16)+SUMIF($N$7:$N$16,U7,$M$7:$M$16)</f>
        <v>9</v>
      </c>
      <c r="Y7" s="50">
        <f>SUMIF($K$7:$K$16,U7,$M$7:$M$16)+SUMIF($N$7:$N$16,U7,$L$7:$L$16)</f>
        <v>3</v>
      </c>
      <c r="AB7" s="50" t="str">
        <f>U7</f>
        <v>Argentina</v>
      </c>
      <c r="AC7" s="50" t="str">
        <f>IF(AF7=AF8,AB8,IF(AF7=AF9,AB9,IF(AF7=AF10,AB10,IF(AF7=AF11,AB11,""))))</f>
        <v/>
      </c>
      <c r="AD7" s="50" t="str">
        <f>IF(AC7="","",IFERROR(VLOOKUP(CONCATENATE(AB7,"_",AC7),$O$7:$R$16,4,FALSE),VLOOKUP(CONCATENATE(AC7,"_",AB7),$O$7:$R$16,4,FALSE)))</f>
        <v/>
      </c>
      <c r="AE7" s="50">
        <f>IF(AD7="",1,IF(AD7=AB7,1,0))</f>
        <v>1</v>
      </c>
      <c r="AF7" s="50">
        <f>-V7*10000000-W7*10000-X7*100</f>
        <v>-100060900</v>
      </c>
      <c r="AG7" s="50">
        <f>AF7-AE7*10</f>
        <v>-100060910</v>
      </c>
      <c r="AH7" s="50">
        <f>AG7+N23</f>
        <v>-100060909</v>
      </c>
    </row>
    <row r="8" spans="2:34">
      <c r="B8" s="67">
        <v>1</v>
      </c>
      <c r="C8" s="68" t="str">
        <f t="shared" ref="C8:G12" si="1">IFERROR(VLOOKUP($B8,$T$7:$Y$11,C$5,FALSE),"")</f>
        <v>Argentina</v>
      </c>
      <c r="D8" s="69">
        <f t="shared" si="1"/>
        <v>10</v>
      </c>
      <c r="E8" s="69">
        <f t="shared" si="1"/>
        <v>9</v>
      </c>
      <c r="F8" s="69">
        <f t="shared" si="1"/>
        <v>3</v>
      </c>
      <c r="G8" s="70">
        <f t="shared" si="1"/>
        <v>6</v>
      </c>
      <c r="H8" s="71"/>
      <c r="I8" s="97">
        <v>4</v>
      </c>
      <c r="J8" s="98">
        <v>44361</v>
      </c>
      <c r="K8" s="99" t="s">
        <v>58</v>
      </c>
      <c r="L8" s="100">
        <v>0</v>
      </c>
      <c r="M8" s="101">
        <v>0</v>
      </c>
      <c r="N8" s="97" t="s">
        <v>59</v>
      </c>
      <c r="O8" s="91" t="str">
        <f t="shared" ref="O8:O16" si="2">_xlfn.CONCAT(K8,"_",N8)</f>
        <v>Paraguay_Bolivia</v>
      </c>
      <c r="P8" s="50">
        <f t="shared" si="0"/>
        <v>1</v>
      </c>
      <c r="Q8" s="50">
        <f t="shared" ref="Q8:Q16" si="3">IF(P8=3,0,IF(P8=1,1,3))</f>
        <v>1</v>
      </c>
      <c r="R8" s="50" t="str">
        <f t="shared" ref="R8:R16" si="4">IF(P8&gt;Q8,K8,IF(Q8&gt;P8,N8,"SIN GANADOR"))</f>
        <v>SIN GANADOR</v>
      </c>
      <c r="T8" s="50">
        <f>_xlfn.RANK.EQ(AH8,AH$7:AH$11,1)</f>
        <v>5</v>
      </c>
      <c r="U8" s="50" t="s">
        <v>59</v>
      </c>
      <c r="V8" s="50">
        <f>SUMIF($K$7:$K$16,U8,$P$7:$P$16)+SUMIF($N$7:$N$16,U8,$Q$7:$Q$16)</f>
        <v>1</v>
      </c>
      <c r="W8" s="50">
        <f>X8-Y8</f>
        <v>-6</v>
      </c>
      <c r="X8" s="50">
        <f>SUMIF($K$7:$K$16,U8,$L$7:$L$16)+SUMIF($N$7:$N$16,U8,$M$7:$M$16)</f>
        <v>0</v>
      </c>
      <c r="Y8" s="50">
        <f>SUMIF($K$7:$K$16,U8,$M$7:$M$16)+SUMIF($N$7:$N$16,U8,$L$7:$L$16)</f>
        <v>6</v>
      </c>
      <c r="AB8" s="50" t="str">
        <f t="shared" ref="AB8:AB11" si="5">U8</f>
        <v>Bolivia</v>
      </c>
      <c r="AC8" s="50" t="str">
        <f>IF(AF8=AF9,AB9,IF(AF8=AF10,AB10,IF(AF8=AF11,AB11,IF(AF8=AF7,AB7,""))))</f>
        <v/>
      </c>
      <c r="AD8" s="50" t="str">
        <f>IF(AC8="","",IFERROR(VLOOKUP(CONCATENATE(AB8,"_",AC8),$O$7:$R$16,4,FALSE),VLOOKUP(CONCATENATE(AC8,"_",AB8),$O$7:$R$16,4,FALSE)))</f>
        <v/>
      </c>
      <c r="AE8" s="50">
        <f t="shared" ref="AE8:AE11" si="6">IF(AD8="",1,IF(AD8=AB8,1,0))</f>
        <v>1</v>
      </c>
      <c r="AF8" s="50">
        <f t="shared" ref="AF8:AF11" si="7">-V8*10000000-W8*10000-X8*100</f>
        <v>-9940000</v>
      </c>
      <c r="AG8" s="50">
        <f t="shared" ref="AG8:AG11" si="8">AF8-AE8*10</f>
        <v>-9940010</v>
      </c>
      <c r="AH8" s="50">
        <f>AG8+N24</f>
        <v>-9940005</v>
      </c>
    </row>
    <row r="9" spans="2:34">
      <c r="B9" s="72">
        <v>2</v>
      </c>
      <c r="C9" s="73" t="str">
        <f t="shared" si="1"/>
        <v>Uruguay</v>
      </c>
      <c r="D9" s="74">
        <f t="shared" si="1"/>
        <v>10</v>
      </c>
      <c r="E9" s="74">
        <f t="shared" si="1"/>
        <v>7</v>
      </c>
      <c r="F9" s="74">
        <f t="shared" si="1"/>
        <v>3</v>
      </c>
      <c r="G9" s="75">
        <f t="shared" si="1"/>
        <v>4</v>
      </c>
      <c r="H9" s="71"/>
      <c r="I9" s="102">
        <v>7</v>
      </c>
      <c r="J9" s="103">
        <v>44365</v>
      </c>
      <c r="K9" s="104" t="s">
        <v>57</v>
      </c>
      <c r="L9" s="100">
        <v>2</v>
      </c>
      <c r="M9" s="101">
        <v>0</v>
      </c>
      <c r="N9" s="102" t="s">
        <v>59</v>
      </c>
      <c r="O9" s="91" t="str">
        <f t="shared" si="2"/>
        <v>Chile_Bolivia</v>
      </c>
      <c r="P9" s="50">
        <f t="shared" si="0"/>
        <v>3</v>
      </c>
      <c r="Q9" s="50">
        <f t="shared" si="3"/>
        <v>0</v>
      </c>
      <c r="R9" s="50" t="str">
        <f t="shared" si="4"/>
        <v>Chile</v>
      </c>
      <c r="T9" s="50">
        <f>_xlfn.RANK.EQ(AH9,AH$7:AH$11,1)</f>
        <v>3</v>
      </c>
      <c r="U9" s="50" t="s">
        <v>57</v>
      </c>
      <c r="V9" s="50">
        <f>SUMIF($K$7:$K$16,U9,$P$7:$P$16)+SUMIF($N$7:$N$16,U9,$Q$7:$Q$16)</f>
        <v>6</v>
      </c>
      <c r="W9" s="50">
        <f t="shared" ref="W9:W11" si="9">X9-Y9</f>
        <v>0</v>
      </c>
      <c r="X9" s="50">
        <f>SUMIF($K$7:$K$16,U9,$L$7:$L$16)+SUMIF($N$7:$N$16,U9,$M$7:$M$16)</f>
        <v>4</v>
      </c>
      <c r="Y9" s="50">
        <f>SUMIF($K$7:$K$16,U9,$M$7:$M$16)+SUMIF($N$7:$N$16,U9,$L$7:$L$16)</f>
        <v>4</v>
      </c>
      <c r="AB9" s="50" t="str">
        <f t="shared" si="5"/>
        <v>Chile</v>
      </c>
      <c r="AC9" s="50" t="str">
        <f>IF(AF9=AF10,AB10,IF(AF9=AF11,AB11,IF(AF9=AF7,AB7,IF(AF9=AF8,AB8,""))))</f>
        <v/>
      </c>
      <c r="AD9" s="50" t="str">
        <f>IF(AC9="","",IFERROR(VLOOKUP(CONCATENATE(AB9,"_",AC9),$O$7:$R$16,4,FALSE),VLOOKUP(CONCATENATE(AC9,"_",AB9),$O$7:$R$16,4,FALSE)))</f>
        <v/>
      </c>
      <c r="AE9" s="50">
        <f t="shared" si="6"/>
        <v>1</v>
      </c>
      <c r="AF9" s="50">
        <f t="shared" si="7"/>
        <v>-60000400</v>
      </c>
      <c r="AG9" s="50">
        <f t="shared" si="8"/>
        <v>-60000410</v>
      </c>
      <c r="AH9" s="50">
        <f>AG9+N25</f>
        <v>-60000408</v>
      </c>
    </row>
    <row r="10" spans="2:34">
      <c r="B10" s="76">
        <v>3</v>
      </c>
      <c r="C10" s="77" t="str">
        <f t="shared" si="1"/>
        <v>Chile</v>
      </c>
      <c r="D10" s="78">
        <f t="shared" si="1"/>
        <v>6</v>
      </c>
      <c r="E10" s="78">
        <f t="shared" si="1"/>
        <v>4</v>
      </c>
      <c r="F10" s="78">
        <f t="shared" si="1"/>
        <v>4</v>
      </c>
      <c r="G10" s="79">
        <f t="shared" si="1"/>
        <v>0</v>
      </c>
      <c r="H10" s="71"/>
      <c r="I10" s="97">
        <v>8</v>
      </c>
      <c r="J10" s="98">
        <v>44365</v>
      </c>
      <c r="K10" s="99" t="s">
        <v>8</v>
      </c>
      <c r="L10" s="100">
        <v>2</v>
      </c>
      <c r="M10" s="101">
        <v>2</v>
      </c>
      <c r="N10" s="97" t="s">
        <v>60</v>
      </c>
      <c r="O10" s="91" t="str">
        <f t="shared" si="2"/>
        <v>Argentina_Uruguay</v>
      </c>
      <c r="P10" s="50">
        <f t="shared" si="0"/>
        <v>1</v>
      </c>
      <c r="Q10" s="50">
        <f t="shared" si="3"/>
        <v>1</v>
      </c>
      <c r="R10" s="50" t="str">
        <f t="shared" si="4"/>
        <v>SIN GANADOR</v>
      </c>
      <c r="T10" s="50">
        <f>_xlfn.RANK.EQ(AH10,AH$7:AH$11,1)</f>
        <v>4</v>
      </c>
      <c r="U10" s="50" t="s">
        <v>58</v>
      </c>
      <c r="V10" s="50">
        <f>SUMIF($K$7:$K$16,U10,$P$7:$P$16)+SUMIF($N$7:$N$16,U10,$Q$7:$Q$16)</f>
        <v>1</v>
      </c>
      <c r="W10" s="50">
        <f t="shared" si="9"/>
        <v>-4</v>
      </c>
      <c r="X10" s="50">
        <f>SUMIF($K$7:$K$16,U10,$L$7:$L$16)+SUMIF($N$7:$N$16,U10,$M$7:$M$16)</f>
        <v>1</v>
      </c>
      <c r="Y10" s="50">
        <f>SUMIF($K$7:$K$16,U10,$M$7:$M$16)+SUMIF($N$7:$N$16,U10,$L$7:$L$16)</f>
        <v>5</v>
      </c>
      <c r="AB10" s="50" t="str">
        <f t="shared" si="5"/>
        <v>Paraguay</v>
      </c>
      <c r="AC10" s="50" t="str">
        <f>IF(AF10=AF11,AB11,IF(AF10=AF7,AB7,IF(AF10=AF8,AB8,IF(AF10=AF9,AB9,""))))</f>
        <v/>
      </c>
      <c r="AD10" s="50" t="str">
        <f>IF(AC10="","",IFERROR(VLOOKUP(CONCATENATE(AB10,"_",AC10),$O$7:$R$16,4,FALSE),VLOOKUP(CONCATENATE(AC10,"_",AB10),$O$7:$R$16,4,FALSE)))</f>
        <v/>
      </c>
      <c r="AE10" s="50">
        <f t="shared" si="6"/>
        <v>1</v>
      </c>
      <c r="AF10" s="50">
        <f t="shared" si="7"/>
        <v>-9960100</v>
      </c>
      <c r="AG10" s="50">
        <f t="shared" si="8"/>
        <v>-9960110</v>
      </c>
      <c r="AH10" s="50">
        <f>AG10+N26</f>
        <v>-9960106</v>
      </c>
    </row>
    <row r="11" spans="2:34">
      <c r="B11" s="80">
        <v>4</v>
      </c>
      <c r="C11" s="81" t="str">
        <f t="shared" si="1"/>
        <v>Paraguay</v>
      </c>
      <c r="D11" s="82">
        <f t="shared" si="1"/>
        <v>1</v>
      </c>
      <c r="E11" s="82">
        <f t="shared" si="1"/>
        <v>1</v>
      </c>
      <c r="F11" s="82">
        <f t="shared" si="1"/>
        <v>5</v>
      </c>
      <c r="G11" s="83">
        <f t="shared" si="1"/>
        <v>-4</v>
      </c>
      <c r="H11" s="71"/>
      <c r="I11" s="102">
        <v>11</v>
      </c>
      <c r="J11" s="103">
        <v>44368</v>
      </c>
      <c r="K11" s="104" t="s">
        <v>60</v>
      </c>
      <c r="L11" s="100">
        <v>2</v>
      </c>
      <c r="M11" s="101">
        <v>0</v>
      </c>
      <c r="N11" s="102" t="s">
        <v>57</v>
      </c>
      <c r="O11" s="91" t="str">
        <f t="shared" si="2"/>
        <v>Uruguay_Chile</v>
      </c>
      <c r="P11" s="50">
        <f t="shared" si="0"/>
        <v>3</v>
      </c>
      <c r="Q11" s="50">
        <f t="shared" si="3"/>
        <v>0</v>
      </c>
      <c r="R11" s="50" t="str">
        <f t="shared" si="4"/>
        <v>Uruguay</v>
      </c>
      <c r="T11" s="50">
        <f>_xlfn.RANK.EQ(AH11,AH$7:AH$11,1)</f>
        <v>2</v>
      </c>
      <c r="U11" s="50" t="s">
        <v>60</v>
      </c>
      <c r="V11" s="50">
        <f>SUMIF($K$7:$K$16,U11,$P$7:$P$16)+SUMIF($N$7:$N$16,U11,$Q$7:$Q$16)</f>
        <v>10</v>
      </c>
      <c r="W11" s="50">
        <f t="shared" si="9"/>
        <v>4</v>
      </c>
      <c r="X11" s="50">
        <f>SUMIF($K$7:$K$16,U11,$L$7:$L$16)+SUMIF($N$7:$N$16,U11,$M$7:$M$16)</f>
        <v>7</v>
      </c>
      <c r="Y11" s="50">
        <f>SUMIF($K$7:$K$16,U11,$M$7:$M$16)+SUMIF($N$7:$N$16,U11,$L$7:$L$16)</f>
        <v>3</v>
      </c>
      <c r="AB11" s="50" t="str">
        <f t="shared" si="5"/>
        <v>Uruguay</v>
      </c>
      <c r="AC11" s="50" t="str">
        <f>IF(AF11=AF7,AB7,IF(AF11=AF8,AB8,IF(AF11=AF9,AB9,IF(AF11=AF10,AB10,""))))</f>
        <v/>
      </c>
      <c r="AD11" s="50" t="str">
        <f>IF(AC11="","",IFERROR(VLOOKUP(CONCATENATE(AB11,"_",AC11),$O$7:$R$16,4,FALSE),VLOOKUP(CONCATENATE(AC11,"_",AB11),$O$7:$R$16,4,FALSE)))</f>
        <v/>
      </c>
      <c r="AE11" s="50">
        <f t="shared" si="6"/>
        <v>1</v>
      </c>
      <c r="AF11" s="50">
        <f t="shared" si="7"/>
        <v>-100040700</v>
      </c>
      <c r="AG11" s="50">
        <f t="shared" si="8"/>
        <v>-100040710</v>
      </c>
      <c r="AH11" s="50">
        <f>AG11+N27</f>
        <v>-100040707</v>
      </c>
    </row>
    <row r="12" ht="15.75" spans="2:18">
      <c r="B12" s="84">
        <v>5</v>
      </c>
      <c r="C12" s="85" t="str">
        <f t="shared" si="1"/>
        <v>Bolivia</v>
      </c>
      <c r="D12" s="86">
        <f t="shared" si="1"/>
        <v>1</v>
      </c>
      <c r="E12" s="86">
        <f t="shared" si="1"/>
        <v>0</v>
      </c>
      <c r="F12" s="86">
        <f t="shared" si="1"/>
        <v>6</v>
      </c>
      <c r="G12" s="87">
        <f t="shared" si="1"/>
        <v>-6</v>
      </c>
      <c r="H12" s="71"/>
      <c r="I12" s="105">
        <v>12</v>
      </c>
      <c r="J12" s="106">
        <v>44368</v>
      </c>
      <c r="K12" s="107" t="s">
        <v>8</v>
      </c>
      <c r="L12" s="108">
        <v>2</v>
      </c>
      <c r="M12" s="109">
        <v>0</v>
      </c>
      <c r="N12" s="105" t="s">
        <v>58</v>
      </c>
      <c r="O12" s="91" t="str">
        <f t="shared" si="2"/>
        <v>Argentina_Paraguay</v>
      </c>
      <c r="P12" s="50">
        <f t="shared" si="0"/>
        <v>3</v>
      </c>
      <c r="Q12" s="50">
        <f t="shared" si="3"/>
        <v>0</v>
      </c>
      <c r="R12" s="50" t="str">
        <f t="shared" si="4"/>
        <v>Argentina</v>
      </c>
    </row>
    <row r="13" spans="9:18">
      <c r="I13" s="110">
        <v>15</v>
      </c>
      <c r="J13" s="111">
        <v>44371</v>
      </c>
      <c r="K13" s="112" t="s">
        <v>59</v>
      </c>
      <c r="L13" s="108">
        <v>0</v>
      </c>
      <c r="M13" s="109">
        <v>1</v>
      </c>
      <c r="N13" s="110" t="s">
        <v>60</v>
      </c>
      <c r="O13" s="91" t="str">
        <f t="shared" si="2"/>
        <v>Bolivia_Uruguay</v>
      </c>
      <c r="P13" s="50">
        <f t="shared" si="0"/>
        <v>0</v>
      </c>
      <c r="Q13" s="50">
        <f t="shared" si="3"/>
        <v>3</v>
      </c>
      <c r="R13" s="50" t="str">
        <f t="shared" si="4"/>
        <v>Uruguay</v>
      </c>
    </row>
    <row r="14" spans="9:18">
      <c r="I14" s="105">
        <v>16</v>
      </c>
      <c r="J14" s="106">
        <v>44371</v>
      </c>
      <c r="K14" s="107" t="s">
        <v>57</v>
      </c>
      <c r="L14" s="108">
        <v>1</v>
      </c>
      <c r="M14" s="109">
        <v>0</v>
      </c>
      <c r="N14" s="105" t="s">
        <v>58</v>
      </c>
      <c r="O14" s="91" t="str">
        <f t="shared" si="2"/>
        <v>Chile_Paraguay</v>
      </c>
      <c r="P14" s="50">
        <f t="shared" si="0"/>
        <v>3</v>
      </c>
      <c r="Q14" s="50">
        <f t="shared" si="3"/>
        <v>0</v>
      </c>
      <c r="R14" s="50" t="str">
        <f t="shared" si="4"/>
        <v>Chile</v>
      </c>
    </row>
    <row r="15" spans="9:18">
      <c r="I15" s="110">
        <v>19</v>
      </c>
      <c r="J15" s="111">
        <v>44375</v>
      </c>
      <c r="K15" s="112" t="s">
        <v>60</v>
      </c>
      <c r="L15" s="108">
        <v>2</v>
      </c>
      <c r="M15" s="109">
        <v>1</v>
      </c>
      <c r="N15" s="110" t="s">
        <v>58</v>
      </c>
      <c r="O15" s="91" t="str">
        <f t="shared" si="2"/>
        <v>Uruguay_Paraguay</v>
      </c>
      <c r="P15" s="50">
        <f t="shared" si="0"/>
        <v>3</v>
      </c>
      <c r="Q15" s="50">
        <f t="shared" si="3"/>
        <v>0</v>
      </c>
      <c r="R15" s="50" t="str">
        <f t="shared" si="4"/>
        <v>Uruguay</v>
      </c>
    </row>
    <row r="16" ht="15.75" spans="9:18">
      <c r="I16" s="113">
        <v>20</v>
      </c>
      <c r="J16" s="114">
        <v>44375</v>
      </c>
      <c r="K16" s="115" t="s">
        <v>8</v>
      </c>
      <c r="L16" s="116">
        <v>3</v>
      </c>
      <c r="M16" s="117">
        <v>0</v>
      </c>
      <c r="N16" s="113" t="s">
        <v>59</v>
      </c>
      <c r="O16" s="91" t="str">
        <f t="shared" si="2"/>
        <v>Argentina_Bolivia</v>
      </c>
      <c r="P16" s="50">
        <f t="shared" si="0"/>
        <v>3</v>
      </c>
      <c r="Q16" s="50">
        <f t="shared" si="3"/>
        <v>0</v>
      </c>
      <c r="R16" s="50" t="str">
        <f t="shared" si="4"/>
        <v>Argentina</v>
      </c>
    </row>
    <row r="21" ht="15.75"/>
    <row r="22" ht="15.75" spans="2:14">
      <c r="B22" s="20" t="s">
        <v>49</v>
      </c>
      <c r="C22" s="21"/>
      <c r="D22" s="21"/>
      <c r="E22" s="21"/>
      <c r="F22" s="21"/>
      <c r="G22" s="21"/>
      <c r="H22" s="46"/>
      <c r="I22" s="50">
        <v>1</v>
      </c>
      <c r="J22" s="118" t="s">
        <v>50</v>
      </c>
      <c r="K22" s="119"/>
      <c r="L22" s="119"/>
      <c r="M22" s="120"/>
      <c r="N22" s="71"/>
    </row>
    <row r="23" spans="2:14">
      <c r="B23" s="24" t="s">
        <v>51</v>
      </c>
      <c r="C23" s="25"/>
      <c r="D23" s="25"/>
      <c r="E23" s="25"/>
      <c r="F23" s="25"/>
      <c r="G23" s="25"/>
      <c r="H23" s="47"/>
      <c r="I23" s="50">
        <f>IF(J23="",0,1)</f>
        <v>1</v>
      </c>
      <c r="J23" s="38" t="s">
        <v>8</v>
      </c>
      <c r="K23" s="121"/>
      <c r="L23" s="39"/>
      <c r="M23" s="122">
        <v>1</v>
      </c>
      <c r="N23">
        <f>IF(J23="",0,M23)</f>
        <v>1</v>
      </c>
    </row>
    <row r="24" spans="2:14">
      <c r="B24" s="24" t="s">
        <v>52</v>
      </c>
      <c r="C24" s="25"/>
      <c r="D24" s="25"/>
      <c r="E24" s="25"/>
      <c r="F24" s="25"/>
      <c r="G24" s="25"/>
      <c r="H24" s="47"/>
      <c r="I24" s="50">
        <f t="shared" ref="I24:I27" si="10">IF(J24="",0,1)</f>
        <v>1</v>
      </c>
      <c r="J24" s="123" t="s">
        <v>59</v>
      </c>
      <c r="K24" s="124"/>
      <c r="L24" s="125"/>
      <c r="M24" s="126">
        <v>5</v>
      </c>
      <c r="N24">
        <f>IF(J24="",0,M24)</f>
        <v>5</v>
      </c>
    </row>
    <row r="25" spans="2:14">
      <c r="B25" s="24" t="s">
        <v>53</v>
      </c>
      <c r="C25" s="25"/>
      <c r="D25" s="25"/>
      <c r="E25" s="25"/>
      <c r="F25" s="25"/>
      <c r="G25" s="25"/>
      <c r="H25" s="47"/>
      <c r="I25" s="50">
        <f t="shared" si="10"/>
        <v>1</v>
      </c>
      <c r="J25" s="123" t="s">
        <v>57</v>
      </c>
      <c r="K25" s="124"/>
      <c r="L25" s="125"/>
      <c r="M25" s="126">
        <v>2</v>
      </c>
      <c r="N25">
        <f>IF(J25="",0,M25)</f>
        <v>2</v>
      </c>
    </row>
    <row r="26" spans="2:14">
      <c r="B26" s="24" t="s">
        <v>54</v>
      </c>
      <c r="C26" s="25"/>
      <c r="D26" s="25"/>
      <c r="E26" s="25"/>
      <c r="F26" s="25"/>
      <c r="G26" s="25"/>
      <c r="H26" s="47"/>
      <c r="I26" s="50">
        <f t="shared" si="10"/>
        <v>1</v>
      </c>
      <c r="J26" s="123" t="s">
        <v>58</v>
      </c>
      <c r="K26" s="124"/>
      <c r="L26" s="125"/>
      <c r="M26" s="126">
        <v>4</v>
      </c>
      <c r="N26">
        <f>IF(J26="",0,M26)</f>
        <v>4</v>
      </c>
    </row>
    <row r="27" ht="15.75" spans="2:14">
      <c r="B27" s="24" t="s">
        <v>55</v>
      </c>
      <c r="C27" s="25"/>
      <c r="D27" s="25"/>
      <c r="E27" s="25"/>
      <c r="F27" s="25"/>
      <c r="G27" s="25"/>
      <c r="H27" s="47"/>
      <c r="I27" s="50">
        <f t="shared" si="10"/>
        <v>1</v>
      </c>
      <c r="J27" s="43" t="s">
        <v>60</v>
      </c>
      <c r="K27" s="127"/>
      <c r="L27" s="44"/>
      <c r="M27" s="128">
        <v>3</v>
      </c>
      <c r="N27">
        <f>IF(J27="",0,M27)</f>
        <v>3</v>
      </c>
    </row>
    <row r="28" ht="15.75" spans="2:8">
      <c r="B28" s="29"/>
      <c r="C28" s="30"/>
      <c r="D28" s="30"/>
      <c r="E28" s="30"/>
      <c r="F28" s="30"/>
      <c r="G28" s="30"/>
      <c r="H28" s="48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B6:G6"/>
    <mergeCell ref="K6:N6"/>
    <mergeCell ref="J22:M22"/>
    <mergeCell ref="J23:L23"/>
    <mergeCell ref="J24:L24"/>
    <mergeCell ref="J25:L25"/>
    <mergeCell ref="J26:L26"/>
    <mergeCell ref="J27:L27"/>
    <mergeCell ref="B3:G4"/>
  </mergeCells>
  <conditionalFormatting sqref="M25:N25">
    <cfRule type="expression" dxfId="0" priority="4">
      <formula>J25=""</formula>
    </cfRule>
  </conditionalFormatting>
  <conditionalFormatting sqref="M27:N27">
    <cfRule type="expression" dxfId="0" priority="3">
      <formula>J27=""</formula>
    </cfRule>
  </conditionalFormatting>
  <conditionalFormatting sqref="B22:B27">
    <cfRule type="expression" dxfId="1" priority="1">
      <formula>OR($I$22=0,AND($J$20="",$J$21="",$J$22="",$J$23=""))</formula>
    </cfRule>
  </conditionalFormatting>
  <conditionalFormatting sqref="B28:H28;J22:N22;M23:N27;C22:H27">
    <cfRule type="expression" dxfId="1" priority="7">
      <formula>OR($I$22=0,AND($J$20="",$J$21="",$J$22="",$J$23=""))</formula>
    </cfRule>
  </conditionalFormatting>
  <conditionalFormatting sqref="J23:L27">
    <cfRule type="expression" dxfId="1" priority="2">
      <formula>OR($I$22=0,AND($J$20="",$J$21="",$J$22="",$J$23=""))</formula>
    </cfRule>
  </conditionalFormatting>
  <conditionalFormatting sqref="M23:N27">
    <cfRule type="expression" dxfId="0" priority="6">
      <formula>J23=""</formula>
    </cfRule>
  </conditionalFormatting>
  <conditionalFormatting sqref="M24:N26">
    <cfRule type="expression" dxfId="0" priority="5">
      <formula>J24=""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Q24"/>
  <sheetViews>
    <sheetView showGridLines="0" tabSelected="1" zoomScale="55" zoomScaleNormal="55" workbookViewId="0">
      <selection activeCell="M24" sqref="M24"/>
    </sheetView>
  </sheetViews>
  <sheetFormatPr defaultColWidth="11" defaultRowHeight="15"/>
  <cols>
    <col min="1" max="2" width="11.4285714285714"/>
    <col min="3" max="3" width="11.2857142857143" customWidth="1"/>
    <col min="4" max="4" width="9.14285714285714" customWidth="1"/>
    <col min="5" max="8" width="11.4285714285714"/>
    <col min="9" max="9" width="9.14285714285714" customWidth="1"/>
    <col min="10" max="13" width="11.4285714285714"/>
    <col min="14" max="14" width="9.14285714285714" customWidth="1"/>
    <col min="15" max="16" width="11.4285714285714"/>
    <col min="17" max="17" width="16.8571428571429" customWidth="1"/>
    <col min="18" max="16384" width="11.4285714285714"/>
  </cols>
  <sheetData>
    <row r="2" ht="15.75"/>
    <row r="3" ht="15.75" spans="2:4">
      <c r="B3" s="1" t="s">
        <v>61</v>
      </c>
      <c r="C3" s="2"/>
      <c r="D3" s="3"/>
    </row>
    <row r="4" ht="15.75"/>
    <row r="5" ht="15.75" spans="7:9">
      <c r="G5" s="1" t="s">
        <v>62</v>
      </c>
      <c r="H5" s="2"/>
      <c r="I5" s="3"/>
    </row>
    <row r="6" ht="15.75" spans="2:4">
      <c r="B6" s="4">
        <v>24</v>
      </c>
      <c r="C6" s="5" t="s">
        <v>63</v>
      </c>
      <c r="D6" s="6" t="s">
        <v>64</v>
      </c>
    </row>
    <row r="7" spans="2:43">
      <c r="B7" s="7" t="str">
        <f>'Grupo B'!C8</f>
        <v>Argentina</v>
      </c>
      <c r="C7" s="8">
        <v>2</v>
      </c>
      <c r="D7" s="9"/>
      <c r="S7" s="19">
        <v>1</v>
      </c>
      <c r="T7" s="19" t="s">
        <v>65</v>
      </c>
      <c r="U7" s="19" t="s">
        <v>45</v>
      </c>
      <c r="V7" s="19">
        <v>5</v>
      </c>
      <c r="W7" s="19">
        <v>2</v>
      </c>
      <c r="X7" s="19">
        <v>2</v>
      </c>
      <c r="Y7" s="19">
        <v>0</v>
      </c>
      <c r="Z7" s="19"/>
      <c r="AA7" s="19"/>
      <c r="AB7" s="19">
        <v>1</v>
      </c>
      <c r="AC7" s="19">
        <v>1</v>
      </c>
      <c r="AD7" s="19">
        <v>3</v>
      </c>
      <c r="AE7" s="19">
        <v>1</v>
      </c>
      <c r="AF7" s="19">
        <v>1</v>
      </c>
      <c r="AG7" s="19"/>
      <c r="AH7" s="19">
        <v>1</v>
      </c>
      <c r="AI7" s="19">
        <v>1</v>
      </c>
      <c r="AJ7" s="19">
        <v>1</v>
      </c>
      <c r="AK7" s="19">
        <v>4</v>
      </c>
      <c r="AL7" s="19">
        <v>1</v>
      </c>
      <c r="AM7" s="19"/>
      <c r="AN7" s="19"/>
      <c r="AO7" s="19"/>
      <c r="AP7" s="19"/>
      <c r="AQ7" s="19"/>
    </row>
    <row r="8" spans="2:43">
      <c r="B8" s="10" t="str">
        <f>'Grupo A'!C11</f>
        <v>Peru</v>
      </c>
      <c r="C8" s="11">
        <v>0</v>
      </c>
      <c r="D8" s="12"/>
      <c r="E8" s="13"/>
      <c r="G8" s="4">
        <v>26</v>
      </c>
      <c r="H8" s="5" t="s">
        <v>63</v>
      </c>
      <c r="I8" s="6" t="s">
        <v>64</v>
      </c>
      <c r="S8" s="19">
        <v>2</v>
      </c>
      <c r="T8" s="19" t="s">
        <v>66</v>
      </c>
      <c r="U8" s="19" t="s">
        <v>58</v>
      </c>
      <c r="V8" s="19">
        <v>2</v>
      </c>
      <c r="W8" s="19">
        <v>-2</v>
      </c>
      <c r="X8" s="19">
        <v>3</v>
      </c>
      <c r="Y8" s="19">
        <v>5</v>
      </c>
      <c r="Z8" s="19"/>
      <c r="AA8" s="19"/>
      <c r="AB8" s="19">
        <v>2</v>
      </c>
      <c r="AC8" s="19">
        <v>2</v>
      </c>
      <c r="AD8" s="19">
        <v>1</v>
      </c>
      <c r="AE8" s="19">
        <v>2</v>
      </c>
      <c r="AF8" s="19">
        <v>2</v>
      </c>
      <c r="AG8" s="19"/>
      <c r="AH8" s="19">
        <v>2</v>
      </c>
      <c r="AI8" s="19">
        <v>2</v>
      </c>
      <c r="AJ8" s="19">
        <v>2</v>
      </c>
      <c r="AK8" s="19">
        <v>8</v>
      </c>
      <c r="AL8" s="19">
        <v>2</v>
      </c>
      <c r="AM8" s="19"/>
      <c r="AN8" s="19"/>
      <c r="AO8" s="19"/>
      <c r="AP8" s="19"/>
      <c r="AQ8" s="19"/>
    </row>
    <row r="9" ht="15.75" spans="5:43">
      <c r="E9" s="14"/>
      <c r="G9" s="7" t="str">
        <f>IF(C8&gt;C7,B8,IF(C7&gt;C8,B7,IF(D8&gt;D7,B8,IF(D7&gt;D8,B7,""))))</f>
        <v>Argentina</v>
      </c>
      <c r="H9" s="8">
        <v>2</v>
      </c>
      <c r="I9" s="9">
        <v>3</v>
      </c>
      <c r="L9" s="1" t="s">
        <v>67</v>
      </c>
      <c r="M9" s="2"/>
      <c r="N9" s="3"/>
      <c r="S9" s="19">
        <v>3</v>
      </c>
      <c r="T9" s="19" t="s">
        <v>68</v>
      </c>
      <c r="U9" s="19" t="s">
        <v>69</v>
      </c>
      <c r="V9" s="19">
        <v>2</v>
      </c>
      <c r="W9" s="19">
        <v>-4</v>
      </c>
      <c r="X9" s="19">
        <v>3</v>
      </c>
      <c r="Y9" s="19">
        <v>7</v>
      </c>
      <c r="Z9" s="19"/>
      <c r="AA9" s="19"/>
      <c r="AB9" s="19">
        <v>2</v>
      </c>
      <c r="AC9" s="19">
        <v>3</v>
      </c>
      <c r="AD9" s="19">
        <v>1</v>
      </c>
      <c r="AE9" s="19">
        <v>2.1</v>
      </c>
      <c r="AF9" s="19">
        <v>2.1</v>
      </c>
      <c r="AG9" s="19"/>
      <c r="AH9" s="19">
        <v>3</v>
      </c>
      <c r="AI9" s="19">
        <v>3</v>
      </c>
      <c r="AJ9" s="19">
        <v>3</v>
      </c>
      <c r="AK9" s="19">
        <v>12</v>
      </c>
      <c r="AL9" s="19">
        <v>3</v>
      </c>
      <c r="AM9" s="19"/>
      <c r="AN9" s="19"/>
      <c r="AO9" s="19"/>
      <c r="AP9" s="19"/>
      <c r="AQ9" s="19"/>
    </row>
    <row r="10" ht="15.75" spans="2:10">
      <c r="B10" s="4">
        <v>23</v>
      </c>
      <c r="C10" s="5" t="s">
        <v>63</v>
      </c>
      <c r="D10" s="6" t="s">
        <v>64</v>
      </c>
      <c r="E10" s="15"/>
      <c r="F10" s="16"/>
      <c r="G10" s="10" t="str">
        <f>IF(C12&gt;C11,B12,IF(C11&gt;C12,B11,IF(D12&gt;D11,B12,IF(D11&gt;D12,B11,""))))</f>
        <v>Uruguay</v>
      </c>
      <c r="H10" s="11">
        <v>2</v>
      </c>
      <c r="I10" s="12">
        <v>5</v>
      </c>
      <c r="J10" s="13"/>
    </row>
    <row r="11" ht="15.75" spans="2:10">
      <c r="B11" s="7" t="str">
        <f>'Grupo B'!C9</f>
        <v>Uruguay</v>
      </c>
      <c r="C11" s="8">
        <v>1</v>
      </c>
      <c r="D11" s="9">
        <v>4</v>
      </c>
      <c r="E11" s="17"/>
      <c r="J11" s="14"/>
    </row>
    <row r="12" ht="15.75" spans="2:14">
      <c r="B12" s="10" t="str">
        <f>'Grupo A'!C10</f>
        <v>Ecuador</v>
      </c>
      <c r="C12" s="11">
        <v>1</v>
      </c>
      <c r="D12" s="12">
        <v>2</v>
      </c>
      <c r="E12" s="18"/>
      <c r="J12" s="14"/>
      <c r="L12" s="4">
        <v>28</v>
      </c>
      <c r="M12" s="5" t="s">
        <v>63</v>
      </c>
      <c r="N12" s="6" t="s">
        <v>64</v>
      </c>
    </row>
    <row r="13" spans="10:14">
      <c r="J13" s="14"/>
      <c r="L13" s="7" t="str">
        <f>IF(H10&gt;H9,G10,IF(H9&gt;H10,G9,IF(I10&gt;I9,G10,IF(I9&gt;I10,G9,""))))</f>
        <v>Uruguay</v>
      </c>
      <c r="M13" s="8">
        <v>2</v>
      </c>
      <c r="N13" s="9"/>
    </row>
    <row r="14" spans="2:14">
      <c r="B14" s="4">
        <v>21</v>
      </c>
      <c r="C14" s="5" t="s">
        <v>63</v>
      </c>
      <c r="D14" s="6" t="s">
        <v>64</v>
      </c>
      <c r="J14" s="14"/>
      <c r="K14" s="16"/>
      <c r="L14" s="10" t="str">
        <f>IF(H18&gt;H17,G18,IF(H17&gt;H18,G17,IF(I18&gt;I17,G18,IF(I17&gt;I18,G17,""))))</f>
        <v>Brasil</v>
      </c>
      <c r="M14" s="11">
        <v>1</v>
      </c>
      <c r="N14" s="12"/>
    </row>
    <row r="15" ht="15.75" spans="2:26">
      <c r="B15" s="7" t="str">
        <f>'Grupo A'!C9</f>
        <v>Colombia</v>
      </c>
      <c r="C15" s="8">
        <v>1</v>
      </c>
      <c r="D15" s="9"/>
      <c r="J15" s="14"/>
      <c r="U15" s="20" t="s">
        <v>70</v>
      </c>
      <c r="V15" s="21"/>
      <c r="W15" s="21"/>
      <c r="X15" s="21"/>
      <c r="Y15" s="21"/>
      <c r="Z15" s="46"/>
    </row>
    <row r="16" spans="2:26">
      <c r="B16" s="10" t="str">
        <f>'Grupo B'!C10</f>
        <v>Chile</v>
      </c>
      <c r="C16" s="11">
        <v>2</v>
      </c>
      <c r="D16" s="12"/>
      <c r="E16" s="13"/>
      <c r="G16" s="4">
        <v>25</v>
      </c>
      <c r="H16" s="5" t="s">
        <v>63</v>
      </c>
      <c r="I16" s="6" t="s">
        <v>64</v>
      </c>
      <c r="J16" s="14"/>
      <c r="Q16" s="22" t="s">
        <v>71</v>
      </c>
      <c r="R16" s="23"/>
      <c r="U16" s="24" t="s">
        <v>72</v>
      </c>
      <c r="V16" s="25"/>
      <c r="W16" s="25"/>
      <c r="X16" s="25"/>
      <c r="Y16" s="25"/>
      <c r="Z16" s="47"/>
    </row>
    <row r="17" spans="5:26">
      <c r="E17" s="14"/>
      <c r="G17" s="7" t="str">
        <f>IF(C16&gt;C15,B16,IF(C15&gt;C16,B15,IF(D16&gt;D15,B16,IF(D15&gt;D16,B15,""))))</f>
        <v>Chile</v>
      </c>
      <c r="H17" s="8">
        <v>1</v>
      </c>
      <c r="I17" s="9"/>
      <c r="J17" s="17"/>
      <c r="Q17" s="7" t="s">
        <v>73</v>
      </c>
      <c r="R17" s="26" t="str">
        <f>IF(M13&gt;M14,L13,IF(M14&gt;M13,L14,IF(N13&gt;N14,L13,IF(N14&gt;N13,L14,""))))</f>
        <v>Uruguay</v>
      </c>
      <c r="U17" s="24" t="s">
        <v>74</v>
      </c>
      <c r="V17" s="25"/>
      <c r="W17" s="25"/>
      <c r="X17" s="25"/>
      <c r="Y17" s="25"/>
      <c r="Z17" s="47"/>
    </row>
    <row r="18" spans="2:26">
      <c r="B18" s="4">
        <v>22</v>
      </c>
      <c r="C18" s="5" t="s">
        <v>63</v>
      </c>
      <c r="D18" s="6" t="s">
        <v>64</v>
      </c>
      <c r="E18" s="15"/>
      <c r="F18" s="16"/>
      <c r="G18" s="10" t="str">
        <f>IF(C20&gt;C19,B20,IF(C19&gt;C20,B19,IF(D20&gt;D19,B20,IF(D19&gt;D20,B19,""))))</f>
        <v>Brasil</v>
      </c>
      <c r="H18" s="11">
        <v>2</v>
      </c>
      <c r="I18" s="12"/>
      <c r="L18" s="1" t="s">
        <v>75</v>
      </c>
      <c r="M18" s="2"/>
      <c r="N18" s="3"/>
      <c r="Q18" s="27" t="s">
        <v>76</v>
      </c>
      <c r="R18" s="28" t="str">
        <f>IF(R17=L13,L14,IF(R17=L14,L13,""))</f>
        <v>Brasil</v>
      </c>
      <c r="U18" s="29" t="s">
        <v>77</v>
      </c>
      <c r="V18" s="30"/>
      <c r="W18" s="30"/>
      <c r="X18" s="30"/>
      <c r="Y18" s="30"/>
      <c r="Z18" s="48"/>
    </row>
    <row r="19" spans="2:18">
      <c r="B19" s="7" t="str">
        <f>'Grupo A'!C8</f>
        <v>Brasil</v>
      </c>
      <c r="C19" s="8">
        <v>3</v>
      </c>
      <c r="D19" s="9"/>
      <c r="E19" s="17"/>
      <c r="Q19" s="10" t="s">
        <v>78</v>
      </c>
      <c r="R19" s="31" t="str">
        <f>IF(M22&gt;M23,L22,IF(M23&gt;M22,L23,IF(N22&gt;N23,L22,IF(N23&gt;N22,L23,""))))</f>
        <v>Chile</v>
      </c>
    </row>
    <row r="20" spans="2:23">
      <c r="B20" s="10" t="str">
        <f>'Grupo B'!C11</f>
        <v>Paraguay</v>
      </c>
      <c r="C20" s="11">
        <v>1</v>
      </c>
      <c r="D20" s="12"/>
      <c r="E20" s="18"/>
      <c r="U20" s="32" t="s">
        <v>79</v>
      </c>
      <c r="V20" s="33"/>
      <c r="W20" s="34"/>
    </row>
    <row r="21" ht="15.75" spans="12:23">
      <c r="L21" s="4">
        <v>27</v>
      </c>
      <c r="M21" s="5" t="s">
        <v>63</v>
      </c>
      <c r="N21" s="6" t="s">
        <v>64</v>
      </c>
      <c r="U21" s="35" t="s">
        <v>80</v>
      </c>
      <c r="V21" s="36"/>
      <c r="W21" s="37"/>
    </row>
    <row r="22" spans="12:23">
      <c r="L22" s="7" t="str">
        <f>IF(L13=G9,G10,IF(L13=G10,G9,""))</f>
        <v>Argentina</v>
      </c>
      <c r="M22" s="8">
        <v>1</v>
      </c>
      <c r="N22" s="9"/>
      <c r="U22" s="38" t="s">
        <v>81</v>
      </c>
      <c r="V22" s="39"/>
      <c r="W22" s="40">
        <v>1</v>
      </c>
    </row>
    <row r="23" spans="12:23">
      <c r="L23" s="10" t="str">
        <f>IF(L14=G17,G18,IF(L14=G18,G17,""))</f>
        <v>Chile</v>
      </c>
      <c r="M23" s="11">
        <v>2</v>
      </c>
      <c r="N23" s="12"/>
      <c r="U23" s="41" t="s">
        <v>81</v>
      </c>
      <c r="V23" s="42"/>
      <c r="W23" s="40">
        <v>2</v>
      </c>
    </row>
    <row r="24" ht="15.75" spans="21:23">
      <c r="U24" s="43" t="s">
        <v>81</v>
      </c>
      <c r="V24" s="44"/>
      <c r="W24" s="45">
        <v>3</v>
      </c>
    </row>
  </sheetData>
  <sheetProtection sheet="1" objects="1" scenarios="1"/>
  <protectedRanges>
    <protectedRange sqref="C7:D8;C11:D12;C15:D16;C19:D20;H9:I10;H17:I18;M13:N14;M22:N23" name="Resultados Play Off"/>
  </protectedRanges>
  <mergeCells count="10">
    <mergeCell ref="B3:D3"/>
    <mergeCell ref="G5:I5"/>
    <mergeCell ref="L9:N9"/>
    <mergeCell ref="Q16:R16"/>
    <mergeCell ref="L18:N18"/>
    <mergeCell ref="U20:W20"/>
    <mergeCell ref="U21:W21"/>
    <mergeCell ref="U22:V22"/>
    <mergeCell ref="U23:V23"/>
    <mergeCell ref="U24:V24"/>
  </mergeCells>
  <conditionalFormatting sqref="D7">
    <cfRule type="expression" dxfId="2" priority="21">
      <formula>$C$7=$C$8</formula>
    </cfRule>
  </conditionalFormatting>
  <conditionalFormatting sqref="D8">
    <cfRule type="expression" dxfId="2" priority="20">
      <formula>$C$7=$C$8</formula>
    </cfRule>
  </conditionalFormatting>
  <conditionalFormatting sqref="I9">
    <cfRule type="expression" dxfId="2" priority="11">
      <formula>H9=H10</formula>
    </cfRule>
  </conditionalFormatting>
  <conditionalFormatting sqref="I10">
    <cfRule type="expression" dxfId="2" priority="10">
      <formula>H9=H10</formula>
    </cfRule>
  </conditionalFormatting>
  <conditionalFormatting sqref="D11">
    <cfRule type="expression" dxfId="2" priority="17">
      <formula>C11=C12</formula>
    </cfRule>
  </conditionalFormatting>
  <conditionalFormatting sqref="D12">
    <cfRule type="expression" dxfId="2" priority="16">
      <formula>C11=C12</formula>
    </cfRule>
  </conditionalFormatting>
  <conditionalFormatting sqref="N13">
    <cfRule type="expression" dxfId="2" priority="7">
      <formula>M13=M14</formula>
    </cfRule>
  </conditionalFormatting>
  <conditionalFormatting sqref="N14">
    <cfRule type="expression" dxfId="2" priority="6">
      <formula>M13=M14</formula>
    </cfRule>
  </conditionalFormatting>
  <conditionalFormatting sqref="D15">
    <cfRule type="expression" dxfId="2" priority="15">
      <formula>C15=C16</formula>
    </cfRule>
  </conditionalFormatting>
  <conditionalFormatting sqref="D16">
    <cfRule type="expression" dxfId="2" priority="14">
      <formula>C15=C16</formula>
    </cfRule>
  </conditionalFormatting>
  <conditionalFormatting sqref="I17">
    <cfRule type="expression" dxfId="2" priority="9">
      <formula>H17=H18</formula>
    </cfRule>
  </conditionalFormatting>
  <conditionalFormatting sqref="I18">
    <cfRule type="expression" dxfId="2" priority="8">
      <formula>H17=H18</formula>
    </cfRule>
  </conditionalFormatting>
  <conditionalFormatting sqref="D19">
    <cfRule type="expression" dxfId="2" priority="13">
      <formula>C19=C20</formula>
    </cfRule>
  </conditionalFormatting>
  <conditionalFormatting sqref="D20">
    <cfRule type="expression" dxfId="2" priority="12">
      <formula>C19=C20</formula>
    </cfRule>
  </conditionalFormatting>
  <conditionalFormatting sqref="N22">
    <cfRule type="expression" dxfId="2" priority="2">
      <formula>M22=M23</formula>
    </cfRule>
  </conditionalFormatting>
  <conditionalFormatting sqref="N23">
    <cfRule type="expression" dxfId="2" priority="1">
      <formula>M22=M23</formula>
    </cfRule>
  </conditionalFormatting>
  <conditionalFormatting sqref="U15:Z24">
    <cfRule type="expression" dxfId="1" priority="5">
      <formula>AND($U$22="",$U$23="",$U$24="")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gusti</cp:lastModifiedBy>
  <dcterms:created xsi:type="dcterms:W3CDTF">2021-05-30T22:13:00Z</dcterms:created>
  <dcterms:modified xsi:type="dcterms:W3CDTF">2021-06-13T17:13:11Z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1033-11.2.0.9669</vt:lpwstr>
  </property>
</Properties>
</file>