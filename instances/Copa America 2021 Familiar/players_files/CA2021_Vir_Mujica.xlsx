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rginiamujica/Downloads/"/>
    </mc:Choice>
  </mc:AlternateContent>
  <xr:revisionPtr revIDLastSave="0" documentId="13_ncr:1_{9BDB4879-D9E0-3E4C-A208-0F34916A62F3}" xr6:coauthVersionLast="47" xr6:coauthVersionMax="47" xr10:uidLastSave="{00000000-0000-0000-0000-000000000000}"/>
  <bookViews>
    <workbookView xWindow="0" yWindow="0" windowWidth="28800" windowHeight="1800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11" i="2" l="1"/>
  <c r="AF7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<sst xmlns="http://schemas.openxmlformats.org/spreadsheetml/2006/main" count="190" uniqueCount="84">
  <si>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</si>
  <si>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</si>
  <si>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</si>
  <si>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</si>
  <si>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</si>
  <si>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</si>
  <si>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</si>
  <si>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</si>
  <si>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</si>
  <si>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</si>
  <si>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</si>
  <si>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</si>
  <si>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</si>
  <si>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</si>
  <si>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</si>
  <si>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</si>
  <si>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</si>
  <si>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</si>
  <si>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</si>
  <si>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</si>
  <si>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</si>
  <si>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</si>
  <si>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</si>
  <si>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</si>
  <si>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</si>
  <si>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</si>
  <si>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</si>
  <si>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</si>
  <si>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</si>
  <si>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</si>
  <si>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</si>
  <si>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</si>
  <si>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</si>
  <si>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</si>
  <si>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</si>
  <si>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</si>
  <si>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</si>
  <si>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</si>
  <si>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</si>
  <si>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</si>
  <si>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</si>
  <si>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</si>
  <si>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</si>
  <si>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</si>
  <si>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</si>
  <si>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</si>
  <si>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</si>
  <si>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</si>
  <si>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</si>
  <si>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</si>
  <si>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</si>
  <si>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</si>
  <si>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</si>
  <si>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</si>
  <si>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</si>
  <si>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</si>
  <si>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</si>
  <si>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</si>
  <si>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</si>
  <si>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</si>
  <si>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</si>
  <si>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</si>
  <si>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</si>
  <si>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</si>
  <si>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</si>
  <si>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</si>
  <si>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</si>
  <si>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</si>
  <si>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</si>
  <si>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</si>
  <si>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</si>
  <si>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</si>
  <si>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</si>
  <si>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</si>
  <si>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</si>
  <si>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</si>
  <si>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</si>
  <si>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</si>
  <si>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</si>
  <si>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</si>
  <si>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</si>
  <si>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Virginia Mujica Tapia</t>
  </si>
  <si>
    <t>v.mujicatapia@gmail.com</t>
  </si>
  <si>
    <t xml:space="preserve">Uruguay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</si>
</sst>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6" sqref="C6:D6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-&gt;","Chelsea")</f>
        <v>Chelsea</v>
      </c>
      <c r="D5" s="99" t="s">
        <v>60</v>
      </c>
      <c r="G5" s="91" t="s">
        <v>60</v>
      </c>
    </row>
    <row r="6" spans="2:7" ht="30.75" customHeight="1" thickBot="1" x14ac:dyDescent="0.25">
      <c r="B6" s="98" t="s">
        <v>80</v>
      </c>
      <c r="C6" s="100" t="s">
        <v>83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4" zoomScale="140" zoomScaleNormal="140" workbookViewId="0">
      <selection activeCell="J22" sqref="J22:M22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10</v>
      </c>
      <c r="X7" s="91">
        <f>SUMIF($K$7:$K$16,U7,$L$7:$L$16) + SUMIF($N$7:$N$16,U7,$M$7:$M$16)</f>
        <v>11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-120101100</v>
      </c>
      <c r="AG7" s="91">
        <f>AF7-AE7*10</f>
        <v>-120101110</v>
      </c>
      <c r="AH7" s="91">
        <f>AG7+N23</f>
        <v>-120101109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11</v>
      </c>
      <c r="F8" s="33">
        <f t="shared" si="1"/>
        <v>1</v>
      </c>
      <c r="G8" s="34">
        <f t="shared" si="1"/>
        <v>10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5</v>
      </c>
      <c r="W8" s="91">
        <f>X8-Y8</f>
        <v>1</v>
      </c>
      <c r="X8" s="91">
        <f>SUMIF($K$7:$K$16,U8,$L$7:$L$16) + SUMIF($N$7:$N$16,U8,$M$7:$M$16)</f>
        <v>5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-50010500</v>
      </c>
      <c r="AG8" s="91">
        <f t="shared" ref="AG8:AG11" si="8">AF8-AE8*10</f>
        <v>-50010510</v>
      </c>
      <c r="AH8" s="91">
        <f>AG8+N24</f>
        <v>-50010508</v>
      </c>
    </row>
    <row r="9" spans="2:35" x14ac:dyDescent="0.2">
      <c r="B9" s="62">
        <v>2</v>
      </c>
      <c r="C9" s="63" t="str">
        <f t="shared" si="1"/>
        <v>Colombia</v>
      </c>
      <c r="D9" s="64">
        <f t="shared" si="1"/>
        <v>5</v>
      </c>
      <c r="E9" s="64">
        <f t="shared" si="1"/>
        <v>5</v>
      </c>
      <c r="F9" s="64">
        <f t="shared" si="1"/>
        <v>4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5</v>
      </c>
      <c r="W9" s="91">
        <f t="shared" ref="W9:W11" si="9">X9-Y9</f>
        <v>-2</v>
      </c>
      <c r="X9" s="91">
        <f>SUMIF($K$7:$K$16,U9,$L$7:$L$16) + SUMIF($N$7:$N$16,U9,$M$7:$M$16)</f>
        <v>2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-49980200</v>
      </c>
      <c r="AG9" s="91">
        <f t="shared" si="8"/>
        <v>-49980210</v>
      </c>
      <c r="AH9" s="91">
        <f>AG9+N25</f>
        <v>-49980207</v>
      </c>
    </row>
    <row r="10" spans="2:35" x14ac:dyDescent="0.2">
      <c r="B10" s="58">
        <v>3</v>
      </c>
      <c r="C10" s="59" t="str">
        <f t="shared" si="1"/>
        <v>Ecuador</v>
      </c>
      <c r="D10" s="60">
        <f t="shared" si="1"/>
        <v>5</v>
      </c>
      <c r="E10" s="60">
        <f t="shared" si="1"/>
        <v>2</v>
      </c>
      <c r="F10" s="60">
        <f t="shared" si="1"/>
        <v>4</v>
      </c>
      <c r="G10" s="61">
        <f t="shared" si="1"/>
        <v>-2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1</v>
      </c>
      <c r="Y10" s="91">
        <f>SUMIF($K$7:$K$16,U10,$M$7:$M$16) + SUMIF($N$7:$N$16,U10,$L$7:$L$16)</f>
        <v>4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-29970100</v>
      </c>
      <c r="AG10" s="91">
        <f t="shared" si="8"/>
        <v>-29970110</v>
      </c>
      <c r="AH10" s="91">
        <f>AG10+N26</f>
        <v>-29970106</v>
      </c>
    </row>
    <row r="11" spans="2:35" x14ac:dyDescent="0.2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1</v>
      </c>
      <c r="F11" s="68">
        <f t="shared" si="1"/>
        <v>4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-6</v>
      </c>
      <c r="X11" s="91">
        <f>SUMIF($K$7:$K$16,U11,$L$7:$L$16) + SUMIF($N$7:$N$16,U11,$M$7:$M$16)</f>
        <v>0</v>
      </c>
      <c r="Y11" s="91">
        <f>SUMIF($K$7:$K$16,U11,$M$7:$M$16) + SUMIF($N$7:$N$16,U11,$L$7:$L$16)</f>
        <v>6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-9940000</v>
      </c>
      <c r="AG11" s="91">
        <f t="shared" si="8"/>
        <v>-9940010</v>
      </c>
      <c r="AH11" s="91">
        <f>AG11+N27</f>
        <v>-9940005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0</v>
      </c>
      <c r="F12" s="56">
        <f t="shared" si="1"/>
        <v>6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0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0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0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2" zoomScale="140" zoomScaleNormal="140" workbookViewId="0">
      <selection activeCell="N16" sqref="N16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9</v>
      </c>
      <c r="W7" s="91">
        <f>X7-Y7</f>
        <v>3</v>
      </c>
      <c r="X7" s="91">
        <f>SUMIF($K$7:$K$16,U7,$L$7:$L$16) + SUMIF($N$7:$N$16,U7,$M$7:$M$16)</f>
        <v>7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-90030700</v>
      </c>
      <c r="AG7" s="91">
        <f>AF7-AE7*10</f>
        <v>-90030710</v>
      </c>
      <c r="AH7" s="91">
        <f>AG7+N23</f>
        <v>-90030709</v>
      </c>
    </row>
    <row r="8" spans="2:34" x14ac:dyDescent="0.2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12</v>
      </c>
      <c r="E8" s="33">
        <f t="shared" si="1"/>
        <v>7</v>
      </c>
      <c r="F8" s="33">
        <f t="shared" si="1"/>
        <v>1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1</v>
      </c>
      <c r="W8" s="91">
        <f>X8-Y8</f>
        <v>-6</v>
      </c>
      <c r="X8" s="91">
        <f>SUMIF($K$7:$K$16,U8,$L$7:$L$16) + SUMIF($N$7:$N$16,U8,$M$7:$M$16)</f>
        <v>1</v>
      </c>
      <c r="Y8" s="91">
        <f>SUMIF($K$7:$K$16,U8,$M$7:$M$16) + SUMIF($N$7:$N$16,U8,$L$7:$L$16)</f>
        <v>7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-9940100</v>
      </c>
      <c r="AG8" s="91">
        <f t="shared" ref="AG8:AG11" si="8">AF8-AE8*10</f>
        <v>-9940110</v>
      </c>
      <c r="AH8" s="91">
        <f>AG8+N24</f>
        <v>-9940105</v>
      </c>
    </row>
    <row r="9" spans="2:34" x14ac:dyDescent="0.2">
      <c r="B9" s="62">
        <v>2</v>
      </c>
      <c r="C9" s="63" t="str">
        <f t="shared" si="1"/>
        <v>Argentina</v>
      </c>
      <c r="D9" s="64">
        <f t="shared" si="1"/>
        <v>9</v>
      </c>
      <c r="E9" s="64">
        <f t="shared" si="1"/>
        <v>7</v>
      </c>
      <c r="F9" s="64">
        <f t="shared" si="1"/>
        <v>4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0</v>
      </c>
      <c r="X9" s="91">
        <f>SUMIF($K$7:$K$16,U9,$L$7:$L$16) + SUMIF($N$7:$N$16,U9,$M$7:$M$16)</f>
        <v>4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-60000400</v>
      </c>
      <c r="AG9" s="91">
        <f t="shared" si="8"/>
        <v>-60000410</v>
      </c>
      <c r="AH9" s="91">
        <f>AG9+N25</f>
        <v>-60000408</v>
      </c>
    </row>
    <row r="10" spans="2:34" x14ac:dyDescent="0.2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4</v>
      </c>
      <c r="F10" s="60">
        <f t="shared" si="1"/>
        <v>4</v>
      </c>
      <c r="G10" s="61">
        <f t="shared" si="1"/>
        <v>0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1</v>
      </c>
      <c r="W10" s="91">
        <f t="shared" si="9"/>
        <v>-3</v>
      </c>
      <c r="X10" s="91">
        <f>SUMIF($K$7:$K$16,U10,$L$7:$L$16) + SUMIF($N$7:$N$16,U10,$M$7:$M$16)</f>
        <v>3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-9970300</v>
      </c>
      <c r="AG10" s="91">
        <f t="shared" si="8"/>
        <v>-9970310</v>
      </c>
      <c r="AH10" s="91">
        <f>AG10+N26</f>
        <v>-9970306</v>
      </c>
    </row>
    <row r="11" spans="2:34" x14ac:dyDescent="0.2">
      <c r="B11" s="66">
        <v>4</v>
      </c>
      <c r="C11" s="67" t="str">
        <f t="shared" si="1"/>
        <v>Paraguay</v>
      </c>
      <c r="D11" s="68">
        <f t="shared" si="1"/>
        <v>1</v>
      </c>
      <c r="E11" s="68">
        <f t="shared" si="1"/>
        <v>3</v>
      </c>
      <c r="F11" s="68">
        <f t="shared" si="1"/>
        <v>6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12</v>
      </c>
      <c r="W11" s="91">
        <f t="shared" si="9"/>
        <v>6</v>
      </c>
      <c r="X11" s="91">
        <f>SUMIF($K$7:$K$16,U11,$L$7:$L$16) + SUMIF($N$7:$N$16,U11,$M$7:$M$16)</f>
        <v>7</v>
      </c>
      <c r="Y11" s="91">
        <f>SUMIF($K$7:$K$16,U11,$M$7:$M$16) + SUMIF($N$7:$N$16,U11,$L$7:$L$16)</f>
        <v>1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-120060700</v>
      </c>
      <c r="AG11" s="91">
        <f t="shared" si="8"/>
        <v>-120060710</v>
      </c>
      <c r="AH11" s="91">
        <f>AG11+N27</f>
        <v>-120060707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f t="shared" si="1"/>
        <v>1</v>
      </c>
      <c r="E12" s="56">
        <f t="shared" si="1"/>
        <v>1</v>
      </c>
      <c r="F12" s="56">
        <f t="shared" si="1"/>
        <v>7</v>
      </c>
      <c r="G12" s="57">
        <f t="shared" si="1"/>
        <v>-6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1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zoomScale="140" zoomScaleNormal="140" workbookViewId="0">
      <selection activeCell="M24" sqref="M24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Uruguay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Peru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Uruguay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0</v>
      </c>
      <c r="I10" s="77"/>
      <c r="J10" s="78"/>
    </row>
    <row r="11" spans="2:43" ht="16" thickBot="1" x14ac:dyDescent="0.25">
      <c r="B11" s="74" t="str">
        <f>'Grupo B'!C9</f>
        <v>Argentina</v>
      </c>
      <c r="C11" s="41">
        <v>2</v>
      </c>
      <c r="D11" s="75"/>
      <c r="E11" s="82"/>
      <c r="J11" s="79"/>
    </row>
    <row r="12" spans="2:43" ht="16" thickBot="1" x14ac:dyDescent="0.25">
      <c r="B12" s="76" t="str">
        <f>'Grupo A'!C10</f>
        <v>Ecuador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Uruguay</v>
      </c>
      <c r="M13" s="41">
        <v>0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6" thickBot="1" x14ac:dyDescent="0.25">
      <c r="B15" s="74" t="str">
        <f>'Grupo A'!C9</f>
        <v>Colombia</v>
      </c>
      <c r="C15" s="41">
        <v>1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Chile</v>
      </c>
      <c r="C16" s="42">
        <v>1</v>
      </c>
      <c r="D16" s="77">
        <v>5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Chile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6" thickBot="1" x14ac:dyDescent="0.25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Argentina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Chile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MUJICA TAPIA VIRGINIA D</cp:lastModifiedBy>
  <dcterms:created xsi:type="dcterms:W3CDTF">2021-05-30T22:13:47Z</dcterms:created>
  <dcterms:modified xsi:type="dcterms:W3CDTF">2021-06-13T00:52:32Z</dcterms:modified>
</cp:coreProperties>
</file>