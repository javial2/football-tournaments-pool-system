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José Antonio\Downloads\"/>
    </mc:Choice>
  </mc:AlternateContent>
  <xr:revisionPtr revIDLastSave="0" documentId="13_ncr:1_{334BB02F-DB4E-4711-A715-4EA2236997A4}" xr6:coauthVersionLast="47" xr6:coauthVersionMax="47" xr10:uidLastSave="{00000000-0000-0000-0000-000000000000}"/>
  <bookViews>
    <workbookView xWindow="-120" yWindow="-120" windowWidth="20730" windowHeight="11160" tabRatio="500" activeTab="1" xr2:uid="{00000000-000D-0000-FFFF-FFFF00000000}"/>
  </bookViews>
  <sheets>
    <sheet name="INFORMACION" sheetId="1" r:id="rId1"/>
    <sheet name="Grupo A" sheetId="2" r:id="rId2"/>
    <sheet name="Grupo B" sheetId="3" r:id="rId3"/>
    <sheet name="Play-Off" sheetId="4" r:id="rId4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" roundtripDataSignature="AMtx7miZixKPui2o8XXKZvUkGF96cjaqqQ=="/>
    </ext>
  </extLst>
</workbook>
</file>

<file path=xl/calcChain.xml><?xml version="1.0" encoding="utf-8"?>
<calcChain xmlns="http://schemas.openxmlformats.org/spreadsheetml/2006/main">
  <c r="P7" i="2" l="1"/>
  <c r="P10" i="2"/>
  <c r="Q10" i="2"/>
  <c r="P14" i="2"/>
  <c r="Q14" i="2"/>
  <c r="P15" i="2"/>
  <c r="Q15" i="2"/>
  <c r="V7" i="2"/>
  <c r="X7" i="2"/>
  <c r="Y7" i="2"/>
  <c r="W7" i="2"/>
  <c r="AF7" i="2"/>
  <c r="P8" i="2"/>
  <c r="P9" i="2"/>
  <c r="P12" i="2"/>
  <c r="V8" i="2"/>
  <c r="X8" i="2"/>
  <c r="Y8" i="2"/>
  <c r="W8" i="2"/>
  <c r="AF8" i="2"/>
  <c r="P13" i="2"/>
  <c r="Q8" i="2"/>
  <c r="P11" i="2"/>
  <c r="Q11" i="2"/>
  <c r="V9" i="2"/>
  <c r="X9" i="2"/>
  <c r="Y9" i="2"/>
  <c r="W9" i="2"/>
  <c r="AF9" i="2"/>
  <c r="Q12" i="2"/>
  <c r="Q13" i="2"/>
  <c r="P16" i="2"/>
  <c r="Q16" i="2"/>
  <c r="V10" i="2"/>
  <c r="X10" i="2"/>
  <c r="Y10" i="2"/>
  <c r="W10" i="2"/>
  <c r="AF10" i="2"/>
  <c r="Q7" i="2"/>
  <c r="Q9" i="2"/>
  <c r="V11" i="2"/>
  <c r="X11" i="2"/>
  <c r="Y11" i="2"/>
  <c r="W11" i="2"/>
  <c r="AF11" i="2"/>
  <c r="AC7" i="2"/>
  <c r="O7" i="2"/>
  <c r="O8" i="2"/>
  <c r="O9" i="2"/>
  <c r="O10" i="2"/>
  <c r="O11" i="2"/>
  <c r="O12" i="2"/>
  <c r="O13" i="2"/>
  <c r="O14" i="2"/>
  <c r="O15" i="2"/>
  <c r="O16" i="2"/>
  <c r="R16" i="2"/>
  <c r="AD7" i="2"/>
  <c r="AE7" i="2"/>
  <c r="AG7" i="2"/>
  <c r="N23" i="2"/>
  <c r="AH7" i="2"/>
  <c r="AC8" i="2"/>
  <c r="R12" i="2"/>
  <c r="AD8" i="2"/>
  <c r="AE8" i="2"/>
  <c r="AG8" i="2"/>
  <c r="N24" i="2"/>
  <c r="AH8" i="2"/>
  <c r="AC9" i="2"/>
  <c r="AD9" i="2"/>
  <c r="AE9" i="2"/>
  <c r="AG9" i="2"/>
  <c r="N25" i="2"/>
  <c r="AH9" i="2"/>
  <c r="AC10" i="2"/>
  <c r="AD10" i="2"/>
  <c r="AE10" i="2"/>
  <c r="AG10" i="2"/>
  <c r="N26" i="2"/>
  <c r="AH10" i="2"/>
  <c r="AC11" i="2"/>
  <c r="AD11" i="2"/>
  <c r="AE11" i="2"/>
  <c r="AG11" i="2"/>
  <c r="N27" i="2"/>
  <c r="AH11" i="2"/>
  <c r="T7" i="2"/>
  <c r="T8" i="2"/>
  <c r="T9" i="2"/>
  <c r="T10" i="2"/>
  <c r="T11" i="2"/>
  <c r="B19" i="4"/>
  <c r="G18" i="4"/>
  <c r="L14" i="4"/>
  <c r="P7" i="3"/>
  <c r="P10" i="3"/>
  <c r="P12" i="3"/>
  <c r="P16" i="3"/>
  <c r="V7" i="3"/>
  <c r="X7" i="3"/>
  <c r="Y7" i="3"/>
  <c r="W7" i="3"/>
  <c r="AF7" i="3"/>
  <c r="P13" i="3"/>
  <c r="P8" i="3"/>
  <c r="Q8" i="3"/>
  <c r="P9" i="3"/>
  <c r="Q9" i="3"/>
  <c r="Q16" i="3"/>
  <c r="V8" i="3"/>
  <c r="X8" i="3"/>
  <c r="Y8" i="3"/>
  <c r="W8" i="3"/>
  <c r="AF8" i="3"/>
  <c r="P14" i="3"/>
  <c r="Q7" i="3"/>
  <c r="P11" i="3"/>
  <c r="Q11" i="3"/>
  <c r="V9" i="3"/>
  <c r="X9" i="3"/>
  <c r="Y9" i="3"/>
  <c r="W9" i="3"/>
  <c r="AF9" i="3"/>
  <c r="Q12" i="3"/>
  <c r="Q14" i="3"/>
  <c r="P15" i="3"/>
  <c r="Q15" i="3"/>
  <c r="V10" i="3"/>
  <c r="X10" i="3"/>
  <c r="Y10" i="3"/>
  <c r="W10" i="3"/>
  <c r="AF10" i="3"/>
  <c r="Q10" i="3"/>
  <c r="Q13" i="3"/>
  <c r="V11" i="3"/>
  <c r="X11" i="3"/>
  <c r="Y11" i="3"/>
  <c r="W11" i="3"/>
  <c r="AF11" i="3"/>
  <c r="AC7" i="3"/>
  <c r="O7" i="3"/>
  <c r="O8" i="3"/>
  <c r="O9" i="3"/>
  <c r="O10" i="3"/>
  <c r="R7" i="3"/>
  <c r="O11" i="3"/>
  <c r="O12" i="3"/>
  <c r="O13" i="3"/>
  <c r="O14" i="3"/>
  <c r="O15" i="3"/>
  <c r="O16" i="3"/>
  <c r="AD7" i="3"/>
  <c r="AE7" i="3"/>
  <c r="AG7" i="3"/>
  <c r="N23" i="3"/>
  <c r="AH7" i="3"/>
  <c r="AC8" i="3"/>
  <c r="R8" i="3"/>
  <c r="AD8" i="3"/>
  <c r="AE8" i="3"/>
  <c r="AG8" i="3"/>
  <c r="N24" i="3"/>
  <c r="AH8" i="3"/>
  <c r="AC9" i="3"/>
  <c r="R11" i="3"/>
  <c r="AD9" i="3"/>
  <c r="AE9" i="3"/>
  <c r="AG9" i="3"/>
  <c r="N25" i="3"/>
  <c r="AH9" i="3"/>
  <c r="AC10" i="3"/>
  <c r="AD10" i="3"/>
  <c r="AE10" i="3"/>
  <c r="AG10" i="3"/>
  <c r="N26" i="3"/>
  <c r="AH10" i="3"/>
  <c r="AC11" i="3"/>
  <c r="AD11" i="3"/>
  <c r="AE11" i="3"/>
  <c r="AG11" i="3"/>
  <c r="N27" i="3"/>
  <c r="AH11" i="3"/>
  <c r="T7" i="3"/>
  <c r="T8" i="3"/>
  <c r="T9" i="3"/>
  <c r="T10" i="3"/>
  <c r="T11" i="3"/>
  <c r="C10" i="3"/>
  <c r="B16" i="4"/>
  <c r="G17" i="4"/>
  <c r="L23" i="4"/>
  <c r="C8" i="3"/>
  <c r="B7" i="4"/>
  <c r="G9" i="4"/>
  <c r="L13" i="4"/>
  <c r="C9" i="3"/>
  <c r="B11" i="4"/>
  <c r="G10" i="4"/>
  <c r="L22" i="4"/>
  <c r="C11" i="3"/>
  <c r="B20" i="4"/>
  <c r="R19" i="4"/>
  <c r="R17" i="4"/>
  <c r="R18" i="4"/>
  <c r="B15" i="4"/>
  <c r="B12" i="4"/>
  <c r="B8" i="4"/>
  <c r="I27" i="3"/>
  <c r="I26" i="3"/>
  <c r="I25" i="3"/>
  <c r="I24" i="3"/>
  <c r="I23" i="3"/>
  <c r="R16" i="3"/>
  <c r="R15" i="3"/>
  <c r="R14" i="3"/>
  <c r="R13" i="3"/>
  <c r="R12" i="3"/>
  <c r="G12" i="3"/>
  <c r="F12" i="3"/>
  <c r="E12" i="3"/>
  <c r="D12" i="3"/>
  <c r="C12" i="3"/>
  <c r="AB11" i="3"/>
  <c r="G11" i="3"/>
  <c r="F11" i="3"/>
  <c r="E11" i="3"/>
  <c r="D11" i="3"/>
  <c r="AB10" i="3"/>
  <c r="R10" i="3"/>
  <c r="G10" i="3"/>
  <c r="F10" i="3"/>
  <c r="E10" i="3"/>
  <c r="D10" i="3"/>
  <c r="AB9" i="3"/>
  <c r="R9" i="3"/>
  <c r="G9" i="3"/>
  <c r="F9" i="3"/>
  <c r="E9" i="3"/>
  <c r="D9" i="3"/>
  <c r="AB8" i="3"/>
  <c r="G8" i="3"/>
  <c r="F8" i="3"/>
  <c r="E8" i="3"/>
  <c r="D8" i="3"/>
  <c r="AB7" i="3"/>
  <c r="I27" i="2"/>
  <c r="I26" i="2"/>
  <c r="I25" i="2"/>
  <c r="I24" i="2"/>
  <c r="I23" i="2"/>
  <c r="R15" i="2"/>
  <c r="R14" i="2"/>
  <c r="R13" i="2"/>
  <c r="AB11" i="2"/>
  <c r="R11" i="2"/>
  <c r="AB10" i="2"/>
  <c r="R10" i="2"/>
  <c r="AB9" i="2"/>
  <c r="R9" i="2"/>
  <c r="AB8" i="2"/>
  <c r="R8" i="2"/>
  <c r="AB7" i="2"/>
  <c r="R7" i="2"/>
  <c r="C5" i="1"/>
</calcChain>
</file>

<file path=xl/sharedStrings.xml><?xml version="1.0" encoding="utf-8"?>
<sst xmlns="http://schemas.openxmlformats.org/spreadsheetml/2006/main" count="195" uniqueCount="83">
  <si>
    <t>Información del Jugador</t>
  </si>
  <si>
    <t>Nombre</t>
  </si>
  <si>
    <t>Mail</t>
  </si>
  <si>
    <t xml:space="preserve">¿Cuál es el mejor equipo del mundo? </t>
  </si>
  <si>
    <t>Chelsea</t>
  </si>
  <si>
    <t>Si no existiera Brasil, quien ganaría la copa?</t>
  </si>
  <si>
    <t>Barcelona</t>
  </si>
  <si>
    <t>PSG</t>
  </si>
  <si>
    <t>Bayern Munich</t>
  </si>
  <si>
    <t>Real Madrid</t>
  </si>
  <si>
    <t>Arsenal</t>
  </si>
  <si>
    <t>Atl. Madrid</t>
  </si>
  <si>
    <t>Liverpool</t>
  </si>
  <si>
    <t>Man United</t>
  </si>
  <si>
    <t>Boca</t>
  </si>
  <si>
    <t>River</t>
  </si>
  <si>
    <t>Santos</t>
  </si>
  <si>
    <t>Independiente</t>
  </si>
  <si>
    <t>Palmeiras</t>
  </si>
  <si>
    <t>Flamengo</t>
  </si>
  <si>
    <t>Juventus</t>
  </si>
  <si>
    <t>Mila</t>
  </si>
  <si>
    <t>Inter</t>
  </si>
  <si>
    <t>Napoli</t>
  </si>
  <si>
    <t>Totti</t>
  </si>
  <si>
    <t>GRUPO A</t>
  </si>
  <si>
    <t>Tabla de Posiciones</t>
  </si>
  <si>
    <t>Fecha</t>
  </si>
  <si>
    <t>Partidos</t>
  </si>
  <si>
    <t>Ganador</t>
  </si>
  <si>
    <t>Orden</t>
  </si>
  <si>
    <t>Equipo</t>
  </si>
  <si>
    <t>Puntos</t>
  </si>
  <si>
    <t>DG</t>
  </si>
  <si>
    <t>GF</t>
  </si>
  <si>
    <t>GC</t>
  </si>
  <si>
    <t>Empatado Con</t>
  </si>
  <si>
    <t xml:space="preserve">Ganador? </t>
  </si>
  <si>
    <t>Formula Rank</t>
  </si>
  <si>
    <t>Formula Rank Con Duelo Directo</t>
  </si>
  <si>
    <t>Formula Rank Con Prioridad</t>
  </si>
  <si>
    <t>Posición</t>
  </si>
  <si>
    <t>Brasil</t>
  </si>
  <si>
    <t>Venezuela</t>
  </si>
  <si>
    <t>Colombia</t>
  </si>
  <si>
    <t>Ecuador</t>
  </si>
  <si>
    <t>Peru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</si>
  <si>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</si>
  <si>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</si>
  <si>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</si>
  <si>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</si>
  <si>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</si>
  <si>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</si>
  <si>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</si>
  <si>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</si>
  <si>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Argentina</t>
  </si>
  <si>
    <t>Chile</t>
  </si>
  <si>
    <t>Paraguay</t>
  </si>
  <si>
    <t>Bolivia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</si>
  <si>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</si>
  <si>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</si>
  <si>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</si>
  <si>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</si>
  <si>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</si>
  <si>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</si>
  <si>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</si>
  <si>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</si>
  <si>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</si>
  <si>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Japon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</si>
  <si>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</si>
  <si>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</si>
  <si>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</si>
  <si>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</si>
  <si>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</si>
  <si>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</si>
  <si>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</si>
  <si>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</si>
  <si>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</si>
  <si>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</si>
  <si>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</si>
  <si>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 xml:space="preserve">Uruguay </t>
  </si>
  <si>
    <t>Carlota Ried</t>
  </si>
  <si>
    <t>carlotaried@gmail.com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</si>
</sst>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</font>
    <font>
      <sz val="11"/>
      <color theme="0"/>
      <name val="Calibri"/>
      <family val="2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rgb="FFFFFFFF"/>
      <name val="Calibri"/>
      <family val="2"/>
    </font>
    <font>
      <sz val="2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00FF00"/>
        <bgColor rgb="FF00FF00"/>
      </patternFill>
    </fill>
    <fill>
      <patternFill patternType="solid">
        <fgColor rgb="FF92D050"/>
        <bgColor rgb="FF92D05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BDD6EE"/>
        <bgColor rgb="FFBDD6EE"/>
      </patternFill>
    </fill>
    <fill>
      <patternFill patternType="solid">
        <fgColor rgb="FFE7E6E6"/>
        <bgColor rgb="FFE7E6E6"/>
      </patternFill>
    </fill>
    <fill>
      <patternFill patternType="solid">
        <fgColor rgb="FFEAEAEA"/>
        <bgColor rgb="FFEAEAEA"/>
      </patternFill>
    </fill>
    <fill>
      <patternFill patternType="solid">
        <fgColor theme="0"/>
        <bgColor theme="0"/>
      </patternFill>
    </fill>
    <fill>
      <patternFill patternType="solid">
        <fgColor rgb="FF99FF33"/>
        <bgColor rgb="FF99FF33"/>
      </patternFill>
    </fill>
    <fill>
      <patternFill patternType="solid">
        <fgColor rgb="FFFFFF00"/>
        <bgColor rgb="FFFFFF00"/>
      </patternFill>
    </fill>
  </fills>
  <borders count="7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41">
    <xf numFmtId="0" fontId="0" fillId="0" borderId="0" xfId="0" applyFont="1" applyAlignment="1"/>
    <xf numFmtId="0" fontId="1" fillId="0" borderId="0" xfId="0" applyFont="1"/>
    <xf numFmtId="0" fontId="2" fillId="3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0" borderId="0" xfId="0" applyFont="1"/>
    <xf numFmtId="0" fontId="2" fillId="3" borderId="1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2" xfId="0" applyFont="1" applyBorder="1" applyAlignment="1"/>
    <xf numFmtId="0" fontId="2" fillId="4" borderId="13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7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16" fontId="2" fillId="4" borderId="31" xfId="0" applyNumberFormat="1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0" fontId="2" fillId="5" borderId="35" xfId="0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16" fontId="2" fillId="3" borderId="36" xfId="0" applyNumberFormat="1" applyFont="1" applyFill="1" applyBorder="1" applyAlignment="1">
      <alignment horizontal="center"/>
    </xf>
    <xf numFmtId="0" fontId="2" fillId="4" borderId="37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38" xfId="0" applyFont="1" applyFill="1" applyBorder="1" applyAlignment="1">
      <alignment horizontal="center"/>
    </xf>
    <xf numFmtId="0" fontId="2" fillId="6" borderId="40" xfId="0" applyFont="1" applyFill="1" applyBorder="1" applyAlignment="1">
      <alignment horizontal="center"/>
    </xf>
    <xf numFmtId="0" fontId="2" fillId="6" borderId="39" xfId="0" applyFont="1" applyFill="1" applyBorder="1" applyAlignment="1">
      <alignment horizontal="center"/>
    </xf>
    <xf numFmtId="0" fontId="2" fillId="3" borderId="36" xfId="0" applyFont="1" applyFill="1" applyBorder="1" applyAlignment="1">
      <alignment horizontal="center"/>
    </xf>
    <xf numFmtId="16" fontId="2" fillId="4" borderId="36" xfId="0" applyNumberFormat="1" applyFont="1" applyFill="1" applyBorder="1" applyAlignment="1">
      <alignment horizontal="center"/>
    </xf>
    <xf numFmtId="0" fontId="2" fillId="3" borderId="3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38" xfId="0" applyFont="1" applyFill="1" applyBorder="1" applyAlignment="1">
      <alignment horizontal="center"/>
    </xf>
    <xf numFmtId="0" fontId="2" fillId="7" borderId="40" xfId="0" applyFont="1" applyFill="1" applyBorder="1" applyAlignment="1">
      <alignment horizontal="center"/>
    </xf>
    <xf numFmtId="0" fontId="2" fillId="7" borderId="39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38" xfId="0" applyFont="1" applyFill="1" applyBorder="1" applyAlignment="1">
      <alignment horizontal="center"/>
    </xf>
    <xf numFmtId="0" fontId="2" fillId="8" borderId="40" xfId="0" applyFont="1" applyFill="1" applyBorder="1" applyAlignment="1">
      <alignment horizontal="center"/>
    </xf>
    <xf numFmtId="0" fontId="2" fillId="8" borderId="39" xfId="0" applyFont="1" applyFill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4" borderId="44" xfId="0" applyFont="1" applyFill="1" applyBorder="1" applyAlignment="1">
      <alignment horizontal="center"/>
    </xf>
    <xf numFmtId="16" fontId="2" fillId="3" borderId="44" xfId="0" applyNumberFormat="1" applyFont="1" applyFill="1" applyBorder="1" applyAlignment="1">
      <alignment horizontal="center"/>
    </xf>
    <xf numFmtId="0" fontId="2" fillId="4" borderId="45" xfId="0" applyFont="1" applyFill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3" borderId="44" xfId="0" applyFont="1" applyFill="1" applyBorder="1" applyAlignment="1">
      <alignment horizontal="center"/>
    </xf>
    <xf numFmtId="16" fontId="2" fillId="4" borderId="44" xfId="0" applyNumberFormat="1" applyFont="1" applyFill="1" applyBorder="1" applyAlignment="1">
      <alignment horizontal="center"/>
    </xf>
    <xf numFmtId="0" fontId="2" fillId="3" borderId="45" xfId="0" applyFont="1" applyFill="1" applyBorder="1" applyAlignment="1">
      <alignment horizontal="center"/>
    </xf>
    <xf numFmtId="0" fontId="2" fillId="4" borderId="48" xfId="0" applyFont="1" applyFill="1" applyBorder="1" applyAlignment="1">
      <alignment horizontal="center"/>
    </xf>
    <xf numFmtId="16" fontId="2" fillId="3" borderId="48" xfId="0" applyNumberFormat="1" applyFont="1" applyFill="1" applyBorder="1" applyAlignment="1">
      <alignment horizontal="center"/>
    </xf>
    <xf numFmtId="0" fontId="2" fillId="4" borderId="49" xfId="0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9" borderId="50" xfId="0" applyFont="1" applyFill="1" applyBorder="1"/>
    <xf numFmtId="0" fontId="2" fillId="9" borderId="51" xfId="0" applyFont="1" applyFill="1" applyBorder="1"/>
    <xf numFmtId="0" fontId="2" fillId="9" borderId="52" xfId="0" applyFont="1" applyFill="1" applyBorder="1"/>
    <xf numFmtId="0" fontId="2" fillId="9" borderId="53" xfId="0" applyFont="1" applyFill="1" applyBorder="1"/>
    <xf numFmtId="0" fontId="2" fillId="9" borderId="54" xfId="0" applyFont="1" applyFill="1" applyBorder="1"/>
    <xf numFmtId="0" fontId="2" fillId="9" borderId="55" xfId="0" applyFont="1" applyFill="1" applyBorder="1"/>
    <xf numFmtId="0" fontId="2" fillId="0" borderId="6" xfId="0" applyFont="1" applyBorder="1"/>
    <xf numFmtId="0" fontId="7" fillId="0" borderId="0" xfId="0" applyFont="1"/>
    <xf numFmtId="0" fontId="8" fillId="0" borderId="9" xfId="0" applyFont="1" applyBorder="1" applyAlignment="1"/>
    <xf numFmtId="0" fontId="2" fillId="0" borderId="15" xfId="0" applyFont="1" applyBorder="1"/>
    <xf numFmtId="0" fontId="2" fillId="9" borderId="61" xfId="0" applyFont="1" applyFill="1" applyBorder="1"/>
    <xf numFmtId="0" fontId="2" fillId="9" borderId="62" xfId="0" applyFont="1" applyFill="1" applyBorder="1"/>
    <xf numFmtId="0" fontId="2" fillId="9" borderId="63" xfId="0" applyFont="1" applyFill="1" applyBorder="1"/>
    <xf numFmtId="0" fontId="8" fillId="0" borderId="6" xfId="0" applyFont="1" applyBorder="1" applyAlignment="1"/>
    <xf numFmtId="0" fontId="2" fillId="0" borderId="9" xfId="0" applyFont="1" applyBorder="1"/>
    <xf numFmtId="0" fontId="2" fillId="10" borderId="25" xfId="0" applyFont="1" applyFill="1" applyBorder="1" applyAlignment="1">
      <alignment horizontal="center"/>
    </xf>
    <xf numFmtId="0" fontId="2" fillId="3" borderId="25" xfId="0" applyFont="1" applyFill="1" applyBorder="1"/>
    <xf numFmtId="0" fontId="2" fillId="3" borderId="64" xfId="0" applyFont="1" applyFill="1" applyBorder="1"/>
    <xf numFmtId="0" fontId="2" fillId="3" borderId="30" xfId="0" applyFont="1" applyFill="1" applyBorder="1"/>
    <xf numFmtId="0" fontId="8" fillId="0" borderId="30" xfId="0" applyFont="1" applyBorder="1" applyAlignment="1"/>
    <xf numFmtId="0" fontId="8" fillId="11" borderId="65" xfId="0" applyFont="1" applyFill="1" applyBorder="1"/>
    <xf numFmtId="0" fontId="1" fillId="12" borderId="54" xfId="0" applyFont="1" applyFill="1" applyBorder="1"/>
    <xf numFmtId="0" fontId="2" fillId="3" borderId="48" xfId="0" applyFont="1" applyFill="1" applyBorder="1"/>
    <xf numFmtId="0" fontId="8" fillId="0" borderId="48" xfId="0" applyFont="1" applyBorder="1" applyAlignment="1"/>
    <xf numFmtId="0" fontId="8" fillId="11" borderId="66" xfId="0" applyFont="1" applyFill="1" applyBorder="1"/>
    <xf numFmtId="0" fontId="2" fillId="0" borderId="46" xfId="0" applyFont="1" applyBorder="1"/>
    <xf numFmtId="0" fontId="2" fillId="0" borderId="67" xfId="0" applyFont="1" applyBorder="1"/>
    <xf numFmtId="0" fontId="2" fillId="11" borderId="65" xfId="0" applyFont="1" applyFill="1" applyBorder="1" applyAlignment="1"/>
    <xf numFmtId="0" fontId="2" fillId="0" borderId="68" xfId="0" applyFont="1" applyBorder="1"/>
    <xf numFmtId="0" fontId="2" fillId="0" borderId="12" xfId="0" applyFont="1" applyBorder="1"/>
    <xf numFmtId="0" fontId="2" fillId="11" borderId="66" xfId="0" applyFont="1" applyFill="1" applyBorder="1" applyAlignment="1"/>
    <xf numFmtId="0" fontId="2" fillId="0" borderId="69" xfId="0" applyFont="1" applyBorder="1"/>
    <xf numFmtId="0" fontId="2" fillId="0" borderId="70" xfId="0" applyFont="1" applyBorder="1"/>
    <xf numFmtId="0" fontId="8" fillId="9" borderId="50" xfId="0" applyFont="1" applyFill="1" applyBorder="1"/>
    <xf numFmtId="0" fontId="8" fillId="9" borderId="51" xfId="0" applyFont="1" applyFill="1" applyBorder="1"/>
    <xf numFmtId="0" fontId="8" fillId="9" borderId="52" xfId="0" applyFont="1" applyFill="1" applyBorder="1"/>
    <xf numFmtId="0" fontId="8" fillId="9" borderId="53" xfId="0" applyFont="1" applyFill="1" applyBorder="1"/>
    <xf numFmtId="0" fontId="8" fillId="9" borderId="54" xfId="0" applyFont="1" applyFill="1" applyBorder="1"/>
    <xf numFmtId="0" fontId="8" fillId="9" borderId="55" xfId="0" applyFont="1" applyFill="1" applyBorder="1"/>
    <xf numFmtId="0" fontId="2" fillId="5" borderId="71" xfId="0" applyFont="1" applyFill="1" applyBorder="1"/>
    <xf numFmtId="0" fontId="2" fillId="3" borderId="36" xfId="0" applyFont="1" applyFill="1" applyBorder="1"/>
    <xf numFmtId="0" fontId="2" fillId="13" borderId="72" xfId="0" applyFont="1" applyFill="1" applyBorder="1"/>
    <xf numFmtId="0" fontId="8" fillId="9" borderId="61" xfId="0" applyFont="1" applyFill="1" applyBorder="1"/>
    <xf numFmtId="0" fontId="8" fillId="9" borderId="62" xfId="0" applyFont="1" applyFill="1" applyBorder="1"/>
    <xf numFmtId="0" fontId="8" fillId="9" borderId="63" xfId="0" applyFont="1" applyFill="1" applyBorder="1"/>
    <xf numFmtId="0" fontId="2" fillId="14" borderId="66" xfId="0" applyFont="1" applyFill="1" applyBorder="1"/>
    <xf numFmtId="0" fontId="8" fillId="0" borderId="0" xfId="0" applyFont="1"/>
    <xf numFmtId="0" fontId="8" fillId="0" borderId="76" xfId="0" applyFont="1" applyBorder="1"/>
    <xf numFmtId="0" fontId="8" fillId="0" borderId="21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5" xfId="0" applyFont="1" applyBorder="1" applyAlignment="1">
      <alignment horizontal="center" vertical="center"/>
    </xf>
    <xf numFmtId="0" fontId="3" fillId="0" borderId="6" xfId="0" applyFont="1" applyBorder="1"/>
    <xf numFmtId="0" fontId="9" fillId="0" borderId="8" xfId="1" applyBorder="1" applyAlignment="1">
      <alignment horizontal="center" vertical="center"/>
    </xf>
    <xf numFmtId="0" fontId="3" fillId="0" borderId="9" xfId="0" applyFont="1" applyBorder="1"/>
    <xf numFmtId="0" fontId="2" fillId="0" borderId="14" xfId="0" applyFont="1" applyBorder="1" applyAlignment="1">
      <alignment horizontal="center"/>
    </xf>
    <xf numFmtId="0" fontId="3" fillId="0" borderId="15" xfId="0" applyFont="1" applyBorder="1"/>
    <xf numFmtId="0" fontId="2" fillId="3" borderId="58" xfId="0" applyFont="1" applyFill="1" applyBorder="1" applyAlignment="1">
      <alignment horizontal="center"/>
    </xf>
    <xf numFmtId="0" fontId="3" fillId="0" borderId="59" xfId="0" applyFont="1" applyBorder="1"/>
    <xf numFmtId="0" fontId="2" fillId="3" borderId="41" xfId="0" applyFont="1" applyFill="1" applyBorder="1" applyAlignment="1">
      <alignment horizontal="center"/>
    </xf>
    <xf numFmtId="0" fontId="3" fillId="0" borderId="60" xfId="0" applyFont="1" applyBorder="1"/>
    <xf numFmtId="0" fontId="6" fillId="3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21" xfId="0" applyFont="1" applyBorder="1"/>
    <xf numFmtId="0" fontId="2" fillId="2" borderId="22" xfId="0" applyFont="1" applyFill="1" applyBorder="1" applyAlignment="1">
      <alignment horizontal="center"/>
    </xf>
    <xf numFmtId="0" fontId="3" fillId="0" borderId="23" xfId="0" applyFont="1" applyBorder="1"/>
    <xf numFmtId="0" fontId="3" fillId="0" borderId="24" xfId="0" applyFont="1" applyBorder="1"/>
    <xf numFmtId="0" fontId="2" fillId="2" borderId="26" xfId="0" applyFont="1" applyFill="1" applyBorder="1" applyAlignment="1">
      <alignment horizontal="center"/>
    </xf>
    <xf numFmtId="0" fontId="2" fillId="3" borderId="56" xfId="0" applyFont="1" applyFill="1" applyBorder="1" applyAlignment="1">
      <alignment horizontal="center"/>
    </xf>
    <xf numFmtId="0" fontId="3" fillId="0" borderId="57" xfId="0" applyFont="1" applyBorder="1"/>
    <xf numFmtId="0" fontId="5" fillId="3" borderId="56" xfId="0" applyFont="1" applyFill="1" applyBorder="1" applyAlignment="1">
      <alignment horizontal="center"/>
    </xf>
    <xf numFmtId="0" fontId="2" fillId="4" borderId="58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center"/>
    </xf>
    <xf numFmtId="0" fontId="3" fillId="0" borderId="74" xfId="0" applyFont="1" applyBorder="1"/>
    <xf numFmtId="0" fontId="3" fillId="0" borderId="75" xfId="0" applyFont="1" applyBorder="1"/>
  </cellXfs>
  <cellStyles count="2">
    <cellStyle name="Hipervínculo" xfId="1" builtinId="8"/>
    <cellStyle name="Normal" xfId="0" builtinId="0"/>
  </cellStyles>
  <dxfs count="29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  <dxf>
      <font>
        <color theme="0"/>
      </font>
      <fill>
        <patternFill patternType="none"/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arlotarie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C6" sqref="C6:D6"/>
    </sheetView>
  </sheetViews>
  <sheetFormatPr baseColWidth="10" defaultColWidth="12.625" defaultRowHeight="15" customHeight="1" x14ac:dyDescent="0.2"/>
  <cols>
    <col min="1" max="1" width="6.125" customWidth="1"/>
    <col min="2" max="2" width="28.875" customWidth="1"/>
    <col min="3" max="3" width="30.375" customWidth="1"/>
    <col min="4" max="4" width="2.875" customWidth="1"/>
    <col min="5" max="6" width="9.375" customWidth="1"/>
    <col min="7" max="7" width="10" customWidth="1"/>
    <col min="8" max="26" width="9.375" customWidth="1"/>
  </cols>
  <sheetData>
    <row r="1" spans="1:26" x14ac:dyDescent="0.25">
      <c r="G1" s="1"/>
    </row>
    <row r="2" spans="1:26" x14ac:dyDescent="0.25">
      <c r="B2" s="111" t="s">
        <v>0</v>
      </c>
      <c r="C2" s="112"/>
      <c r="D2" s="113"/>
      <c r="G2" s="1"/>
    </row>
    <row r="3" spans="1:26" x14ac:dyDescent="0.25">
      <c r="B3" s="2" t="s">
        <v>1</v>
      </c>
      <c r="C3" s="114" t="s">
        <v>81</v>
      </c>
      <c r="D3" s="115"/>
      <c r="G3" s="1"/>
    </row>
    <row r="4" spans="1:26" x14ac:dyDescent="0.25">
      <c r="B4" s="3" t="s">
        <v>2</v>
      </c>
      <c r="C4" s="116" t="s">
        <v>82</v>
      </c>
      <c r="D4" s="117"/>
      <c r="G4" s="1"/>
    </row>
    <row r="5" spans="1:26" x14ac:dyDescent="0.25">
      <c r="A5" s="4"/>
      <c r="B5" s="5" t="s">
        <v>3</v>
      </c>
      <c r="C5" s="6" t="str">
        <f>IF(D5="","Seleccione de la lista -&gt;","Real Madrid")</f>
        <v>Real Madrid</v>
      </c>
      <c r="D5" s="7" t="s">
        <v>4</v>
      </c>
      <c r="E5" s="4"/>
      <c r="F5" s="4"/>
      <c r="G5" s="1" t="s">
        <v>4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.75" customHeight="1" x14ac:dyDescent="0.25">
      <c r="B6" s="8" t="s">
        <v>5</v>
      </c>
      <c r="C6" s="118" t="s">
        <v>42</v>
      </c>
      <c r="D6" s="119"/>
      <c r="G6" s="1" t="s">
        <v>6</v>
      </c>
    </row>
    <row r="7" spans="1:26" x14ac:dyDescent="0.25">
      <c r="G7" s="1" t="s">
        <v>7</v>
      </c>
    </row>
    <row r="8" spans="1:26" x14ac:dyDescent="0.25">
      <c r="G8" s="1" t="s">
        <v>8</v>
      </c>
    </row>
    <row r="9" spans="1:26" x14ac:dyDescent="0.25">
      <c r="G9" s="1" t="s">
        <v>9</v>
      </c>
    </row>
    <row r="10" spans="1:26" x14ac:dyDescent="0.25">
      <c r="G10" s="1" t="s">
        <v>10</v>
      </c>
    </row>
    <row r="11" spans="1:26" x14ac:dyDescent="0.25">
      <c r="G11" s="1" t="s">
        <v>11</v>
      </c>
    </row>
    <row r="12" spans="1:26" x14ac:dyDescent="0.25">
      <c r="G12" s="1" t="s">
        <v>12</v>
      </c>
    </row>
    <row r="13" spans="1:26" x14ac:dyDescent="0.25">
      <c r="G13" s="1" t="s">
        <v>13</v>
      </c>
    </row>
    <row r="14" spans="1:26" x14ac:dyDescent="0.25">
      <c r="G14" s="1" t="s">
        <v>14</v>
      </c>
    </row>
    <row r="15" spans="1:26" x14ac:dyDescent="0.25">
      <c r="G15" s="1" t="s">
        <v>15</v>
      </c>
    </row>
    <row r="16" spans="1:26" x14ac:dyDescent="0.25">
      <c r="G16" s="1" t="s">
        <v>16</v>
      </c>
    </row>
    <row r="17" spans="7:7" x14ac:dyDescent="0.25">
      <c r="G17" s="1" t="s">
        <v>17</v>
      </c>
    </row>
    <row r="18" spans="7:7" x14ac:dyDescent="0.25">
      <c r="G18" s="1" t="s">
        <v>18</v>
      </c>
    </row>
    <row r="19" spans="7:7" x14ac:dyDescent="0.25">
      <c r="G19" s="1" t="s">
        <v>19</v>
      </c>
    </row>
    <row r="20" spans="7:7" x14ac:dyDescent="0.25">
      <c r="G20" s="1" t="s">
        <v>20</v>
      </c>
    </row>
    <row r="21" spans="7:7" ht="15.75" customHeight="1" x14ac:dyDescent="0.25">
      <c r="G21" s="1" t="s">
        <v>21</v>
      </c>
    </row>
    <row r="22" spans="7:7" ht="15.75" customHeight="1" x14ac:dyDescent="0.25">
      <c r="G22" s="1" t="s">
        <v>22</v>
      </c>
    </row>
    <row r="23" spans="7:7" ht="15.75" customHeight="1" x14ac:dyDescent="0.25">
      <c r="G23" s="1" t="s">
        <v>23</v>
      </c>
    </row>
    <row r="24" spans="7:7" ht="15.75" customHeight="1" x14ac:dyDescent="0.25">
      <c r="G24" s="1" t="s">
        <v>24</v>
      </c>
    </row>
    <row r="25" spans="7:7" ht="15.75" customHeight="1" x14ac:dyDescent="0.25">
      <c r="G25" s="1"/>
    </row>
    <row r="26" spans="7:7" ht="15.75" customHeight="1" x14ac:dyDescent="0.25">
      <c r="G26" s="1"/>
    </row>
    <row r="27" spans="7:7" ht="15.75" customHeight="1" x14ac:dyDescent="0.25">
      <c r="G27" s="1"/>
    </row>
    <row r="28" spans="7:7" ht="15.75" customHeight="1" x14ac:dyDescent="0.25">
      <c r="G28" s="1"/>
    </row>
    <row r="29" spans="7:7" ht="15.75" customHeight="1" x14ac:dyDescent="0.25">
      <c r="G29" s="1"/>
    </row>
    <row r="30" spans="7:7" ht="15.75" customHeight="1" x14ac:dyDescent="0.25">
      <c r="G30" s="1"/>
    </row>
    <row r="31" spans="7:7" ht="15.75" customHeight="1" x14ac:dyDescent="0.25">
      <c r="G31" s="1"/>
    </row>
    <row r="32" spans="7:7" ht="15.75" customHeight="1" x14ac:dyDescent="0.25">
      <c r="G32" s="1"/>
    </row>
    <row r="33" spans="7:7" ht="15.75" customHeight="1" x14ac:dyDescent="0.25">
      <c r="G33" s="1"/>
    </row>
    <row r="34" spans="7:7" ht="15.75" customHeight="1" x14ac:dyDescent="0.25">
      <c r="G34" s="1"/>
    </row>
    <row r="35" spans="7:7" ht="15.75" customHeight="1" x14ac:dyDescent="0.25">
      <c r="G35" s="1"/>
    </row>
    <row r="36" spans="7:7" ht="15.75" customHeight="1" x14ac:dyDescent="0.25">
      <c r="G36" s="1"/>
    </row>
    <row r="37" spans="7:7" ht="15.75" customHeight="1" x14ac:dyDescent="0.25">
      <c r="G37" s="1"/>
    </row>
    <row r="38" spans="7:7" ht="15.75" customHeight="1" x14ac:dyDescent="0.25">
      <c r="G38" s="1"/>
    </row>
    <row r="39" spans="7:7" ht="15.75" customHeight="1" x14ac:dyDescent="0.25">
      <c r="G39" s="1"/>
    </row>
    <row r="40" spans="7:7" ht="15.75" customHeight="1" x14ac:dyDescent="0.25">
      <c r="G40" s="1"/>
    </row>
    <row r="41" spans="7:7" ht="15.75" customHeight="1" x14ac:dyDescent="0.25">
      <c r="G41" s="1"/>
    </row>
    <row r="42" spans="7:7" ht="15.75" customHeight="1" x14ac:dyDescent="0.25">
      <c r="G42" s="1"/>
    </row>
    <row r="43" spans="7:7" ht="15.75" customHeight="1" x14ac:dyDescent="0.25">
      <c r="G43" s="1"/>
    </row>
    <row r="44" spans="7:7" ht="15.75" customHeight="1" x14ac:dyDescent="0.25">
      <c r="G44" s="1"/>
    </row>
    <row r="45" spans="7:7" ht="15.75" customHeight="1" x14ac:dyDescent="0.25">
      <c r="G45" s="1"/>
    </row>
    <row r="46" spans="7:7" ht="15.75" customHeight="1" x14ac:dyDescent="0.25">
      <c r="G46" s="1"/>
    </row>
    <row r="47" spans="7:7" ht="15.75" customHeight="1" x14ac:dyDescent="0.25">
      <c r="G47" s="1"/>
    </row>
    <row r="48" spans="7:7" ht="15.75" customHeight="1" x14ac:dyDescent="0.25">
      <c r="G48" s="1"/>
    </row>
    <row r="49" spans="7:7" ht="15.75" customHeight="1" x14ac:dyDescent="0.25">
      <c r="G49" s="1"/>
    </row>
    <row r="50" spans="7:7" ht="15.75" customHeight="1" x14ac:dyDescent="0.25">
      <c r="G50" s="1"/>
    </row>
    <row r="51" spans="7:7" ht="15.75" customHeight="1" x14ac:dyDescent="0.25">
      <c r="G51" s="1"/>
    </row>
    <row r="52" spans="7:7" ht="15.75" customHeight="1" x14ac:dyDescent="0.25">
      <c r="G52" s="1"/>
    </row>
    <row r="53" spans="7:7" ht="15.75" customHeight="1" x14ac:dyDescent="0.25">
      <c r="G53" s="1"/>
    </row>
    <row r="54" spans="7:7" ht="15.75" customHeight="1" x14ac:dyDescent="0.25">
      <c r="G54" s="1"/>
    </row>
    <row r="55" spans="7:7" ht="15.75" customHeight="1" x14ac:dyDescent="0.25">
      <c r="G55" s="1"/>
    </row>
    <row r="56" spans="7:7" ht="15.75" customHeight="1" x14ac:dyDescent="0.25">
      <c r="G56" s="1"/>
    </row>
    <row r="57" spans="7:7" ht="15.75" customHeight="1" x14ac:dyDescent="0.25">
      <c r="G57" s="1"/>
    </row>
    <row r="58" spans="7:7" ht="15.75" customHeight="1" x14ac:dyDescent="0.25">
      <c r="G58" s="1"/>
    </row>
    <row r="59" spans="7:7" ht="15.75" customHeight="1" x14ac:dyDescent="0.25">
      <c r="G59" s="1"/>
    </row>
    <row r="60" spans="7:7" ht="15.75" customHeight="1" x14ac:dyDescent="0.25">
      <c r="G60" s="1"/>
    </row>
    <row r="61" spans="7:7" ht="15.75" customHeight="1" x14ac:dyDescent="0.25">
      <c r="G61" s="1"/>
    </row>
    <row r="62" spans="7:7" ht="15.75" customHeight="1" x14ac:dyDescent="0.25">
      <c r="G62" s="1"/>
    </row>
    <row r="63" spans="7:7" ht="15.75" customHeight="1" x14ac:dyDescent="0.25">
      <c r="G63" s="1"/>
    </row>
    <row r="64" spans="7:7" ht="15.75" customHeight="1" x14ac:dyDescent="0.25">
      <c r="G64" s="1"/>
    </row>
    <row r="65" spans="7:7" ht="15.75" customHeight="1" x14ac:dyDescent="0.25">
      <c r="G65" s="1"/>
    </row>
    <row r="66" spans="7:7" ht="15.75" customHeight="1" x14ac:dyDescent="0.25">
      <c r="G66" s="1"/>
    </row>
    <row r="67" spans="7:7" ht="15.75" customHeight="1" x14ac:dyDescent="0.25">
      <c r="G67" s="1"/>
    </row>
    <row r="68" spans="7:7" ht="15.75" customHeight="1" x14ac:dyDescent="0.25">
      <c r="G68" s="1"/>
    </row>
    <row r="69" spans="7:7" ht="15.75" customHeight="1" x14ac:dyDescent="0.25">
      <c r="G69" s="1"/>
    </row>
    <row r="70" spans="7:7" ht="15.75" customHeight="1" x14ac:dyDescent="0.25">
      <c r="G70" s="1"/>
    </row>
    <row r="71" spans="7:7" ht="15.75" customHeight="1" x14ac:dyDescent="0.25">
      <c r="G71" s="1"/>
    </row>
    <row r="72" spans="7:7" ht="15.75" customHeight="1" x14ac:dyDescent="0.25">
      <c r="G72" s="1"/>
    </row>
    <row r="73" spans="7:7" ht="15.75" customHeight="1" x14ac:dyDescent="0.25">
      <c r="G73" s="1"/>
    </row>
    <row r="74" spans="7:7" ht="15.75" customHeight="1" x14ac:dyDescent="0.25">
      <c r="G74" s="1"/>
    </row>
    <row r="75" spans="7:7" ht="15.75" customHeight="1" x14ac:dyDescent="0.25">
      <c r="G75" s="1"/>
    </row>
    <row r="76" spans="7:7" ht="15.75" customHeight="1" x14ac:dyDescent="0.25">
      <c r="G76" s="1"/>
    </row>
    <row r="77" spans="7:7" ht="15.75" customHeight="1" x14ac:dyDescent="0.25">
      <c r="G77" s="1"/>
    </row>
    <row r="78" spans="7:7" ht="15.75" customHeight="1" x14ac:dyDescent="0.25">
      <c r="G78" s="1"/>
    </row>
    <row r="79" spans="7:7" ht="15.75" customHeight="1" x14ac:dyDescent="0.25">
      <c r="G79" s="1"/>
    </row>
    <row r="80" spans="7:7" ht="15.75" customHeight="1" x14ac:dyDescent="0.25">
      <c r="G80" s="1"/>
    </row>
    <row r="81" spans="7:7" ht="15.75" customHeight="1" x14ac:dyDescent="0.25">
      <c r="G81" s="1"/>
    </row>
    <row r="82" spans="7:7" ht="15.75" customHeight="1" x14ac:dyDescent="0.25">
      <c r="G82" s="1"/>
    </row>
    <row r="83" spans="7:7" ht="15.75" customHeight="1" x14ac:dyDescent="0.25">
      <c r="G83" s="1"/>
    </row>
    <row r="84" spans="7:7" ht="15.75" customHeight="1" x14ac:dyDescent="0.25">
      <c r="G84" s="1"/>
    </row>
    <row r="85" spans="7:7" ht="15.75" customHeight="1" x14ac:dyDescent="0.25">
      <c r="G85" s="1"/>
    </row>
    <row r="86" spans="7:7" ht="15.75" customHeight="1" x14ac:dyDescent="0.25">
      <c r="G86" s="1"/>
    </row>
    <row r="87" spans="7:7" ht="15.75" customHeight="1" x14ac:dyDescent="0.25">
      <c r="G87" s="1"/>
    </row>
    <row r="88" spans="7:7" ht="15.75" customHeight="1" x14ac:dyDescent="0.25">
      <c r="G88" s="1"/>
    </row>
    <row r="89" spans="7:7" ht="15.75" customHeight="1" x14ac:dyDescent="0.25">
      <c r="G89" s="1"/>
    </row>
    <row r="90" spans="7:7" ht="15.75" customHeight="1" x14ac:dyDescent="0.25">
      <c r="G90" s="1"/>
    </row>
    <row r="91" spans="7:7" ht="15.75" customHeight="1" x14ac:dyDescent="0.25">
      <c r="G91" s="1"/>
    </row>
    <row r="92" spans="7:7" ht="15.75" customHeight="1" x14ac:dyDescent="0.25">
      <c r="G92" s="1"/>
    </row>
    <row r="93" spans="7:7" ht="15.75" customHeight="1" x14ac:dyDescent="0.25">
      <c r="G93" s="1"/>
    </row>
    <row r="94" spans="7:7" ht="15.75" customHeight="1" x14ac:dyDescent="0.25">
      <c r="G94" s="1"/>
    </row>
    <row r="95" spans="7:7" ht="15.75" customHeight="1" x14ac:dyDescent="0.25">
      <c r="G95" s="1"/>
    </row>
    <row r="96" spans="7:7" ht="15.75" customHeight="1" x14ac:dyDescent="0.25">
      <c r="G96" s="1"/>
    </row>
    <row r="97" spans="7:7" ht="15.75" customHeight="1" x14ac:dyDescent="0.25">
      <c r="G97" s="1"/>
    </row>
    <row r="98" spans="7:7" ht="15.75" customHeight="1" x14ac:dyDescent="0.25">
      <c r="G98" s="1"/>
    </row>
    <row r="99" spans="7:7" ht="15.75" customHeight="1" x14ac:dyDescent="0.25">
      <c r="G99" s="1"/>
    </row>
    <row r="100" spans="7:7" ht="15.75" customHeight="1" x14ac:dyDescent="0.25">
      <c r="G100" s="1"/>
    </row>
    <row r="101" spans="7:7" ht="15.75" customHeight="1" x14ac:dyDescent="0.25">
      <c r="G101" s="1"/>
    </row>
    <row r="102" spans="7:7" ht="15.75" customHeight="1" x14ac:dyDescent="0.25">
      <c r="G102" s="1"/>
    </row>
    <row r="103" spans="7:7" ht="15.75" customHeight="1" x14ac:dyDescent="0.25">
      <c r="G103" s="1"/>
    </row>
    <row r="104" spans="7:7" ht="15.75" customHeight="1" x14ac:dyDescent="0.25">
      <c r="G104" s="1"/>
    </row>
    <row r="105" spans="7:7" ht="15.75" customHeight="1" x14ac:dyDescent="0.25">
      <c r="G105" s="1"/>
    </row>
    <row r="106" spans="7:7" ht="15.75" customHeight="1" x14ac:dyDescent="0.25">
      <c r="G106" s="1"/>
    </row>
    <row r="107" spans="7:7" ht="15.75" customHeight="1" x14ac:dyDescent="0.25">
      <c r="G107" s="1"/>
    </row>
    <row r="108" spans="7:7" ht="15.75" customHeight="1" x14ac:dyDescent="0.25">
      <c r="G108" s="1"/>
    </row>
    <row r="109" spans="7:7" ht="15.75" customHeight="1" x14ac:dyDescent="0.25">
      <c r="G109" s="1"/>
    </row>
    <row r="110" spans="7:7" ht="15.75" customHeight="1" x14ac:dyDescent="0.25">
      <c r="G110" s="1"/>
    </row>
    <row r="111" spans="7:7" ht="15.75" customHeight="1" x14ac:dyDescent="0.25">
      <c r="G111" s="1"/>
    </row>
    <row r="112" spans="7:7" ht="15.75" customHeight="1" x14ac:dyDescent="0.25">
      <c r="G112" s="1"/>
    </row>
    <row r="113" spans="7:7" ht="15.75" customHeight="1" x14ac:dyDescent="0.25">
      <c r="G113" s="1"/>
    </row>
    <row r="114" spans="7:7" ht="15.75" customHeight="1" x14ac:dyDescent="0.25">
      <c r="G114" s="1"/>
    </row>
    <row r="115" spans="7:7" ht="15.75" customHeight="1" x14ac:dyDescent="0.25">
      <c r="G115" s="1"/>
    </row>
    <row r="116" spans="7:7" ht="15.75" customHeight="1" x14ac:dyDescent="0.25">
      <c r="G116" s="1"/>
    </row>
    <row r="117" spans="7:7" ht="15.75" customHeight="1" x14ac:dyDescent="0.25">
      <c r="G117" s="1"/>
    </row>
    <row r="118" spans="7:7" ht="15.75" customHeight="1" x14ac:dyDescent="0.25">
      <c r="G118" s="1"/>
    </row>
    <row r="119" spans="7:7" ht="15.75" customHeight="1" x14ac:dyDescent="0.25">
      <c r="G119" s="1"/>
    </row>
    <row r="120" spans="7:7" ht="15.75" customHeight="1" x14ac:dyDescent="0.25">
      <c r="G120" s="1"/>
    </row>
    <row r="121" spans="7:7" ht="15.75" customHeight="1" x14ac:dyDescent="0.25">
      <c r="G121" s="1"/>
    </row>
    <row r="122" spans="7:7" ht="15.75" customHeight="1" x14ac:dyDescent="0.25">
      <c r="G122" s="1"/>
    </row>
    <row r="123" spans="7:7" ht="15.75" customHeight="1" x14ac:dyDescent="0.25">
      <c r="G123" s="1"/>
    </row>
    <row r="124" spans="7:7" ht="15.75" customHeight="1" x14ac:dyDescent="0.25">
      <c r="G124" s="1"/>
    </row>
    <row r="125" spans="7:7" ht="15.75" customHeight="1" x14ac:dyDescent="0.25">
      <c r="G125" s="1"/>
    </row>
    <row r="126" spans="7:7" ht="15.75" customHeight="1" x14ac:dyDescent="0.25">
      <c r="G126" s="1"/>
    </row>
    <row r="127" spans="7:7" ht="15.75" customHeight="1" x14ac:dyDescent="0.25">
      <c r="G127" s="1"/>
    </row>
    <row r="128" spans="7:7" ht="15.75" customHeight="1" x14ac:dyDescent="0.25">
      <c r="G128" s="1"/>
    </row>
    <row r="129" spans="7:7" ht="15.75" customHeight="1" x14ac:dyDescent="0.25">
      <c r="G129" s="1"/>
    </row>
    <row r="130" spans="7:7" ht="15.75" customHeight="1" x14ac:dyDescent="0.25">
      <c r="G130" s="1"/>
    </row>
    <row r="131" spans="7:7" ht="15.75" customHeight="1" x14ac:dyDescent="0.25">
      <c r="G131" s="1"/>
    </row>
    <row r="132" spans="7:7" ht="15.75" customHeight="1" x14ac:dyDescent="0.25">
      <c r="G132" s="1"/>
    </row>
    <row r="133" spans="7:7" ht="15.75" customHeight="1" x14ac:dyDescent="0.25">
      <c r="G133" s="1"/>
    </row>
    <row r="134" spans="7:7" ht="15.75" customHeight="1" x14ac:dyDescent="0.25">
      <c r="G134" s="1"/>
    </row>
    <row r="135" spans="7:7" ht="15.75" customHeight="1" x14ac:dyDescent="0.25">
      <c r="G135" s="1"/>
    </row>
    <row r="136" spans="7:7" ht="15.75" customHeight="1" x14ac:dyDescent="0.25">
      <c r="G136" s="1"/>
    </row>
    <row r="137" spans="7:7" ht="15.75" customHeight="1" x14ac:dyDescent="0.25">
      <c r="G137" s="1"/>
    </row>
    <row r="138" spans="7:7" ht="15.75" customHeight="1" x14ac:dyDescent="0.25">
      <c r="G138" s="1"/>
    </row>
    <row r="139" spans="7:7" ht="15.75" customHeight="1" x14ac:dyDescent="0.25">
      <c r="G139" s="1"/>
    </row>
    <row r="140" spans="7:7" ht="15.75" customHeight="1" x14ac:dyDescent="0.25">
      <c r="G140" s="1"/>
    </row>
    <row r="141" spans="7:7" ht="15.75" customHeight="1" x14ac:dyDescent="0.25">
      <c r="G141" s="1"/>
    </row>
    <row r="142" spans="7:7" ht="15.75" customHeight="1" x14ac:dyDescent="0.25">
      <c r="G142" s="1"/>
    </row>
    <row r="143" spans="7:7" ht="15.75" customHeight="1" x14ac:dyDescent="0.25">
      <c r="G143" s="1"/>
    </row>
    <row r="144" spans="7:7" ht="15.75" customHeight="1" x14ac:dyDescent="0.25">
      <c r="G144" s="1"/>
    </row>
    <row r="145" spans="7:7" ht="15.75" customHeight="1" x14ac:dyDescent="0.25">
      <c r="G145" s="1"/>
    </row>
    <row r="146" spans="7:7" ht="15.75" customHeight="1" x14ac:dyDescent="0.25">
      <c r="G146" s="1"/>
    </row>
    <row r="147" spans="7:7" ht="15.75" customHeight="1" x14ac:dyDescent="0.25">
      <c r="G147" s="1"/>
    </row>
    <row r="148" spans="7:7" ht="15.75" customHeight="1" x14ac:dyDescent="0.25">
      <c r="G148" s="1"/>
    </row>
    <row r="149" spans="7:7" ht="15.75" customHeight="1" x14ac:dyDescent="0.25">
      <c r="G149" s="1"/>
    </row>
    <row r="150" spans="7:7" ht="15.75" customHeight="1" x14ac:dyDescent="0.25">
      <c r="G150" s="1"/>
    </row>
    <row r="151" spans="7:7" ht="15.75" customHeight="1" x14ac:dyDescent="0.25">
      <c r="G151" s="1"/>
    </row>
    <row r="152" spans="7:7" ht="15.75" customHeight="1" x14ac:dyDescent="0.25">
      <c r="G152" s="1"/>
    </row>
    <row r="153" spans="7:7" ht="15.75" customHeight="1" x14ac:dyDescent="0.25">
      <c r="G153" s="1"/>
    </row>
    <row r="154" spans="7:7" ht="15.75" customHeight="1" x14ac:dyDescent="0.25">
      <c r="G154" s="1"/>
    </row>
    <row r="155" spans="7:7" ht="15.75" customHeight="1" x14ac:dyDescent="0.25">
      <c r="G155" s="1"/>
    </row>
    <row r="156" spans="7:7" ht="15.75" customHeight="1" x14ac:dyDescent="0.25">
      <c r="G156" s="1"/>
    </row>
    <row r="157" spans="7:7" ht="15.75" customHeight="1" x14ac:dyDescent="0.25">
      <c r="G157" s="1"/>
    </row>
    <row r="158" spans="7:7" ht="15.75" customHeight="1" x14ac:dyDescent="0.25">
      <c r="G158" s="1"/>
    </row>
    <row r="159" spans="7:7" ht="15.75" customHeight="1" x14ac:dyDescent="0.25">
      <c r="G159" s="1"/>
    </row>
    <row r="160" spans="7:7" ht="15.75" customHeight="1" x14ac:dyDescent="0.25">
      <c r="G160" s="1"/>
    </row>
    <row r="161" spans="7:7" ht="15.75" customHeight="1" x14ac:dyDescent="0.25">
      <c r="G161" s="1"/>
    </row>
    <row r="162" spans="7:7" ht="15.75" customHeight="1" x14ac:dyDescent="0.25">
      <c r="G162" s="1"/>
    </row>
    <row r="163" spans="7:7" ht="15.75" customHeight="1" x14ac:dyDescent="0.25">
      <c r="G163" s="1"/>
    </row>
    <row r="164" spans="7:7" ht="15.75" customHeight="1" x14ac:dyDescent="0.25">
      <c r="G164" s="1"/>
    </row>
    <row r="165" spans="7:7" ht="15.75" customHeight="1" x14ac:dyDescent="0.25">
      <c r="G165" s="1"/>
    </row>
    <row r="166" spans="7:7" ht="15.75" customHeight="1" x14ac:dyDescent="0.25">
      <c r="G166" s="1"/>
    </row>
    <row r="167" spans="7:7" ht="15.75" customHeight="1" x14ac:dyDescent="0.25">
      <c r="G167" s="1"/>
    </row>
    <row r="168" spans="7:7" ht="15.75" customHeight="1" x14ac:dyDescent="0.25">
      <c r="G168" s="1"/>
    </row>
    <row r="169" spans="7:7" ht="15.75" customHeight="1" x14ac:dyDescent="0.25">
      <c r="G169" s="1"/>
    </row>
    <row r="170" spans="7:7" ht="15.75" customHeight="1" x14ac:dyDescent="0.25">
      <c r="G170" s="1"/>
    </row>
    <row r="171" spans="7:7" ht="15.75" customHeight="1" x14ac:dyDescent="0.25">
      <c r="G171" s="1"/>
    </row>
    <row r="172" spans="7:7" ht="15.75" customHeight="1" x14ac:dyDescent="0.25">
      <c r="G172" s="1"/>
    </row>
    <row r="173" spans="7:7" ht="15.75" customHeight="1" x14ac:dyDescent="0.25">
      <c r="G173" s="1"/>
    </row>
    <row r="174" spans="7:7" ht="15.75" customHeight="1" x14ac:dyDescent="0.25">
      <c r="G174" s="1"/>
    </row>
    <row r="175" spans="7:7" ht="15.75" customHeight="1" x14ac:dyDescent="0.25">
      <c r="G175" s="1"/>
    </row>
    <row r="176" spans="7:7" ht="15.75" customHeight="1" x14ac:dyDescent="0.25">
      <c r="G176" s="1"/>
    </row>
    <row r="177" spans="7:7" ht="15.75" customHeight="1" x14ac:dyDescent="0.25">
      <c r="G177" s="1"/>
    </row>
    <row r="178" spans="7:7" ht="15.75" customHeight="1" x14ac:dyDescent="0.25">
      <c r="G178" s="1"/>
    </row>
    <row r="179" spans="7:7" ht="15.75" customHeight="1" x14ac:dyDescent="0.25">
      <c r="G179" s="1"/>
    </row>
    <row r="180" spans="7:7" ht="15.75" customHeight="1" x14ac:dyDescent="0.25">
      <c r="G180" s="1"/>
    </row>
    <row r="181" spans="7:7" ht="15.75" customHeight="1" x14ac:dyDescent="0.25">
      <c r="G181" s="1"/>
    </row>
    <row r="182" spans="7:7" ht="15.75" customHeight="1" x14ac:dyDescent="0.25">
      <c r="G182" s="1"/>
    </row>
    <row r="183" spans="7:7" ht="15.75" customHeight="1" x14ac:dyDescent="0.25">
      <c r="G183" s="1"/>
    </row>
    <row r="184" spans="7:7" ht="15.75" customHeight="1" x14ac:dyDescent="0.25">
      <c r="G184" s="1"/>
    </row>
    <row r="185" spans="7:7" ht="15.75" customHeight="1" x14ac:dyDescent="0.25">
      <c r="G185" s="1"/>
    </row>
    <row r="186" spans="7:7" ht="15.75" customHeight="1" x14ac:dyDescent="0.25">
      <c r="G186" s="1"/>
    </row>
    <row r="187" spans="7:7" ht="15.75" customHeight="1" x14ac:dyDescent="0.25">
      <c r="G187" s="1"/>
    </row>
    <row r="188" spans="7:7" ht="15.75" customHeight="1" x14ac:dyDescent="0.25">
      <c r="G188" s="1"/>
    </row>
    <row r="189" spans="7:7" ht="15.75" customHeight="1" x14ac:dyDescent="0.25">
      <c r="G189" s="1"/>
    </row>
    <row r="190" spans="7:7" ht="15.75" customHeight="1" x14ac:dyDescent="0.25">
      <c r="G190" s="1"/>
    </row>
    <row r="191" spans="7:7" ht="15.75" customHeight="1" x14ac:dyDescent="0.25">
      <c r="G191" s="1"/>
    </row>
    <row r="192" spans="7:7" ht="15.75" customHeight="1" x14ac:dyDescent="0.25">
      <c r="G192" s="1"/>
    </row>
    <row r="193" spans="7:7" ht="15.75" customHeight="1" x14ac:dyDescent="0.25">
      <c r="G193" s="1"/>
    </row>
    <row r="194" spans="7:7" ht="15.75" customHeight="1" x14ac:dyDescent="0.25">
      <c r="G194" s="1"/>
    </row>
    <row r="195" spans="7:7" ht="15.75" customHeight="1" x14ac:dyDescent="0.25">
      <c r="G195" s="1"/>
    </row>
    <row r="196" spans="7:7" ht="15.75" customHeight="1" x14ac:dyDescent="0.25">
      <c r="G196" s="1"/>
    </row>
    <row r="197" spans="7:7" ht="15.75" customHeight="1" x14ac:dyDescent="0.25">
      <c r="G197" s="1"/>
    </row>
    <row r="198" spans="7:7" ht="15.75" customHeight="1" x14ac:dyDescent="0.25">
      <c r="G198" s="1"/>
    </row>
    <row r="199" spans="7:7" ht="15.75" customHeight="1" x14ac:dyDescent="0.25">
      <c r="G199" s="1"/>
    </row>
    <row r="200" spans="7:7" ht="15.75" customHeight="1" x14ac:dyDescent="0.25">
      <c r="G200" s="1"/>
    </row>
    <row r="201" spans="7:7" ht="15.75" customHeight="1" x14ac:dyDescent="0.25">
      <c r="G201" s="1"/>
    </row>
    <row r="202" spans="7:7" ht="15.75" customHeight="1" x14ac:dyDescent="0.25">
      <c r="G202" s="1"/>
    </row>
    <row r="203" spans="7:7" ht="15.75" customHeight="1" x14ac:dyDescent="0.25">
      <c r="G203" s="1"/>
    </row>
    <row r="204" spans="7:7" ht="15.75" customHeight="1" x14ac:dyDescent="0.25">
      <c r="G204" s="1"/>
    </row>
    <row r="205" spans="7:7" ht="15.75" customHeight="1" x14ac:dyDescent="0.25">
      <c r="G205" s="1"/>
    </row>
    <row r="206" spans="7:7" ht="15.75" customHeight="1" x14ac:dyDescent="0.25">
      <c r="G206" s="1"/>
    </row>
    <row r="207" spans="7:7" ht="15.75" customHeight="1" x14ac:dyDescent="0.25">
      <c r="G207" s="1"/>
    </row>
    <row r="208" spans="7:7" ht="15.75" customHeight="1" x14ac:dyDescent="0.25">
      <c r="G208" s="1"/>
    </row>
    <row r="209" spans="7:7" ht="15.75" customHeight="1" x14ac:dyDescent="0.25">
      <c r="G209" s="1"/>
    </row>
    <row r="210" spans="7:7" ht="15.75" customHeight="1" x14ac:dyDescent="0.25">
      <c r="G210" s="1"/>
    </row>
    <row r="211" spans="7:7" ht="15.75" customHeight="1" x14ac:dyDescent="0.25">
      <c r="G211" s="1"/>
    </row>
    <row r="212" spans="7:7" ht="15.75" customHeight="1" x14ac:dyDescent="0.25">
      <c r="G212" s="1"/>
    </row>
    <row r="213" spans="7:7" ht="15.75" customHeight="1" x14ac:dyDescent="0.25">
      <c r="G213" s="1"/>
    </row>
    <row r="214" spans="7:7" ht="15.75" customHeight="1" x14ac:dyDescent="0.25">
      <c r="G214" s="1"/>
    </row>
    <row r="215" spans="7:7" ht="15.75" customHeight="1" x14ac:dyDescent="0.25">
      <c r="G215" s="1"/>
    </row>
    <row r="216" spans="7:7" ht="15.75" customHeight="1" x14ac:dyDescent="0.25">
      <c r="G216" s="1"/>
    </row>
    <row r="217" spans="7:7" ht="15.75" customHeight="1" x14ac:dyDescent="0.25">
      <c r="G217" s="1"/>
    </row>
    <row r="218" spans="7:7" ht="15.75" customHeight="1" x14ac:dyDescent="0.25">
      <c r="G218" s="1"/>
    </row>
    <row r="219" spans="7:7" ht="15.75" customHeight="1" x14ac:dyDescent="0.25">
      <c r="G219" s="1"/>
    </row>
    <row r="220" spans="7:7" ht="15.75" customHeight="1" x14ac:dyDescent="0.25">
      <c r="G220" s="1"/>
    </row>
    <row r="221" spans="7:7" ht="15.75" customHeight="1" x14ac:dyDescent="0.25">
      <c r="G221" s="1"/>
    </row>
    <row r="222" spans="7:7" ht="15.75" customHeight="1" x14ac:dyDescent="0.25">
      <c r="G222" s="1"/>
    </row>
    <row r="223" spans="7:7" ht="15.75" customHeight="1" x14ac:dyDescent="0.25">
      <c r="G223" s="1"/>
    </row>
    <row r="224" spans="7:7" ht="15.75" customHeight="1" x14ac:dyDescent="0.25">
      <c r="G224" s="1"/>
    </row>
    <row r="225" spans="7:7" ht="15.75" customHeight="1" x14ac:dyDescent="0.25">
      <c r="G225" s="1"/>
    </row>
    <row r="226" spans="7:7" ht="15.75" customHeight="1" x14ac:dyDescent="0.25">
      <c r="G226" s="1"/>
    </row>
    <row r="227" spans="7:7" ht="15.75" customHeight="1" x14ac:dyDescent="0.25">
      <c r="G227" s="1"/>
    </row>
    <row r="228" spans="7:7" ht="15.75" customHeight="1" x14ac:dyDescent="0.25">
      <c r="G228" s="1"/>
    </row>
    <row r="229" spans="7:7" ht="15.75" customHeight="1" x14ac:dyDescent="0.25">
      <c r="G229" s="1"/>
    </row>
    <row r="230" spans="7:7" ht="15.75" customHeight="1" x14ac:dyDescent="0.25">
      <c r="G230" s="1"/>
    </row>
    <row r="231" spans="7:7" ht="15.75" customHeight="1" x14ac:dyDescent="0.25">
      <c r="G231" s="1"/>
    </row>
    <row r="232" spans="7:7" ht="15.75" customHeight="1" x14ac:dyDescent="0.25">
      <c r="G232" s="1"/>
    </row>
    <row r="233" spans="7:7" ht="15.75" customHeight="1" x14ac:dyDescent="0.25">
      <c r="G233" s="1"/>
    </row>
    <row r="234" spans="7:7" ht="15.75" customHeight="1" x14ac:dyDescent="0.25">
      <c r="G234" s="1"/>
    </row>
    <row r="235" spans="7:7" ht="15.75" customHeight="1" x14ac:dyDescent="0.25">
      <c r="G235" s="1"/>
    </row>
    <row r="236" spans="7:7" ht="15.75" customHeight="1" x14ac:dyDescent="0.25">
      <c r="G236" s="1"/>
    </row>
    <row r="237" spans="7:7" ht="15.75" customHeight="1" x14ac:dyDescent="0.25">
      <c r="G237" s="1"/>
    </row>
    <row r="238" spans="7:7" ht="15.75" customHeight="1" x14ac:dyDescent="0.25">
      <c r="G238" s="1"/>
    </row>
    <row r="239" spans="7:7" ht="15.75" customHeight="1" x14ac:dyDescent="0.25">
      <c r="G239" s="1"/>
    </row>
    <row r="240" spans="7:7" ht="15.75" customHeight="1" x14ac:dyDescent="0.25">
      <c r="G240" s="1"/>
    </row>
    <row r="241" spans="7:7" ht="15.75" customHeight="1" x14ac:dyDescent="0.25">
      <c r="G241" s="1"/>
    </row>
    <row r="242" spans="7:7" ht="15.75" customHeight="1" x14ac:dyDescent="0.25">
      <c r="G242" s="1"/>
    </row>
    <row r="243" spans="7:7" ht="15.75" customHeight="1" x14ac:dyDescent="0.25">
      <c r="G243" s="1"/>
    </row>
    <row r="244" spans="7:7" ht="15.75" customHeight="1" x14ac:dyDescent="0.25">
      <c r="G244" s="1"/>
    </row>
    <row r="245" spans="7:7" ht="15.75" customHeight="1" x14ac:dyDescent="0.25">
      <c r="G245" s="1"/>
    </row>
    <row r="246" spans="7:7" ht="15.75" customHeight="1" x14ac:dyDescent="0.25">
      <c r="G246" s="1"/>
    </row>
    <row r="247" spans="7:7" ht="15.75" customHeight="1" x14ac:dyDescent="0.25">
      <c r="G247" s="1"/>
    </row>
    <row r="248" spans="7:7" ht="15.75" customHeight="1" x14ac:dyDescent="0.25">
      <c r="G248" s="1"/>
    </row>
    <row r="249" spans="7:7" ht="15.75" customHeight="1" x14ac:dyDescent="0.25">
      <c r="G249" s="1"/>
    </row>
    <row r="250" spans="7:7" ht="15.75" customHeight="1" x14ac:dyDescent="0.25">
      <c r="G250" s="1"/>
    </row>
    <row r="251" spans="7:7" ht="15.75" customHeight="1" x14ac:dyDescent="0.25">
      <c r="G251" s="1"/>
    </row>
    <row r="252" spans="7:7" ht="15.75" customHeight="1" x14ac:dyDescent="0.25">
      <c r="G252" s="1"/>
    </row>
    <row r="253" spans="7:7" ht="15.75" customHeight="1" x14ac:dyDescent="0.25">
      <c r="G253" s="1"/>
    </row>
    <row r="254" spans="7:7" ht="15.75" customHeight="1" x14ac:dyDescent="0.25">
      <c r="G254" s="1"/>
    </row>
    <row r="255" spans="7:7" ht="15.75" customHeight="1" x14ac:dyDescent="0.25">
      <c r="G255" s="1"/>
    </row>
    <row r="256" spans="7:7" ht="15.75" customHeight="1" x14ac:dyDescent="0.25">
      <c r="G256" s="1"/>
    </row>
    <row r="257" spans="7:7" ht="15.75" customHeight="1" x14ac:dyDescent="0.25">
      <c r="G257" s="1"/>
    </row>
    <row r="258" spans="7:7" ht="15.75" customHeight="1" x14ac:dyDescent="0.25">
      <c r="G258" s="1"/>
    </row>
    <row r="259" spans="7:7" ht="15.75" customHeight="1" x14ac:dyDescent="0.25">
      <c r="G259" s="1"/>
    </row>
    <row r="260" spans="7:7" ht="15.75" customHeight="1" x14ac:dyDescent="0.25">
      <c r="G260" s="1"/>
    </row>
    <row r="261" spans="7:7" ht="15.75" customHeight="1" x14ac:dyDescent="0.25">
      <c r="G261" s="1"/>
    </row>
    <row r="262" spans="7:7" ht="15.75" customHeight="1" x14ac:dyDescent="0.25">
      <c r="G262" s="1"/>
    </row>
    <row r="263" spans="7:7" ht="15.75" customHeight="1" x14ac:dyDescent="0.25">
      <c r="G263" s="1"/>
    </row>
    <row r="264" spans="7:7" ht="15.75" customHeight="1" x14ac:dyDescent="0.25">
      <c r="G264" s="1"/>
    </row>
    <row r="265" spans="7:7" ht="15.75" customHeight="1" x14ac:dyDescent="0.25">
      <c r="G265" s="1"/>
    </row>
    <row r="266" spans="7:7" ht="15.75" customHeight="1" x14ac:dyDescent="0.25">
      <c r="G266" s="1"/>
    </row>
    <row r="267" spans="7:7" ht="15.75" customHeight="1" x14ac:dyDescent="0.25">
      <c r="G267" s="1"/>
    </row>
    <row r="268" spans="7:7" ht="15.75" customHeight="1" x14ac:dyDescent="0.25">
      <c r="G268" s="1"/>
    </row>
    <row r="269" spans="7:7" ht="15.75" customHeight="1" x14ac:dyDescent="0.25">
      <c r="G269" s="1"/>
    </row>
    <row r="270" spans="7:7" ht="15.75" customHeight="1" x14ac:dyDescent="0.25">
      <c r="G270" s="1"/>
    </row>
    <row r="271" spans="7:7" ht="15.75" customHeight="1" x14ac:dyDescent="0.25">
      <c r="G271" s="1"/>
    </row>
    <row r="272" spans="7:7" ht="15.75" customHeight="1" x14ac:dyDescent="0.25">
      <c r="G272" s="1"/>
    </row>
    <row r="273" spans="7:7" ht="15.75" customHeight="1" x14ac:dyDescent="0.25">
      <c r="G273" s="1"/>
    </row>
    <row r="274" spans="7:7" ht="15.75" customHeight="1" x14ac:dyDescent="0.25">
      <c r="G274" s="1"/>
    </row>
    <row r="275" spans="7:7" ht="15.75" customHeight="1" x14ac:dyDescent="0.25">
      <c r="G275" s="1"/>
    </row>
    <row r="276" spans="7:7" ht="15.75" customHeight="1" x14ac:dyDescent="0.25">
      <c r="G276" s="1"/>
    </row>
    <row r="277" spans="7:7" ht="15.75" customHeight="1" x14ac:dyDescent="0.25">
      <c r="G277" s="1"/>
    </row>
    <row r="278" spans="7:7" ht="15.75" customHeight="1" x14ac:dyDescent="0.25">
      <c r="G278" s="1"/>
    </row>
    <row r="279" spans="7:7" ht="15.75" customHeight="1" x14ac:dyDescent="0.25">
      <c r="G279" s="1"/>
    </row>
    <row r="280" spans="7:7" ht="15.75" customHeight="1" x14ac:dyDescent="0.25">
      <c r="G280" s="1"/>
    </row>
    <row r="281" spans="7:7" ht="15.75" customHeight="1" x14ac:dyDescent="0.25">
      <c r="G281" s="1"/>
    </row>
    <row r="282" spans="7:7" ht="15.75" customHeight="1" x14ac:dyDescent="0.25">
      <c r="G282" s="1"/>
    </row>
    <row r="283" spans="7:7" ht="15.75" customHeight="1" x14ac:dyDescent="0.25">
      <c r="G283" s="1"/>
    </row>
    <row r="284" spans="7:7" ht="15.75" customHeight="1" x14ac:dyDescent="0.25">
      <c r="G284" s="1"/>
    </row>
    <row r="285" spans="7:7" ht="15.75" customHeight="1" x14ac:dyDescent="0.25">
      <c r="G285" s="1"/>
    </row>
    <row r="286" spans="7:7" ht="15.75" customHeight="1" x14ac:dyDescent="0.25">
      <c r="G286" s="1"/>
    </row>
    <row r="287" spans="7:7" ht="15.75" customHeight="1" x14ac:dyDescent="0.25">
      <c r="G287" s="1"/>
    </row>
    <row r="288" spans="7:7" ht="15.75" customHeight="1" x14ac:dyDescent="0.25">
      <c r="G288" s="1"/>
    </row>
    <row r="289" spans="7:7" ht="15.75" customHeight="1" x14ac:dyDescent="0.25">
      <c r="G289" s="1"/>
    </row>
    <row r="290" spans="7:7" ht="15.75" customHeight="1" x14ac:dyDescent="0.25">
      <c r="G290" s="1"/>
    </row>
    <row r="291" spans="7:7" ht="15.75" customHeight="1" x14ac:dyDescent="0.25">
      <c r="G291" s="1"/>
    </row>
    <row r="292" spans="7:7" ht="15.75" customHeight="1" x14ac:dyDescent="0.25">
      <c r="G292" s="1"/>
    </row>
    <row r="293" spans="7:7" ht="15.75" customHeight="1" x14ac:dyDescent="0.25">
      <c r="G293" s="1"/>
    </row>
    <row r="294" spans="7:7" ht="15.75" customHeight="1" x14ac:dyDescent="0.25">
      <c r="G294" s="1"/>
    </row>
    <row r="295" spans="7:7" ht="15.75" customHeight="1" x14ac:dyDescent="0.25">
      <c r="G295" s="1"/>
    </row>
    <row r="296" spans="7:7" ht="15.75" customHeight="1" x14ac:dyDescent="0.25">
      <c r="G296" s="1"/>
    </row>
    <row r="297" spans="7:7" ht="15.75" customHeight="1" x14ac:dyDescent="0.25">
      <c r="G297" s="1"/>
    </row>
    <row r="298" spans="7:7" ht="15.75" customHeight="1" x14ac:dyDescent="0.25">
      <c r="G298" s="1"/>
    </row>
    <row r="299" spans="7:7" ht="15.75" customHeight="1" x14ac:dyDescent="0.25">
      <c r="G299" s="1"/>
    </row>
    <row r="300" spans="7:7" ht="15.75" customHeight="1" x14ac:dyDescent="0.25">
      <c r="G300" s="1"/>
    </row>
    <row r="301" spans="7:7" ht="15.75" customHeight="1" x14ac:dyDescent="0.25">
      <c r="G301" s="1"/>
    </row>
    <row r="302" spans="7:7" ht="15.75" customHeight="1" x14ac:dyDescent="0.25">
      <c r="G302" s="1"/>
    </row>
    <row r="303" spans="7:7" ht="15.75" customHeight="1" x14ac:dyDescent="0.25">
      <c r="G303" s="1"/>
    </row>
    <row r="304" spans="7:7" ht="15.75" customHeight="1" x14ac:dyDescent="0.25">
      <c r="G304" s="1"/>
    </row>
    <row r="305" spans="7:7" ht="15.75" customHeight="1" x14ac:dyDescent="0.25">
      <c r="G305" s="1"/>
    </row>
    <row r="306" spans="7:7" ht="15.75" customHeight="1" x14ac:dyDescent="0.25">
      <c r="G306" s="1"/>
    </row>
    <row r="307" spans="7:7" ht="15.75" customHeight="1" x14ac:dyDescent="0.25">
      <c r="G307" s="1"/>
    </row>
    <row r="308" spans="7:7" ht="15.75" customHeight="1" x14ac:dyDescent="0.25">
      <c r="G308" s="1"/>
    </row>
    <row r="309" spans="7:7" ht="15.75" customHeight="1" x14ac:dyDescent="0.25">
      <c r="G309" s="1"/>
    </row>
    <row r="310" spans="7:7" ht="15.75" customHeight="1" x14ac:dyDescent="0.25">
      <c r="G310" s="1"/>
    </row>
    <row r="311" spans="7:7" ht="15.75" customHeight="1" x14ac:dyDescent="0.25">
      <c r="G311" s="1"/>
    </row>
    <row r="312" spans="7:7" ht="15.75" customHeight="1" x14ac:dyDescent="0.25">
      <c r="G312" s="1"/>
    </row>
    <row r="313" spans="7:7" ht="15.75" customHeight="1" x14ac:dyDescent="0.25">
      <c r="G313" s="1"/>
    </row>
    <row r="314" spans="7:7" ht="15.75" customHeight="1" x14ac:dyDescent="0.25">
      <c r="G314" s="1"/>
    </row>
    <row r="315" spans="7:7" ht="15.75" customHeight="1" x14ac:dyDescent="0.25">
      <c r="G315" s="1"/>
    </row>
    <row r="316" spans="7:7" ht="15.75" customHeight="1" x14ac:dyDescent="0.25">
      <c r="G316" s="1"/>
    </row>
    <row r="317" spans="7:7" ht="15.75" customHeight="1" x14ac:dyDescent="0.25">
      <c r="G317" s="1"/>
    </row>
    <row r="318" spans="7:7" ht="15.75" customHeight="1" x14ac:dyDescent="0.25">
      <c r="G318" s="1"/>
    </row>
    <row r="319" spans="7:7" ht="15.75" customHeight="1" x14ac:dyDescent="0.25">
      <c r="G319" s="1"/>
    </row>
    <row r="320" spans="7:7" ht="15.75" customHeight="1" x14ac:dyDescent="0.25">
      <c r="G320" s="1"/>
    </row>
    <row r="321" spans="7:7" ht="15.75" customHeight="1" x14ac:dyDescent="0.25">
      <c r="G321" s="1"/>
    </row>
    <row r="322" spans="7:7" ht="15.75" customHeight="1" x14ac:dyDescent="0.25">
      <c r="G322" s="1"/>
    </row>
    <row r="323" spans="7:7" ht="15.75" customHeight="1" x14ac:dyDescent="0.25">
      <c r="G323" s="1"/>
    </row>
    <row r="324" spans="7:7" ht="15.75" customHeight="1" x14ac:dyDescent="0.25">
      <c r="G324" s="1"/>
    </row>
    <row r="325" spans="7:7" ht="15.75" customHeight="1" x14ac:dyDescent="0.25">
      <c r="G325" s="1"/>
    </row>
    <row r="326" spans="7:7" ht="15.75" customHeight="1" x14ac:dyDescent="0.25">
      <c r="G326" s="1"/>
    </row>
    <row r="327" spans="7:7" ht="15.75" customHeight="1" x14ac:dyDescent="0.25">
      <c r="G327" s="1"/>
    </row>
    <row r="328" spans="7:7" ht="15.75" customHeight="1" x14ac:dyDescent="0.25">
      <c r="G328" s="1"/>
    </row>
    <row r="329" spans="7:7" ht="15.75" customHeight="1" x14ac:dyDescent="0.25">
      <c r="G329" s="1"/>
    </row>
    <row r="330" spans="7:7" ht="15.75" customHeight="1" x14ac:dyDescent="0.25">
      <c r="G330" s="1"/>
    </row>
    <row r="331" spans="7:7" ht="15.75" customHeight="1" x14ac:dyDescent="0.25">
      <c r="G331" s="1"/>
    </row>
    <row r="332" spans="7:7" ht="15.75" customHeight="1" x14ac:dyDescent="0.25">
      <c r="G332" s="1"/>
    </row>
    <row r="333" spans="7:7" ht="15.75" customHeight="1" x14ac:dyDescent="0.25">
      <c r="G333" s="1"/>
    </row>
    <row r="334" spans="7:7" ht="15.75" customHeight="1" x14ac:dyDescent="0.25">
      <c r="G334" s="1"/>
    </row>
    <row r="335" spans="7:7" ht="15.75" customHeight="1" x14ac:dyDescent="0.25">
      <c r="G335" s="1"/>
    </row>
    <row r="336" spans="7:7" ht="15.75" customHeight="1" x14ac:dyDescent="0.25">
      <c r="G336" s="1"/>
    </row>
    <row r="337" spans="7:7" ht="15.75" customHeight="1" x14ac:dyDescent="0.25">
      <c r="G337" s="1"/>
    </row>
    <row r="338" spans="7:7" ht="15.75" customHeight="1" x14ac:dyDescent="0.25">
      <c r="G338" s="1"/>
    </row>
    <row r="339" spans="7:7" ht="15.75" customHeight="1" x14ac:dyDescent="0.25">
      <c r="G339" s="1"/>
    </row>
    <row r="340" spans="7:7" ht="15.75" customHeight="1" x14ac:dyDescent="0.25">
      <c r="G340" s="1"/>
    </row>
    <row r="341" spans="7:7" ht="15.75" customHeight="1" x14ac:dyDescent="0.25">
      <c r="G341" s="1"/>
    </row>
    <row r="342" spans="7:7" ht="15.75" customHeight="1" x14ac:dyDescent="0.25">
      <c r="G342" s="1"/>
    </row>
    <row r="343" spans="7:7" ht="15.75" customHeight="1" x14ac:dyDescent="0.25">
      <c r="G343" s="1"/>
    </row>
    <row r="344" spans="7:7" ht="15.75" customHeight="1" x14ac:dyDescent="0.25">
      <c r="G344" s="1"/>
    </row>
    <row r="345" spans="7:7" ht="15.75" customHeight="1" x14ac:dyDescent="0.25">
      <c r="G345" s="1"/>
    </row>
    <row r="346" spans="7:7" ht="15.75" customHeight="1" x14ac:dyDescent="0.25">
      <c r="G346" s="1"/>
    </row>
    <row r="347" spans="7:7" ht="15.75" customHeight="1" x14ac:dyDescent="0.25">
      <c r="G347" s="1"/>
    </row>
    <row r="348" spans="7:7" ht="15.75" customHeight="1" x14ac:dyDescent="0.25">
      <c r="G348" s="1"/>
    </row>
    <row r="349" spans="7:7" ht="15.75" customHeight="1" x14ac:dyDescent="0.25">
      <c r="G349" s="1"/>
    </row>
    <row r="350" spans="7:7" ht="15.75" customHeight="1" x14ac:dyDescent="0.25">
      <c r="G350" s="1"/>
    </row>
    <row r="351" spans="7:7" ht="15.75" customHeight="1" x14ac:dyDescent="0.25">
      <c r="G351" s="1"/>
    </row>
    <row r="352" spans="7:7" ht="15.75" customHeight="1" x14ac:dyDescent="0.25">
      <c r="G352" s="1"/>
    </row>
    <row r="353" spans="7:7" ht="15.75" customHeight="1" x14ac:dyDescent="0.25">
      <c r="G353" s="1"/>
    </row>
    <row r="354" spans="7:7" ht="15.75" customHeight="1" x14ac:dyDescent="0.25">
      <c r="G354" s="1"/>
    </row>
    <row r="355" spans="7:7" ht="15.75" customHeight="1" x14ac:dyDescent="0.25">
      <c r="G355" s="1"/>
    </row>
    <row r="356" spans="7:7" ht="15.75" customHeight="1" x14ac:dyDescent="0.25">
      <c r="G356" s="1"/>
    </row>
    <row r="357" spans="7:7" ht="15.75" customHeight="1" x14ac:dyDescent="0.25">
      <c r="G357" s="1"/>
    </row>
    <row r="358" spans="7:7" ht="15.75" customHeight="1" x14ac:dyDescent="0.25">
      <c r="G358" s="1"/>
    </row>
    <row r="359" spans="7:7" ht="15.75" customHeight="1" x14ac:dyDescent="0.25">
      <c r="G359" s="1"/>
    </row>
    <row r="360" spans="7:7" ht="15.75" customHeight="1" x14ac:dyDescent="0.25">
      <c r="G360" s="1"/>
    </row>
    <row r="361" spans="7:7" ht="15.75" customHeight="1" x14ac:dyDescent="0.25">
      <c r="G361" s="1"/>
    </row>
    <row r="362" spans="7:7" ht="15.75" customHeight="1" x14ac:dyDescent="0.25">
      <c r="G362" s="1"/>
    </row>
    <row r="363" spans="7:7" ht="15.75" customHeight="1" x14ac:dyDescent="0.25">
      <c r="G363" s="1"/>
    </row>
    <row r="364" spans="7:7" ht="15.75" customHeight="1" x14ac:dyDescent="0.25">
      <c r="G364" s="1"/>
    </row>
    <row r="365" spans="7:7" ht="15.75" customHeight="1" x14ac:dyDescent="0.25">
      <c r="G365" s="1"/>
    </row>
    <row r="366" spans="7:7" ht="15.75" customHeight="1" x14ac:dyDescent="0.25">
      <c r="G366" s="1"/>
    </row>
    <row r="367" spans="7:7" ht="15.75" customHeight="1" x14ac:dyDescent="0.25">
      <c r="G367" s="1"/>
    </row>
    <row r="368" spans="7:7" ht="15.75" customHeight="1" x14ac:dyDescent="0.25">
      <c r="G368" s="1"/>
    </row>
    <row r="369" spans="7:7" ht="15.75" customHeight="1" x14ac:dyDescent="0.25">
      <c r="G369" s="1"/>
    </row>
    <row r="370" spans="7:7" ht="15.75" customHeight="1" x14ac:dyDescent="0.25">
      <c r="G370" s="1"/>
    </row>
    <row r="371" spans="7:7" ht="15.75" customHeight="1" x14ac:dyDescent="0.25">
      <c r="G371" s="1"/>
    </row>
    <row r="372" spans="7:7" ht="15.75" customHeight="1" x14ac:dyDescent="0.25">
      <c r="G372" s="1"/>
    </row>
    <row r="373" spans="7:7" ht="15.75" customHeight="1" x14ac:dyDescent="0.25">
      <c r="G373" s="1"/>
    </row>
    <row r="374" spans="7:7" ht="15.75" customHeight="1" x14ac:dyDescent="0.25">
      <c r="G374" s="1"/>
    </row>
    <row r="375" spans="7:7" ht="15.75" customHeight="1" x14ac:dyDescent="0.25">
      <c r="G375" s="1"/>
    </row>
    <row r="376" spans="7:7" ht="15.75" customHeight="1" x14ac:dyDescent="0.25">
      <c r="G376" s="1"/>
    </row>
    <row r="377" spans="7:7" ht="15.75" customHeight="1" x14ac:dyDescent="0.25">
      <c r="G377" s="1"/>
    </row>
    <row r="378" spans="7:7" ht="15.75" customHeight="1" x14ac:dyDescent="0.25">
      <c r="G378" s="1"/>
    </row>
    <row r="379" spans="7:7" ht="15.75" customHeight="1" x14ac:dyDescent="0.25">
      <c r="G379" s="1"/>
    </row>
    <row r="380" spans="7:7" ht="15.75" customHeight="1" x14ac:dyDescent="0.25">
      <c r="G380" s="1"/>
    </row>
    <row r="381" spans="7:7" ht="15.75" customHeight="1" x14ac:dyDescent="0.25">
      <c r="G381" s="1"/>
    </row>
    <row r="382" spans="7:7" ht="15.75" customHeight="1" x14ac:dyDescent="0.25">
      <c r="G382" s="1"/>
    </row>
    <row r="383" spans="7:7" ht="15.75" customHeight="1" x14ac:dyDescent="0.25">
      <c r="G383" s="1"/>
    </row>
    <row r="384" spans="7:7" ht="15.75" customHeight="1" x14ac:dyDescent="0.25">
      <c r="G384" s="1"/>
    </row>
    <row r="385" spans="7:7" ht="15.75" customHeight="1" x14ac:dyDescent="0.25">
      <c r="G385" s="1"/>
    </row>
    <row r="386" spans="7:7" ht="15.75" customHeight="1" x14ac:dyDescent="0.25">
      <c r="G386" s="1"/>
    </row>
    <row r="387" spans="7:7" ht="15.75" customHeight="1" x14ac:dyDescent="0.25">
      <c r="G387" s="1"/>
    </row>
    <row r="388" spans="7:7" ht="15.75" customHeight="1" x14ac:dyDescent="0.25">
      <c r="G388" s="1"/>
    </row>
    <row r="389" spans="7:7" ht="15.75" customHeight="1" x14ac:dyDescent="0.25">
      <c r="G389" s="1"/>
    </row>
    <row r="390" spans="7:7" ht="15.75" customHeight="1" x14ac:dyDescent="0.25">
      <c r="G390" s="1"/>
    </row>
    <row r="391" spans="7:7" ht="15.75" customHeight="1" x14ac:dyDescent="0.25">
      <c r="G391" s="1"/>
    </row>
    <row r="392" spans="7:7" ht="15.75" customHeight="1" x14ac:dyDescent="0.25">
      <c r="G392" s="1"/>
    </row>
    <row r="393" spans="7:7" ht="15.75" customHeight="1" x14ac:dyDescent="0.25">
      <c r="G393" s="1"/>
    </row>
    <row r="394" spans="7:7" ht="15.75" customHeight="1" x14ac:dyDescent="0.25">
      <c r="G394" s="1"/>
    </row>
    <row r="395" spans="7:7" ht="15.75" customHeight="1" x14ac:dyDescent="0.25">
      <c r="G395" s="1"/>
    </row>
    <row r="396" spans="7:7" ht="15.75" customHeight="1" x14ac:dyDescent="0.25">
      <c r="G396" s="1"/>
    </row>
    <row r="397" spans="7:7" ht="15.75" customHeight="1" x14ac:dyDescent="0.25">
      <c r="G397" s="1"/>
    </row>
    <row r="398" spans="7:7" ht="15.75" customHeight="1" x14ac:dyDescent="0.25">
      <c r="G398" s="1"/>
    </row>
    <row r="399" spans="7:7" ht="15.75" customHeight="1" x14ac:dyDescent="0.25">
      <c r="G399" s="1"/>
    </row>
    <row r="400" spans="7:7" ht="15.75" customHeight="1" x14ac:dyDescent="0.25">
      <c r="G400" s="1"/>
    </row>
    <row r="401" spans="7:7" ht="15.75" customHeight="1" x14ac:dyDescent="0.25">
      <c r="G401" s="1"/>
    </row>
    <row r="402" spans="7:7" ht="15.75" customHeight="1" x14ac:dyDescent="0.25">
      <c r="G402" s="1"/>
    </row>
    <row r="403" spans="7:7" ht="15.75" customHeight="1" x14ac:dyDescent="0.25">
      <c r="G403" s="1"/>
    </row>
    <row r="404" spans="7:7" ht="15.75" customHeight="1" x14ac:dyDescent="0.25">
      <c r="G404" s="1"/>
    </row>
    <row r="405" spans="7:7" ht="15.75" customHeight="1" x14ac:dyDescent="0.25">
      <c r="G405" s="1"/>
    </row>
    <row r="406" spans="7:7" ht="15.75" customHeight="1" x14ac:dyDescent="0.25">
      <c r="G406" s="1"/>
    </row>
    <row r="407" spans="7:7" ht="15.75" customHeight="1" x14ac:dyDescent="0.25">
      <c r="G407" s="1"/>
    </row>
    <row r="408" spans="7:7" ht="15.75" customHeight="1" x14ac:dyDescent="0.25">
      <c r="G408" s="1"/>
    </row>
    <row r="409" spans="7:7" ht="15.75" customHeight="1" x14ac:dyDescent="0.25">
      <c r="G409" s="1"/>
    </row>
    <row r="410" spans="7:7" ht="15.75" customHeight="1" x14ac:dyDescent="0.25">
      <c r="G410" s="1"/>
    </row>
    <row r="411" spans="7:7" ht="15.75" customHeight="1" x14ac:dyDescent="0.25">
      <c r="G411" s="1"/>
    </row>
    <row r="412" spans="7:7" ht="15.75" customHeight="1" x14ac:dyDescent="0.25">
      <c r="G412" s="1"/>
    </row>
    <row r="413" spans="7:7" ht="15.75" customHeight="1" x14ac:dyDescent="0.25">
      <c r="G413" s="1"/>
    </row>
    <row r="414" spans="7:7" ht="15.75" customHeight="1" x14ac:dyDescent="0.25">
      <c r="G414" s="1"/>
    </row>
    <row r="415" spans="7:7" ht="15.75" customHeight="1" x14ac:dyDescent="0.25">
      <c r="G415" s="1"/>
    </row>
    <row r="416" spans="7:7" ht="15.75" customHeight="1" x14ac:dyDescent="0.25">
      <c r="G416" s="1"/>
    </row>
    <row r="417" spans="7:7" ht="15.75" customHeight="1" x14ac:dyDescent="0.25">
      <c r="G417" s="1"/>
    </row>
    <row r="418" spans="7:7" ht="15.75" customHeight="1" x14ac:dyDescent="0.25">
      <c r="G418" s="1"/>
    </row>
    <row r="419" spans="7:7" ht="15.75" customHeight="1" x14ac:dyDescent="0.25">
      <c r="G419" s="1"/>
    </row>
    <row r="420" spans="7:7" ht="15.75" customHeight="1" x14ac:dyDescent="0.25">
      <c r="G420" s="1"/>
    </row>
    <row r="421" spans="7:7" ht="15.75" customHeight="1" x14ac:dyDescent="0.25">
      <c r="G421" s="1"/>
    </row>
    <row r="422" spans="7:7" ht="15.75" customHeight="1" x14ac:dyDescent="0.25">
      <c r="G422" s="1"/>
    </row>
    <row r="423" spans="7:7" ht="15.75" customHeight="1" x14ac:dyDescent="0.25">
      <c r="G423" s="1"/>
    </row>
    <row r="424" spans="7:7" ht="15.75" customHeight="1" x14ac:dyDescent="0.25">
      <c r="G424" s="1"/>
    </row>
    <row r="425" spans="7:7" ht="15.75" customHeight="1" x14ac:dyDescent="0.25">
      <c r="G425" s="1"/>
    </row>
    <row r="426" spans="7:7" ht="15.75" customHeight="1" x14ac:dyDescent="0.25">
      <c r="G426" s="1"/>
    </row>
    <row r="427" spans="7:7" ht="15.75" customHeight="1" x14ac:dyDescent="0.25">
      <c r="G427" s="1"/>
    </row>
    <row r="428" spans="7:7" ht="15.75" customHeight="1" x14ac:dyDescent="0.25">
      <c r="G428" s="1"/>
    </row>
    <row r="429" spans="7:7" ht="15.75" customHeight="1" x14ac:dyDescent="0.25">
      <c r="G429" s="1"/>
    </row>
    <row r="430" spans="7:7" ht="15.75" customHeight="1" x14ac:dyDescent="0.25">
      <c r="G430" s="1"/>
    </row>
    <row r="431" spans="7:7" ht="15.75" customHeight="1" x14ac:dyDescent="0.25">
      <c r="G431" s="1"/>
    </row>
    <row r="432" spans="7:7" ht="15.75" customHeight="1" x14ac:dyDescent="0.25">
      <c r="G432" s="1"/>
    </row>
    <row r="433" spans="7:7" ht="15.75" customHeight="1" x14ac:dyDescent="0.25">
      <c r="G433" s="1"/>
    </row>
    <row r="434" spans="7:7" ht="15.75" customHeight="1" x14ac:dyDescent="0.25">
      <c r="G434" s="1"/>
    </row>
    <row r="435" spans="7:7" ht="15.75" customHeight="1" x14ac:dyDescent="0.25">
      <c r="G435" s="1"/>
    </row>
    <row r="436" spans="7:7" ht="15.75" customHeight="1" x14ac:dyDescent="0.25">
      <c r="G436" s="1"/>
    </row>
    <row r="437" spans="7:7" ht="15.75" customHeight="1" x14ac:dyDescent="0.25">
      <c r="G437" s="1"/>
    </row>
    <row r="438" spans="7:7" ht="15.75" customHeight="1" x14ac:dyDescent="0.25">
      <c r="G438" s="1"/>
    </row>
    <row r="439" spans="7:7" ht="15.75" customHeight="1" x14ac:dyDescent="0.25">
      <c r="G439" s="1"/>
    </row>
    <row r="440" spans="7:7" ht="15.75" customHeight="1" x14ac:dyDescent="0.25">
      <c r="G440" s="1"/>
    </row>
    <row r="441" spans="7:7" ht="15.75" customHeight="1" x14ac:dyDescent="0.25">
      <c r="G441" s="1"/>
    </row>
    <row r="442" spans="7:7" ht="15.75" customHeight="1" x14ac:dyDescent="0.25">
      <c r="G442" s="1"/>
    </row>
    <row r="443" spans="7:7" ht="15.75" customHeight="1" x14ac:dyDescent="0.25">
      <c r="G443" s="1"/>
    </row>
    <row r="444" spans="7:7" ht="15.75" customHeight="1" x14ac:dyDescent="0.25">
      <c r="G444" s="1"/>
    </row>
    <row r="445" spans="7:7" ht="15.75" customHeight="1" x14ac:dyDescent="0.25">
      <c r="G445" s="1"/>
    </row>
    <row r="446" spans="7:7" ht="15.75" customHeight="1" x14ac:dyDescent="0.25">
      <c r="G446" s="1"/>
    </row>
    <row r="447" spans="7:7" ht="15.75" customHeight="1" x14ac:dyDescent="0.25">
      <c r="G447" s="1"/>
    </row>
    <row r="448" spans="7:7" ht="15.75" customHeight="1" x14ac:dyDescent="0.25">
      <c r="G448" s="1"/>
    </row>
    <row r="449" spans="7:7" ht="15.75" customHeight="1" x14ac:dyDescent="0.25">
      <c r="G449" s="1"/>
    </row>
    <row r="450" spans="7:7" ht="15.75" customHeight="1" x14ac:dyDescent="0.25">
      <c r="G450" s="1"/>
    </row>
    <row r="451" spans="7:7" ht="15.75" customHeight="1" x14ac:dyDescent="0.25">
      <c r="G451" s="1"/>
    </row>
    <row r="452" spans="7:7" ht="15.75" customHeight="1" x14ac:dyDescent="0.25">
      <c r="G452" s="1"/>
    </row>
    <row r="453" spans="7:7" ht="15.75" customHeight="1" x14ac:dyDescent="0.25">
      <c r="G453" s="1"/>
    </row>
    <row r="454" spans="7:7" ht="15.75" customHeight="1" x14ac:dyDescent="0.25">
      <c r="G454" s="1"/>
    </row>
    <row r="455" spans="7:7" ht="15.75" customHeight="1" x14ac:dyDescent="0.25">
      <c r="G455" s="1"/>
    </row>
    <row r="456" spans="7:7" ht="15.75" customHeight="1" x14ac:dyDescent="0.25">
      <c r="G456" s="1"/>
    </row>
    <row r="457" spans="7:7" ht="15.75" customHeight="1" x14ac:dyDescent="0.25">
      <c r="G457" s="1"/>
    </row>
    <row r="458" spans="7:7" ht="15.75" customHeight="1" x14ac:dyDescent="0.25">
      <c r="G458" s="1"/>
    </row>
    <row r="459" spans="7:7" ht="15.75" customHeight="1" x14ac:dyDescent="0.25">
      <c r="G459" s="1"/>
    </row>
    <row r="460" spans="7:7" ht="15.75" customHeight="1" x14ac:dyDescent="0.25">
      <c r="G460" s="1"/>
    </row>
    <row r="461" spans="7:7" ht="15.75" customHeight="1" x14ac:dyDescent="0.25">
      <c r="G461" s="1"/>
    </row>
    <row r="462" spans="7:7" ht="15.75" customHeight="1" x14ac:dyDescent="0.25">
      <c r="G462" s="1"/>
    </row>
    <row r="463" spans="7:7" ht="15.75" customHeight="1" x14ac:dyDescent="0.25">
      <c r="G463" s="1"/>
    </row>
    <row r="464" spans="7:7" ht="15.75" customHeight="1" x14ac:dyDescent="0.25">
      <c r="G464" s="1"/>
    </row>
    <row r="465" spans="7:7" ht="15.75" customHeight="1" x14ac:dyDescent="0.25">
      <c r="G465" s="1"/>
    </row>
    <row r="466" spans="7:7" ht="15.75" customHeight="1" x14ac:dyDescent="0.25">
      <c r="G466" s="1"/>
    </row>
    <row r="467" spans="7:7" ht="15.75" customHeight="1" x14ac:dyDescent="0.25">
      <c r="G467" s="1"/>
    </row>
    <row r="468" spans="7:7" ht="15.75" customHeight="1" x14ac:dyDescent="0.25">
      <c r="G468" s="1"/>
    </row>
    <row r="469" spans="7:7" ht="15.75" customHeight="1" x14ac:dyDescent="0.25">
      <c r="G469" s="1"/>
    </row>
    <row r="470" spans="7:7" ht="15.75" customHeight="1" x14ac:dyDescent="0.25">
      <c r="G470" s="1"/>
    </row>
    <row r="471" spans="7:7" ht="15.75" customHeight="1" x14ac:dyDescent="0.25">
      <c r="G471" s="1"/>
    </row>
    <row r="472" spans="7:7" ht="15.75" customHeight="1" x14ac:dyDescent="0.25">
      <c r="G472" s="1"/>
    </row>
    <row r="473" spans="7:7" ht="15.75" customHeight="1" x14ac:dyDescent="0.25">
      <c r="G473" s="1"/>
    </row>
    <row r="474" spans="7:7" ht="15.75" customHeight="1" x14ac:dyDescent="0.25">
      <c r="G474" s="1"/>
    </row>
    <row r="475" spans="7:7" ht="15.75" customHeight="1" x14ac:dyDescent="0.25">
      <c r="G475" s="1"/>
    </row>
    <row r="476" spans="7:7" ht="15.75" customHeight="1" x14ac:dyDescent="0.25">
      <c r="G476" s="1"/>
    </row>
    <row r="477" spans="7:7" ht="15.75" customHeight="1" x14ac:dyDescent="0.25">
      <c r="G477" s="1"/>
    </row>
    <row r="478" spans="7:7" ht="15.75" customHeight="1" x14ac:dyDescent="0.25">
      <c r="G478" s="1"/>
    </row>
    <row r="479" spans="7:7" ht="15.75" customHeight="1" x14ac:dyDescent="0.25">
      <c r="G479" s="1"/>
    </row>
    <row r="480" spans="7:7" ht="15.75" customHeight="1" x14ac:dyDescent="0.25">
      <c r="G480" s="1"/>
    </row>
    <row r="481" spans="7:7" ht="15.75" customHeight="1" x14ac:dyDescent="0.25">
      <c r="G481" s="1"/>
    </row>
    <row r="482" spans="7:7" ht="15.75" customHeight="1" x14ac:dyDescent="0.25">
      <c r="G482" s="1"/>
    </row>
    <row r="483" spans="7:7" ht="15.75" customHeight="1" x14ac:dyDescent="0.25">
      <c r="G483" s="1"/>
    </row>
    <row r="484" spans="7:7" ht="15.75" customHeight="1" x14ac:dyDescent="0.25">
      <c r="G484" s="1"/>
    </row>
    <row r="485" spans="7:7" ht="15.75" customHeight="1" x14ac:dyDescent="0.25">
      <c r="G485" s="1"/>
    </row>
    <row r="486" spans="7:7" ht="15.75" customHeight="1" x14ac:dyDescent="0.25">
      <c r="G486" s="1"/>
    </row>
    <row r="487" spans="7:7" ht="15.75" customHeight="1" x14ac:dyDescent="0.25">
      <c r="G487" s="1"/>
    </row>
    <row r="488" spans="7:7" ht="15.75" customHeight="1" x14ac:dyDescent="0.25">
      <c r="G488" s="1"/>
    </row>
    <row r="489" spans="7:7" ht="15.75" customHeight="1" x14ac:dyDescent="0.25">
      <c r="G489" s="1"/>
    </row>
    <row r="490" spans="7:7" ht="15.75" customHeight="1" x14ac:dyDescent="0.25">
      <c r="G490" s="1"/>
    </row>
    <row r="491" spans="7:7" ht="15.75" customHeight="1" x14ac:dyDescent="0.25">
      <c r="G491" s="1"/>
    </row>
    <row r="492" spans="7:7" ht="15.75" customHeight="1" x14ac:dyDescent="0.25">
      <c r="G492" s="1"/>
    </row>
    <row r="493" spans="7:7" ht="15.75" customHeight="1" x14ac:dyDescent="0.25">
      <c r="G493" s="1"/>
    </row>
    <row r="494" spans="7:7" ht="15.75" customHeight="1" x14ac:dyDescent="0.25">
      <c r="G494" s="1"/>
    </row>
    <row r="495" spans="7:7" ht="15.75" customHeight="1" x14ac:dyDescent="0.25">
      <c r="G495" s="1"/>
    </row>
    <row r="496" spans="7:7" ht="15.75" customHeight="1" x14ac:dyDescent="0.25">
      <c r="G496" s="1"/>
    </row>
    <row r="497" spans="7:7" ht="15.75" customHeight="1" x14ac:dyDescent="0.25">
      <c r="G497" s="1"/>
    </row>
    <row r="498" spans="7:7" ht="15.75" customHeight="1" x14ac:dyDescent="0.25">
      <c r="G498" s="1"/>
    </row>
    <row r="499" spans="7:7" ht="15.75" customHeight="1" x14ac:dyDescent="0.25">
      <c r="G499" s="1"/>
    </row>
    <row r="500" spans="7:7" ht="15.75" customHeight="1" x14ac:dyDescent="0.25">
      <c r="G500" s="1"/>
    </row>
    <row r="501" spans="7:7" ht="15.75" customHeight="1" x14ac:dyDescent="0.25">
      <c r="G501" s="1"/>
    </row>
    <row r="502" spans="7:7" ht="15.75" customHeight="1" x14ac:dyDescent="0.25">
      <c r="G502" s="1"/>
    </row>
    <row r="503" spans="7:7" ht="15.75" customHeight="1" x14ac:dyDescent="0.25">
      <c r="G503" s="1"/>
    </row>
    <row r="504" spans="7:7" ht="15.75" customHeight="1" x14ac:dyDescent="0.25">
      <c r="G504" s="1"/>
    </row>
    <row r="505" spans="7:7" ht="15.75" customHeight="1" x14ac:dyDescent="0.25">
      <c r="G505" s="1"/>
    </row>
    <row r="506" spans="7:7" ht="15.75" customHeight="1" x14ac:dyDescent="0.25">
      <c r="G506" s="1"/>
    </row>
    <row r="507" spans="7:7" ht="15.75" customHeight="1" x14ac:dyDescent="0.25">
      <c r="G507" s="1"/>
    </row>
    <row r="508" spans="7:7" ht="15.75" customHeight="1" x14ac:dyDescent="0.25">
      <c r="G508" s="1"/>
    </row>
    <row r="509" spans="7:7" ht="15.75" customHeight="1" x14ac:dyDescent="0.25">
      <c r="G509" s="1"/>
    </row>
    <row r="510" spans="7:7" ht="15.75" customHeight="1" x14ac:dyDescent="0.25">
      <c r="G510" s="1"/>
    </row>
    <row r="511" spans="7:7" ht="15.75" customHeight="1" x14ac:dyDescent="0.25">
      <c r="G511" s="1"/>
    </row>
    <row r="512" spans="7:7" ht="15.75" customHeight="1" x14ac:dyDescent="0.25">
      <c r="G512" s="1"/>
    </row>
    <row r="513" spans="7:7" ht="15.75" customHeight="1" x14ac:dyDescent="0.25">
      <c r="G513" s="1"/>
    </row>
    <row r="514" spans="7:7" ht="15.75" customHeight="1" x14ac:dyDescent="0.25">
      <c r="G514" s="1"/>
    </row>
    <row r="515" spans="7:7" ht="15.75" customHeight="1" x14ac:dyDescent="0.25">
      <c r="G515" s="1"/>
    </row>
    <row r="516" spans="7:7" ht="15.75" customHeight="1" x14ac:dyDescent="0.25">
      <c r="G516" s="1"/>
    </row>
    <row r="517" spans="7:7" ht="15.75" customHeight="1" x14ac:dyDescent="0.25">
      <c r="G517" s="1"/>
    </row>
    <row r="518" spans="7:7" ht="15.75" customHeight="1" x14ac:dyDescent="0.25">
      <c r="G518" s="1"/>
    </row>
    <row r="519" spans="7:7" ht="15.75" customHeight="1" x14ac:dyDescent="0.25">
      <c r="G519" s="1"/>
    </row>
    <row r="520" spans="7:7" ht="15.75" customHeight="1" x14ac:dyDescent="0.25">
      <c r="G520" s="1"/>
    </row>
    <row r="521" spans="7:7" ht="15.75" customHeight="1" x14ac:dyDescent="0.25">
      <c r="G521" s="1"/>
    </row>
    <row r="522" spans="7:7" ht="15.75" customHeight="1" x14ac:dyDescent="0.25">
      <c r="G522" s="1"/>
    </row>
    <row r="523" spans="7:7" ht="15.75" customHeight="1" x14ac:dyDescent="0.25">
      <c r="G523" s="1"/>
    </row>
    <row r="524" spans="7:7" ht="15.75" customHeight="1" x14ac:dyDescent="0.25">
      <c r="G524" s="1"/>
    </row>
    <row r="525" spans="7:7" ht="15.75" customHeight="1" x14ac:dyDescent="0.25">
      <c r="G525" s="1"/>
    </row>
    <row r="526" spans="7:7" ht="15.75" customHeight="1" x14ac:dyDescent="0.25">
      <c r="G526" s="1"/>
    </row>
    <row r="527" spans="7:7" ht="15.75" customHeight="1" x14ac:dyDescent="0.25">
      <c r="G527" s="1"/>
    </row>
    <row r="528" spans="7:7" ht="15.75" customHeight="1" x14ac:dyDescent="0.25">
      <c r="G528" s="1"/>
    </row>
    <row r="529" spans="7:7" ht="15.75" customHeight="1" x14ac:dyDescent="0.25">
      <c r="G529" s="1"/>
    </row>
    <row r="530" spans="7:7" ht="15.75" customHeight="1" x14ac:dyDescent="0.25">
      <c r="G530" s="1"/>
    </row>
    <row r="531" spans="7:7" ht="15.75" customHeight="1" x14ac:dyDescent="0.25">
      <c r="G531" s="1"/>
    </row>
    <row r="532" spans="7:7" ht="15.75" customHeight="1" x14ac:dyDescent="0.25">
      <c r="G532" s="1"/>
    </row>
    <row r="533" spans="7:7" ht="15.75" customHeight="1" x14ac:dyDescent="0.25">
      <c r="G533" s="1"/>
    </row>
    <row r="534" spans="7:7" ht="15.75" customHeight="1" x14ac:dyDescent="0.25">
      <c r="G534" s="1"/>
    </row>
    <row r="535" spans="7:7" ht="15.75" customHeight="1" x14ac:dyDescent="0.25">
      <c r="G535" s="1"/>
    </row>
    <row r="536" spans="7:7" ht="15.75" customHeight="1" x14ac:dyDescent="0.25">
      <c r="G536" s="1"/>
    </row>
    <row r="537" spans="7:7" ht="15.75" customHeight="1" x14ac:dyDescent="0.25">
      <c r="G537" s="1"/>
    </row>
    <row r="538" spans="7:7" ht="15.75" customHeight="1" x14ac:dyDescent="0.25">
      <c r="G538" s="1"/>
    </row>
    <row r="539" spans="7:7" ht="15.75" customHeight="1" x14ac:dyDescent="0.25">
      <c r="G539" s="1"/>
    </row>
    <row r="540" spans="7:7" ht="15.75" customHeight="1" x14ac:dyDescent="0.25">
      <c r="G540" s="1"/>
    </row>
    <row r="541" spans="7:7" ht="15.75" customHeight="1" x14ac:dyDescent="0.25">
      <c r="G541" s="1"/>
    </row>
    <row r="542" spans="7:7" ht="15.75" customHeight="1" x14ac:dyDescent="0.25">
      <c r="G542" s="1"/>
    </row>
    <row r="543" spans="7:7" ht="15.75" customHeight="1" x14ac:dyDescent="0.25">
      <c r="G543" s="1"/>
    </row>
    <row r="544" spans="7:7" ht="15.75" customHeight="1" x14ac:dyDescent="0.25">
      <c r="G544" s="1"/>
    </row>
    <row r="545" spans="7:7" ht="15.75" customHeight="1" x14ac:dyDescent="0.25">
      <c r="G545" s="1"/>
    </row>
    <row r="546" spans="7:7" ht="15.75" customHeight="1" x14ac:dyDescent="0.25">
      <c r="G546" s="1"/>
    </row>
    <row r="547" spans="7:7" ht="15.75" customHeight="1" x14ac:dyDescent="0.25">
      <c r="G547" s="1"/>
    </row>
    <row r="548" spans="7:7" ht="15.75" customHeight="1" x14ac:dyDescent="0.25">
      <c r="G548" s="1"/>
    </row>
    <row r="549" spans="7:7" ht="15.75" customHeight="1" x14ac:dyDescent="0.25">
      <c r="G549" s="1"/>
    </row>
    <row r="550" spans="7:7" ht="15.75" customHeight="1" x14ac:dyDescent="0.25">
      <c r="G550" s="1"/>
    </row>
    <row r="551" spans="7:7" ht="15.75" customHeight="1" x14ac:dyDescent="0.25">
      <c r="G551" s="1"/>
    </row>
    <row r="552" spans="7:7" ht="15.75" customHeight="1" x14ac:dyDescent="0.25">
      <c r="G552" s="1"/>
    </row>
    <row r="553" spans="7:7" ht="15.75" customHeight="1" x14ac:dyDescent="0.25">
      <c r="G553" s="1"/>
    </row>
    <row r="554" spans="7:7" ht="15.75" customHeight="1" x14ac:dyDescent="0.25">
      <c r="G554" s="1"/>
    </row>
    <row r="555" spans="7:7" ht="15.75" customHeight="1" x14ac:dyDescent="0.25">
      <c r="G555" s="1"/>
    </row>
    <row r="556" spans="7:7" ht="15.75" customHeight="1" x14ac:dyDescent="0.25">
      <c r="G556" s="1"/>
    </row>
    <row r="557" spans="7:7" ht="15.75" customHeight="1" x14ac:dyDescent="0.25">
      <c r="G557" s="1"/>
    </row>
    <row r="558" spans="7:7" ht="15.75" customHeight="1" x14ac:dyDescent="0.25">
      <c r="G558" s="1"/>
    </row>
    <row r="559" spans="7:7" ht="15.75" customHeight="1" x14ac:dyDescent="0.25">
      <c r="G559" s="1"/>
    </row>
    <row r="560" spans="7:7" ht="15.75" customHeight="1" x14ac:dyDescent="0.25">
      <c r="G560" s="1"/>
    </row>
    <row r="561" spans="7:7" ht="15.75" customHeight="1" x14ac:dyDescent="0.25">
      <c r="G561" s="1"/>
    </row>
    <row r="562" spans="7:7" ht="15.75" customHeight="1" x14ac:dyDescent="0.25">
      <c r="G562" s="1"/>
    </row>
    <row r="563" spans="7:7" ht="15.75" customHeight="1" x14ac:dyDescent="0.25">
      <c r="G563" s="1"/>
    </row>
    <row r="564" spans="7:7" ht="15.75" customHeight="1" x14ac:dyDescent="0.25">
      <c r="G564" s="1"/>
    </row>
    <row r="565" spans="7:7" ht="15.75" customHeight="1" x14ac:dyDescent="0.25">
      <c r="G565" s="1"/>
    </row>
    <row r="566" spans="7:7" ht="15.75" customHeight="1" x14ac:dyDescent="0.25">
      <c r="G566" s="1"/>
    </row>
    <row r="567" spans="7:7" ht="15.75" customHeight="1" x14ac:dyDescent="0.25">
      <c r="G567" s="1"/>
    </row>
    <row r="568" spans="7:7" ht="15.75" customHeight="1" x14ac:dyDescent="0.25">
      <c r="G568" s="1"/>
    </row>
    <row r="569" spans="7:7" ht="15.75" customHeight="1" x14ac:dyDescent="0.25">
      <c r="G569" s="1"/>
    </row>
    <row r="570" spans="7:7" ht="15.75" customHeight="1" x14ac:dyDescent="0.25">
      <c r="G570" s="1"/>
    </row>
    <row r="571" spans="7:7" ht="15.75" customHeight="1" x14ac:dyDescent="0.25">
      <c r="G571" s="1"/>
    </row>
    <row r="572" spans="7:7" ht="15.75" customHeight="1" x14ac:dyDescent="0.25">
      <c r="G572" s="1"/>
    </row>
    <row r="573" spans="7:7" ht="15.75" customHeight="1" x14ac:dyDescent="0.25">
      <c r="G573" s="1"/>
    </row>
    <row r="574" spans="7:7" ht="15.75" customHeight="1" x14ac:dyDescent="0.25">
      <c r="G574" s="1"/>
    </row>
    <row r="575" spans="7:7" ht="15.75" customHeight="1" x14ac:dyDescent="0.25">
      <c r="G575" s="1"/>
    </row>
    <row r="576" spans="7:7" ht="15.75" customHeight="1" x14ac:dyDescent="0.25">
      <c r="G576" s="1"/>
    </row>
    <row r="577" spans="7:7" ht="15.75" customHeight="1" x14ac:dyDescent="0.25">
      <c r="G577" s="1"/>
    </row>
    <row r="578" spans="7:7" ht="15.75" customHeight="1" x14ac:dyDescent="0.25">
      <c r="G578" s="1"/>
    </row>
    <row r="579" spans="7:7" ht="15.75" customHeight="1" x14ac:dyDescent="0.25">
      <c r="G579" s="1"/>
    </row>
    <row r="580" spans="7:7" ht="15.75" customHeight="1" x14ac:dyDescent="0.25">
      <c r="G580" s="1"/>
    </row>
    <row r="581" spans="7:7" ht="15.75" customHeight="1" x14ac:dyDescent="0.25">
      <c r="G581" s="1"/>
    </row>
    <row r="582" spans="7:7" ht="15.75" customHeight="1" x14ac:dyDescent="0.25">
      <c r="G582" s="1"/>
    </row>
    <row r="583" spans="7:7" ht="15.75" customHeight="1" x14ac:dyDescent="0.25">
      <c r="G583" s="1"/>
    </row>
    <row r="584" spans="7:7" ht="15.75" customHeight="1" x14ac:dyDescent="0.25">
      <c r="G584" s="1"/>
    </row>
    <row r="585" spans="7:7" ht="15.75" customHeight="1" x14ac:dyDescent="0.25">
      <c r="G585" s="1"/>
    </row>
    <row r="586" spans="7:7" ht="15.75" customHeight="1" x14ac:dyDescent="0.25">
      <c r="G586" s="1"/>
    </row>
    <row r="587" spans="7:7" ht="15.75" customHeight="1" x14ac:dyDescent="0.25">
      <c r="G587" s="1"/>
    </row>
    <row r="588" spans="7:7" ht="15.75" customHeight="1" x14ac:dyDescent="0.25">
      <c r="G588" s="1"/>
    </row>
    <row r="589" spans="7:7" ht="15.75" customHeight="1" x14ac:dyDescent="0.25">
      <c r="G589" s="1"/>
    </row>
    <row r="590" spans="7:7" ht="15.75" customHeight="1" x14ac:dyDescent="0.25">
      <c r="G590" s="1"/>
    </row>
    <row r="591" spans="7:7" ht="15.75" customHeight="1" x14ac:dyDescent="0.25">
      <c r="G591" s="1"/>
    </row>
    <row r="592" spans="7:7" ht="15.75" customHeight="1" x14ac:dyDescent="0.25">
      <c r="G592" s="1"/>
    </row>
    <row r="593" spans="7:7" ht="15.75" customHeight="1" x14ac:dyDescent="0.25">
      <c r="G593" s="1"/>
    </row>
    <row r="594" spans="7:7" ht="15.75" customHeight="1" x14ac:dyDescent="0.25">
      <c r="G594" s="1"/>
    </row>
    <row r="595" spans="7:7" ht="15.75" customHeight="1" x14ac:dyDescent="0.25">
      <c r="G595" s="1"/>
    </row>
    <row r="596" spans="7:7" ht="15.75" customHeight="1" x14ac:dyDescent="0.25">
      <c r="G596" s="1"/>
    </row>
    <row r="597" spans="7:7" ht="15.75" customHeight="1" x14ac:dyDescent="0.25">
      <c r="G597" s="1"/>
    </row>
    <row r="598" spans="7:7" ht="15.75" customHeight="1" x14ac:dyDescent="0.25">
      <c r="G598" s="1"/>
    </row>
    <row r="599" spans="7:7" ht="15.75" customHeight="1" x14ac:dyDescent="0.25">
      <c r="G599" s="1"/>
    </row>
    <row r="600" spans="7:7" ht="15.75" customHeight="1" x14ac:dyDescent="0.25">
      <c r="G600" s="1"/>
    </row>
    <row r="601" spans="7:7" ht="15.75" customHeight="1" x14ac:dyDescent="0.25">
      <c r="G601" s="1"/>
    </row>
    <row r="602" spans="7:7" ht="15.75" customHeight="1" x14ac:dyDescent="0.25">
      <c r="G602" s="1"/>
    </row>
    <row r="603" spans="7:7" ht="15.75" customHeight="1" x14ac:dyDescent="0.25">
      <c r="G603" s="1"/>
    </row>
    <row r="604" spans="7:7" ht="15.75" customHeight="1" x14ac:dyDescent="0.25">
      <c r="G604" s="1"/>
    </row>
    <row r="605" spans="7:7" ht="15.75" customHeight="1" x14ac:dyDescent="0.25">
      <c r="G605" s="1"/>
    </row>
    <row r="606" spans="7:7" ht="15.75" customHeight="1" x14ac:dyDescent="0.25">
      <c r="G606" s="1"/>
    </row>
    <row r="607" spans="7:7" ht="15.75" customHeight="1" x14ac:dyDescent="0.25">
      <c r="G607" s="1"/>
    </row>
    <row r="608" spans="7:7" ht="15.75" customHeight="1" x14ac:dyDescent="0.25">
      <c r="G608" s="1"/>
    </row>
    <row r="609" spans="7:7" ht="15.75" customHeight="1" x14ac:dyDescent="0.25">
      <c r="G609" s="1"/>
    </row>
    <row r="610" spans="7:7" ht="15.75" customHeight="1" x14ac:dyDescent="0.25">
      <c r="G610" s="1"/>
    </row>
    <row r="611" spans="7:7" ht="15.75" customHeight="1" x14ac:dyDescent="0.25">
      <c r="G611" s="1"/>
    </row>
    <row r="612" spans="7:7" ht="15.75" customHeight="1" x14ac:dyDescent="0.25">
      <c r="G612" s="1"/>
    </row>
    <row r="613" spans="7:7" ht="15.75" customHeight="1" x14ac:dyDescent="0.25">
      <c r="G613" s="1"/>
    </row>
    <row r="614" spans="7:7" ht="15.75" customHeight="1" x14ac:dyDescent="0.25">
      <c r="G614" s="1"/>
    </row>
    <row r="615" spans="7:7" ht="15.75" customHeight="1" x14ac:dyDescent="0.25">
      <c r="G615" s="1"/>
    </row>
    <row r="616" spans="7:7" ht="15.75" customHeight="1" x14ac:dyDescent="0.25">
      <c r="G616" s="1"/>
    </row>
    <row r="617" spans="7:7" ht="15.75" customHeight="1" x14ac:dyDescent="0.25">
      <c r="G617" s="1"/>
    </row>
    <row r="618" spans="7:7" ht="15.75" customHeight="1" x14ac:dyDescent="0.25">
      <c r="G618" s="1"/>
    </row>
    <row r="619" spans="7:7" ht="15.75" customHeight="1" x14ac:dyDescent="0.25">
      <c r="G619" s="1"/>
    </row>
    <row r="620" spans="7:7" ht="15.75" customHeight="1" x14ac:dyDescent="0.25">
      <c r="G620" s="1"/>
    </row>
    <row r="621" spans="7:7" ht="15.75" customHeight="1" x14ac:dyDescent="0.25">
      <c r="G621" s="1"/>
    </row>
    <row r="622" spans="7:7" ht="15.75" customHeight="1" x14ac:dyDescent="0.25">
      <c r="G622" s="1"/>
    </row>
    <row r="623" spans="7:7" ht="15.75" customHeight="1" x14ac:dyDescent="0.25">
      <c r="G623" s="1"/>
    </row>
    <row r="624" spans="7:7" ht="15.75" customHeight="1" x14ac:dyDescent="0.25">
      <c r="G624" s="1"/>
    </row>
    <row r="625" spans="7:7" ht="15.75" customHeight="1" x14ac:dyDescent="0.25">
      <c r="G625" s="1"/>
    </row>
    <row r="626" spans="7:7" ht="15.75" customHeight="1" x14ac:dyDescent="0.25">
      <c r="G626" s="1"/>
    </row>
    <row r="627" spans="7:7" ht="15.75" customHeight="1" x14ac:dyDescent="0.25">
      <c r="G627" s="1"/>
    </row>
    <row r="628" spans="7:7" ht="15.75" customHeight="1" x14ac:dyDescent="0.25">
      <c r="G628" s="1"/>
    </row>
    <row r="629" spans="7:7" ht="15.75" customHeight="1" x14ac:dyDescent="0.25">
      <c r="G629" s="1"/>
    </row>
    <row r="630" spans="7:7" ht="15.75" customHeight="1" x14ac:dyDescent="0.25">
      <c r="G630" s="1"/>
    </row>
    <row r="631" spans="7:7" ht="15.75" customHeight="1" x14ac:dyDescent="0.25">
      <c r="G631" s="1"/>
    </row>
    <row r="632" spans="7:7" ht="15.75" customHeight="1" x14ac:dyDescent="0.25">
      <c r="G632" s="1"/>
    </row>
    <row r="633" spans="7:7" ht="15.75" customHeight="1" x14ac:dyDescent="0.25">
      <c r="G633" s="1"/>
    </row>
    <row r="634" spans="7:7" ht="15.75" customHeight="1" x14ac:dyDescent="0.25">
      <c r="G634" s="1"/>
    </row>
    <row r="635" spans="7:7" ht="15.75" customHeight="1" x14ac:dyDescent="0.25">
      <c r="G635" s="1"/>
    </row>
    <row r="636" spans="7:7" ht="15.75" customHeight="1" x14ac:dyDescent="0.25">
      <c r="G636" s="1"/>
    </row>
    <row r="637" spans="7:7" ht="15.75" customHeight="1" x14ac:dyDescent="0.25">
      <c r="G637" s="1"/>
    </row>
    <row r="638" spans="7:7" ht="15.75" customHeight="1" x14ac:dyDescent="0.25">
      <c r="G638" s="1"/>
    </row>
    <row r="639" spans="7:7" ht="15.75" customHeight="1" x14ac:dyDescent="0.25">
      <c r="G639" s="1"/>
    </row>
    <row r="640" spans="7:7" ht="15.75" customHeight="1" x14ac:dyDescent="0.25">
      <c r="G640" s="1"/>
    </row>
    <row r="641" spans="7:7" ht="15.75" customHeight="1" x14ac:dyDescent="0.25">
      <c r="G641" s="1"/>
    </row>
    <row r="642" spans="7:7" ht="15.75" customHeight="1" x14ac:dyDescent="0.25">
      <c r="G642" s="1"/>
    </row>
    <row r="643" spans="7:7" ht="15.75" customHeight="1" x14ac:dyDescent="0.25">
      <c r="G643" s="1"/>
    </row>
    <row r="644" spans="7:7" ht="15.75" customHeight="1" x14ac:dyDescent="0.25">
      <c r="G644" s="1"/>
    </row>
    <row r="645" spans="7:7" ht="15.75" customHeight="1" x14ac:dyDescent="0.25">
      <c r="G645" s="1"/>
    </row>
    <row r="646" spans="7:7" ht="15.75" customHeight="1" x14ac:dyDescent="0.25">
      <c r="G646" s="1"/>
    </row>
    <row r="647" spans="7:7" ht="15.75" customHeight="1" x14ac:dyDescent="0.25">
      <c r="G647" s="1"/>
    </row>
    <row r="648" spans="7:7" ht="15.75" customHeight="1" x14ac:dyDescent="0.25">
      <c r="G648" s="1"/>
    </row>
    <row r="649" spans="7:7" ht="15.75" customHeight="1" x14ac:dyDescent="0.25">
      <c r="G649" s="1"/>
    </row>
    <row r="650" spans="7:7" ht="15.75" customHeight="1" x14ac:dyDescent="0.25">
      <c r="G650" s="1"/>
    </row>
    <row r="651" spans="7:7" ht="15.75" customHeight="1" x14ac:dyDescent="0.25">
      <c r="G651" s="1"/>
    </row>
    <row r="652" spans="7:7" ht="15.75" customHeight="1" x14ac:dyDescent="0.25">
      <c r="G652" s="1"/>
    </row>
    <row r="653" spans="7:7" ht="15.75" customHeight="1" x14ac:dyDescent="0.25">
      <c r="G653" s="1"/>
    </row>
    <row r="654" spans="7:7" ht="15.75" customHeight="1" x14ac:dyDescent="0.25">
      <c r="G654" s="1"/>
    </row>
    <row r="655" spans="7:7" ht="15.75" customHeight="1" x14ac:dyDescent="0.25">
      <c r="G655" s="1"/>
    </row>
    <row r="656" spans="7:7" ht="15.75" customHeight="1" x14ac:dyDescent="0.25">
      <c r="G656" s="1"/>
    </row>
    <row r="657" spans="7:7" ht="15.75" customHeight="1" x14ac:dyDescent="0.25">
      <c r="G657" s="1"/>
    </row>
    <row r="658" spans="7:7" ht="15.75" customHeight="1" x14ac:dyDescent="0.25">
      <c r="G658" s="1"/>
    </row>
    <row r="659" spans="7:7" ht="15.75" customHeight="1" x14ac:dyDescent="0.25">
      <c r="G659" s="1"/>
    </row>
    <row r="660" spans="7:7" ht="15.75" customHeight="1" x14ac:dyDescent="0.25">
      <c r="G660" s="1"/>
    </row>
    <row r="661" spans="7:7" ht="15.75" customHeight="1" x14ac:dyDescent="0.25">
      <c r="G661" s="1"/>
    </row>
    <row r="662" spans="7:7" ht="15.75" customHeight="1" x14ac:dyDescent="0.25">
      <c r="G662" s="1"/>
    </row>
    <row r="663" spans="7:7" ht="15.75" customHeight="1" x14ac:dyDescent="0.25">
      <c r="G663" s="1"/>
    </row>
    <row r="664" spans="7:7" ht="15.75" customHeight="1" x14ac:dyDescent="0.25">
      <c r="G664" s="1"/>
    </row>
    <row r="665" spans="7:7" ht="15.75" customHeight="1" x14ac:dyDescent="0.25">
      <c r="G665" s="1"/>
    </row>
    <row r="666" spans="7:7" ht="15.75" customHeight="1" x14ac:dyDescent="0.25">
      <c r="G666" s="1"/>
    </row>
    <row r="667" spans="7:7" ht="15.75" customHeight="1" x14ac:dyDescent="0.25">
      <c r="G667" s="1"/>
    </row>
    <row r="668" spans="7:7" ht="15.75" customHeight="1" x14ac:dyDescent="0.25">
      <c r="G668" s="1"/>
    </row>
    <row r="669" spans="7:7" ht="15.75" customHeight="1" x14ac:dyDescent="0.25">
      <c r="G669" s="1"/>
    </row>
    <row r="670" spans="7:7" ht="15.75" customHeight="1" x14ac:dyDescent="0.25">
      <c r="G670" s="1"/>
    </row>
    <row r="671" spans="7:7" ht="15.75" customHeight="1" x14ac:dyDescent="0.25">
      <c r="G671" s="1"/>
    </row>
    <row r="672" spans="7:7" ht="15.75" customHeight="1" x14ac:dyDescent="0.25">
      <c r="G672" s="1"/>
    </row>
    <row r="673" spans="7:7" ht="15.75" customHeight="1" x14ac:dyDescent="0.25">
      <c r="G673" s="1"/>
    </row>
    <row r="674" spans="7:7" ht="15.75" customHeight="1" x14ac:dyDescent="0.25">
      <c r="G674" s="1"/>
    </row>
    <row r="675" spans="7:7" ht="15.75" customHeight="1" x14ac:dyDescent="0.25">
      <c r="G675" s="1"/>
    </row>
    <row r="676" spans="7:7" ht="15.75" customHeight="1" x14ac:dyDescent="0.25">
      <c r="G676" s="1"/>
    </row>
    <row r="677" spans="7:7" ht="15.75" customHeight="1" x14ac:dyDescent="0.25">
      <c r="G677" s="1"/>
    </row>
    <row r="678" spans="7:7" ht="15.75" customHeight="1" x14ac:dyDescent="0.25">
      <c r="G678" s="1"/>
    </row>
    <row r="679" spans="7:7" ht="15.75" customHeight="1" x14ac:dyDescent="0.25">
      <c r="G679" s="1"/>
    </row>
    <row r="680" spans="7:7" ht="15.75" customHeight="1" x14ac:dyDescent="0.25">
      <c r="G680" s="1"/>
    </row>
    <row r="681" spans="7:7" ht="15.75" customHeight="1" x14ac:dyDescent="0.25">
      <c r="G681" s="1"/>
    </row>
    <row r="682" spans="7:7" ht="15.75" customHeight="1" x14ac:dyDescent="0.25">
      <c r="G682" s="1"/>
    </row>
    <row r="683" spans="7:7" ht="15.75" customHeight="1" x14ac:dyDescent="0.25">
      <c r="G683" s="1"/>
    </row>
    <row r="684" spans="7:7" ht="15.75" customHeight="1" x14ac:dyDescent="0.25">
      <c r="G684" s="1"/>
    </row>
    <row r="685" spans="7:7" ht="15.75" customHeight="1" x14ac:dyDescent="0.25">
      <c r="G685" s="1"/>
    </row>
    <row r="686" spans="7:7" ht="15.75" customHeight="1" x14ac:dyDescent="0.25">
      <c r="G686" s="1"/>
    </row>
    <row r="687" spans="7:7" ht="15.75" customHeight="1" x14ac:dyDescent="0.25">
      <c r="G687" s="1"/>
    </row>
    <row r="688" spans="7:7" ht="15.75" customHeight="1" x14ac:dyDescent="0.25">
      <c r="G688" s="1"/>
    </row>
    <row r="689" spans="7:7" ht="15.75" customHeight="1" x14ac:dyDescent="0.25">
      <c r="G689" s="1"/>
    </row>
    <row r="690" spans="7:7" ht="15.75" customHeight="1" x14ac:dyDescent="0.25">
      <c r="G690" s="1"/>
    </row>
    <row r="691" spans="7:7" ht="15.75" customHeight="1" x14ac:dyDescent="0.25">
      <c r="G691" s="1"/>
    </row>
    <row r="692" spans="7:7" ht="15.75" customHeight="1" x14ac:dyDescent="0.25">
      <c r="G692" s="1"/>
    </row>
    <row r="693" spans="7:7" ht="15.75" customHeight="1" x14ac:dyDescent="0.25">
      <c r="G693" s="1"/>
    </row>
    <row r="694" spans="7:7" ht="15.75" customHeight="1" x14ac:dyDescent="0.25">
      <c r="G694" s="1"/>
    </row>
    <row r="695" spans="7:7" ht="15.75" customHeight="1" x14ac:dyDescent="0.25">
      <c r="G695" s="1"/>
    </row>
    <row r="696" spans="7:7" ht="15.75" customHeight="1" x14ac:dyDescent="0.25">
      <c r="G696" s="1"/>
    </row>
    <row r="697" spans="7:7" ht="15.75" customHeight="1" x14ac:dyDescent="0.25">
      <c r="G697" s="1"/>
    </row>
    <row r="698" spans="7:7" ht="15.75" customHeight="1" x14ac:dyDescent="0.25">
      <c r="G698" s="1"/>
    </row>
    <row r="699" spans="7:7" ht="15.75" customHeight="1" x14ac:dyDescent="0.25">
      <c r="G699" s="1"/>
    </row>
    <row r="700" spans="7:7" ht="15.75" customHeight="1" x14ac:dyDescent="0.25">
      <c r="G700" s="1"/>
    </row>
    <row r="701" spans="7:7" ht="15.75" customHeight="1" x14ac:dyDescent="0.25">
      <c r="G701" s="1"/>
    </row>
    <row r="702" spans="7:7" ht="15.75" customHeight="1" x14ac:dyDescent="0.25">
      <c r="G702" s="1"/>
    </row>
    <row r="703" spans="7:7" ht="15.75" customHeight="1" x14ac:dyDescent="0.25">
      <c r="G703" s="1"/>
    </row>
    <row r="704" spans="7:7" ht="15.75" customHeight="1" x14ac:dyDescent="0.25">
      <c r="G704" s="1"/>
    </row>
    <row r="705" spans="7:7" ht="15.75" customHeight="1" x14ac:dyDescent="0.25">
      <c r="G705" s="1"/>
    </row>
    <row r="706" spans="7:7" ht="15.75" customHeight="1" x14ac:dyDescent="0.25">
      <c r="G706" s="1"/>
    </row>
    <row r="707" spans="7:7" ht="15.75" customHeight="1" x14ac:dyDescent="0.25">
      <c r="G707" s="1"/>
    </row>
    <row r="708" spans="7:7" ht="15.75" customHeight="1" x14ac:dyDescent="0.25">
      <c r="G708" s="1"/>
    </row>
    <row r="709" spans="7:7" ht="15.75" customHeight="1" x14ac:dyDescent="0.25">
      <c r="G709" s="1"/>
    </row>
    <row r="710" spans="7:7" ht="15.75" customHeight="1" x14ac:dyDescent="0.25">
      <c r="G710" s="1"/>
    </row>
    <row r="711" spans="7:7" ht="15.75" customHeight="1" x14ac:dyDescent="0.25">
      <c r="G711" s="1"/>
    </row>
    <row r="712" spans="7:7" ht="15.75" customHeight="1" x14ac:dyDescent="0.25">
      <c r="G712" s="1"/>
    </row>
    <row r="713" spans="7:7" ht="15.75" customHeight="1" x14ac:dyDescent="0.25">
      <c r="G713" s="1"/>
    </row>
    <row r="714" spans="7:7" ht="15.75" customHeight="1" x14ac:dyDescent="0.25">
      <c r="G714" s="1"/>
    </row>
    <row r="715" spans="7:7" ht="15.75" customHeight="1" x14ac:dyDescent="0.25">
      <c r="G715" s="1"/>
    </row>
    <row r="716" spans="7:7" ht="15.75" customHeight="1" x14ac:dyDescent="0.25">
      <c r="G716" s="1"/>
    </row>
    <row r="717" spans="7:7" ht="15.75" customHeight="1" x14ac:dyDescent="0.25">
      <c r="G717" s="1"/>
    </row>
    <row r="718" spans="7:7" ht="15.75" customHeight="1" x14ac:dyDescent="0.25">
      <c r="G718" s="1"/>
    </row>
    <row r="719" spans="7:7" ht="15.75" customHeight="1" x14ac:dyDescent="0.25">
      <c r="G719" s="1"/>
    </row>
    <row r="720" spans="7:7" ht="15.75" customHeight="1" x14ac:dyDescent="0.25">
      <c r="G720" s="1"/>
    </row>
    <row r="721" spans="7:7" ht="15.75" customHeight="1" x14ac:dyDescent="0.25">
      <c r="G721" s="1"/>
    </row>
    <row r="722" spans="7:7" ht="15.75" customHeight="1" x14ac:dyDescent="0.25">
      <c r="G722" s="1"/>
    </row>
    <row r="723" spans="7:7" ht="15.75" customHeight="1" x14ac:dyDescent="0.25">
      <c r="G723" s="1"/>
    </row>
    <row r="724" spans="7:7" ht="15.75" customHeight="1" x14ac:dyDescent="0.25">
      <c r="G724" s="1"/>
    </row>
    <row r="725" spans="7:7" ht="15.75" customHeight="1" x14ac:dyDescent="0.25">
      <c r="G725" s="1"/>
    </row>
    <row r="726" spans="7:7" ht="15.75" customHeight="1" x14ac:dyDescent="0.25">
      <c r="G726" s="1"/>
    </row>
    <row r="727" spans="7:7" ht="15.75" customHeight="1" x14ac:dyDescent="0.25">
      <c r="G727" s="1"/>
    </row>
    <row r="728" spans="7:7" ht="15.75" customHeight="1" x14ac:dyDescent="0.25">
      <c r="G728" s="1"/>
    </row>
    <row r="729" spans="7:7" ht="15.75" customHeight="1" x14ac:dyDescent="0.25">
      <c r="G729" s="1"/>
    </row>
    <row r="730" spans="7:7" ht="15.75" customHeight="1" x14ac:dyDescent="0.25">
      <c r="G730" s="1"/>
    </row>
    <row r="731" spans="7:7" ht="15.75" customHeight="1" x14ac:dyDescent="0.25">
      <c r="G731" s="1"/>
    </row>
    <row r="732" spans="7:7" ht="15.75" customHeight="1" x14ac:dyDescent="0.25">
      <c r="G732" s="1"/>
    </row>
    <row r="733" spans="7:7" ht="15.75" customHeight="1" x14ac:dyDescent="0.25">
      <c r="G733" s="1"/>
    </row>
    <row r="734" spans="7:7" ht="15.75" customHeight="1" x14ac:dyDescent="0.25">
      <c r="G734" s="1"/>
    </row>
    <row r="735" spans="7:7" ht="15.75" customHeight="1" x14ac:dyDescent="0.25">
      <c r="G735" s="1"/>
    </row>
    <row r="736" spans="7:7" ht="15.75" customHeight="1" x14ac:dyDescent="0.25">
      <c r="G736" s="1"/>
    </row>
    <row r="737" spans="7:7" ht="15.75" customHeight="1" x14ac:dyDescent="0.25">
      <c r="G737" s="1"/>
    </row>
    <row r="738" spans="7:7" ht="15.75" customHeight="1" x14ac:dyDescent="0.25">
      <c r="G738" s="1"/>
    </row>
    <row r="739" spans="7:7" ht="15.75" customHeight="1" x14ac:dyDescent="0.25">
      <c r="G739" s="1"/>
    </row>
    <row r="740" spans="7:7" ht="15.75" customHeight="1" x14ac:dyDescent="0.25">
      <c r="G740" s="1"/>
    </row>
    <row r="741" spans="7:7" ht="15.75" customHeight="1" x14ac:dyDescent="0.25">
      <c r="G741" s="1"/>
    </row>
    <row r="742" spans="7:7" ht="15.75" customHeight="1" x14ac:dyDescent="0.25">
      <c r="G742" s="1"/>
    </row>
    <row r="743" spans="7:7" ht="15.75" customHeight="1" x14ac:dyDescent="0.25">
      <c r="G743" s="1"/>
    </row>
    <row r="744" spans="7:7" ht="15.75" customHeight="1" x14ac:dyDescent="0.25">
      <c r="G744" s="1"/>
    </row>
    <row r="745" spans="7:7" ht="15.75" customHeight="1" x14ac:dyDescent="0.25">
      <c r="G745" s="1"/>
    </row>
    <row r="746" spans="7:7" ht="15.75" customHeight="1" x14ac:dyDescent="0.25">
      <c r="G746" s="1"/>
    </row>
    <row r="747" spans="7:7" ht="15.75" customHeight="1" x14ac:dyDescent="0.25">
      <c r="G747" s="1"/>
    </row>
    <row r="748" spans="7:7" ht="15.75" customHeight="1" x14ac:dyDescent="0.25">
      <c r="G748" s="1"/>
    </row>
    <row r="749" spans="7:7" ht="15.75" customHeight="1" x14ac:dyDescent="0.25">
      <c r="G749" s="1"/>
    </row>
    <row r="750" spans="7:7" ht="15.75" customHeight="1" x14ac:dyDescent="0.25">
      <c r="G750" s="1"/>
    </row>
    <row r="751" spans="7:7" ht="15.75" customHeight="1" x14ac:dyDescent="0.25">
      <c r="G751" s="1"/>
    </row>
    <row r="752" spans="7:7" ht="15.75" customHeight="1" x14ac:dyDescent="0.25">
      <c r="G752" s="1"/>
    </row>
    <row r="753" spans="7:7" ht="15.75" customHeight="1" x14ac:dyDescent="0.25">
      <c r="G753" s="1"/>
    </row>
    <row r="754" spans="7:7" ht="15.75" customHeight="1" x14ac:dyDescent="0.25">
      <c r="G754" s="1"/>
    </row>
    <row r="755" spans="7:7" ht="15.75" customHeight="1" x14ac:dyDescent="0.25">
      <c r="G755" s="1"/>
    </row>
    <row r="756" spans="7:7" ht="15.75" customHeight="1" x14ac:dyDescent="0.25">
      <c r="G756" s="1"/>
    </row>
    <row r="757" spans="7:7" ht="15.75" customHeight="1" x14ac:dyDescent="0.25">
      <c r="G757" s="1"/>
    </row>
    <row r="758" spans="7:7" ht="15.75" customHeight="1" x14ac:dyDescent="0.25">
      <c r="G758" s="1"/>
    </row>
    <row r="759" spans="7:7" ht="15.75" customHeight="1" x14ac:dyDescent="0.25">
      <c r="G759" s="1"/>
    </row>
    <row r="760" spans="7:7" ht="15.75" customHeight="1" x14ac:dyDescent="0.25">
      <c r="G760" s="1"/>
    </row>
    <row r="761" spans="7:7" ht="15.75" customHeight="1" x14ac:dyDescent="0.25">
      <c r="G761" s="1"/>
    </row>
    <row r="762" spans="7:7" ht="15.75" customHeight="1" x14ac:dyDescent="0.25">
      <c r="G762" s="1"/>
    </row>
    <row r="763" spans="7:7" ht="15.75" customHeight="1" x14ac:dyDescent="0.25">
      <c r="G763" s="1"/>
    </row>
    <row r="764" spans="7:7" ht="15.75" customHeight="1" x14ac:dyDescent="0.25">
      <c r="G764" s="1"/>
    </row>
    <row r="765" spans="7:7" ht="15.75" customHeight="1" x14ac:dyDescent="0.25">
      <c r="G765" s="1"/>
    </row>
    <row r="766" spans="7:7" ht="15.75" customHeight="1" x14ac:dyDescent="0.25">
      <c r="G766" s="1"/>
    </row>
    <row r="767" spans="7:7" ht="15.75" customHeight="1" x14ac:dyDescent="0.25">
      <c r="G767" s="1"/>
    </row>
    <row r="768" spans="7:7" ht="15.75" customHeight="1" x14ac:dyDescent="0.25">
      <c r="G768" s="1"/>
    </row>
    <row r="769" spans="7:7" ht="15.75" customHeight="1" x14ac:dyDescent="0.25">
      <c r="G769" s="1"/>
    </row>
    <row r="770" spans="7:7" ht="15.75" customHeight="1" x14ac:dyDescent="0.25">
      <c r="G770" s="1"/>
    </row>
    <row r="771" spans="7:7" ht="15.75" customHeight="1" x14ac:dyDescent="0.25">
      <c r="G771" s="1"/>
    </row>
    <row r="772" spans="7:7" ht="15.75" customHeight="1" x14ac:dyDescent="0.25">
      <c r="G772" s="1"/>
    </row>
    <row r="773" spans="7:7" ht="15.75" customHeight="1" x14ac:dyDescent="0.25">
      <c r="G773" s="1"/>
    </row>
    <row r="774" spans="7:7" ht="15.75" customHeight="1" x14ac:dyDescent="0.25">
      <c r="G774" s="1"/>
    </row>
    <row r="775" spans="7:7" ht="15.75" customHeight="1" x14ac:dyDescent="0.25">
      <c r="G775" s="1"/>
    </row>
    <row r="776" spans="7:7" ht="15.75" customHeight="1" x14ac:dyDescent="0.25">
      <c r="G776" s="1"/>
    </row>
    <row r="777" spans="7:7" ht="15.75" customHeight="1" x14ac:dyDescent="0.25">
      <c r="G777" s="1"/>
    </row>
    <row r="778" spans="7:7" ht="15.75" customHeight="1" x14ac:dyDescent="0.25">
      <c r="G778" s="1"/>
    </row>
    <row r="779" spans="7:7" ht="15.75" customHeight="1" x14ac:dyDescent="0.25">
      <c r="G779" s="1"/>
    </row>
    <row r="780" spans="7:7" ht="15.75" customHeight="1" x14ac:dyDescent="0.25">
      <c r="G780" s="1"/>
    </row>
    <row r="781" spans="7:7" ht="15.75" customHeight="1" x14ac:dyDescent="0.25">
      <c r="G781" s="1"/>
    </row>
    <row r="782" spans="7:7" ht="15.75" customHeight="1" x14ac:dyDescent="0.25">
      <c r="G782" s="1"/>
    </row>
    <row r="783" spans="7:7" ht="15.75" customHeight="1" x14ac:dyDescent="0.25">
      <c r="G783" s="1"/>
    </row>
    <row r="784" spans="7:7" ht="15.75" customHeight="1" x14ac:dyDescent="0.25">
      <c r="G784" s="1"/>
    </row>
    <row r="785" spans="7:7" ht="15.75" customHeight="1" x14ac:dyDescent="0.25">
      <c r="G785" s="1"/>
    </row>
    <row r="786" spans="7:7" ht="15.75" customHeight="1" x14ac:dyDescent="0.25">
      <c r="G786" s="1"/>
    </row>
    <row r="787" spans="7:7" ht="15.75" customHeight="1" x14ac:dyDescent="0.25">
      <c r="G787" s="1"/>
    </row>
    <row r="788" spans="7:7" ht="15.75" customHeight="1" x14ac:dyDescent="0.25">
      <c r="G788" s="1"/>
    </row>
    <row r="789" spans="7:7" ht="15.75" customHeight="1" x14ac:dyDescent="0.25">
      <c r="G789" s="1"/>
    </row>
    <row r="790" spans="7:7" ht="15.75" customHeight="1" x14ac:dyDescent="0.25">
      <c r="G790" s="1"/>
    </row>
    <row r="791" spans="7:7" ht="15.75" customHeight="1" x14ac:dyDescent="0.25">
      <c r="G791" s="1"/>
    </row>
    <row r="792" spans="7:7" ht="15.75" customHeight="1" x14ac:dyDescent="0.25">
      <c r="G792" s="1"/>
    </row>
    <row r="793" spans="7:7" ht="15.75" customHeight="1" x14ac:dyDescent="0.25">
      <c r="G793" s="1"/>
    </row>
    <row r="794" spans="7:7" ht="15.75" customHeight="1" x14ac:dyDescent="0.25">
      <c r="G794" s="1"/>
    </row>
    <row r="795" spans="7:7" ht="15.75" customHeight="1" x14ac:dyDescent="0.25">
      <c r="G795" s="1"/>
    </row>
    <row r="796" spans="7:7" ht="15.75" customHeight="1" x14ac:dyDescent="0.25">
      <c r="G796" s="1"/>
    </row>
    <row r="797" spans="7:7" ht="15.75" customHeight="1" x14ac:dyDescent="0.25">
      <c r="G797" s="1"/>
    </row>
    <row r="798" spans="7:7" ht="15.75" customHeight="1" x14ac:dyDescent="0.25">
      <c r="G798" s="1"/>
    </row>
    <row r="799" spans="7:7" ht="15.75" customHeight="1" x14ac:dyDescent="0.25">
      <c r="G799" s="1"/>
    </row>
    <row r="800" spans="7:7" ht="15.75" customHeight="1" x14ac:dyDescent="0.25">
      <c r="G800" s="1"/>
    </row>
    <row r="801" spans="7:7" ht="15.75" customHeight="1" x14ac:dyDescent="0.25">
      <c r="G801" s="1"/>
    </row>
    <row r="802" spans="7:7" ht="15.75" customHeight="1" x14ac:dyDescent="0.25">
      <c r="G802" s="1"/>
    </row>
    <row r="803" spans="7:7" ht="15.75" customHeight="1" x14ac:dyDescent="0.25">
      <c r="G803" s="1"/>
    </row>
    <row r="804" spans="7:7" ht="15.75" customHeight="1" x14ac:dyDescent="0.25">
      <c r="G804" s="1"/>
    </row>
    <row r="805" spans="7:7" ht="15.75" customHeight="1" x14ac:dyDescent="0.25">
      <c r="G805" s="1"/>
    </row>
    <row r="806" spans="7:7" ht="15.75" customHeight="1" x14ac:dyDescent="0.25">
      <c r="G806" s="1"/>
    </row>
    <row r="807" spans="7:7" ht="15.75" customHeight="1" x14ac:dyDescent="0.25">
      <c r="G807" s="1"/>
    </row>
    <row r="808" spans="7:7" ht="15.75" customHeight="1" x14ac:dyDescent="0.25">
      <c r="G808" s="1"/>
    </row>
    <row r="809" spans="7:7" ht="15.75" customHeight="1" x14ac:dyDescent="0.25">
      <c r="G809" s="1"/>
    </row>
    <row r="810" spans="7:7" ht="15.75" customHeight="1" x14ac:dyDescent="0.25">
      <c r="G810" s="1"/>
    </row>
    <row r="811" spans="7:7" ht="15.75" customHeight="1" x14ac:dyDescent="0.25">
      <c r="G811" s="1"/>
    </row>
    <row r="812" spans="7:7" ht="15.75" customHeight="1" x14ac:dyDescent="0.25">
      <c r="G812" s="1"/>
    </row>
    <row r="813" spans="7:7" ht="15.75" customHeight="1" x14ac:dyDescent="0.25">
      <c r="G813" s="1"/>
    </row>
    <row r="814" spans="7:7" ht="15.75" customHeight="1" x14ac:dyDescent="0.25">
      <c r="G814" s="1"/>
    </row>
    <row r="815" spans="7:7" ht="15.75" customHeight="1" x14ac:dyDescent="0.25">
      <c r="G815" s="1"/>
    </row>
    <row r="816" spans="7:7" ht="15.75" customHeight="1" x14ac:dyDescent="0.25">
      <c r="G816" s="1"/>
    </row>
    <row r="817" spans="7:7" ht="15.75" customHeight="1" x14ac:dyDescent="0.25">
      <c r="G817" s="1"/>
    </row>
    <row r="818" spans="7:7" ht="15.75" customHeight="1" x14ac:dyDescent="0.25">
      <c r="G818" s="1"/>
    </row>
    <row r="819" spans="7:7" ht="15.75" customHeight="1" x14ac:dyDescent="0.25">
      <c r="G819" s="1"/>
    </row>
    <row r="820" spans="7:7" ht="15.75" customHeight="1" x14ac:dyDescent="0.25">
      <c r="G820" s="1"/>
    </row>
    <row r="821" spans="7:7" ht="15.75" customHeight="1" x14ac:dyDescent="0.25">
      <c r="G821" s="1"/>
    </row>
    <row r="822" spans="7:7" ht="15.75" customHeight="1" x14ac:dyDescent="0.25">
      <c r="G822" s="1"/>
    </row>
    <row r="823" spans="7:7" ht="15.75" customHeight="1" x14ac:dyDescent="0.25">
      <c r="G823" s="1"/>
    </row>
    <row r="824" spans="7:7" ht="15.75" customHeight="1" x14ac:dyDescent="0.25">
      <c r="G824" s="1"/>
    </row>
    <row r="825" spans="7:7" ht="15.75" customHeight="1" x14ac:dyDescent="0.25">
      <c r="G825" s="1"/>
    </row>
    <row r="826" spans="7:7" ht="15.75" customHeight="1" x14ac:dyDescent="0.25">
      <c r="G826" s="1"/>
    </row>
    <row r="827" spans="7:7" ht="15.75" customHeight="1" x14ac:dyDescent="0.25">
      <c r="G827" s="1"/>
    </row>
    <row r="828" spans="7:7" ht="15.75" customHeight="1" x14ac:dyDescent="0.25">
      <c r="G828" s="1"/>
    </row>
    <row r="829" spans="7:7" ht="15.75" customHeight="1" x14ac:dyDescent="0.25">
      <c r="G829" s="1"/>
    </row>
    <row r="830" spans="7:7" ht="15.75" customHeight="1" x14ac:dyDescent="0.25">
      <c r="G830" s="1"/>
    </row>
    <row r="831" spans="7:7" ht="15.75" customHeight="1" x14ac:dyDescent="0.25">
      <c r="G831" s="1"/>
    </row>
    <row r="832" spans="7:7" ht="15.75" customHeight="1" x14ac:dyDescent="0.25">
      <c r="G832" s="1"/>
    </row>
    <row r="833" spans="7:7" ht="15.75" customHeight="1" x14ac:dyDescent="0.25">
      <c r="G833" s="1"/>
    </row>
    <row r="834" spans="7:7" ht="15.75" customHeight="1" x14ac:dyDescent="0.25">
      <c r="G834" s="1"/>
    </row>
    <row r="835" spans="7:7" ht="15.75" customHeight="1" x14ac:dyDescent="0.25">
      <c r="G835" s="1"/>
    </row>
    <row r="836" spans="7:7" ht="15.75" customHeight="1" x14ac:dyDescent="0.25">
      <c r="G836" s="1"/>
    </row>
    <row r="837" spans="7:7" ht="15.75" customHeight="1" x14ac:dyDescent="0.25">
      <c r="G837" s="1"/>
    </row>
    <row r="838" spans="7:7" ht="15.75" customHeight="1" x14ac:dyDescent="0.25">
      <c r="G838" s="1"/>
    </row>
    <row r="839" spans="7:7" ht="15.75" customHeight="1" x14ac:dyDescent="0.25">
      <c r="G839" s="1"/>
    </row>
    <row r="840" spans="7:7" ht="15.75" customHeight="1" x14ac:dyDescent="0.25">
      <c r="G840" s="1"/>
    </row>
    <row r="841" spans="7:7" ht="15.75" customHeight="1" x14ac:dyDescent="0.25">
      <c r="G841" s="1"/>
    </row>
    <row r="842" spans="7:7" ht="15.75" customHeight="1" x14ac:dyDescent="0.25">
      <c r="G842" s="1"/>
    </row>
    <row r="843" spans="7:7" ht="15.75" customHeight="1" x14ac:dyDescent="0.25">
      <c r="G843" s="1"/>
    </row>
    <row r="844" spans="7:7" ht="15.75" customHeight="1" x14ac:dyDescent="0.25">
      <c r="G844" s="1"/>
    </row>
    <row r="845" spans="7:7" ht="15.75" customHeight="1" x14ac:dyDescent="0.25">
      <c r="G845" s="1"/>
    </row>
    <row r="846" spans="7:7" ht="15.75" customHeight="1" x14ac:dyDescent="0.25">
      <c r="G846" s="1"/>
    </row>
    <row r="847" spans="7:7" ht="15.75" customHeight="1" x14ac:dyDescent="0.25">
      <c r="G847" s="1"/>
    </row>
    <row r="848" spans="7:7" ht="15.75" customHeight="1" x14ac:dyDescent="0.25">
      <c r="G848" s="1"/>
    </row>
    <row r="849" spans="7:7" ht="15.75" customHeight="1" x14ac:dyDescent="0.25">
      <c r="G849" s="1"/>
    </row>
    <row r="850" spans="7:7" ht="15.75" customHeight="1" x14ac:dyDescent="0.25">
      <c r="G850" s="1"/>
    </row>
    <row r="851" spans="7:7" ht="15.75" customHeight="1" x14ac:dyDescent="0.25">
      <c r="G851" s="1"/>
    </row>
    <row r="852" spans="7:7" ht="15.75" customHeight="1" x14ac:dyDescent="0.25">
      <c r="G852" s="1"/>
    </row>
    <row r="853" spans="7:7" ht="15.75" customHeight="1" x14ac:dyDescent="0.25">
      <c r="G853" s="1"/>
    </row>
    <row r="854" spans="7:7" ht="15.75" customHeight="1" x14ac:dyDescent="0.25">
      <c r="G854" s="1"/>
    </row>
    <row r="855" spans="7:7" ht="15.75" customHeight="1" x14ac:dyDescent="0.25">
      <c r="G855" s="1"/>
    </row>
    <row r="856" spans="7:7" ht="15.75" customHeight="1" x14ac:dyDescent="0.25">
      <c r="G856" s="1"/>
    </row>
    <row r="857" spans="7:7" ht="15.75" customHeight="1" x14ac:dyDescent="0.25">
      <c r="G857" s="1"/>
    </row>
    <row r="858" spans="7:7" ht="15.75" customHeight="1" x14ac:dyDescent="0.25">
      <c r="G858" s="1"/>
    </row>
    <row r="859" spans="7:7" ht="15.75" customHeight="1" x14ac:dyDescent="0.25">
      <c r="G859" s="1"/>
    </row>
    <row r="860" spans="7:7" ht="15.75" customHeight="1" x14ac:dyDescent="0.25">
      <c r="G860" s="1"/>
    </row>
    <row r="861" spans="7:7" ht="15.75" customHeight="1" x14ac:dyDescent="0.25">
      <c r="G861" s="1"/>
    </row>
    <row r="862" spans="7:7" ht="15.75" customHeight="1" x14ac:dyDescent="0.25">
      <c r="G862" s="1"/>
    </row>
    <row r="863" spans="7:7" ht="15.75" customHeight="1" x14ac:dyDescent="0.25">
      <c r="G863" s="1"/>
    </row>
    <row r="864" spans="7:7" ht="15.75" customHeight="1" x14ac:dyDescent="0.25">
      <c r="G864" s="1"/>
    </row>
    <row r="865" spans="7:7" ht="15.75" customHeight="1" x14ac:dyDescent="0.25">
      <c r="G865" s="1"/>
    </row>
    <row r="866" spans="7:7" ht="15.75" customHeight="1" x14ac:dyDescent="0.25">
      <c r="G866" s="1"/>
    </row>
    <row r="867" spans="7:7" ht="15.75" customHeight="1" x14ac:dyDescent="0.25">
      <c r="G867" s="1"/>
    </row>
    <row r="868" spans="7:7" ht="15.75" customHeight="1" x14ac:dyDescent="0.25">
      <c r="G868" s="1"/>
    </row>
    <row r="869" spans="7:7" ht="15.75" customHeight="1" x14ac:dyDescent="0.25">
      <c r="G869" s="1"/>
    </row>
    <row r="870" spans="7:7" ht="15.75" customHeight="1" x14ac:dyDescent="0.25">
      <c r="G870" s="1"/>
    </row>
    <row r="871" spans="7:7" ht="15.75" customHeight="1" x14ac:dyDescent="0.25">
      <c r="G871" s="1"/>
    </row>
    <row r="872" spans="7:7" ht="15.75" customHeight="1" x14ac:dyDescent="0.25">
      <c r="G872" s="1"/>
    </row>
    <row r="873" spans="7:7" ht="15.75" customHeight="1" x14ac:dyDescent="0.25">
      <c r="G873" s="1"/>
    </row>
    <row r="874" spans="7:7" ht="15.75" customHeight="1" x14ac:dyDescent="0.25">
      <c r="G874" s="1"/>
    </row>
    <row r="875" spans="7:7" ht="15.75" customHeight="1" x14ac:dyDescent="0.25">
      <c r="G875" s="1"/>
    </row>
    <row r="876" spans="7:7" ht="15.75" customHeight="1" x14ac:dyDescent="0.25">
      <c r="G876" s="1"/>
    </row>
    <row r="877" spans="7:7" ht="15.75" customHeight="1" x14ac:dyDescent="0.25">
      <c r="G877" s="1"/>
    </row>
    <row r="878" spans="7:7" ht="15.75" customHeight="1" x14ac:dyDescent="0.25">
      <c r="G878" s="1"/>
    </row>
    <row r="879" spans="7:7" ht="15.75" customHeight="1" x14ac:dyDescent="0.25">
      <c r="G879" s="1"/>
    </row>
    <row r="880" spans="7:7" ht="15.75" customHeight="1" x14ac:dyDescent="0.25">
      <c r="G880" s="1"/>
    </row>
    <row r="881" spans="7:7" ht="15.75" customHeight="1" x14ac:dyDescent="0.25">
      <c r="G881" s="1"/>
    </row>
    <row r="882" spans="7:7" ht="15.75" customHeight="1" x14ac:dyDescent="0.25">
      <c r="G882" s="1"/>
    </row>
    <row r="883" spans="7:7" ht="15.75" customHeight="1" x14ac:dyDescent="0.25">
      <c r="G883" s="1"/>
    </row>
    <row r="884" spans="7:7" ht="15.75" customHeight="1" x14ac:dyDescent="0.25">
      <c r="G884" s="1"/>
    </row>
    <row r="885" spans="7:7" ht="15.75" customHeight="1" x14ac:dyDescent="0.25">
      <c r="G885" s="1"/>
    </row>
    <row r="886" spans="7:7" ht="15.75" customHeight="1" x14ac:dyDescent="0.25">
      <c r="G886" s="1"/>
    </row>
    <row r="887" spans="7:7" ht="15.75" customHeight="1" x14ac:dyDescent="0.25">
      <c r="G887" s="1"/>
    </row>
    <row r="888" spans="7:7" ht="15.75" customHeight="1" x14ac:dyDescent="0.25">
      <c r="G888" s="1"/>
    </row>
    <row r="889" spans="7:7" ht="15.75" customHeight="1" x14ac:dyDescent="0.25">
      <c r="G889" s="1"/>
    </row>
    <row r="890" spans="7:7" ht="15.75" customHeight="1" x14ac:dyDescent="0.25">
      <c r="G890" s="1"/>
    </row>
    <row r="891" spans="7:7" ht="15.75" customHeight="1" x14ac:dyDescent="0.25">
      <c r="G891" s="1"/>
    </row>
    <row r="892" spans="7:7" ht="15.75" customHeight="1" x14ac:dyDescent="0.25">
      <c r="G892" s="1"/>
    </row>
    <row r="893" spans="7:7" ht="15.75" customHeight="1" x14ac:dyDescent="0.25">
      <c r="G893" s="1"/>
    </row>
    <row r="894" spans="7:7" ht="15.75" customHeight="1" x14ac:dyDescent="0.25">
      <c r="G894" s="1"/>
    </row>
    <row r="895" spans="7:7" ht="15.75" customHeight="1" x14ac:dyDescent="0.25">
      <c r="G895" s="1"/>
    </row>
    <row r="896" spans="7:7" ht="15.75" customHeight="1" x14ac:dyDescent="0.25">
      <c r="G896" s="1"/>
    </row>
    <row r="897" spans="7:7" ht="15.75" customHeight="1" x14ac:dyDescent="0.25">
      <c r="G897" s="1"/>
    </row>
    <row r="898" spans="7:7" ht="15.75" customHeight="1" x14ac:dyDescent="0.25">
      <c r="G898" s="1"/>
    </row>
    <row r="899" spans="7:7" ht="15.75" customHeight="1" x14ac:dyDescent="0.25">
      <c r="G899" s="1"/>
    </row>
    <row r="900" spans="7:7" ht="15.75" customHeight="1" x14ac:dyDescent="0.25">
      <c r="G900" s="1"/>
    </row>
    <row r="901" spans="7:7" ht="15.75" customHeight="1" x14ac:dyDescent="0.25">
      <c r="G901" s="1"/>
    </row>
    <row r="902" spans="7:7" ht="15.75" customHeight="1" x14ac:dyDescent="0.25">
      <c r="G902" s="1"/>
    </row>
    <row r="903" spans="7:7" ht="15.75" customHeight="1" x14ac:dyDescent="0.25">
      <c r="G903" s="1"/>
    </row>
    <row r="904" spans="7:7" ht="15.75" customHeight="1" x14ac:dyDescent="0.25">
      <c r="G904" s="1"/>
    </row>
    <row r="905" spans="7:7" ht="15.75" customHeight="1" x14ac:dyDescent="0.25">
      <c r="G905" s="1"/>
    </row>
    <row r="906" spans="7:7" ht="15.75" customHeight="1" x14ac:dyDescent="0.25">
      <c r="G906" s="1"/>
    </row>
    <row r="907" spans="7:7" ht="15.75" customHeight="1" x14ac:dyDescent="0.25">
      <c r="G907" s="1"/>
    </row>
    <row r="908" spans="7:7" ht="15.75" customHeight="1" x14ac:dyDescent="0.25">
      <c r="G908" s="1"/>
    </row>
    <row r="909" spans="7:7" ht="15.75" customHeight="1" x14ac:dyDescent="0.25">
      <c r="G909" s="1"/>
    </row>
    <row r="910" spans="7:7" ht="15.75" customHeight="1" x14ac:dyDescent="0.25">
      <c r="G910" s="1"/>
    </row>
    <row r="911" spans="7:7" ht="15.75" customHeight="1" x14ac:dyDescent="0.25">
      <c r="G911" s="1"/>
    </row>
    <row r="912" spans="7:7" ht="15.75" customHeight="1" x14ac:dyDescent="0.25">
      <c r="G912" s="1"/>
    </row>
    <row r="913" spans="7:7" ht="15.75" customHeight="1" x14ac:dyDescent="0.25">
      <c r="G913" s="1"/>
    </row>
    <row r="914" spans="7:7" ht="15.75" customHeight="1" x14ac:dyDescent="0.25">
      <c r="G914" s="1"/>
    </row>
    <row r="915" spans="7:7" ht="15.75" customHeight="1" x14ac:dyDescent="0.25">
      <c r="G915" s="1"/>
    </row>
    <row r="916" spans="7:7" ht="15.75" customHeight="1" x14ac:dyDescent="0.25">
      <c r="G916" s="1"/>
    </row>
    <row r="917" spans="7:7" ht="15.75" customHeight="1" x14ac:dyDescent="0.25">
      <c r="G917" s="1"/>
    </row>
    <row r="918" spans="7:7" ht="15.75" customHeight="1" x14ac:dyDescent="0.25">
      <c r="G918" s="1"/>
    </row>
    <row r="919" spans="7:7" ht="15.75" customHeight="1" x14ac:dyDescent="0.25">
      <c r="G919" s="1"/>
    </row>
    <row r="920" spans="7:7" ht="15.75" customHeight="1" x14ac:dyDescent="0.25">
      <c r="G920" s="1"/>
    </row>
    <row r="921" spans="7:7" ht="15.75" customHeight="1" x14ac:dyDescent="0.25">
      <c r="G921" s="1"/>
    </row>
    <row r="922" spans="7:7" ht="15.75" customHeight="1" x14ac:dyDescent="0.25">
      <c r="G922" s="1"/>
    </row>
    <row r="923" spans="7:7" ht="15.75" customHeight="1" x14ac:dyDescent="0.25">
      <c r="G923" s="1"/>
    </row>
    <row r="924" spans="7:7" ht="15.75" customHeight="1" x14ac:dyDescent="0.25">
      <c r="G924" s="1"/>
    </row>
    <row r="925" spans="7:7" ht="15.75" customHeight="1" x14ac:dyDescent="0.25">
      <c r="G925" s="1"/>
    </row>
    <row r="926" spans="7:7" ht="15.75" customHeight="1" x14ac:dyDescent="0.25">
      <c r="G926" s="1"/>
    </row>
    <row r="927" spans="7:7" ht="15.75" customHeight="1" x14ac:dyDescent="0.25">
      <c r="G927" s="1"/>
    </row>
    <row r="928" spans="7:7" ht="15.75" customHeight="1" x14ac:dyDescent="0.25">
      <c r="G928" s="1"/>
    </row>
    <row r="929" spans="7:7" ht="15.75" customHeight="1" x14ac:dyDescent="0.25">
      <c r="G929" s="1"/>
    </row>
    <row r="930" spans="7:7" ht="15.75" customHeight="1" x14ac:dyDescent="0.25">
      <c r="G930" s="1"/>
    </row>
    <row r="931" spans="7:7" ht="15.75" customHeight="1" x14ac:dyDescent="0.25">
      <c r="G931" s="1"/>
    </row>
    <row r="932" spans="7:7" ht="15.75" customHeight="1" x14ac:dyDescent="0.25">
      <c r="G932" s="1"/>
    </row>
    <row r="933" spans="7:7" ht="15.75" customHeight="1" x14ac:dyDescent="0.25">
      <c r="G933" s="1"/>
    </row>
    <row r="934" spans="7:7" ht="15.75" customHeight="1" x14ac:dyDescent="0.25">
      <c r="G934" s="1"/>
    </row>
    <row r="935" spans="7:7" ht="15.75" customHeight="1" x14ac:dyDescent="0.25">
      <c r="G935" s="1"/>
    </row>
    <row r="936" spans="7:7" ht="15.75" customHeight="1" x14ac:dyDescent="0.25">
      <c r="G936" s="1"/>
    </row>
    <row r="937" spans="7:7" ht="15.75" customHeight="1" x14ac:dyDescent="0.25">
      <c r="G937" s="1"/>
    </row>
    <row r="938" spans="7:7" ht="15.75" customHeight="1" x14ac:dyDescent="0.25">
      <c r="G938" s="1"/>
    </row>
    <row r="939" spans="7:7" ht="15.75" customHeight="1" x14ac:dyDescent="0.25">
      <c r="G939" s="1"/>
    </row>
    <row r="940" spans="7:7" ht="15.75" customHeight="1" x14ac:dyDescent="0.25">
      <c r="G940" s="1"/>
    </row>
    <row r="941" spans="7:7" ht="15.75" customHeight="1" x14ac:dyDescent="0.25">
      <c r="G941" s="1"/>
    </row>
    <row r="942" spans="7:7" ht="15.75" customHeight="1" x14ac:dyDescent="0.25">
      <c r="G942" s="1"/>
    </row>
    <row r="943" spans="7:7" ht="15.75" customHeight="1" x14ac:dyDescent="0.25">
      <c r="G943" s="1"/>
    </row>
    <row r="944" spans="7:7" ht="15.75" customHeight="1" x14ac:dyDescent="0.25">
      <c r="G944" s="1"/>
    </row>
    <row r="945" spans="7:7" ht="15.75" customHeight="1" x14ac:dyDescent="0.25">
      <c r="G945" s="1"/>
    </row>
    <row r="946" spans="7:7" ht="15.75" customHeight="1" x14ac:dyDescent="0.25">
      <c r="G946" s="1"/>
    </row>
    <row r="947" spans="7:7" ht="15.75" customHeight="1" x14ac:dyDescent="0.25">
      <c r="G947" s="1"/>
    </row>
    <row r="948" spans="7:7" ht="15.75" customHeight="1" x14ac:dyDescent="0.25">
      <c r="G948" s="1"/>
    </row>
    <row r="949" spans="7:7" ht="15.75" customHeight="1" x14ac:dyDescent="0.25">
      <c r="G949" s="1"/>
    </row>
    <row r="950" spans="7:7" ht="15.75" customHeight="1" x14ac:dyDescent="0.25">
      <c r="G950" s="1"/>
    </row>
    <row r="951" spans="7:7" ht="15.75" customHeight="1" x14ac:dyDescent="0.25">
      <c r="G951" s="1"/>
    </row>
    <row r="952" spans="7:7" ht="15.75" customHeight="1" x14ac:dyDescent="0.25">
      <c r="G952" s="1"/>
    </row>
    <row r="953" spans="7:7" ht="15.75" customHeight="1" x14ac:dyDescent="0.25">
      <c r="G953" s="1"/>
    </row>
    <row r="954" spans="7:7" ht="15.75" customHeight="1" x14ac:dyDescent="0.25">
      <c r="G954" s="1"/>
    </row>
    <row r="955" spans="7:7" ht="15.75" customHeight="1" x14ac:dyDescent="0.25">
      <c r="G955" s="1"/>
    </row>
    <row r="956" spans="7:7" ht="15.75" customHeight="1" x14ac:dyDescent="0.25">
      <c r="G956" s="1"/>
    </row>
    <row r="957" spans="7:7" ht="15.75" customHeight="1" x14ac:dyDescent="0.25">
      <c r="G957" s="1"/>
    </row>
    <row r="958" spans="7:7" ht="15.75" customHeight="1" x14ac:dyDescent="0.25">
      <c r="G958" s="1"/>
    </row>
    <row r="959" spans="7:7" ht="15.75" customHeight="1" x14ac:dyDescent="0.25">
      <c r="G959" s="1"/>
    </row>
    <row r="960" spans="7:7" ht="15.75" customHeight="1" x14ac:dyDescent="0.25">
      <c r="G960" s="1"/>
    </row>
    <row r="961" spans="7:7" ht="15.75" customHeight="1" x14ac:dyDescent="0.25">
      <c r="G961" s="1"/>
    </row>
    <row r="962" spans="7:7" ht="15.75" customHeight="1" x14ac:dyDescent="0.25">
      <c r="G962" s="1"/>
    </row>
    <row r="963" spans="7:7" ht="15.75" customHeight="1" x14ac:dyDescent="0.25">
      <c r="G963" s="1"/>
    </row>
    <row r="964" spans="7:7" ht="15.75" customHeight="1" x14ac:dyDescent="0.25">
      <c r="G964" s="1"/>
    </row>
    <row r="965" spans="7:7" ht="15.75" customHeight="1" x14ac:dyDescent="0.25">
      <c r="G965" s="1"/>
    </row>
    <row r="966" spans="7:7" ht="15.75" customHeight="1" x14ac:dyDescent="0.25">
      <c r="G966" s="1"/>
    </row>
    <row r="967" spans="7:7" ht="15.75" customHeight="1" x14ac:dyDescent="0.25">
      <c r="G967" s="1"/>
    </row>
    <row r="968" spans="7:7" ht="15.75" customHeight="1" x14ac:dyDescent="0.25">
      <c r="G968" s="1"/>
    </row>
    <row r="969" spans="7:7" ht="15.75" customHeight="1" x14ac:dyDescent="0.25">
      <c r="G969" s="1"/>
    </row>
    <row r="970" spans="7:7" ht="15.75" customHeight="1" x14ac:dyDescent="0.25">
      <c r="G970" s="1"/>
    </row>
    <row r="971" spans="7:7" ht="15.75" customHeight="1" x14ac:dyDescent="0.25">
      <c r="G971" s="1"/>
    </row>
    <row r="972" spans="7:7" ht="15.75" customHeight="1" x14ac:dyDescent="0.25">
      <c r="G972" s="1"/>
    </row>
    <row r="973" spans="7:7" ht="15.75" customHeight="1" x14ac:dyDescent="0.25">
      <c r="G973" s="1"/>
    </row>
    <row r="974" spans="7:7" ht="15.75" customHeight="1" x14ac:dyDescent="0.25">
      <c r="G974" s="1"/>
    </row>
    <row r="975" spans="7:7" ht="15.75" customHeight="1" x14ac:dyDescent="0.25">
      <c r="G975" s="1"/>
    </row>
    <row r="976" spans="7:7" ht="15.75" customHeight="1" x14ac:dyDescent="0.25">
      <c r="G976" s="1"/>
    </row>
    <row r="977" spans="7:7" ht="15.75" customHeight="1" x14ac:dyDescent="0.25">
      <c r="G977" s="1"/>
    </row>
    <row r="978" spans="7:7" ht="15.75" customHeight="1" x14ac:dyDescent="0.25">
      <c r="G978" s="1"/>
    </row>
    <row r="979" spans="7:7" ht="15.75" customHeight="1" x14ac:dyDescent="0.25">
      <c r="G979" s="1"/>
    </row>
    <row r="980" spans="7:7" ht="15.75" customHeight="1" x14ac:dyDescent="0.25">
      <c r="G980" s="1"/>
    </row>
    <row r="981" spans="7:7" ht="15.75" customHeight="1" x14ac:dyDescent="0.25">
      <c r="G981" s="1"/>
    </row>
    <row r="982" spans="7:7" ht="15.75" customHeight="1" x14ac:dyDescent="0.25">
      <c r="G982" s="1"/>
    </row>
    <row r="983" spans="7:7" ht="15.75" customHeight="1" x14ac:dyDescent="0.25">
      <c r="G983" s="1"/>
    </row>
    <row r="984" spans="7:7" ht="15.75" customHeight="1" x14ac:dyDescent="0.25">
      <c r="G984" s="1"/>
    </row>
    <row r="985" spans="7:7" ht="15.75" customHeight="1" x14ac:dyDescent="0.25">
      <c r="G985" s="1"/>
    </row>
    <row r="986" spans="7:7" ht="15.75" customHeight="1" x14ac:dyDescent="0.25">
      <c r="G986" s="1"/>
    </row>
    <row r="987" spans="7:7" ht="15.75" customHeight="1" x14ac:dyDescent="0.25">
      <c r="G987" s="1"/>
    </row>
    <row r="988" spans="7:7" ht="15.75" customHeight="1" x14ac:dyDescent="0.25">
      <c r="G988" s="1"/>
    </row>
    <row r="989" spans="7:7" ht="15.75" customHeight="1" x14ac:dyDescent="0.25">
      <c r="G989" s="1"/>
    </row>
    <row r="990" spans="7:7" ht="15.75" customHeight="1" x14ac:dyDescent="0.25">
      <c r="G990" s="1"/>
    </row>
    <row r="991" spans="7:7" ht="15.75" customHeight="1" x14ac:dyDescent="0.25">
      <c r="G991" s="1"/>
    </row>
    <row r="992" spans="7:7" ht="15.75" customHeight="1" x14ac:dyDescent="0.25">
      <c r="G992" s="1"/>
    </row>
    <row r="993" spans="7:7" ht="15.75" customHeight="1" x14ac:dyDescent="0.25">
      <c r="G993" s="1"/>
    </row>
    <row r="994" spans="7:7" ht="15.75" customHeight="1" x14ac:dyDescent="0.25">
      <c r="G994" s="1"/>
    </row>
    <row r="995" spans="7:7" ht="15.75" customHeight="1" x14ac:dyDescent="0.25">
      <c r="G995" s="1"/>
    </row>
    <row r="996" spans="7:7" ht="15.75" customHeight="1" x14ac:dyDescent="0.25">
      <c r="G996" s="1"/>
    </row>
    <row r="997" spans="7:7" ht="15.75" customHeight="1" x14ac:dyDescent="0.25">
      <c r="G997" s="1"/>
    </row>
    <row r="998" spans="7:7" ht="15.75" customHeight="1" x14ac:dyDescent="0.25">
      <c r="G998" s="1"/>
    </row>
    <row r="999" spans="7:7" ht="15.75" customHeight="1" x14ac:dyDescent="0.25">
      <c r="G999" s="1"/>
    </row>
    <row r="1000" spans="7:7" ht="15.75" customHeight="1" x14ac:dyDescent="0.25">
      <c r="G1000" s="1"/>
    </row>
  </sheetData>
  <mergeCells count="4">
    <mergeCell ref="B2:D2"/>
    <mergeCell ref="C3:D3"/>
    <mergeCell ref="C4:D4"/>
    <mergeCell ref="C6:D6"/>
  </mergeCells>
  <dataValidations count="1">
    <dataValidation type="list" allowBlank="1" showErrorMessage="1" sqref="D5" xr:uid="{00000000-0002-0000-0000-000000000000}">
      <formula1>$G$5:$G$24</formula1>
    </dataValidation>
  </dataValidations>
  <hyperlinks>
    <hyperlink ref="C4" r:id="rId1" xr:uid="{00000000-0004-0000-0000-000000000000}"/>
  </hyperlinks>
  <pageMargins left="0.7" right="0.7" top="0.75" bottom="0.75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000"/>
  <sheetViews>
    <sheetView showGridLines="0" tabSelected="1" workbookViewId="0">
      <selection activeCell="E10" sqref="E10"/>
    </sheetView>
  </sheetViews>
  <sheetFormatPr baseColWidth="10" defaultColWidth="12.625" defaultRowHeight="15" customHeight="1" x14ac:dyDescent="0.2"/>
  <cols>
    <col min="1" max="7" width="9.375" customWidth="1"/>
    <col min="8" max="8" width="7.375" customWidth="1"/>
    <col min="9" max="9" width="5.125" customWidth="1"/>
    <col min="10" max="10" width="9.375" customWidth="1"/>
    <col min="11" max="11" width="9.125" customWidth="1"/>
    <col min="12" max="13" width="9.375" customWidth="1"/>
    <col min="14" max="14" width="9.125" customWidth="1"/>
    <col min="15" max="15" width="17.375" customWidth="1"/>
    <col min="16" max="26" width="10" customWidth="1"/>
    <col min="27" max="27" width="9.125" customWidth="1"/>
    <col min="28" max="28" width="12" customWidth="1"/>
    <col min="29" max="29" width="9.125" customWidth="1"/>
    <col min="30" max="30" width="8.625" customWidth="1"/>
    <col min="31" max="31" width="11.375" customWidth="1"/>
    <col min="32" max="32" width="26.125" customWidth="1"/>
    <col min="33" max="33" width="22.375" customWidth="1"/>
    <col min="34" max="35" width="10" customWidth="1"/>
  </cols>
  <sheetData>
    <row r="1" spans="1:35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 x14ac:dyDescent="0.25"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spans="1:35" x14ac:dyDescent="0.25">
      <c r="B3" s="124" t="s">
        <v>25</v>
      </c>
      <c r="C3" s="125"/>
      <c r="D3" s="125"/>
      <c r="E3" s="125"/>
      <c r="F3" s="125"/>
      <c r="G3" s="126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</row>
    <row r="4" spans="1:35" x14ac:dyDescent="0.25">
      <c r="B4" s="127"/>
      <c r="C4" s="128"/>
      <c r="D4" s="128"/>
      <c r="E4" s="128"/>
      <c r="F4" s="128"/>
      <c r="G4" s="129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spans="1:35" x14ac:dyDescent="0.25">
      <c r="B5" s="9"/>
      <c r="C5" s="10">
        <v>2</v>
      </c>
      <c r="D5" s="10">
        <v>3</v>
      </c>
      <c r="E5" s="10">
        <v>5</v>
      </c>
      <c r="F5" s="10">
        <v>6</v>
      </c>
      <c r="G5" s="10">
        <v>4</v>
      </c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</row>
    <row r="6" spans="1:35" x14ac:dyDescent="0.25">
      <c r="B6" s="130" t="s">
        <v>26</v>
      </c>
      <c r="C6" s="131"/>
      <c r="D6" s="131"/>
      <c r="E6" s="131"/>
      <c r="F6" s="131"/>
      <c r="G6" s="132"/>
      <c r="H6" s="9"/>
      <c r="J6" s="11" t="s">
        <v>27</v>
      </c>
      <c r="K6" s="133" t="s">
        <v>28</v>
      </c>
      <c r="L6" s="131"/>
      <c r="M6" s="131"/>
      <c r="N6" s="132"/>
      <c r="O6" s="10"/>
      <c r="P6" s="1">
        <v>1</v>
      </c>
      <c r="Q6" s="1">
        <v>2</v>
      </c>
      <c r="R6" s="1" t="s">
        <v>29</v>
      </c>
      <c r="S6" s="1"/>
      <c r="T6" s="1" t="s">
        <v>30</v>
      </c>
      <c r="U6" s="1" t="s">
        <v>31</v>
      </c>
      <c r="V6" s="1" t="s">
        <v>32</v>
      </c>
      <c r="W6" s="1" t="s">
        <v>33</v>
      </c>
      <c r="X6" s="1" t="s">
        <v>34</v>
      </c>
      <c r="Y6" s="1" t="s">
        <v>35</v>
      </c>
      <c r="Z6" s="1"/>
      <c r="AA6" s="1"/>
      <c r="AB6" s="1" t="s">
        <v>31</v>
      </c>
      <c r="AC6" s="1" t="s">
        <v>36</v>
      </c>
      <c r="AD6" s="1" t="s">
        <v>29</v>
      </c>
      <c r="AE6" s="1" t="s">
        <v>37</v>
      </c>
      <c r="AF6" s="1" t="s">
        <v>38</v>
      </c>
      <c r="AG6" s="1" t="s">
        <v>39</v>
      </c>
      <c r="AH6" s="1" t="s">
        <v>40</v>
      </c>
      <c r="AI6" s="1"/>
    </row>
    <row r="7" spans="1:35" x14ac:dyDescent="0.25">
      <c r="B7" s="12" t="s">
        <v>41</v>
      </c>
      <c r="C7" s="13" t="s">
        <v>31</v>
      </c>
      <c r="D7" s="14" t="s">
        <v>32</v>
      </c>
      <c r="E7" s="14" t="s">
        <v>34</v>
      </c>
      <c r="F7" s="14" t="s">
        <v>35</v>
      </c>
      <c r="G7" s="15" t="s">
        <v>33</v>
      </c>
      <c r="H7" s="9"/>
      <c r="I7" s="16">
        <v>1</v>
      </c>
      <c r="J7" s="17">
        <v>44360</v>
      </c>
      <c r="K7" s="18" t="s">
        <v>42</v>
      </c>
      <c r="L7" s="19">
        <v>3</v>
      </c>
      <c r="M7" s="20">
        <v>0</v>
      </c>
      <c r="N7" s="16" t="s">
        <v>43</v>
      </c>
      <c r="O7" s="10" t="e">
        <f t="shared" ref="O7:O16" ca="1" si="0">_xludf.CONCAT(K7,"_",N7)</f>
        <v>#NAME?</v>
      </c>
      <c r="P7" s="1">
        <f t="shared" ref="P7:P16" si="1">IF(L7&gt;M7,3,IF(L7&lt;M7,0,1))</f>
        <v>3</v>
      </c>
      <c r="Q7" s="1">
        <f t="shared" ref="Q7:Q16" si="2">IF(P7=3,0,IF(P7=1,1,3))</f>
        <v>0</v>
      </c>
      <c r="R7" s="1" t="str">
        <f t="shared" ref="R7:R16" si="3">IF(P7&gt;Q7,K7,IF(Q7&gt;P7,N7,"SIN GANADOR"))</f>
        <v>Brasil</v>
      </c>
      <c r="S7" s="1"/>
      <c r="T7" s="1" t="e">
        <f t="shared" ref="T7:T11" ca="1" si="4">_xlfn.RANK.EQ(AH7,AH$7:AH$11,1)</f>
        <v>#N/A</v>
      </c>
      <c r="U7" s="1" t="s">
        <v>42</v>
      </c>
      <c r="V7" s="1">
        <f t="shared" ref="V7:V11" si="5">SUMIF($K$7:$K$16,U7,$P$7:$P$16) + SUMIF($N$7:$N$16,U7,$Q$7:$Q$16)</f>
        <v>10</v>
      </c>
      <c r="W7" s="1">
        <f t="shared" ref="W7:W11" si="6">X7-Y7</f>
        <v>8</v>
      </c>
      <c r="X7" s="1">
        <f t="shared" ref="X7:X11" si="7">SUMIF($K$7:$K$16,U7,$L$7:$L$16) + SUMIF($N$7:$N$16,U7,$M$7:$M$16)</f>
        <v>11</v>
      </c>
      <c r="Y7" s="1">
        <f t="shared" ref="Y7:Y11" si="8">SUMIF($K$7:$K$16,U7,$M$7:$M$16) + SUMIF($N$7:$N$16,U7,$L$7:$L$16)</f>
        <v>3</v>
      </c>
      <c r="Z7" s="1"/>
      <c r="AA7" s="1"/>
      <c r="AB7" s="1" t="str">
        <f t="shared" ref="AB7:AB11" si="9">U7</f>
        <v>Brasil</v>
      </c>
      <c r="AC7" s="1" t="str">
        <f>IF(AF7=AF8,AB8,IF(AF7=AF9,AB9,IF(AF7=AF10,AB10,IF(AF7=AF11,AB11,""))))</f>
        <v/>
      </c>
      <c r="AD7" s="1" t="str">
        <f t="shared" ref="AD7:AD11" si="10">IF(AC7="","",IFERROR(VLOOKUP(CONCATENATE(AB7,"_",AC7),$O$7:$R$16,4,FALSE),VLOOKUP(CONCATENATE(AC7,"_",AB7),$O$7:$R$16,4,FALSE)))</f>
        <v/>
      </c>
      <c r="AE7" s="1">
        <f t="shared" ref="AE7:AE11" si="11">IF(AD7="",1,IF(AD7=AB7,1,0))</f>
        <v>1</v>
      </c>
      <c r="AF7" s="1">
        <f t="shared" ref="AF7:AF11" si="12">-V7*10000000 - W7*10000 - X7*100</f>
        <v>-100081100</v>
      </c>
      <c r="AG7" s="1">
        <f t="shared" ref="AG7:AG11" si="13">AF7-AE7*10</f>
        <v>-100081110</v>
      </c>
      <c r="AH7" s="1">
        <f t="shared" ref="AH7:AH11" si="14">AG7+N23</f>
        <v>-100081109</v>
      </c>
      <c r="AI7" s="1"/>
    </row>
    <row r="8" spans="1:35" x14ac:dyDescent="0.25">
      <c r="B8" s="21">
        <v>1</v>
      </c>
      <c r="C8" s="22" t="s">
        <v>42</v>
      </c>
      <c r="D8" s="23">
        <v>10</v>
      </c>
      <c r="E8" s="23">
        <v>11</v>
      </c>
      <c r="F8" s="23">
        <v>3</v>
      </c>
      <c r="G8" s="24">
        <v>8</v>
      </c>
      <c r="H8" s="9"/>
      <c r="I8" s="25">
        <v>2</v>
      </c>
      <c r="J8" s="26">
        <v>44360</v>
      </c>
      <c r="K8" s="27" t="s">
        <v>44</v>
      </c>
      <c r="L8" s="28">
        <v>1</v>
      </c>
      <c r="M8" s="29">
        <v>2</v>
      </c>
      <c r="N8" s="25" t="s">
        <v>45</v>
      </c>
      <c r="O8" s="10" t="e">
        <f t="shared" ca="1" si="0"/>
        <v>#NAME?</v>
      </c>
      <c r="P8" s="1">
        <f t="shared" si="1"/>
        <v>0</v>
      </c>
      <c r="Q8" s="1">
        <f t="shared" si="2"/>
        <v>3</v>
      </c>
      <c r="R8" s="1" t="str">
        <f t="shared" si="3"/>
        <v>Ecuador</v>
      </c>
      <c r="S8" s="1"/>
      <c r="T8" s="1" t="e">
        <f t="shared" ca="1" si="4"/>
        <v>#N/A</v>
      </c>
      <c r="U8" s="1" t="s">
        <v>44</v>
      </c>
      <c r="V8" s="1">
        <f t="shared" si="5"/>
        <v>7</v>
      </c>
      <c r="W8" s="1">
        <f t="shared" si="6"/>
        <v>4</v>
      </c>
      <c r="X8" s="1">
        <f t="shared" si="7"/>
        <v>8</v>
      </c>
      <c r="Y8" s="1">
        <f t="shared" si="8"/>
        <v>4</v>
      </c>
      <c r="Z8" s="1"/>
      <c r="AA8" s="1"/>
      <c r="AB8" s="1" t="str">
        <f t="shared" si="9"/>
        <v>Colombia</v>
      </c>
      <c r="AC8" s="1" t="str">
        <f>IF(AF8=AF9,AB9,IF(AF8=AF10,AB10,IF(AF8=AF11,AB11,IF(AF8=AF7,AB7,""))))</f>
        <v/>
      </c>
      <c r="AD8" s="1" t="str">
        <f t="shared" si="10"/>
        <v/>
      </c>
      <c r="AE8" s="1">
        <f t="shared" si="11"/>
        <v>1</v>
      </c>
      <c r="AF8" s="1">
        <f t="shared" si="12"/>
        <v>-70040800</v>
      </c>
      <c r="AG8" s="1">
        <f t="shared" si="13"/>
        <v>-70040810</v>
      </c>
      <c r="AH8" s="1">
        <f t="shared" si="14"/>
        <v>-70040807</v>
      </c>
      <c r="AI8" s="1"/>
    </row>
    <row r="9" spans="1:35" x14ac:dyDescent="0.25">
      <c r="B9" s="30">
        <v>2</v>
      </c>
      <c r="C9" s="31" t="s">
        <v>45</v>
      </c>
      <c r="D9" s="32">
        <v>9</v>
      </c>
      <c r="E9" s="32">
        <v>6</v>
      </c>
      <c r="F9" s="32">
        <v>4</v>
      </c>
      <c r="G9" s="33">
        <v>2</v>
      </c>
      <c r="H9" s="9"/>
      <c r="I9" s="34">
        <v>5</v>
      </c>
      <c r="J9" s="35">
        <v>44364</v>
      </c>
      <c r="K9" s="36" t="s">
        <v>44</v>
      </c>
      <c r="L9" s="28">
        <v>2</v>
      </c>
      <c r="M9" s="29">
        <v>0</v>
      </c>
      <c r="N9" s="34" t="s">
        <v>43</v>
      </c>
      <c r="O9" s="10" t="e">
        <f t="shared" ca="1" si="0"/>
        <v>#NAME?</v>
      </c>
      <c r="P9" s="1">
        <f t="shared" si="1"/>
        <v>3</v>
      </c>
      <c r="Q9" s="1">
        <f t="shared" si="2"/>
        <v>0</v>
      </c>
      <c r="R9" s="1" t="str">
        <f t="shared" si="3"/>
        <v>Colombia</v>
      </c>
      <c r="S9" s="1"/>
      <c r="T9" s="1" t="e">
        <f t="shared" ca="1" si="4"/>
        <v>#N/A</v>
      </c>
      <c r="U9" s="1" t="s">
        <v>45</v>
      </c>
      <c r="V9" s="1">
        <f t="shared" si="5"/>
        <v>9</v>
      </c>
      <c r="W9" s="1">
        <f t="shared" si="6"/>
        <v>2</v>
      </c>
      <c r="X9" s="1">
        <f t="shared" si="7"/>
        <v>6</v>
      </c>
      <c r="Y9" s="1">
        <f t="shared" si="8"/>
        <v>4</v>
      </c>
      <c r="Z9" s="1"/>
      <c r="AA9" s="1"/>
      <c r="AB9" s="1" t="str">
        <f t="shared" si="9"/>
        <v>Ecuador</v>
      </c>
      <c r="AC9" s="1" t="str">
        <f>IF(AF9=AF10,AB10,IF(AF9=AF11,AB11,IF(AF9=AF7,AB7,IF(AF9=AF8,AB8,""))))</f>
        <v/>
      </c>
      <c r="AD9" s="1" t="str">
        <f t="shared" si="10"/>
        <v/>
      </c>
      <c r="AE9" s="1">
        <f t="shared" si="11"/>
        <v>1</v>
      </c>
      <c r="AF9" s="1">
        <f t="shared" si="12"/>
        <v>-90020600</v>
      </c>
      <c r="AG9" s="1">
        <f t="shared" si="13"/>
        <v>-90020610</v>
      </c>
      <c r="AH9" s="1">
        <f t="shared" si="14"/>
        <v>-90020606</v>
      </c>
      <c r="AI9" s="1"/>
    </row>
    <row r="10" spans="1:35" x14ac:dyDescent="0.25">
      <c r="B10" s="37">
        <v>3</v>
      </c>
      <c r="C10" s="38" t="s">
        <v>44</v>
      </c>
      <c r="D10" s="39">
        <v>7</v>
      </c>
      <c r="E10" s="39">
        <v>8</v>
      </c>
      <c r="F10" s="39">
        <v>4</v>
      </c>
      <c r="G10" s="40">
        <v>4</v>
      </c>
      <c r="H10" s="9"/>
      <c r="I10" s="25">
        <v>6</v>
      </c>
      <c r="J10" s="26">
        <v>44364</v>
      </c>
      <c r="K10" s="27" t="s">
        <v>46</v>
      </c>
      <c r="L10" s="28">
        <v>0</v>
      </c>
      <c r="M10" s="29">
        <v>3</v>
      </c>
      <c r="N10" s="25" t="s">
        <v>42</v>
      </c>
      <c r="O10" s="10" t="e">
        <f t="shared" ca="1" si="0"/>
        <v>#NAME?</v>
      </c>
      <c r="P10" s="1">
        <f t="shared" si="1"/>
        <v>0</v>
      </c>
      <c r="Q10" s="1">
        <f t="shared" si="2"/>
        <v>3</v>
      </c>
      <c r="R10" s="1" t="str">
        <f t="shared" si="3"/>
        <v>Brasil</v>
      </c>
      <c r="S10" s="1"/>
      <c r="T10" s="1" t="e">
        <f t="shared" ca="1" si="4"/>
        <v>#N/A</v>
      </c>
      <c r="U10" s="1" t="s">
        <v>46</v>
      </c>
      <c r="V10" s="1">
        <f t="shared" si="5"/>
        <v>1</v>
      </c>
      <c r="W10" s="1">
        <f t="shared" si="6"/>
        <v>-7</v>
      </c>
      <c r="X10" s="1">
        <f t="shared" si="7"/>
        <v>0</v>
      </c>
      <c r="Y10" s="1">
        <f t="shared" si="8"/>
        <v>7</v>
      </c>
      <c r="Z10" s="1"/>
      <c r="AA10" s="1"/>
      <c r="AB10" s="1" t="str">
        <f t="shared" si="9"/>
        <v>Peru</v>
      </c>
      <c r="AC10" s="1" t="str">
        <f>IF(AF10=AF11,AB11,IF(AF10=AF7,AB7,IF(AF10=AF8,AB8,IF(AF10=AF9,AB9,""))))</f>
        <v>Venezuela</v>
      </c>
      <c r="AD10" s="1" t="e">
        <f t="shared" ca="1" si="10"/>
        <v>#N/A</v>
      </c>
      <c r="AE10" s="1" t="e">
        <f t="shared" ca="1" si="11"/>
        <v>#N/A</v>
      </c>
      <c r="AF10" s="1">
        <f t="shared" si="12"/>
        <v>-9930000</v>
      </c>
      <c r="AG10" s="1" t="e">
        <f t="shared" ca="1" si="13"/>
        <v>#N/A</v>
      </c>
      <c r="AH10" s="1" t="e">
        <f t="shared" ca="1" si="14"/>
        <v>#N/A</v>
      </c>
      <c r="AI10" s="1"/>
    </row>
    <row r="11" spans="1:35" x14ac:dyDescent="0.25">
      <c r="B11" s="41">
        <v>4</v>
      </c>
      <c r="C11" s="42" t="s">
        <v>43</v>
      </c>
      <c r="D11" s="43">
        <v>1</v>
      </c>
      <c r="E11" s="43">
        <v>0</v>
      </c>
      <c r="F11" s="43">
        <v>6</v>
      </c>
      <c r="G11" s="44">
        <v>-6</v>
      </c>
      <c r="H11" s="9"/>
      <c r="I11" s="34">
        <v>9</v>
      </c>
      <c r="J11" s="35">
        <v>44367</v>
      </c>
      <c r="K11" s="36" t="s">
        <v>43</v>
      </c>
      <c r="L11" s="28">
        <v>0</v>
      </c>
      <c r="M11" s="29">
        <v>2</v>
      </c>
      <c r="N11" s="34" t="s">
        <v>45</v>
      </c>
      <c r="O11" s="10" t="e">
        <f t="shared" ca="1" si="0"/>
        <v>#NAME?</v>
      </c>
      <c r="P11" s="1">
        <f t="shared" si="1"/>
        <v>0</v>
      </c>
      <c r="Q11" s="1">
        <f t="shared" si="2"/>
        <v>3</v>
      </c>
      <c r="R11" s="1" t="str">
        <f t="shared" si="3"/>
        <v>Ecuador</v>
      </c>
      <c r="S11" s="1"/>
      <c r="T11" s="1" t="e">
        <f t="shared" ca="1" si="4"/>
        <v>#N/A</v>
      </c>
      <c r="U11" s="1" t="s">
        <v>43</v>
      </c>
      <c r="V11" s="1">
        <f t="shared" si="5"/>
        <v>1</v>
      </c>
      <c r="W11" s="1">
        <f t="shared" si="6"/>
        <v>-7</v>
      </c>
      <c r="X11" s="1">
        <f t="shared" si="7"/>
        <v>0</v>
      </c>
      <c r="Y11" s="1">
        <f t="shared" si="8"/>
        <v>7</v>
      </c>
      <c r="Z11" s="1"/>
      <c r="AA11" s="1"/>
      <c r="AB11" s="1" t="str">
        <f t="shared" si="9"/>
        <v>Venezuela</v>
      </c>
      <c r="AC11" s="1" t="str">
        <f>IF(AF11=AF7,AB7,IF(AF11=AF8,AB8,IF(AF11=AF9,AB9,IF(AF11=AF10,AB10,""))))</f>
        <v>Peru</v>
      </c>
      <c r="AD11" s="1" t="e">
        <f t="shared" ca="1" si="10"/>
        <v>#N/A</v>
      </c>
      <c r="AE11" s="1" t="e">
        <f t="shared" ca="1" si="11"/>
        <v>#N/A</v>
      </c>
      <c r="AF11" s="1">
        <f t="shared" si="12"/>
        <v>-9930000</v>
      </c>
      <c r="AG11" s="1" t="e">
        <f t="shared" ca="1" si="13"/>
        <v>#N/A</v>
      </c>
      <c r="AH11" s="1" t="e">
        <f t="shared" ca="1" si="14"/>
        <v>#N/A</v>
      </c>
      <c r="AI11" s="1"/>
    </row>
    <row r="12" spans="1:35" x14ac:dyDescent="0.25">
      <c r="A12" s="4"/>
      <c r="B12" s="45">
        <v>5</v>
      </c>
      <c r="C12" s="46" t="s">
        <v>46</v>
      </c>
      <c r="D12" s="47">
        <v>1</v>
      </c>
      <c r="E12" s="47">
        <v>0</v>
      </c>
      <c r="F12" s="47">
        <v>7</v>
      </c>
      <c r="G12" s="48">
        <v>-7</v>
      </c>
      <c r="H12" s="9"/>
      <c r="I12" s="49">
        <v>10</v>
      </c>
      <c r="J12" s="50">
        <v>44367</v>
      </c>
      <c r="K12" s="51" t="s">
        <v>44</v>
      </c>
      <c r="L12" s="52">
        <v>3</v>
      </c>
      <c r="M12" s="53">
        <v>0</v>
      </c>
      <c r="N12" s="49" t="s">
        <v>46</v>
      </c>
      <c r="O12" s="10" t="e">
        <f t="shared" ca="1" si="0"/>
        <v>#NAME?</v>
      </c>
      <c r="P12" s="1">
        <f t="shared" si="1"/>
        <v>3</v>
      </c>
      <c r="Q12" s="1">
        <f t="shared" si="2"/>
        <v>0</v>
      </c>
      <c r="R12" s="1" t="str">
        <f t="shared" si="3"/>
        <v>Colombia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</row>
    <row r="13" spans="1:35" x14ac:dyDescent="0.25">
      <c r="A13" s="4"/>
      <c r="B13" s="4"/>
      <c r="C13" s="4"/>
      <c r="D13" s="4"/>
      <c r="E13" s="4"/>
      <c r="F13" s="4"/>
      <c r="G13" s="4"/>
      <c r="H13" s="4"/>
      <c r="I13" s="54">
        <v>13</v>
      </c>
      <c r="J13" s="55">
        <v>44370</v>
      </c>
      <c r="K13" s="56" t="s">
        <v>45</v>
      </c>
      <c r="L13" s="52">
        <v>1</v>
      </c>
      <c r="M13" s="53">
        <v>0</v>
      </c>
      <c r="N13" s="54" t="s">
        <v>46</v>
      </c>
      <c r="O13" s="10" t="e">
        <f t="shared" ca="1" si="0"/>
        <v>#NAME?</v>
      </c>
      <c r="P13" s="1">
        <f t="shared" si="1"/>
        <v>3</v>
      </c>
      <c r="Q13" s="1">
        <f t="shared" si="2"/>
        <v>0</v>
      </c>
      <c r="R13" s="1" t="str">
        <f t="shared" si="3"/>
        <v>Ecuador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1:35" x14ac:dyDescent="0.25">
      <c r="A14" s="4"/>
      <c r="B14" s="4"/>
      <c r="C14" s="4"/>
      <c r="D14" s="4"/>
      <c r="E14" s="4"/>
      <c r="F14" s="4"/>
      <c r="G14" s="4"/>
      <c r="H14" s="4"/>
      <c r="I14" s="49">
        <v>14</v>
      </c>
      <c r="J14" s="50">
        <v>44370</v>
      </c>
      <c r="K14" s="51" t="s">
        <v>44</v>
      </c>
      <c r="L14" s="52">
        <v>2</v>
      </c>
      <c r="M14" s="53">
        <v>2</v>
      </c>
      <c r="N14" s="49" t="s">
        <v>42</v>
      </c>
      <c r="O14" s="10" t="e">
        <f t="shared" ca="1" si="0"/>
        <v>#NAME?</v>
      </c>
      <c r="P14" s="1">
        <f t="shared" si="1"/>
        <v>1</v>
      </c>
      <c r="Q14" s="1">
        <f t="shared" si="2"/>
        <v>1</v>
      </c>
      <c r="R14" s="1" t="str">
        <f t="shared" si="3"/>
        <v>SIN GANADOR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</row>
    <row r="15" spans="1:35" x14ac:dyDescent="0.25">
      <c r="A15" s="4"/>
      <c r="B15" s="4"/>
      <c r="C15" s="4"/>
      <c r="D15" s="4"/>
      <c r="E15" s="4"/>
      <c r="F15" s="4"/>
      <c r="G15" s="4"/>
      <c r="H15" s="4"/>
      <c r="I15" s="54">
        <v>17</v>
      </c>
      <c r="J15" s="55">
        <v>44374</v>
      </c>
      <c r="K15" s="56" t="s">
        <v>45</v>
      </c>
      <c r="L15" s="52">
        <v>1</v>
      </c>
      <c r="M15" s="53">
        <v>3</v>
      </c>
      <c r="N15" s="54" t="s">
        <v>42</v>
      </c>
      <c r="O15" s="10" t="e">
        <f t="shared" ca="1" si="0"/>
        <v>#NAME?</v>
      </c>
      <c r="P15" s="1">
        <f t="shared" si="1"/>
        <v>0</v>
      </c>
      <c r="Q15" s="1">
        <f t="shared" si="2"/>
        <v>3</v>
      </c>
      <c r="R15" s="1" t="str">
        <f t="shared" si="3"/>
        <v>Brasil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</row>
    <row r="16" spans="1:35" x14ac:dyDescent="0.25">
      <c r="B16" s="4"/>
      <c r="C16" s="4"/>
      <c r="D16" s="4"/>
      <c r="E16" s="4"/>
      <c r="F16" s="4"/>
      <c r="G16" s="4"/>
      <c r="H16" s="4"/>
      <c r="I16" s="57">
        <v>18</v>
      </c>
      <c r="J16" s="58">
        <v>44374</v>
      </c>
      <c r="K16" s="59" t="s">
        <v>43</v>
      </c>
      <c r="L16" s="60">
        <v>0</v>
      </c>
      <c r="M16" s="61">
        <v>0</v>
      </c>
      <c r="N16" s="57" t="s">
        <v>46</v>
      </c>
      <c r="O16" s="10" t="e">
        <f t="shared" ca="1" si="0"/>
        <v>#NAME?</v>
      </c>
      <c r="P16" s="1">
        <f t="shared" si="1"/>
        <v>1</v>
      </c>
      <c r="Q16" s="1">
        <f t="shared" si="2"/>
        <v>1</v>
      </c>
      <c r="R16" s="1" t="str">
        <f t="shared" si="3"/>
        <v>SIN GANADOR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</row>
    <row r="17" spans="1:35" x14ac:dyDescent="0.25">
      <c r="N17" s="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</row>
    <row r="18" spans="1:35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</row>
    <row r="19" spans="1:35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</row>
    <row r="20" spans="1:35" x14ac:dyDescent="0.25"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1:35" ht="15.75" customHeight="1" x14ac:dyDescent="0.25">
      <c r="N21" s="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1:35" ht="15.75" customHeight="1" x14ac:dyDescent="0.25">
      <c r="B22" s="62" t="s">
        <v>47</v>
      </c>
      <c r="C22" s="63"/>
      <c r="D22" s="63"/>
      <c r="E22" s="63"/>
      <c r="F22" s="63"/>
      <c r="G22" s="63"/>
      <c r="H22" s="64"/>
      <c r="I22" s="1">
        <v>1</v>
      </c>
      <c r="J22" s="111" t="s">
        <v>48</v>
      </c>
      <c r="K22" s="112"/>
      <c r="L22" s="112"/>
      <c r="M22" s="113"/>
      <c r="N22" s="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1:35" ht="15.75" customHeight="1" x14ac:dyDescent="0.25">
      <c r="B23" s="65" t="s">
        <v>49</v>
      </c>
      <c r="C23" s="66"/>
      <c r="D23" s="66"/>
      <c r="E23" s="66"/>
      <c r="F23" s="66"/>
      <c r="G23" s="66"/>
      <c r="H23" s="67"/>
      <c r="I23" s="1">
        <f t="shared" ref="I23:I27" si="15">IF(J23="",0,1)</f>
        <v>1</v>
      </c>
      <c r="J23" s="134" t="s">
        <v>42</v>
      </c>
      <c r="K23" s="135"/>
      <c r="L23" s="115"/>
      <c r="M23" s="68">
        <v>1</v>
      </c>
      <c r="N23" s="69">
        <f t="shared" ref="N23:N27" si="16">IF(J23="",0,M23)</f>
        <v>1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</row>
    <row r="24" spans="1:35" ht="15.75" customHeight="1" x14ac:dyDescent="0.25">
      <c r="B24" s="65" t="s">
        <v>50</v>
      </c>
      <c r="C24" s="66"/>
      <c r="D24" s="66"/>
      <c r="E24" s="66"/>
      <c r="F24" s="66"/>
      <c r="G24" s="66"/>
      <c r="H24" s="67"/>
      <c r="I24" s="1">
        <f t="shared" si="15"/>
        <v>1</v>
      </c>
      <c r="J24" s="120" t="s">
        <v>44</v>
      </c>
      <c r="K24" s="121"/>
      <c r="L24" s="117"/>
      <c r="M24" s="70">
        <v>3</v>
      </c>
      <c r="N24" s="4">
        <f t="shared" si="16"/>
        <v>3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</row>
    <row r="25" spans="1:35" ht="15.75" customHeight="1" x14ac:dyDescent="0.25">
      <c r="B25" s="65" t="s">
        <v>51</v>
      </c>
      <c r="C25" s="66"/>
      <c r="D25" s="66"/>
      <c r="E25" s="66"/>
      <c r="F25" s="66"/>
      <c r="G25" s="66"/>
      <c r="H25" s="67"/>
      <c r="I25" s="1">
        <f t="shared" si="15"/>
        <v>1</v>
      </c>
      <c r="J25" s="120" t="s">
        <v>45</v>
      </c>
      <c r="K25" s="121"/>
      <c r="L25" s="117"/>
      <c r="M25" s="70">
        <v>4</v>
      </c>
      <c r="N25" s="4">
        <f t="shared" si="16"/>
        <v>4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</row>
    <row r="26" spans="1:35" ht="15.75" customHeight="1" x14ac:dyDescent="0.25">
      <c r="B26" s="65" t="s">
        <v>52</v>
      </c>
      <c r="C26" s="66"/>
      <c r="D26" s="66"/>
      <c r="E26" s="66"/>
      <c r="F26" s="66"/>
      <c r="G26" s="66"/>
      <c r="H26" s="67"/>
      <c r="I26" s="1">
        <f t="shared" si="15"/>
        <v>1</v>
      </c>
      <c r="J26" s="120" t="s">
        <v>46</v>
      </c>
      <c r="K26" s="121"/>
      <c r="L26" s="117"/>
      <c r="M26" s="70">
        <v>2</v>
      </c>
      <c r="N26" s="4">
        <f t="shared" si="16"/>
        <v>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</row>
    <row r="27" spans="1:35" ht="15.75" customHeight="1" x14ac:dyDescent="0.25">
      <c r="B27" s="65" t="s">
        <v>53</v>
      </c>
      <c r="C27" s="66"/>
      <c r="D27" s="66"/>
      <c r="E27" s="66"/>
      <c r="F27" s="66"/>
      <c r="G27" s="66"/>
      <c r="H27" s="67"/>
      <c r="I27" s="1">
        <f t="shared" si="15"/>
        <v>1</v>
      </c>
      <c r="J27" s="122" t="s">
        <v>43</v>
      </c>
      <c r="K27" s="123"/>
      <c r="L27" s="119"/>
      <c r="M27" s="71">
        <v>5</v>
      </c>
      <c r="N27" s="4">
        <f t="shared" si="16"/>
        <v>5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15.75" customHeight="1" x14ac:dyDescent="0.25">
      <c r="B28" s="72"/>
      <c r="C28" s="73"/>
      <c r="D28" s="73"/>
      <c r="E28" s="73"/>
      <c r="F28" s="73"/>
      <c r="G28" s="73"/>
      <c r="H28" s="74"/>
      <c r="I28" s="4"/>
      <c r="J28" s="4"/>
      <c r="K28" s="4"/>
      <c r="L28" s="4"/>
      <c r="M28" s="4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</row>
    <row r="29" spans="1:35" ht="15.75" customHeight="1" x14ac:dyDescent="0.25">
      <c r="J29" s="4"/>
      <c r="K29" s="4"/>
      <c r="L29" s="4"/>
      <c r="M29" s="4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</row>
    <row r="30" spans="1:35" ht="15.75" customHeight="1" x14ac:dyDescent="0.25"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</row>
    <row r="31" spans="1:35" ht="15.75" customHeight="1" x14ac:dyDescent="0.25"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1:35" ht="15.75" customHeight="1" x14ac:dyDescent="0.25"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</row>
    <row r="33" spans="14:35" ht="15.75" customHeight="1" x14ac:dyDescent="0.25"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4:35" ht="15.75" customHeight="1" x14ac:dyDescent="0.25"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4:35" ht="15.75" customHeight="1" x14ac:dyDescent="0.25"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</row>
    <row r="36" spans="14:35" ht="15.75" customHeight="1" x14ac:dyDescent="0.25"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</row>
    <row r="37" spans="14:35" ht="15.75" customHeight="1" x14ac:dyDescent="0.25"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</row>
    <row r="38" spans="14:35" ht="15.75" customHeight="1" x14ac:dyDescent="0.25"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</row>
    <row r="39" spans="14:35" ht="15.75" customHeight="1" x14ac:dyDescent="0.25"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</row>
    <row r="40" spans="14:35" ht="15.75" customHeight="1" x14ac:dyDescent="0.25"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14:35" ht="15.75" customHeight="1" x14ac:dyDescent="0.25"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14:35" ht="15.75" customHeight="1" x14ac:dyDescent="0.25"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14:35" ht="15.75" customHeight="1" x14ac:dyDescent="0.25"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14:35" ht="15.75" customHeight="1" x14ac:dyDescent="0.25"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  <row r="45" spans="14:35" ht="15.75" customHeight="1" x14ac:dyDescent="0.25"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</row>
    <row r="46" spans="14:35" ht="15.75" customHeight="1" x14ac:dyDescent="0.25"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</row>
    <row r="47" spans="14:35" ht="15.75" customHeight="1" x14ac:dyDescent="0.25"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</row>
    <row r="48" spans="14:35" ht="15.75" customHeight="1" x14ac:dyDescent="0.25"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</row>
    <row r="49" spans="14:35" ht="15.75" customHeight="1" x14ac:dyDescent="0.25"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</row>
    <row r="50" spans="14:35" ht="15.75" customHeight="1" x14ac:dyDescent="0.25"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</row>
    <row r="51" spans="14:35" ht="15.75" customHeight="1" x14ac:dyDescent="0.25"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</row>
    <row r="52" spans="14:35" ht="15.75" customHeight="1" x14ac:dyDescent="0.25"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</row>
    <row r="53" spans="14:35" ht="15.75" customHeight="1" x14ac:dyDescent="0.25"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</row>
    <row r="54" spans="14:35" ht="15.75" customHeight="1" x14ac:dyDescent="0.25"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</row>
    <row r="55" spans="14:35" ht="15.75" customHeight="1" x14ac:dyDescent="0.25"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</row>
    <row r="56" spans="14:35" ht="15.75" customHeight="1" x14ac:dyDescent="0.25"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</row>
    <row r="57" spans="14:35" ht="15.75" customHeight="1" x14ac:dyDescent="0.25"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</row>
    <row r="58" spans="14:35" ht="15.75" customHeight="1" x14ac:dyDescent="0.25"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</row>
    <row r="59" spans="14:35" ht="15.75" customHeight="1" x14ac:dyDescent="0.25"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</row>
    <row r="60" spans="14:35" ht="15.75" customHeight="1" x14ac:dyDescent="0.25"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</row>
    <row r="61" spans="14:35" ht="15.75" customHeight="1" x14ac:dyDescent="0.25"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</row>
    <row r="62" spans="14:35" ht="15.75" customHeight="1" x14ac:dyDescent="0.25"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</row>
    <row r="63" spans="14:35" ht="15.75" customHeight="1" x14ac:dyDescent="0.25"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</row>
    <row r="64" spans="14:35" ht="15.75" customHeight="1" x14ac:dyDescent="0.25"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</row>
    <row r="65" spans="14:35" ht="15.75" customHeight="1" x14ac:dyDescent="0.25"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</row>
    <row r="66" spans="14:35" ht="15.75" customHeight="1" x14ac:dyDescent="0.25"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</row>
    <row r="67" spans="14:35" ht="15.75" customHeight="1" x14ac:dyDescent="0.25"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</row>
    <row r="68" spans="14:35" ht="15.75" customHeight="1" x14ac:dyDescent="0.25"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</row>
    <row r="69" spans="14:35" ht="15.75" customHeight="1" x14ac:dyDescent="0.25"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</row>
    <row r="70" spans="14:35" ht="15.75" customHeight="1" x14ac:dyDescent="0.25"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</row>
    <row r="71" spans="14:35" ht="15.75" customHeight="1" x14ac:dyDescent="0.25"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</row>
    <row r="72" spans="14:35" ht="15.75" customHeight="1" x14ac:dyDescent="0.25"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</row>
    <row r="73" spans="14:35" ht="15.75" customHeight="1" x14ac:dyDescent="0.25"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</row>
    <row r="74" spans="14:35" ht="15.75" customHeight="1" x14ac:dyDescent="0.25"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</row>
    <row r="75" spans="14:35" ht="15.75" customHeight="1" x14ac:dyDescent="0.25"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</row>
    <row r="76" spans="14:35" ht="15.75" customHeight="1" x14ac:dyDescent="0.25"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</row>
    <row r="77" spans="14:35" ht="15.75" customHeight="1" x14ac:dyDescent="0.25"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</row>
    <row r="78" spans="14:35" ht="15.75" customHeight="1" x14ac:dyDescent="0.25"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4:35" ht="15.75" customHeight="1" x14ac:dyDescent="0.25"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4:35" ht="15.75" customHeight="1" x14ac:dyDescent="0.25"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4:35" ht="15.75" customHeight="1" x14ac:dyDescent="0.25"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4:35" ht="15.75" customHeight="1" x14ac:dyDescent="0.25"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4:35" ht="15.75" customHeight="1" x14ac:dyDescent="0.25"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4:35" ht="15.75" customHeight="1" x14ac:dyDescent="0.25"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4:35" ht="15.75" customHeight="1" x14ac:dyDescent="0.25"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4:35" ht="15.75" customHeight="1" x14ac:dyDescent="0.25"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4:35" ht="15.75" customHeight="1" x14ac:dyDescent="0.25"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4:35" ht="15.75" customHeight="1" x14ac:dyDescent="0.25"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4:35" ht="15.75" customHeight="1" x14ac:dyDescent="0.25"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4:35" ht="15.75" customHeight="1" x14ac:dyDescent="0.25"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4:35" ht="15.75" customHeight="1" x14ac:dyDescent="0.25"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4:35" ht="15.75" customHeight="1" x14ac:dyDescent="0.25"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4:35" ht="15.75" customHeight="1" x14ac:dyDescent="0.25"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4:35" ht="15.75" customHeight="1" x14ac:dyDescent="0.25"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4:35" ht="15.75" customHeight="1" x14ac:dyDescent="0.25"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4:35" ht="15.75" customHeight="1" x14ac:dyDescent="0.25"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4:35" ht="15.75" customHeight="1" x14ac:dyDescent="0.25"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4:35" ht="15.75" customHeight="1" x14ac:dyDescent="0.25"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spans="14:35" ht="15.75" customHeight="1" x14ac:dyDescent="0.25"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spans="14:35" ht="15.75" customHeight="1" x14ac:dyDescent="0.25"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spans="14:35" ht="15.75" customHeight="1" x14ac:dyDescent="0.25"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spans="14:35" ht="15.75" customHeight="1" x14ac:dyDescent="0.25"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spans="14:35" ht="15.75" customHeight="1" x14ac:dyDescent="0.25"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spans="14:35" ht="15.75" customHeight="1" x14ac:dyDescent="0.25"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spans="14:35" ht="15.75" customHeight="1" x14ac:dyDescent="0.25"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spans="14:35" ht="15.75" customHeight="1" x14ac:dyDescent="0.25"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spans="14:35" ht="15.75" customHeight="1" x14ac:dyDescent="0.25"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spans="14:35" ht="15.75" customHeight="1" x14ac:dyDescent="0.25"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spans="14:35" ht="15.75" customHeight="1" x14ac:dyDescent="0.25"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spans="14:35" ht="15.75" customHeight="1" x14ac:dyDescent="0.25"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spans="14:35" ht="15.75" customHeight="1" x14ac:dyDescent="0.25"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spans="14:35" ht="15.75" customHeight="1" x14ac:dyDescent="0.25"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spans="14:35" ht="15.75" customHeight="1" x14ac:dyDescent="0.25"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spans="14:35" ht="15.75" customHeight="1" x14ac:dyDescent="0.25"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spans="14:35" ht="15.75" customHeight="1" x14ac:dyDescent="0.25"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spans="14:35" ht="15.75" customHeight="1" x14ac:dyDescent="0.25"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spans="14:35" ht="15.75" customHeight="1" x14ac:dyDescent="0.25"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spans="14:35" ht="15.75" customHeight="1" x14ac:dyDescent="0.25"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spans="14:35" ht="15.75" customHeight="1" x14ac:dyDescent="0.25"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spans="14:35" ht="15.75" customHeight="1" x14ac:dyDescent="0.25"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spans="14:35" ht="15.75" customHeight="1" x14ac:dyDescent="0.25"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spans="14:35" ht="15.75" customHeight="1" x14ac:dyDescent="0.25"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spans="14:35" ht="15.75" customHeight="1" x14ac:dyDescent="0.25"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spans="14:35" ht="15.75" customHeight="1" x14ac:dyDescent="0.25"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spans="14:35" ht="15.75" customHeight="1" x14ac:dyDescent="0.25"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spans="14:35" ht="15.75" customHeight="1" x14ac:dyDescent="0.25"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spans="14:35" ht="15.75" customHeight="1" x14ac:dyDescent="0.25"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spans="14:35" ht="15.75" customHeight="1" x14ac:dyDescent="0.25"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spans="14:35" ht="15.75" customHeight="1" x14ac:dyDescent="0.25"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spans="14:35" ht="15.75" customHeight="1" x14ac:dyDescent="0.25"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spans="14:35" ht="15.75" customHeight="1" x14ac:dyDescent="0.25"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spans="14:35" ht="15.75" customHeight="1" x14ac:dyDescent="0.25"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4:35" ht="15.75" customHeight="1" x14ac:dyDescent="0.25"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spans="14:35" ht="15.75" customHeight="1" x14ac:dyDescent="0.25"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4:35" ht="15.75" customHeight="1" x14ac:dyDescent="0.25"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spans="14:35" ht="15.75" customHeight="1" x14ac:dyDescent="0.25"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4:35" ht="15.75" customHeight="1" x14ac:dyDescent="0.25"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4:35" ht="15.75" customHeight="1" x14ac:dyDescent="0.25"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spans="14:35" ht="15.75" customHeight="1" x14ac:dyDescent="0.25"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spans="14:35" ht="15.75" customHeight="1" x14ac:dyDescent="0.25"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spans="14:35" ht="15.75" customHeight="1" x14ac:dyDescent="0.25"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spans="14:35" ht="15.75" customHeight="1" x14ac:dyDescent="0.25"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spans="14:35" ht="15.75" customHeight="1" x14ac:dyDescent="0.25"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spans="14:35" ht="15.75" customHeight="1" x14ac:dyDescent="0.25"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</row>
    <row r="145" spans="14:35" ht="15.75" customHeight="1" x14ac:dyDescent="0.25"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</row>
    <row r="146" spans="14:35" ht="15.75" customHeight="1" x14ac:dyDescent="0.25"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</row>
    <row r="147" spans="14:35" ht="15.75" customHeight="1" x14ac:dyDescent="0.25"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</row>
    <row r="148" spans="14:35" ht="15.75" customHeight="1" x14ac:dyDescent="0.25"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</row>
    <row r="149" spans="14:35" ht="15.75" customHeight="1" x14ac:dyDescent="0.25"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</row>
    <row r="150" spans="14:35" ht="15.75" customHeight="1" x14ac:dyDescent="0.25"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</row>
    <row r="151" spans="14:35" ht="15.75" customHeight="1" x14ac:dyDescent="0.25"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</row>
    <row r="152" spans="14:35" ht="15.75" customHeight="1" x14ac:dyDescent="0.25"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</row>
    <row r="153" spans="14:35" ht="15.75" customHeight="1" x14ac:dyDescent="0.25"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</row>
    <row r="154" spans="14:35" ht="15.75" customHeight="1" x14ac:dyDescent="0.25"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</row>
    <row r="155" spans="14:35" ht="15.75" customHeight="1" x14ac:dyDescent="0.25"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</row>
    <row r="156" spans="14:35" ht="15.75" customHeight="1" x14ac:dyDescent="0.25"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</row>
    <row r="157" spans="14:35" ht="15.75" customHeight="1" x14ac:dyDescent="0.25"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</row>
    <row r="158" spans="14:35" ht="15.75" customHeight="1" x14ac:dyDescent="0.25"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</row>
    <row r="159" spans="14:35" ht="15.75" customHeight="1" x14ac:dyDescent="0.25"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</row>
    <row r="160" spans="14:35" ht="15.75" customHeight="1" x14ac:dyDescent="0.25"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</row>
    <row r="161" spans="14:35" ht="15.75" customHeight="1" x14ac:dyDescent="0.25"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</row>
    <row r="162" spans="14:35" ht="15.75" customHeight="1" x14ac:dyDescent="0.25"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</row>
    <row r="163" spans="14:35" ht="15.75" customHeight="1" x14ac:dyDescent="0.25"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</row>
    <row r="164" spans="14:35" ht="15.75" customHeight="1" x14ac:dyDescent="0.25"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</row>
    <row r="165" spans="14:35" ht="15.75" customHeight="1" x14ac:dyDescent="0.25"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</row>
    <row r="166" spans="14:35" ht="15.75" customHeight="1" x14ac:dyDescent="0.25"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</row>
    <row r="167" spans="14:35" ht="15.75" customHeight="1" x14ac:dyDescent="0.25"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</row>
    <row r="168" spans="14:35" ht="15.75" customHeight="1" x14ac:dyDescent="0.25"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</row>
    <row r="169" spans="14:35" ht="15.75" customHeight="1" x14ac:dyDescent="0.25"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</row>
    <row r="170" spans="14:35" ht="15.75" customHeight="1" x14ac:dyDescent="0.25"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</row>
    <row r="171" spans="14:35" ht="15.75" customHeight="1" x14ac:dyDescent="0.25"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</row>
    <row r="172" spans="14:35" ht="15.75" customHeight="1" x14ac:dyDescent="0.25"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</row>
    <row r="173" spans="14:35" ht="15.75" customHeight="1" x14ac:dyDescent="0.25"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</row>
    <row r="174" spans="14:35" ht="15.75" customHeight="1" x14ac:dyDescent="0.25"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</row>
    <row r="175" spans="14:35" ht="15.75" customHeight="1" x14ac:dyDescent="0.25"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</row>
    <row r="176" spans="14:35" ht="15.75" customHeight="1" x14ac:dyDescent="0.25"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</row>
    <row r="177" spans="14:35" ht="15.75" customHeight="1" x14ac:dyDescent="0.25"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</row>
    <row r="178" spans="14:35" ht="15.75" customHeight="1" x14ac:dyDescent="0.25"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</row>
    <row r="179" spans="14:35" ht="15.75" customHeight="1" x14ac:dyDescent="0.25"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</row>
    <row r="180" spans="14:35" ht="15.75" customHeight="1" x14ac:dyDescent="0.25"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</row>
    <row r="181" spans="14:35" ht="15.75" customHeight="1" x14ac:dyDescent="0.25"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</row>
    <row r="182" spans="14:35" ht="15.75" customHeight="1" x14ac:dyDescent="0.25"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</row>
    <row r="183" spans="14:35" ht="15.75" customHeight="1" x14ac:dyDescent="0.25"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</row>
    <row r="184" spans="14:35" ht="15.75" customHeight="1" x14ac:dyDescent="0.25"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</row>
    <row r="185" spans="14:35" ht="15.75" customHeight="1" x14ac:dyDescent="0.25"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</row>
    <row r="186" spans="14:35" ht="15.75" customHeight="1" x14ac:dyDescent="0.25"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</row>
    <row r="187" spans="14:35" ht="15.75" customHeight="1" x14ac:dyDescent="0.25"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</row>
    <row r="188" spans="14:35" ht="15.75" customHeight="1" x14ac:dyDescent="0.25"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</row>
    <row r="189" spans="14:35" ht="15.75" customHeight="1" x14ac:dyDescent="0.25"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</row>
    <row r="190" spans="14:35" ht="15.75" customHeight="1" x14ac:dyDescent="0.25"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</row>
    <row r="191" spans="14:35" ht="15.75" customHeight="1" x14ac:dyDescent="0.25"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</row>
    <row r="192" spans="14:35" ht="15.75" customHeight="1" x14ac:dyDescent="0.25"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</row>
    <row r="193" spans="14:35" ht="15.75" customHeight="1" x14ac:dyDescent="0.25"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</row>
    <row r="194" spans="14:35" ht="15.75" customHeight="1" x14ac:dyDescent="0.25"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</row>
    <row r="195" spans="14:35" ht="15.75" customHeight="1" x14ac:dyDescent="0.25"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</row>
    <row r="196" spans="14:35" ht="15.75" customHeight="1" x14ac:dyDescent="0.25"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</row>
    <row r="197" spans="14:35" ht="15.75" customHeight="1" x14ac:dyDescent="0.25"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</row>
    <row r="198" spans="14:35" ht="15.75" customHeight="1" x14ac:dyDescent="0.25"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</row>
    <row r="199" spans="14:35" ht="15.75" customHeight="1" x14ac:dyDescent="0.25"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</row>
    <row r="200" spans="14:35" ht="15.75" customHeight="1" x14ac:dyDescent="0.25"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</row>
    <row r="201" spans="14:35" ht="15.75" customHeight="1" x14ac:dyDescent="0.25"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</row>
    <row r="202" spans="14:35" ht="15.75" customHeight="1" x14ac:dyDescent="0.25"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</row>
    <row r="203" spans="14:35" ht="15.75" customHeight="1" x14ac:dyDescent="0.25"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</row>
    <row r="204" spans="14:35" ht="15.75" customHeight="1" x14ac:dyDescent="0.25"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</row>
    <row r="205" spans="14:35" ht="15.75" customHeight="1" x14ac:dyDescent="0.25"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</row>
    <row r="206" spans="14:35" ht="15.75" customHeight="1" x14ac:dyDescent="0.25"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</row>
    <row r="207" spans="14:35" ht="15.75" customHeight="1" x14ac:dyDescent="0.25"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</row>
    <row r="208" spans="14:35" ht="15.75" customHeight="1" x14ac:dyDescent="0.25"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</row>
    <row r="209" spans="14:35" ht="15.75" customHeight="1" x14ac:dyDescent="0.25"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</row>
    <row r="210" spans="14:35" ht="15.75" customHeight="1" x14ac:dyDescent="0.25"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</row>
    <row r="211" spans="14:35" ht="15.75" customHeight="1" x14ac:dyDescent="0.25"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</row>
    <row r="212" spans="14:35" ht="15.75" customHeight="1" x14ac:dyDescent="0.25"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</row>
    <row r="213" spans="14:35" ht="15.75" customHeight="1" x14ac:dyDescent="0.25"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</row>
    <row r="214" spans="14:35" ht="15.75" customHeight="1" x14ac:dyDescent="0.25"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</row>
    <row r="215" spans="14:35" ht="15.75" customHeight="1" x14ac:dyDescent="0.25"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</row>
    <row r="216" spans="14:35" ht="15.75" customHeight="1" x14ac:dyDescent="0.25"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</row>
    <row r="217" spans="14:35" ht="15.75" customHeight="1" x14ac:dyDescent="0.25"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</row>
    <row r="218" spans="14:35" ht="15.75" customHeight="1" x14ac:dyDescent="0.25"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</row>
    <row r="219" spans="14:35" ht="15.75" customHeight="1" x14ac:dyDescent="0.25"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</row>
    <row r="220" spans="14:35" ht="15.75" customHeight="1" x14ac:dyDescent="0.25"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</row>
    <row r="221" spans="14:35" ht="15.75" customHeight="1" x14ac:dyDescent="0.25"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</row>
    <row r="222" spans="14:35" ht="15.75" customHeight="1" x14ac:dyDescent="0.25"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</row>
    <row r="223" spans="14:35" ht="15.75" customHeight="1" x14ac:dyDescent="0.25"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</row>
    <row r="224" spans="14:35" ht="15.75" customHeight="1" x14ac:dyDescent="0.25"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</row>
    <row r="225" spans="14:35" ht="15.75" customHeight="1" x14ac:dyDescent="0.25"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</row>
    <row r="226" spans="14:35" ht="15.75" customHeight="1" x14ac:dyDescent="0.25"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</row>
    <row r="227" spans="14:35" ht="15.75" customHeight="1" x14ac:dyDescent="0.25"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</row>
    <row r="228" spans="14:35" ht="15.75" customHeight="1" x14ac:dyDescent="0.25"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</row>
    <row r="229" spans="14:35" ht="15.75" customHeight="1" x14ac:dyDescent="0.25"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</row>
    <row r="230" spans="14:35" ht="15.75" customHeight="1" x14ac:dyDescent="0.25"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</row>
    <row r="231" spans="14:35" ht="15.75" customHeight="1" x14ac:dyDescent="0.25"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</row>
    <row r="232" spans="14:35" ht="15.75" customHeight="1" x14ac:dyDescent="0.25"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</row>
    <row r="233" spans="14:35" ht="15.75" customHeight="1" x14ac:dyDescent="0.25"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</row>
    <row r="234" spans="14:35" ht="15.75" customHeight="1" x14ac:dyDescent="0.25"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</row>
    <row r="235" spans="14:35" ht="15.75" customHeight="1" x14ac:dyDescent="0.25"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</row>
    <row r="236" spans="14:35" ht="15.75" customHeight="1" x14ac:dyDescent="0.25"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</row>
    <row r="237" spans="14:35" ht="15.75" customHeight="1" x14ac:dyDescent="0.25"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</row>
    <row r="238" spans="14:35" ht="15.75" customHeight="1" x14ac:dyDescent="0.25"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</row>
    <row r="239" spans="14:35" ht="15.75" customHeight="1" x14ac:dyDescent="0.25"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</row>
    <row r="240" spans="14:35" ht="15.75" customHeight="1" x14ac:dyDescent="0.25"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</row>
    <row r="241" spans="14:35" ht="15.75" customHeight="1" x14ac:dyDescent="0.25"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</row>
    <row r="242" spans="14:35" ht="15.75" customHeight="1" x14ac:dyDescent="0.25"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</row>
    <row r="243" spans="14:35" ht="15.75" customHeight="1" x14ac:dyDescent="0.25"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</row>
    <row r="244" spans="14:35" ht="15.75" customHeight="1" x14ac:dyDescent="0.25"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</row>
    <row r="245" spans="14:35" ht="15.75" customHeight="1" x14ac:dyDescent="0.25"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</row>
    <row r="246" spans="14:35" ht="15.75" customHeight="1" x14ac:dyDescent="0.25"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</row>
    <row r="247" spans="14:35" ht="15.75" customHeight="1" x14ac:dyDescent="0.25"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</row>
    <row r="248" spans="14:35" ht="15.75" customHeight="1" x14ac:dyDescent="0.25"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</row>
    <row r="249" spans="14:35" ht="15.75" customHeight="1" x14ac:dyDescent="0.25"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</row>
    <row r="250" spans="14:35" ht="15.75" customHeight="1" x14ac:dyDescent="0.25"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</row>
    <row r="251" spans="14:35" ht="15.75" customHeight="1" x14ac:dyDescent="0.25"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</row>
    <row r="252" spans="14:35" ht="15.75" customHeight="1" x14ac:dyDescent="0.25"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</row>
    <row r="253" spans="14:35" ht="15.75" customHeight="1" x14ac:dyDescent="0.25"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</row>
    <row r="254" spans="14:35" ht="15.75" customHeight="1" x14ac:dyDescent="0.25"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</row>
    <row r="255" spans="14:35" ht="15.75" customHeight="1" x14ac:dyDescent="0.25"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</row>
    <row r="256" spans="14:35" ht="15.75" customHeight="1" x14ac:dyDescent="0.25"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</row>
    <row r="257" spans="14:35" ht="15.75" customHeight="1" x14ac:dyDescent="0.25"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</row>
    <row r="258" spans="14:35" ht="15.75" customHeight="1" x14ac:dyDescent="0.25"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</row>
    <row r="259" spans="14:35" ht="15.75" customHeight="1" x14ac:dyDescent="0.25"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</row>
    <row r="260" spans="14:35" ht="15.75" customHeight="1" x14ac:dyDescent="0.25"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</row>
    <row r="261" spans="14:35" ht="15.75" customHeight="1" x14ac:dyDescent="0.25"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</row>
    <row r="262" spans="14:35" ht="15.75" customHeight="1" x14ac:dyDescent="0.25"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</row>
    <row r="263" spans="14:35" ht="15.75" customHeight="1" x14ac:dyDescent="0.25"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</row>
    <row r="264" spans="14:35" ht="15.75" customHeight="1" x14ac:dyDescent="0.25"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</row>
    <row r="265" spans="14:35" ht="15.75" customHeight="1" x14ac:dyDescent="0.25"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</row>
    <row r="266" spans="14:35" ht="15.75" customHeight="1" x14ac:dyDescent="0.25"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</row>
    <row r="267" spans="14:35" ht="15.75" customHeight="1" x14ac:dyDescent="0.25"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</row>
    <row r="268" spans="14:35" ht="15.75" customHeight="1" x14ac:dyDescent="0.25"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</row>
    <row r="269" spans="14:35" ht="15.75" customHeight="1" x14ac:dyDescent="0.25"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</row>
    <row r="270" spans="14:35" ht="15.75" customHeight="1" x14ac:dyDescent="0.25"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</row>
    <row r="271" spans="14:35" ht="15.75" customHeight="1" x14ac:dyDescent="0.25"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</row>
    <row r="272" spans="14:35" ht="15.75" customHeight="1" x14ac:dyDescent="0.25"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</row>
    <row r="273" spans="14:35" ht="15.75" customHeight="1" x14ac:dyDescent="0.25"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</row>
    <row r="274" spans="14:35" ht="15.75" customHeight="1" x14ac:dyDescent="0.25"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</row>
    <row r="275" spans="14:35" ht="15.75" customHeight="1" x14ac:dyDescent="0.25"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</row>
    <row r="276" spans="14:35" ht="15.75" customHeight="1" x14ac:dyDescent="0.25"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</row>
    <row r="277" spans="14:35" ht="15.75" customHeight="1" x14ac:dyDescent="0.25"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</row>
    <row r="278" spans="14:35" ht="15.75" customHeight="1" x14ac:dyDescent="0.25"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</row>
    <row r="279" spans="14:35" ht="15.75" customHeight="1" x14ac:dyDescent="0.25"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</row>
    <row r="280" spans="14:35" ht="15.75" customHeight="1" x14ac:dyDescent="0.25"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</row>
    <row r="281" spans="14:35" ht="15.75" customHeight="1" x14ac:dyDescent="0.25"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</row>
    <row r="282" spans="14:35" ht="15.75" customHeight="1" x14ac:dyDescent="0.25"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</row>
    <row r="283" spans="14:35" ht="15.75" customHeight="1" x14ac:dyDescent="0.25"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</row>
    <row r="284" spans="14:35" ht="15.75" customHeight="1" x14ac:dyDescent="0.25"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</row>
    <row r="285" spans="14:35" ht="15.75" customHeight="1" x14ac:dyDescent="0.25"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</row>
    <row r="286" spans="14:35" ht="15.75" customHeight="1" x14ac:dyDescent="0.25"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</row>
    <row r="287" spans="14:35" ht="15.75" customHeight="1" x14ac:dyDescent="0.25"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</row>
    <row r="288" spans="14:35" ht="15.75" customHeight="1" x14ac:dyDescent="0.25"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</row>
    <row r="289" spans="14:35" ht="15.75" customHeight="1" x14ac:dyDescent="0.25"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</row>
    <row r="290" spans="14:35" ht="15.75" customHeight="1" x14ac:dyDescent="0.25"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</row>
    <row r="291" spans="14:35" ht="15.75" customHeight="1" x14ac:dyDescent="0.25"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</row>
    <row r="292" spans="14:35" ht="15.75" customHeight="1" x14ac:dyDescent="0.25"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</row>
    <row r="293" spans="14:35" ht="15.75" customHeight="1" x14ac:dyDescent="0.25"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</row>
    <row r="294" spans="14:35" ht="15.75" customHeight="1" x14ac:dyDescent="0.25"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</row>
    <row r="295" spans="14:35" ht="15.75" customHeight="1" x14ac:dyDescent="0.25"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</row>
    <row r="296" spans="14:35" ht="15.75" customHeight="1" x14ac:dyDescent="0.25"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</row>
    <row r="297" spans="14:35" ht="15.75" customHeight="1" x14ac:dyDescent="0.25"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</row>
    <row r="298" spans="14:35" ht="15.75" customHeight="1" x14ac:dyDescent="0.25"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</row>
    <row r="299" spans="14:35" ht="15.75" customHeight="1" x14ac:dyDescent="0.25"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</row>
    <row r="300" spans="14:35" ht="15.75" customHeight="1" x14ac:dyDescent="0.25"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</row>
    <row r="301" spans="14:35" ht="15.75" customHeight="1" x14ac:dyDescent="0.25"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</row>
    <row r="302" spans="14:35" ht="15.75" customHeight="1" x14ac:dyDescent="0.25"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</row>
    <row r="303" spans="14:35" ht="15.75" customHeight="1" x14ac:dyDescent="0.25"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</row>
    <row r="304" spans="14:35" ht="15.75" customHeight="1" x14ac:dyDescent="0.25"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</row>
    <row r="305" spans="14:35" ht="15.75" customHeight="1" x14ac:dyDescent="0.25"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</row>
    <row r="306" spans="14:35" ht="15.75" customHeight="1" x14ac:dyDescent="0.25"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</row>
    <row r="307" spans="14:35" ht="15.75" customHeight="1" x14ac:dyDescent="0.25"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</row>
    <row r="308" spans="14:35" ht="15.75" customHeight="1" x14ac:dyDescent="0.25"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</row>
    <row r="309" spans="14:35" ht="15.75" customHeight="1" x14ac:dyDescent="0.25"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</row>
    <row r="310" spans="14:35" ht="15.75" customHeight="1" x14ac:dyDescent="0.25"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</row>
    <row r="311" spans="14:35" ht="15.75" customHeight="1" x14ac:dyDescent="0.25"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</row>
    <row r="312" spans="14:35" ht="15.75" customHeight="1" x14ac:dyDescent="0.25"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</row>
    <row r="313" spans="14:35" ht="15.75" customHeight="1" x14ac:dyDescent="0.25"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</row>
    <row r="314" spans="14:35" ht="15.75" customHeight="1" x14ac:dyDescent="0.25"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</row>
    <row r="315" spans="14:35" ht="15.75" customHeight="1" x14ac:dyDescent="0.25"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</row>
    <row r="316" spans="14:35" ht="15.75" customHeight="1" x14ac:dyDescent="0.25"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</row>
    <row r="317" spans="14:35" ht="15.75" customHeight="1" x14ac:dyDescent="0.25"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</row>
    <row r="318" spans="14:35" ht="15.75" customHeight="1" x14ac:dyDescent="0.25"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</row>
    <row r="319" spans="14:35" ht="15.75" customHeight="1" x14ac:dyDescent="0.25"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</row>
    <row r="320" spans="14:35" ht="15.75" customHeight="1" x14ac:dyDescent="0.25"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</row>
    <row r="321" spans="14:35" ht="15.75" customHeight="1" x14ac:dyDescent="0.25"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</row>
    <row r="322" spans="14:35" ht="15.75" customHeight="1" x14ac:dyDescent="0.25"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</row>
    <row r="323" spans="14:35" ht="15.75" customHeight="1" x14ac:dyDescent="0.25"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</row>
    <row r="324" spans="14:35" ht="15.75" customHeight="1" x14ac:dyDescent="0.25"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</row>
    <row r="325" spans="14:35" ht="15.75" customHeight="1" x14ac:dyDescent="0.25"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</row>
    <row r="326" spans="14:35" ht="15.75" customHeight="1" x14ac:dyDescent="0.25"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</row>
    <row r="327" spans="14:35" ht="15.75" customHeight="1" x14ac:dyDescent="0.25"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</row>
    <row r="328" spans="14:35" ht="15.75" customHeight="1" x14ac:dyDescent="0.25"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</row>
    <row r="329" spans="14:35" ht="15.75" customHeight="1" x14ac:dyDescent="0.25"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</row>
    <row r="330" spans="14:35" ht="15.75" customHeight="1" x14ac:dyDescent="0.25"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</row>
    <row r="331" spans="14:35" ht="15.75" customHeight="1" x14ac:dyDescent="0.25"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</row>
    <row r="332" spans="14:35" ht="15.75" customHeight="1" x14ac:dyDescent="0.25"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</row>
    <row r="333" spans="14:35" ht="15.75" customHeight="1" x14ac:dyDescent="0.25"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</row>
    <row r="334" spans="14:35" ht="15.75" customHeight="1" x14ac:dyDescent="0.25"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</row>
    <row r="335" spans="14:35" ht="15.75" customHeight="1" x14ac:dyDescent="0.25"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</row>
    <row r="336" spans="14:35" ht="15.75" customHeight="1" x14ac:dyDescent="0.25"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</row>
    <row r="337" spans="14:35" ht="15.75" customHeight="1" x14ac:dyDescent="0.25"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</row>
    <row r="338" spans="14:35" ht="15.75" customHeight="1" x14ac:dyDescent="0.25"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</row>
    <row r="339" spans="14:35" ht="15.75" customHeight="1" x14ac:dyDescent="0.25"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</row>
    <row r="340" spans="14:35" ht="15.75" customHeight="1" x14ac:dyDescent="0.25"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</row>
    <row r="341" spans="14:35" ht="15.75" customHeight="1" x14ac:dyDescent="0.25"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</row>
    <row r="342" spans="14:35" ht="15.75" customHeight="1" x14ac:dyDescent="0.25"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</row>
    <row r="343" spans="14:35" ht="15.75" customHeight="1" x14ac:dyDescent="0.25"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</row>
    <row r="344" spans="14:35" ht="15.75" customHeight="1" x14ac:dyDescent="0.25"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</row>
    <row r="345" spans="14:35" ht="15.75" customHeight="1" x14ac:dyDescent="0.25"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</row>
    <row r="346" spans="14:35" ht="15.75" customHeight="1" x14ac:dyDescent="0.25"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</row>
    <row r="347" spans="14:35" ht="15.75" customHeight="1" x14ac:dyDescent="0.25"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</row>
    <row r="348" spans="14:35" ht="15.75" customHeight="1" x14ac:dyDescent="0.25"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</row>
    <row r="349" spans="14:35" ht="15.75" customHeight="1" x14ac:dyDescent="0.25"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</row>
    <row r="350" spans="14:35" ht="15.75" customHeight="1" x14ac:dyDescent="0.25"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</row>
    <row r="351" spans="14:35" ht="15.75" customHeight="1" x14ac:dyDescent="0.25"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</row>
    <row r="352" spans="14:35" ht="15.75" customHeight="1" x14ac:dyDescent="0.25"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</row>
    <row r="353" spans="14:35" ht="15.75" customHeight="1" x14ac:dyDescent="0.25"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</row>
    <row r="354" spans="14:35" ht="15.75" customHeight="1" x14ac:dyDescent="0.25"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</row>
    <row r="355" spans="14:35" ht="15.75" customHeight="1" x14ac:dyDescent="0.25"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</row>
    <row r="356" spans="14:35" ht="15.75" customHeight="1" x14ac:dyDescent="0.25"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</row>
    <row r="357" spans="14:35" ht="15.75" customHeight="1" x14ac:dyDescent="0.25"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</row>
    <row r="358" spans="14:35" ht="15.75" customHeight="1" x14ac:dyDescent="0.25"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</row>
    <row r="359" spans="14:35" ht="15.75" customHeight="1" x14ac:dyDescent="0.25"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</row>
    <row r="360" spans="14:35" ht="15.75" customHeight="1" x14ac:dyDescent="0.25"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</row>
    <row r="361" spans="14:35" ht="15.75" customHeight="1" x14ac:dyDescent="0.25"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</row>
    <row r="362" spans="14:35" ht="15.75" customHeight="1" x14ac:dyDescent="0.25"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</row>
    <row r="363" spans="14:35" ht="15.75" customHeight="1" x14ac:dyDescent="0.25"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</row>
    <row r="364" spans="14:35" ht="15.75" customHeight="1" x14ac:dyDescent="0.25"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</row>
    <row r="365" spans="14:35" ht="15.75" customHeight="1" x14ac:dyDescent="0.25"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</row>
    <row r="366" spans="14:35" ht="15.75" customHeight="1" x14ac:dyDescent="0.25"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</row>
    <row r="367" spans="14:35" ht="15.75" customHeight="1" x14ac:dyDescent="0.25"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</row>
    <row r="368" spans="14:35" ht="15.75" customHeight="1" x14ac:dyDescent="0.25"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</row>
    <row r="369" spans="14:35" ht="15.75" customHeight="1" x14ac:dyDescent="0.25"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</row>
    <row r="370" spans="14:35" ht="15.75" customHeight="1" x14ac:dyDescent="0.25"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</row>
    <row r="371" spans="14:35" ht="15.75" customHeight="1" x14ac:dyDescent="0.25"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</row>
    <row r="372" spans="14:35" ht="15.75" customHeight="1" x14ac:dyDescent="0.25"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</row>
    <row r="373" spans="14:35" ht="15.75" customHeight="1" x14ac:dyDescent="0.25"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</row>
    <row r="374" spans="14:35" ht="15.75" customHeight="1" x14ac:dyDescent="0.25"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</row>
    <row r="375" spans="14:35" ht="15.75" customHeight="1" x14ac:dyDescent="0.25"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</row>
    <row r="376" spans="14:35" ht="15.75" customHeight="1" x14ac:dyDescent="0.25"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</row>
    <row r="377" spans="14:35" ht="15.75" customHeight="1" x14ac:dyDescent="0.25"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</row>
    <row r="378" spans="14:35" ht="15.75" customHeight="1" x14ac:dyDescent="0.25"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</row>
    <row r="379" spans="14:35" ht="15.75" customHeight="1" x14ac:dyDescent="0.25"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</row>
    <row r="380" spans="14:35" ht="15.75" customHeight="1" x14ac:dyDescent="0.25"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</row>
    <row r="381" spans="14:35" ht="15.75" customHeight="1" x14ac:dyDescent="0.25"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</row>
    <row r="382" spans="14:35" ht="15.75" customHeight="1" x14ac:dyDescent="0.25"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</row>
    <row r="383" spans="14:35" ht="15.75" customHeight="1" x14ac:dyDescent="0.25"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</row>
    <row r="384" spans="14:35" ht="15.75" customHeight="1" x14ac:dyDescent="0.25"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</row>
    <row r="385" spans="14:35" ht="15.75" customHeight="1" x14ac:dyDescent="0.25"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</row>
    <row r="386" spans="14:35" ht="15.75" customHeight="1" x14ac:dyDescent="0.25"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</row>
    <row r="387" spans="14:35" ht="15.75" customHeight="1" x14ac:dyDescent="0.25"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</row>
    <row r="388" spans="14:35" ht="15.75" customHeight="1" x14ac:dyDescent="0.25"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</row>
    <row r="389" spans="14:35" ht="15.75" customHeight="1" x14ac:dyDescent="0.25"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</row>
    <row r="390" spans="14:35" ht="15.75" customHeight="1" x14ac:dyDescent="0.25"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</row>
    <row r="391" spans="14:35" ht="15.75" customHeight="1" x14ac:dyDescent="0.25"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</row>
    <row r="392" spans="14:35" ht="15.75" customHeight="1" x14ac:dyDescent="0.25"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</row>
    <row r="393" spans="14:35" ht="15.75" customHeight="1" x14ac:dyDescent="0.25"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</row>
    <row r="394" spans="14:35" ht="15.75" customHeight="1" x14ac:dyDescent="0.25"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</row>
    <row r="395" spans="14:35" ht="15.75" customHeight="1" x14ac:dyDescent="0.25"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</row>
    <row r="396" spans="14:35" ht="15.75" customHeight="1" x14ac:dyDescent="0.25"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</row>
    <row r="397" spans="14:35" ht="15.75" customHeight="1" x14ac:dyDescent="0.25"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</row>
    <row r="398" spans="14:35" ht="15.75" customHeight="1" x14ac:dyDescent="0.25"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</row>
    <row r="399" spans="14:35" ht="15.75" customHeight="1" x14ac:dyDescent="0.25"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</row>
    <row r="400" spans="14:35" ht="15.75" customHeight="1" x14ac:dyDescent="0.25"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</row>
    <row r="401" spans="14:35" ht="15.75" customHeight="1" x14ac:dyDescent="0.25"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</row>
    <row r="402" spans="14:35" ht="15.75" customHeight="1" x14ac:dyDescent="0.25"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</row>
    <row r="403" spans="14:35" ht="15.75" customHeight="1" x14ac:dyDescent="0.25"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</row>
    <row r="404" spans="14:35" ht="15.75" customHeight="1" x14ac:dyDescent="0.25"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</row>
    <row r="405" spans="14:35" ht="15.75" customHeight="1" x14ac:dyDescent="0.25"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</row>
    <row r="406" spans="14:35" ht="15.75" customHeight="1" x14ac:dyDescent="0.25"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</row>
    <row r="407" spans="14:35" ht="15.75" customHeight="1" x14ac:dyDescent="0.25"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</row>
    <row r="408" spans="14:35" ht="15.75" customHeight="1" x14ac:dyDescent="0.25"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</row>
    <row r="409" spans="14:35" ht="15.75" customHeight="1" x14ac:dyDescent="0.25"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</row>
    <row r="410" spans="14:35" ht="15.75" customHeight="1" x14ac:dyDescent="0.25"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</row>
    <row r="411" spans="14:35" ht="15.75" customHeight="1" x14ac:dyDescent="0.25"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</row>
    <row r="412" spans="14:35" ht="15.75" customHeight="1" x14ac:dyDescent="0.25"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</row>
    <row r="413" spans="14:35" ht="15.75" customHeight="1" x14ac:dyDescent="0.25"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</row>
    <row r="414" spans="14:35" ht="15.75" customHeight="1" x14ac:dyDescent="0.25"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</row>
    <row r="415" spans="14:35" ht="15.75" customHeight="1" x14ac:dyDescent="0.25"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</row>
    <row r="416" spans="14:35" ht="15.75" customHeight="1" x14ac:dyDescent="0.25"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</row>
    <row r="417" spans="14:35" ht="15.75" customHeight="1" x14ac:dyDescent="0.25"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</row>
    <row r="418" spans="14:35" ht="15.75" customHeight="1" x14ac:dyDescent="0.25"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</row>
    <row r="419" spans="14:35" ht="15.75" customHeight="1" x14ac:dyDescent="0.25"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</row>
    <row r="420" spans="14:35" ht="15.75" customHeight="1" x14ac:dyDescent="0.25"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</row>
    <row r="421" spans="14:35" ht="15.75" customHeight="1" x14ac:dyDescent="0.25"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</row>
    <row r="422" spans="14:35" ht="15.75" customHeight="1" x14ac:dyDescent="0.25"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</row>
    <row r="423" spans="14:35" ht="15.75" customHeight="1" x14ac:dyDescent="0.25"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</row>
    <row r="424" spans="14:35" ht="15.75" customHeight="1" x14ac:dyDescent="0.25"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</row>
    <row r="425" spans="14:35" ht="15.75" customHeight="1" x14ac:dyDescent="0.25"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</row>
    <row r="426" spans="14:35" ht="15.75" customHeight="1" x14ac:dyDescent="0.25"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</row>
    <row r="427" spans="14:35" ht="15.75" customHeight="1" x14ac:dyDescent="0.25"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</row>
    <row r="428" spans="14:35" ht="15.75" customHeight="1" x14ac:dyDescent="0.25"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</row>
    <row r="429" spans="14:35" ht="15.75" customHeight="1" x14ac:dyDescent="0.25"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</row>
    <row r="430" spans="14:35" ht="15.75" customHeight="1" x14ac:dyDescent="0.25"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</row>
    <row r="431" spans="14:35" ht="15.75" customHeight="1" x14ac:dyDescent="0.25"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</row>
    <row r="432" spans="14:35" ht="15.75" customHeight="1" x14ac:dyDescent="0.25"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</row>
    <row r="433" spans="14:35" ht="15.75" customHeight="1" x14ac:dyDescent="0.25"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</row>
    <row r="434" spans="14:35" ht="15.75" customHeight="1" x14ac:dyDescent="0.25"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</row>
    <row r="435" spans="14:35" ht="15.75" customHeight="1" x14ac:dyDescent="0.25"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</row>
    <row r="436" spans="14:35" ht="15.75" customHeight="1" x14ac:dyDescent="0.25"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</row>
    <row r="437" spans="14:35" ht="15.75" customHeight="1" x14ac:dyDescent="0.25"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</row>
    <row r="438" spans="14:35" ht="15.75" customHeight="1" x14ac:dyDescent="0.25"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</row>
    <row r="439" spans="14:35" ht="15.75" customHeight="1" x14ac:dyDescent="0.25"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</row>
    <row r="440" spans="14:35" ht="15.75" customHeight="1" x14ac:dyDescent="0.25"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</row>
    <row r="441" spans="14:35" ht="15.75" customHeight="1" x14ac:dyDescent="0.25"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</row>
    <row r="442" spans="14:35" ht="15.75" customHeight="1" x14ac:dyDescent="0.25"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</row>
    <row r="443" spans="14:35" ht="15.75" customHeight="1" x14ac:dyDescent="0.25"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</row>
    <row r="444" spans="14:35" ht="15.75" customHeight="1" x14ac:dyDescent="0.25"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</row>
    <row r="445" spans="14:35" ht="15.75" customHeight="1" x14ac:dyDescent="0.25"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</row>
    <row r="446" spans="14:35" ht="15.75" customHeight="1" x14ac:dyDescent="0.25"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</row>
    <row r="447" spans="14:35" ht="15.75" customHeight="1" x14ac:dyDescent="0.25"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</row>
    <row r="448" spans="14:35" ht="15.75" customHeight="1" x14ac:dyDescent="0.25"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</row>
    <row r="449" spans="14:35" ht="15.75" customHeight="1" x14ac:dyDescent="0.25"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</row>
    <row r="450" spans="14:35" ht="15.75" customHeight="1" x14ac:dyDescent="0.25"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</row>
    <row r="451" spans="14:35" ht="15.75" customHeight="1" x14ac:dyDescent="0.25"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</row>
    <row r="452" spans="14:35" ht="15.75" customHeight="1" x14ac:dyDescent="0.25"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</row>
    <row r="453" spans="14:35" ht="15.75" customHeight="1" x14ac:dyDescent="0.25"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</row>
    <row r="454" spans="14:35" ht="15.75" customHeight="1" x14ac:dyDescent="0.25"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</row>
    <row r="455" spans="14:35" ht="15.75" customHeight="1" x14ac:dyDescent="0.25"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</row>
    <row r="456" spans="14:35" ht="15.75" customHeight="1" x14ac:dyDescent="0.25"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</row>
    <row r="457" spans="14:35" ht="15.75" customHeight="1" x14ac:dyDescent="0.25"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</row>
    <row r="458" spans="14:35" ht="15.75" customHeight="1" x14ac:dyDescent="0.25"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</row>
    <row r="459" spans="14:35" ht="15.75" customHeight="1" x14ac:dyDescent="0.25"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</row>
    <row r="460" spans="14:35" ht="15.75" customHeight="1" x14ac:dyDescent="0.25"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</row>
    <row r="461" spans="14:35" ht="15.75" customHeight="1" x14ac:dyDescent="0.25"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</row>
    <row r="462" spans="14:35" ht="15.75" customHeight="1" x14ac:dyDescent="0.25"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</row>
    <row r="463" spans="14:35" ht="15.75" customHeight="1" x14ac:dyDescent="0.25"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</row>
    <row r="464" spans="14:35" ht="15.75" customHeight="1" x14ac:dyDescent="0.25"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</row>
    <row r="465" spans="14:35" ht="15.75" customHeight="1" x14ac:dyDescent="0.25"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</row>
    <row r="466" spans="14:35" ht="15.75" customHeight="1" x14ac:dyDescent="0.25"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</row>
    <row r="467" spans="14:35" ht="15.75" customHeight="1" x14ac:dyDescent="0.25"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</row>
    <row r="468" spans="14:35" ht="15.75" customHeight="1" x14ac:dyDescent="0.25"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</row>
    <row r="469" spans="14:35" ht="15.75" customHeight="1" x14ac:dyDescent="0.25"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</row>
    <row r="470" spans="14:35" ht="15.75" customHeight="1" x14ac:dyDescent="0.25"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</row>
    <row r="471" spans="14:35" ht="15.75" customHeight="1" x14ac:dyDescent="0.25"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</row>
    <row r="472" spans="14:35" ht="15.75" customHeight="1" x14ac:dyDescent="0.25"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</row>
    <row r="473" spans="14:35" ht="15.75" customHeight="1" x14ac:dyDescent="0.25"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</row>
    <row r="474" spans="14:35" ht="15.75" customHeight="1" x14ac:dyDescent="0.25"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</row>
    <row r="475" spans="14:35" ht="15.75" customHeight="1" x14ac:dyDescent="0.25"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</row>
    <row r="476" spans="14:35" ht="15.75" customHeight="1" x14ac:dyDescent="0.25"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</row>
    <row r="477" spans="14:35" ht="15.75" customHeight="1" x14ac:dyDescent="0.25"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</row>
    <row r="478" spans="14:35" ht="15.75" customHeight="1" x14ac:dyDescent="0.25"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</row>
    <row r="479" spans="14:35" ht="15.75" customHeight="1" x14ac:dyDescent="0.25"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</row>
    <row r="480" spans="14:35" ht="15.75" customHeight="1" x14ac:dyDescent="0.25"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</row>
    <row r="481" spans="14:35" ht="15.75" customHeight="1" x14ac:dyDescent="0.25"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</row>
    <row r="482" spans="14:35" ht="15.75" customHeight="1" x14ac:dyDescent="0.25"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</row>
    <row r="483" spans="14:35" ht="15.75" customHeight="1" x14ac:dyDescent="0.25"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</row>
    <row r="484" spans="14:35" ht="15.75" customHeight="1" x14ac:dyDescent="0.25"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</row>
    <row r="485" spans="14:35" ht="15.75" customHeight="1" x14ac:dyDescent="0.25"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</row>
    <row r="486" spans="14:35" ht="15.75" customHeight="1" x14ac:dyDescent="0.25"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</row>
    <row r="487" spans="14:35" ht="15.75" customHeight="1" x14ac:dyDescent="0.25"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</row>
    <row r="488" spans="14:35" ht="15.75" customHeight="1" x14ac:dyDescent="0.25"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</row>
    <row r="489" spans="14:35" ht="15.75" customHeight="1" x14ac:dyDescent="0.25"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</row>
    <row r="490" spans="14:35" ht="15.75" customHeight="1" x14ac:dyDescent="0.25"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</row>
    <row r="491" spans="14:35" ht="15.75" customHeight="1" x14ac:dyDescent="0.25"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</row>
    <row r="492" spans="14:35" ht="15.75" customHeight="1" x14ac:dyDescent="0.25"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</row>
    <row r="493" spans="14:35" ht="15.75" customHeight="1" x14ac:dyDescent="0.25"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</row>
    <row r="494" spans="14:35" ht="15.75" customHeight="1" x14ac:dyDescent="0.25"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</row>
    <row r="495" spans="14:35" ht="15.75" customHeight="1" x14ac:dyDescent="0.25"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</row>
    <row r="496" spans="14:35" ht="15.75" customHeight="1" x14ac:dyDescent="0.25"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</row>
    <row r="497" spans="14:35" ht="15.75" customHeight="1" x14ac:dyDescent="0.25"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</row>
    <row r="498" spans="14:35" ht="15.75" customHeight="1" x14ac:dyDescent="0.25"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</row>
    <row r="499" spans="14:35" ht="15.75" customHeight="1" x14ac:dyDescent="0.25"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</row>
    <row r="500" spans="14:35" ht="15.75" customHeight="1" x14ac:dyDescent="0.25"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</row>
    <row r="501" spans="14:35" ht="15.75" customHeight="1" x14ac:dyDescent="0.25"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</row>
    <row r="502" spans="14:35" ht="15.75" customHeight="1" x14ac:dyDescent="0.25"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</row>
    <row r="503" spans="14:35" ht="15.75" customHeight="1" x14ac:dyDescent="0.25"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</row>
    <row r="504" spans="14:35" ht="15.75" customHeight="1" x14ac:dyDescent="0.25"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</row>
    <row r="505" spans="14:35" ht="15.75" customHeight="1" x14ac:dyDescent="0.25"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</row>
    <row r="506" spans="14:35" ht="15.75" customHeight="1" x14ac:dyDescent="0.25"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</row>
    <row r="507" spans="14:35" ht="15.75" customHeight="1" x14ac:dyDescent="0.25"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</row>
    <row r="508" spans="14:35" ht="15.75" customHeight="1" x14ac:dyDescent="0.25"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</row>
    <row r="509" spans="14:35" ht="15.75" customHeight="1" x14ac:dyDescent="0.25"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</row>
    <row r="510" spans="14:35" ht="15.75" customHeight="1" x14ac:dyDescent="0.25"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</row>
    <row r="511" spans="14:35" ht="15.75" customHeight="1" x14ac:dyDescent="0.25"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</row>
    <row r="512" spans="14:35" ht="15.75" customHeight="1" x14ac:dyDescent="0.25"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</row>
    <row r="513" spans="14:35" ht="15.75" customHeight="1" x14ac:dyDescent="0.25"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</row>
    <row r="514" spans="14:35" ht="15.75" customHeight="1" x14ac:dyDescent="0.25"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</row>
    <row r="515" spans="14:35" ht="15.75" customHeight="1" x14ac:dyDescent="0.25"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</row>
    <row r="516" spans="14:35" ht="15.75" customHeight="1" x14ac:dyDescent="0.25"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</row>
    <row r="517" spans="14:35" ht="15.75" customHeight="1" x14ac:dyDescent="0.25"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</row>
    <row r="518" spans="14:35" ht="15.75" customHeight="1" x14ac:dyDescent="0.25"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</row>
    <row r="519" spans="14:35" ht="15.75" customHeight="1" x14ac:dyDescent="0.25"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</row>
    <row r="520" spans="14:35" ht="15.75" customHeight="1" x14ac:dyDescent="0.25"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</row>
    <row r="521" spans="14:35" ht="15.75" customHeight="1" x14ac:dyDescent="0.25"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</row>
    <row r="522" spans="14:35" ht="15.75" customHeight="1" x14ac:dyDescent="0.25"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</row>
    <row r="523" spans="14:35" ht="15.75" customHeight="1" x14ac:dyDescent="0.25"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</row>
    <row r="524" spans="14:35" ht="15.75" customHeight="1" x14ac:dyDescent="0.25"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</row>
    <row r="525" spans="14:35" ht="15.75" customHeight="1" x14ac:dyDescent="0.25"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</row>
    <row r="526" spans="14:35" ht="15.75" customHeight="1" x14ac:dyDescent="0.25"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</row>
    <row r="527" spans="14:35" ht="15.75" customHeight="1" x14ac:dyDescent="0.25"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</row>
    <row r="528" spans="14:35" ht="15.75" customHeight="1" x14ac:dyDescent="0.25"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</row>
    <row r="529" spans="14:35" ht="15.75" customHeight="1" x14ac:dyDescent="0.25"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</row>
    <row r="530" spans="14:35" ht="15.75" customHeight="1" x14ac:dyDescent="0.25"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</row>
    <row r="531" spans="14:35" ht="15.75" customHeight="1" x14ac:dyDescent="0.25"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</row>
    <row r="532" spans="14:35" ht="15.75" customHeight="1" x14ac:dyDescent="0.25"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</row>
    <row r="533" spans="14:35" ht="15.75" customHeight="1" x14ac:dyDescent="0.25"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</row>
    <row r="534" spans="14:35" ht="15.75" customHeight="1" x14ac:dyDescent="0.25"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</row>
    <row r="535" spans="14:35" ht="15.75" customHeight="1" x14ac:dyDescent="0.25"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</row>
    <row r="536" spans="14:35" ht="15.75" customHeight="1" x14ac:dyDescent="0.25"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</row>
    <row r="537" spans="14:35" ht="15.75" customHeight="1" x14ac:dyDescent="0.25"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</row>
    <row r="538" spans="14:35" ht="15.75" customHeight="1" x14ac:dyDescent="0.25"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</row>
    <row r="539" spans="14:35" ht="15.75" customHeight="1" x14ac:dyDescent="0.25"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</row>
    <row r="540" spans="14:35" ht="15.75" customHeight="1" x14ac:dyDescent="0.25"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</row>
    <row r="541" spans="14:35" ht="15.75" customHeight="1" x14ac:dyDescent="0.25"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</row>
    <row r="542" spans="14:35" ht="15.75" customHeight="1" x14ac:dyDescent="0.25"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</row>
    <row r="543" spans="14:35" ht="15.75" customHeight="1" x14ac:dyDescent="0.25"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</row>
    <row r="544" spans="14:35" ht="15.75" customHeight="1" x14ac:dyDescent="0.25"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</row>
    <row r="545" spans="14:35" ht="15.75" customHeight="1" x14ac:dyDescent="0.25"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</row>
    <row r="546" spans="14:35" ht="15.75" customHeight="1" x14ac:dyDescent="0.25"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</row>
    <row r="547" spans="14:35" ht="15.75" customHeight="1" x14ac:dyDescent="0.25"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</row>
    <row r="548" spans="14:35" ht="15.75" customHeight="1" x14ac:dyDescent="0.25"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</row>
    <row r="549" spans="14:35" ht="15.75" customHeight="1" x14ac:dyDescent="0.25"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</row>
    <row r="550" spans="14:35" ht="15.75" customHeight="1" x14ac:dyDescent="0.25"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</row>
    <row r="551" spans="14:35" ht="15.75" customHeight="1" x14ac:dyDescent="0.25"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</row>
    <row r="552" spans="14:35" ht="15.75" customHeight="1" x14ac:dyDescent="0.25"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</row>
    <row r="553" spans="14:35" ht="15.75" customHeight="1" x14ac:dyDescent="0.25"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</row>
    <row r="554" spans="14:35" ht="15.75" customHeight="1" x14ac:dyDescent="0.25"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</row>
    <row r="555" spans="14:35" ht="15.75" customHeight="1" x14ac:dyDescent="0.25"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</row>
    <row r="556" spans="14:35" ht="15.75" customHeight="1" x14ac:dyDescent="0.25"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</row>
    <row r="557" spans="14:35" ht="15.75" customHeight="1" x14ac:dyDescent="0.25"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</row>
    <row r="558" spans="14:35" ht="15.75" customHeight="1" x14ac:dyDescent="0.25"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</row>
    <row r="559" spans="14:35" ht="15.75" customHeight="1" x14ac:dyDescent="0.25"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</row>
    <row r="560" spans="14:35" ht="15.75" customHeight="1" x14ac:dyDescent="0.25"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</row>
    <row r="561" spans="14:35" ht="15.75" customHeight="1" x14ac:dyDescent="0.25"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</row>
    <row r="562" spans="14:35" ht="15.75" customHeight="1" x14ac:dyDescent="0.25"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</row>
    <row r="563" spans="14:35" ht="15.75" customHeight="1" x14ac:dyDescent="0.25"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</row>
    <row r="564" spans="14:35" ht="15.75" customHeight="1" x14ac:dyDescent="0.25"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</row>
    <row r="565" spans="14:35" ht="15.75" customHeight="1" x14ac:dyDescent="0.25"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</row>
    <row r="566" spans="14:35" ht="15.75" customHeight="1" x14ac:dyDescent="0.25"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</row>
    <row r="567" spans="14:35" ht="15.75" customHeight="1" x14ac:dyDescent="0.25"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</row>
    <row r="568" spans="14:35" ht="15.75" customHeight="1" x14ac:dyDescent="0.25"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</row>
    <row r="569" spans="14:35" ht="15.75" customHeight="1" x14ac:dyDescent="0.25"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</row>
    <row r="570" spans="14:35" ht="15.75" customHeight="1" x14ac:dyDescent="0.25"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</row>
    <row r="571" spans="14:35" ht="15.75" customHeight="1" x14ac:dyDescent="0.25"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</row>
    <row r="572" spans="14:35" ht="15.75" customHeight="1" x14ac:dyDescent="0.25"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</row>
    <row r="573" spans="14:35" ht="15.75" customHeight="1" x14ac:dyDescent="0.25"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</row>
    <row r="574" spans="14:35" ht="15.75" customHeight="1" x14ac:dyDescent="0.25"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</row>
    <row r="575" spans="14:35" ht="15.75" customHeight="1" x14ac:dyDescent="0.25"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</row>
    <row r="576" spans="14:35" ht="15.75" customHeight="1" x14ac:dyDescent="0.25"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</row>
    <row r="577" spans="14:35" ht="15.75" customHeight="1" x14ac:dyDescent="0.25"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</row>
    <row r="578" spans="14:35" ht="15.75" customHeight="1" x14ac:dyDescent="0.25"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</row>
    <row r="579" spans="14:35" ht="15.75" customHeight="1" x14ac:dyDescent="0.25"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</row>
    <row r="580" spans="14:35" ht="15.75" customHeight="1" x14ac:dyDescent="0.25"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</row>
    <row r="581" spans="14:35" ht="15.75" customHeight="1" x14ac:dyDescent="0.25"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</row>
    <row r="582" spans="14:35" ht="15.75" customHeight="1" x14ac:dyDescent="0.25"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</row>
    <row r="583" spans="14:35" ht="15.75" customHeight="1" x14ac:dyDescent="0.25"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</row>
    <row r="584" spans="14:35" ht="15.75" customHeight="1" x14ac:dyDescent="0.25"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</row>
    <row r="585" spans="14:35" ht="15.75" customHeight="1" x14ac:dyDescent="0.25"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</row>
    <row r="586" spans="14:35" ht="15.75" customHeight="1" x14ac:dyDescent="0.25"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</row>
    <row r="587" spans="14:35" ht="15.75" customHeight="1" x14ac:dyDescent="0.25"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</row>
    <row r="588" spans="14:35" ht="15.75" customHeight="1" x14ac:dyDescent="0.25"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</row>
    <row r="589" spans="14:35" ht="15.75" customHeight="1" x14ac:dyDescent="0.25"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</row>
    <row r="590" spans="14:35" ht="15.75" customHeight="1" x14ac:dyDescent="0.25"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</row>
    <row r="591" spans="14:35" ht="15.75" customHeight="1" x14ac:dyDescent="0.25"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</row>
    <row r="592" spans="14:35" ht="15.75" customHeight="1" x14ac:dyDescent="0.25"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</row>
    <row r="593" spans="14:35" ht="15.75" customHeight="1" x14ac:dyDescent="0.25"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</row>
    <row r="594" spans="14:35" ht="15.75" customHeight="1" x14ac:dyDescent="0.25"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</row>
    <row r="595" spans="14:35" ht="15.75" customHeight="1" x14ac:dyDescent="0.25"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</row>
    <row r="596" spans="14:35" ht="15.75" customHeight="1" x14ac:dyDescent="0.25"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</row>
    <row r="597" spans="14:35" ht="15.75" customHeight="1" x14ac:dyDescent="0.25"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</row>
    <row r="598" spans="14:35" ht="15.75" customHeight="1" x14ac:dyDescent="0.25"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</row>
    <row r="599" spans="14:35" ht="15.75" customHeight="1" x14ac:dyDescent="0.25"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</row>
    <row r="600" spans="14:35" ht="15.75" customHeight="1" x14ac:dyDescent="0.25"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</row>
    <row r="601" spans="14:35" ht="15.75" customHeight="1" x14ac:dyDescent="0.25"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</row>
    <row r="602" spans="14:35" ht="15.75" customHeight="1" x14ac:dyDescent="0.25"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</row>
    <row r="603" spans="14:35" ht="15.75" customHeight="1" x14ac:dyDescent="0.25"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</row>
    <row r="604" spans="14:35" ht="15.75" customHeight="1" x14ac:dyDescent="0.25"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</row>
    <row r="605" spans="14:35" ht="15.75" customHeight="1" x14ac:dyDescent="0.25"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</row>
    <row r="606" spans="14:35" ht="15.75" customHeight="1" x14ac:dyDescent="0.25"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</row>
    <row r="607" spans="14:35" ht="15.75" customHeight="1" x14ac:dyDescent="0.25"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</row>
    <row r="608" spans="14:35" ht="15.75" customHeight="1" x14ac:dyDescent="0.25"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</row>
    <row r="609" spans="14:35" ht="15.75" customHeight="1" x14ac:dyDescent="0.25"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</row>
    <row r="610" spans="14:35" ht="15.75" customHeight="1" x14ac:dyDescent="0.25"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</row>
    <row r="611" spans="14:35" ht="15.75" customHeight="1" x14ac:dyDescent="0.25"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</row>
    <row r="612" spans="14:35" ht="15.75" customHeight="1" x14ac:dyDescent="0.25"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</row>
    <row r="613" spans="14:35" ht="15.75" customHeight="1" x14ac:dyDescent="0.25"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</row>
    <row r="614" spans="14:35" ht="15.75" customHeight="1" x14ac:dyDescent="0.25"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</row>
    <row r="615" spans="14:35" ht="15.75" customHeight="1" x14ac:dyDescent="0.25"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</row>
    <row r="616" spans="14:35" ht="15.75" customHeight="1" x14ac:dyDescent="0.25"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</row>
    <row r="617" spans="14:35" ht="15.75" customHeight="1" x14ac:dyDescent="0.25"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</row>
    <row r="618" spans="14:35" ht="15.75" customHeight="1" x14ac:dyDescent="0.25"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</row>
    <row r="619" spans="14:35" ht="15.75" customHeight="1" x14ac:dyDescent="0.25"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</row>
    <row r="620" spans="14:35" ht="15.75" customHeight="1" x14ac:dyDescent="0.25"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</row>
    <row r="621" spans="14:35" ht="15.75" customHeight="1" x14ac:dyDescent="0.25"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</row>
    <row r="622" spans="14:35" ht="15.75" customHeight="1" x14ac:dyDescent="0.25"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</row>
    <row r="623" spans="14:35" ht="15.75" customHeight="1" x14ac:dyDescent="0.25"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</row>
    <row r="624" spans="14:35" ht="15.75" customHeight="1" x14ac:dyDescent="0.25"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</row>
    <row r="625" spans="14:35" ht="15.75" customHeight="1" x14ac:dyDescent="0.25"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</row>
    <row r="626" spans="14:35" ht="15.75" customHeight="1" x14ac:dyDescent="0.25"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</row>
    <row r="627" spans="14:35" ht="15.75" customHeight="1" x14ac:dyDescent="0.25"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</row>
    <row r="628" spans="14:35" ht="15.75" customHeight="1" x14ac:dyDescent="0.25"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</row>
    <row r="629" spans="14:35" ht="15.75" customHeight="1" x14ac:dyDescent="0.25"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</row>
    <row r="630" spans="14:35" ht="15.75" customHeight="1" x14ac:dyDescent="0.25"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</row>
    <row r="631" spans="14:35" ht="15.75" customHeight="1" x14ac:dyDescent="0.25"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</row>
    <row r="632" spans="14:35" ht="15.75" customHeight="1" x14ac:dyDescent="0.25"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</row>
    <row r="633" spans="14:35" ht="15.75" customHeight="1" x14ac:dyDescent="0.25"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</row>
    <row r="634" spans="14:35" ht="15.75" customHeight="1" x14ac:dyDescent="0.25"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</row>
    <row r="635" spans="14:35" ht="15.75" customHeight="1" x14ac:dyDescent="0.25"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</row>
    <row r="636" spans="14:35" ht="15.75" customHeight="1" x14ac:dyDescent="0.25"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</row>
    <row r="637" spans="14:35" ht="15.75" customHeight="1" x14ac:dyDescent="0.25"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</row>
    <row r="638" spans="14:35" ht="15.75" customHeight="1" x14ac:dyDescent="0.25"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</row>
    <row r="639" spans="14:35" ht="15.75" customHeight="1" x14ac:dyDescent="0.25"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</row>
    <row r="640" spans="14:35" ht="15.75" customHeight="1" x14ac:dyDescent="0.25"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</row>
    <row r="641" spans="14:35" ht="15.75" customHeight="1" x14ac:dyDescent="0.25"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</row>
    <row r="642" spans="14:35" ht="15.75" customHeight="1" x14ac:dyDescent="0.25"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</row>
    <row r="643" spans="14:35" ht="15.75" customHeight="1" x14ac:dyDescent="0.25"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</row>
    <row r="644" spans="14:35" ht="15.75" customHeight="1" x14ac:dyDescent="0.25"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</row>
    <row r="645" spans="14:35" ht="15.75" customHeight="1" x14ac:dyDescent="0.25"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</row>
    <row r="646" spans="14:35" ht="15.75" customHeight="1" x14ac:dyDescent="0.25"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</row>
    <row r="647" spans="14:35" ht="15.75" customHeight="1" x14ac:dyDescent="0.25"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</row>
    <row r="648" spans="14:35" ht="15.75" customHeight="1" x14ac:dyDescent="0.25"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</row>
    <row r="649" spans="14:35" ht="15.75" customHeight="1" x14ac:dyDescent="0.25"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</row>
    <row r="650" spans="14:35" ht="15.75" customHeight="1" x14ac:dyDescent="0.25"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</row>
    <row r="651" spans="14:35" ht="15.75" customHeight="1" x14ac:dyDescent="0.25"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</row>
    <row r="652" spans="14:35" ht="15.75" customHeight="1" x14ac:dyDescent="0.25"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</row>
    <row r="653" spans="14:35" ht="15.75" customHeight="1" x14ac:dyDescent="0.25"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</row>
    <row r="654" spans="14:35" ht="15.75" customHeight="1" x14ac:dyDescent="0.25"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</row>
    <row r="655" spans="14:35" ht="15.75" customHeight="1" x14ac:dyDescent="0.25"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</row>
    <row r="656" spans="14:35" ht="15.75" customHeight="1" x14ac:dyDescent="0.25"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</row>
    <row r="657" spans="14:35" ht="15.75" customHeight="1" x14ac:dyDescent="0.25"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</row>
    <row r="658" spans="14:35" ht="15.75" customHeight="1" x14ac:dyDescent="0.25"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</row>
    <row r="659" spans="14:35" ht="15.75" customHeight="1" x14ac:dyDescent="0.25"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</row>
    <row r="660" spans="14:35" ht="15.75" customHeight="1" x14ac:dyDescent="0.25"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</row>
    <row r="661" spans="14:35" ht="15.75" customHeight="1" x14ac:dyDescent="0.25"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</row>
    <row r="662" spans="14:35" ht="15.75" customHeight="1" x14ac:dyDescent="0.25"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</row>
    <row r="663" spans="14:35" ht="15.75" customHeight="1" x14ac:dyDescent="0.25"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</row>
    <row r="664" spans="14:35" ht="15.75" customHeight="1" x14ac:dyDescent="0.25"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</row>
    <row r="665" spans="14:35" ht="15.75" customHeight="1" x14ac:dyDescent="0.25"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</row>
    <row r="666" spans="14:35" ht="15.75" customHeight="1" x14ac:dyDescent="0.25"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</row>
    <row r="667" spans="14:35" ht="15.75" customHeight="1" x14ac:dyDescent="0.25"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</row>
    <row r="668" spans="14:35" ht="15.75" customHeight="1" x14ac:dyDescent="0.25"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</row>
    <row r="669" spans="14:35" ht="15.75" customHeight="1" x14ac:dyDescent="0.25"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</row>
    <row r="670" spans="14:35" ht="15.75" customHeight="1" x14ac:dyDescent="0.25"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</row>
    <row r="671" spans="14:35" ht="15.75" customHeight="1" x14ac:dyDescent="0.25"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</row>
    <row r="672" spans="14:35" ht="15.75" customHeight="1" x14ac:dyDescent="0.25"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</row>
    <row r="673" spans="14:35" ht="15.75" customHeight="1" x14ac:dyDescent="0.25"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</row>
    <row r="674" spans="14:35" ht="15.75" customHeight="1" x14ac:dyDescent="0.25"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</row>
    <row r="675" spans="14:35" ht="15.75" customHeight="1" x14ac:dyDescent="0.25"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</row>
    <row r="676" spans="14:35" ht="15.75" customHeight="1" x14ac:dyDescent="0.25"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</row>
    <row r="677" spans="14:35" ht="15.75" customHeight="1" x14ac:dyDescent="0.25"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</row>
    <row r="678" spans="14:35" ht="15.75" customHeight="1" x14ac:dyDescent="0.25"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</row>
    <row r="679" spans="14:35" ht="15.75" customHeight="1" x14ac:dyDescent="0.25"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</row>
    <row r="680" spans="14:35" ht="15.75" customHeight="1" x14ac:dyDescent="0.25"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</row>
    <row r="681" spans="14:35" ht="15.75" customHeight="1" x14ac:dyDescent="0.25"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</row>
    <row r="682" spans="14:35" ht="15.75" customHeight="1" x14ac:dyDescent="0.25"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</row>
    <row r="683" spans="14:35" ht="15.75" customHeight="1" x14ac:dyDescent="0.25"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</row>
    <row r="684" spans="14:35" ht="15.75" customHeight="1" x14ac:dyDescent="0.25"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</row>
    <row r="685" spans="14:35" ht="15.75" customHeight="1" x14ac:dyDescent="0.25"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</row>
    <row r="686" spans="14:35" ht="15.75" customHeight="1" x14ac:dyDescent="0.25"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</row>
    <row r="687" spans="14:35" ht="15.75" customHeight="1" x14ac:dyDescent="0.25"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</row>
    <row r="688" spans="14:35" ht="15.75" customHeight="1" x14ac:dyDescent="0.25"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</row>
    <row r="689" spans="14:35" ht="15.75" customHeight="1" x14ac:dyDescent="0.25"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</row>
    <row r="690" spans="14:35" ht="15.75" customHeight="1" x14ac:dyDescent="0.25"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</row>
    <row r="691" spans="14:35" ht="15.75" customHeight="1" x14ac:dyDescent="0.25"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</row>
    <row r="692" spans="14:35" ht="15.75" customHeight="1" x14ac:dyDescent="0.25"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</row>
    <row r="693" spans="14:35" ht="15.75" customHeight="1" x14ac:dyDescent="0.25"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</row>
    <row r="694" spans="14:35" ht="15.75" customHeight="1" x14ac:dyDescent="0.25"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</row>
    <row r="695" spans="14:35" ht="15.75" customHeight="1" x14ac:dyDescent="0.25"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</row>
    <row r="696" spans="14:35" ht="15.75" customHeight="1" x14ac:dyDescent="0.25"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</row>
    <row r="697" spans="14:35" ht="15.75" customHeight="1" x14ac:dyDescent="0.25"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</row>
    <row r="698" spans="14:35" ht="15.75" customHeight="1" x14ac:dyDescent="0.25"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</row>
    <row r="699" spans="14:35" ht="15.75" customHeight="1" x14ac:dyDescent="0.25"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</row>
    <row r="700" spans="14:35" ht="15.75" customHeight="1" x14ac:dyDescent="0.25"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</row>
    <row r="701" spans="14:35" ht="15.75" customHeight="1" x14ac:dyDescent="0.25"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</row>
    <row r="702" spans="14:35" ht="15.75" customHeight="1" x14ac:dyDescent="0.25"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</row>
    <row r="703" spans="14:35" ht="15.75" customHeight="1" x14ac:dyDescent="0.25"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</row>
    <row r="704" spans="14:35" ht="15.75" customHeight="1" x14ac:dyDescent="0.25"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</row>
    <row r="705" spans="14:35" ht="15.75" customHeight="1" x14ac:dyDescent="0.25"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</row>
    <row r="706" spans="14:35" ht="15.75" customHeight="1" x14ac:dyDescent="0.25"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</row>
    <row r="707" spans="14:35" ht="15.75" customHeight="1" x14ac:dyDescent="0.25"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</row>
    <row r="708" spans="14:35" ht="15.75" customHeight="1" x14ac:dyDescent="0.25"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</row>
    <row r="709" spans="14:35" ht="15.75" customHeight="1" x14ac:dyDescent="0.25"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</row>
    <row r="710" spans="14:35" ht="15.75" customHeight="1" x14ac:dyDescent="0.25"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</row>
    <row r="711" spans="14:35" ht="15.75" customHeight="1" x14ac:dyDescent="0.25"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</row>
    <row r="712" spans="14:35" ht="15.75" customHeight="1" x14ac:dyDescent="0.25"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</row>
    <row r="713" spans="14:35" ht="15.75" customHeight="1" x14ac:dyDescent="0.25"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</row>
    <row r="714" spans="14:35" ht="15.75" customHeight="1" x14ac:dyDescent="0.25"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</row>
    <row r="715" spans="14:35" ht="15.75" customHeight="1" x14ac:dyDescent="0.25"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</row>
    <row r="716" spans="14:35" ht="15.75" customHeight="1" x14ac:dyDescent="0.25"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</row>
    <row r="717" spans="14:35" ht="15.75" customHeight="1" x14ac:dyDescent="0.25"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</row>
    <row r="718" spans="14:35" ht="15.75" customHeight="1" x14ac:dyDescent="0.25"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</row>
    <row r="719" spans="14:35" ht="15.75" customHeight="1" x14ac:dyDescent="0.25"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</row>
    <row r="720" spans="14:35" ht="15.75" customHeight="1" x14ac:dyDescent="0.25"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</row>
    <row r="721" spans="14:35" ht="15.75" customHeight="1" x14ac:dyDescent="0.25"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</row>
    <row r="722" spans="14:35" ht="15.75" customHeight="1" x14ac:dyDescent="0.25"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</row>
    <row r="723" spans="14:35" ht="15.75" customHeight="1" x14ac:dyDescent="0.25"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</row>
    <row r="724" spans="14:35" ht="15.75" customHeight="1" x14ac:dyDescent="0.25"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</row>
    <row r="725" spans="14:35" ht="15.75" customHeight="1" x14ac:dyDescent="0.25"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</row>
    <row r="726" spans="14:35" ht="15.75" customHeight="1" x14ac:dyDescent="0.25"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</row>
    <row r="727" spans="14:35" ht="15.75" customHeight="1" x14ac:dyDescent="0.25"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</row>
    <row r="728" spans="14:35" ht="15.75" customHeight="1" x14ac:dyDescent="0.25"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</row>
    <row r="729" spans="14:35" ht="15.75" customHeight="1" x14ac:dyDescent="0.25"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</row>
    <row r="730" spans="14:35" ht="15.75" customHeight="1" x14ac:dyDescent="0.25"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</row>
    <row r="731" spans="14:35" ht="15.75" customHeight="1" x14ac:dyDescent="0.25"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</row>
    <row r="732" spans="14:35" ht="15.75" customHeight="1" x14ac:dyDescent="0.25"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</row>
    <row r="733" spans="14:35" ht="15.75" customHeight="1" x14ac:dyDescent="0.25"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</row>
    <row r="734" spans="14:35" ht="15.75" customHeight="1" x14ac:dyDescent="0.25"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</row>
    <row r="735" spans="14:35" ht="15.75" customHeight="1" x14ac:dyDescent="0.25"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</row>
    <row r="736" spans="14:35" ht="15.75" customHeight="1" x14ac:dyDescent="0.25"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</row>
    <row r="737" spans="14:35" ht="15.75" customHeight="1" x14ac:dyDescent="0.25"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</row>
    <row r="738" spans="14:35" ht="15.75" customHeight="1" x14ac:dyDescent="0.25"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</row>
    <row r="739" spans="14:35" ht="15.75" customHeight="1" x14ac:dyDescent="0.25"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</row>
    <row r="740" spans="14:35" ht="15.75" customHeight="1" x14ac:dyDescent="0.25"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</row>
    <row r="741" spans="14:35" ht="15.75" customHeight="1" x14ac:dyDescent="0.25"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</row>
    <row r="742" spans="14:35" ht="15.75" customHeight="1" x14ac:dyDescent="0.25"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</row>
    <row r="743" spans="14:35" ht="15.75" customHeight="1" x14ac:dyDescent="0.25"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</row>
    <row r="744" spans="14:35" ht="15.75" customHeight="1" x14ac:dyDescent="0.25"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</row>
    <row r="745" spans="14:35" ht="15.75" customHeight="1" x14ac:dyDescent="0.25"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</row>
    <row r="746" spans="14:35" ht="15.75" customHeight="1" x14ac:dyDescent="0.25"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</row>
    <row r="747" spans="14:35" ht="15.75" customHeight="1" x14ac:dyDescent="0.25"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</row>
    <row r="748" spans="14:35" ht="15.75" customHeight="1" x14ac:dyDescent="0.25"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</row>
    <row r="749" spans="14:35" ht="15.75" customHeight="1" x14ac:dyDescent="0.25"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</row>
    <row r="750" spans="14:35" ht="15.75" customHeight="1" x14ac:dyDescent="0.25"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</row>
    <row r="751" spans="14:35" ht="15.75" customHeight="1" x14ac:dyDescent="0.25"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</row>
    <row r="752" spans="14:35" ht="15.75" customHeight="1" x14ac:dyDescent="0.25"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</row>
    <row r="753" spans="14:35" ht="15.75" customHeight="1" x14ac:dyDescent="0.25"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</row>
    <row r="754" spans="14:35" ht="15.75" customHeight="1" x14ac:dyDescent="0.25"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</row>
    <row r="755" spans="14:35" ht="15.75" customHeight="1" x14ac:dyDescent="0.25"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</row>
    <row r="756" spans="14:35" ht="15.75" customHeight="1" x14ac:dyDescent="0.25"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</row>
    <row r="757" spans="14:35" ht="15.75" customHeight="1" x14ac:dyDescent="0.25"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</row>
    <row r="758" spans="14:35" ht="15.75" customHeight="1" x14ac:dyDescent="0.25"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</row>
    <row r="759" spans="14:35" ht="15.75" customHeight="1" x14ac:dyDescent="0.25"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</row>
    <row r="760" spans="14:35" ht="15.75" customHeight="1" x14ac:dyDescent="0.25"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</row>
    <row r="761" spans="14:35" ht="15.75" customHeight="1" x14ac:dyDescent="0.25"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</row>
    <row r="762" spans="14:35" ht="15.75" customHeight="1" x14ac:dyDescent="0.25"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</row>
    <row r="763" spans="14:35" ht="15.75" customHeight="1" x14ac:dyDescent="0.25"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</row>
    <row r="764" spans="14:35" ht="15.75" customHeight="1" x14ac:dyDescent="0.25"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</row>
    <row r="765" spans="14:35" ht="15.75" customHeight="1" x14ac:dyDescent="0.25"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</row>
    <row r="766" spans="14:35" ht="15.75" customHeight="1" x14ac:dyDescent="0.25"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</row>
    <row r="767" spans="14:35" ht="15.75" customHeight="1" x14ac:dyDescent="0.25"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</row>
    <row r="768" spans="14:35" ht="15.75" customHeight="1" x14ac:dyDescent="0.25"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</row>
    <row r="769" spans="14:35" ht="15.75" customHeight="1" x14ac:dyDescent="0.25"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</row>
    <row r="770" spans="14:35" ht="15.75" customHeight="1" x14ac:dyDescent="0.25"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</row>
    <row r="771" spans="14:35" ht="15.75" customHeight="1" x14ac:dyDescent="0.25"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</row>
    <row r="772" spans="14:35" ht="15.75" customHeight="1" x14ac:dyDescent="0.25"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</row>
    <row r="773" spans="14:35" ht="15.75" customHeight="1" x14ac:dyDescent="0.25"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</row>
    <row r="774" spans="14:35" ht="15.75" customHeight="1" x14ac:dyDescent="0.25"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</row>
    <row r="775" spans="14:35" ht="15.75" customHeight="1" x14ac:dyDescent="0.25"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</row>
    <row r="776" spans="14:35" ht="15.75" customHeight="1" x14ac:dyDescent="0.25"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</row>
    <row r="777" spans="14:35" ht="15.75" customHeight="1" x14ac:dyDescent="0.25"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</row>
    <row r="778" spans="14:35" ht="15.75" customHeight="1" x14ac:dyDescent="0.25"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</row>
    <row r="779" spans="14:35" ht="15.75" customHeight="1" x14ac:dyDescent="0.25"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</row>
    <row r="780" spans="14:35" ht="15.75" customHeight="1" x14ac:dyDescent="0.25"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</row>
    <row r="781" spans="14:35" ht="15.75" customHeight="1" x14ac:dyDescent="0.25"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</row>
    <row r="782" spans="14:35" ht="15.75" customHeight="1" x14ac:dyDescent="0.25"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</row>
    <row r="783" spans="14:35" ht="15.75" customHeight="1" x14ac:dyDescent="0.25"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</row>
    <row r="784" spans="14:35" ht="15.75" customHeight="1" x14ac:dyDescent="0.25"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</row>
    <row r="785" spans="14:35" ht="15.75" customHeight="1" x14ac:dyDescent="0.25"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</row>
    <row r="786" spans="14:35" ht="15.75" customHeight="1" x14ac:dyDescent="0.25"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</row>
    <row r="787" spans="14:35" ht="15.75" customHeight="1" x14ac:dyDescent="0.25"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</row>
    <row r="788" spans="14:35" ht="15.75" customHeight="1" x14ac:dyDescent="0.25"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</row>
    <row r="789" spans="14:35" ht="15.75" customHeight="1" x14ac:dyDescent="0.25"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</row>
    <row r="790" spans="14:35" ht="15.75" customHeight="1" x14ac:dyDescent="0.25"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</row>
    <row r="791" spans="14:35" ht="15.75" customHeight="1" x14ac:dyDescent="0.25"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</row>
    <row r="792" spans="14:35" ht="15.75" customHeight="1" x14ac:dyDescent="0.25"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</row>
    <row r="793" spans="14:35" ht="15.75" customHeight="1" x14ac:dyDescent="0.25"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</row>
    <row r="794" spans="14:35" ht="15.75" customHeight="1" x14ac:dyDescent="0.25"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</row>
    <row r="795" spans="14:35" ht="15.75" customHeight="1" x14ac:dyDescent="0.25"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</row>
    <row r="796" spans="14:35" ht="15.75" customHeight="1" x14ac:dyDescent="0.25"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</row>
    <row r="797" spans="14:35" ht="15.75" customHeight="1" x14ac:dyDescent="0.25"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</row>
    <row r="798" spans="14:35" ht="15.75" customHeight="1" x14ac:dyDescent="0.25"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</row>
    <row r="799" spans="14:35" ht="15.75" customHeight="1" x14ac:dyDescent="0.25"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</row>
    <row r="800" spans="14:35" ht="15.75" customHeight="1" x14ac:dyDescent="0.25"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</row>
    <row r="801" spans="14:35" ht="15.75" customHeight="1" x14ac:dyDescent="0.25"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</row>
    <row r="802" spans="14:35" ht="15.75" customHeight="1" x14ac:dyDescent="0.25"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</row>
    <row r="803" spans="14:35" ht="15.75" customHeight="1" x14ac:dyDescent="0.25"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</row>
    <row r="804" spans="14:35" ht="15.75" customHeight="1" x14ac:dyDescent="0.25"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</row>
    <row r="805" spans="14:35" ht="15.75" customHeight="1" x14ac:dyDescent="0.25"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</row>
    <row r="806" spans="14:35" ht="15.75" customHeight="1" x14ac:dyDescent="0.25"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</row>
    <row r="807" spans="14:35" ht="15.75" customHeight="1" x14ac:dyDescent="0.25"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</row>
    <row r="808" spans="14:35" ht="15.75" customHeight="1" x14ac:dyDescent="0.25"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</row>
    <row r="809" spans="14:35" ht="15.75" customHeight="1" x14ac:dyDescent="0.25"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</row>
    <row r="810" spans="14:35" ht="15.75" customHeight="1" x14ac:dyDescent="0.25"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</row>
    <row r="811" spans="14:35" ht="15.75" customHeight="1" x14ac:dyDescent="0.25"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</row>
    <row r="812" spans="14:35" ht="15.75" customHeight="1" x14ac:dyDescent="0.25"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</row>
    <row r="813" spans="14:35" ht="15.75" customHeight="1" x14ac:dyDescent="0.25"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</row>
    <row r="814" spans="14:35" ht="15.75" customHeight="1" x14ac:dyDescent="0.25"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</row>
    <row r="815" spans="14:35" ht="15.75" customHeight="1" x14ac:dyDescent="0.25"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</row>
    <row r="816" spans="14:35" ht="15.75" customHeight="1" x14ac:dyDescent="0.25"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</row>
    <row r="817" spans="14:35" ht="15.75" customHeight="1" x14ac:dyDescent="0.25"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</row>
    <row r="818" spans="14:35" ht="15.75" customHeight="1" x14ac:dyDescent="0.25"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</row>
    <row r="819" spans="14:35" ht="15.75" customHeight="1" x14ac:dyDescent="0.25"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</row>
    <row r="820" spans="14:35" ht="15.75" customHeight="1" x14ac:dyDescent="0.25"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</row>
    <row r="821" spans="14:35" ht="15.75" customHeight="1" x14ac:dyDescent="0.25"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</row>
    <row r="822" spans="14:35" ht="15.75" customHeight="1" x14ac:dyDescent="0.25"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</row>
    <row r="823" spans="14:35" ht="15.75" customHeight="1" x14ac:dyDescent="0.25"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</row>
    <row r="824" spans="14:35" ht="15.75" customHeight="1" x14ac:dyDescent="0.25"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</row>
    <row r="825" spans="14:35" ht="15.75" customHeight="1" x14ac:dyDescent="0.25"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</row>
    <row r="826" spans="14:35" ht="15.75" customHeight="1" x14ac:dyDescent="0.25"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</row>
    <row r="827" spans="14:35" ht="15.75" customHeight="1" x14ac:dyDescent="0.25"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</row>
    <row r="828" spans="14:35" ht="15.75" customHeight="1" x14ac:dyDescent="0.25"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</row>
    <row r="829" spans="14:35" ht="15.75" customHeight="1" x14ac:dyDescent="0.25"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</row>
    <row r="830" spans="14:35" ht="15.75" customHeight="1" x14ac:dyDescent="0.25"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</row>
    <row r="831" spans="14:35" ht="15.75" customHeight="1" x14ac:dyDescent="0.25"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</row>
    <row r="832" spans="14:35" ht="15.75" customHeight="1" x14ac:dyDescent="0.25"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</row>
    <row r="833" spans="14:35" ht="15.75" customHeight="1" x14ac:dyDescent="0.25"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</row>
    <row r="834" spans="14:35" ht="15.75" customHeight="1" x14ac:dyDescent="0.25"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</row>
    <row r="835" spans="14:35" ht="15.75" customHeight="1" x14ac:dyDescent="0.25"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</row>
    <row r="836" spans="14:35" ht="15.75" customHeight="1" x14ac:dyDescent="0.25"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</row>
    <row r="837" spans="14:35" ht="15.75" customHeight="1" x14ac:dyDescent="0.25"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</row>
    <row r="838" spans="14:35" ht="15.75" customHeight="1" x14ac:dyDescent="0.25"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</row>
    <row r="839" spans="14:35" ht="15.75" customHeight="1" x14ac:dyDescent="0.25"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</row>
    <row r="840" spans="14:35" ht="15.75" customHeight="1" x14ac:dyDescent="0.25"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</row>
    <row r="841" spans="14:35" ht="15.75" customHeight="1" x14ac:dyDescent="0.25"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</row>
    <row r="842" spans="14:35" ht="15.75" customHeight="1" x14ac:dyDescent="0.25"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</row>
    <row r="843" spans="14:35" ht="15.75" customHeight="1" x14ac:dyDescent="0.25"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</row>
    <row r="844" spans="14:35" ht="15.75" customHeight="1" x14ac:dyDescent="0.25"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</row>
    <row r="845" spans="14:35" ht="15.75" customHeight="1" x14ac:dyDescent="0.25"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</row>
    <row r="846" spans="14:35" ht="15.75" customHeight="1" x14ac:dyDescent="0.25"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</row>
    <row r="847" spans="14:35" ht="15.75" customHeight="1" x14ac:dyDescent="0.25"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</row>
    <row r="848" spans="14:35" ht="15.75" customHeight="1" x14ac:dyDescent="0.25"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</row>
    <row r="849" spans="14:35" ht="15.75" customHeight="1" x14ac:dyDescent="0.25"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</row>
    <row r="850" spans="14:35" ht="15.75" customHeight="1" x14ac:dyDescent="0.25"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</row>
    <row r="851" spans="14:35" ht="15.75" customHeight="1" x14ac:dyDescent="0.25"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</row>
    <row r="852" spans="14:35" ht="15.75" customHeight="1" x14ac:dyDescent="0.25"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</row>
    <row r="853" spans="14:35" ht="15.75" customHeight="1" x14ac:dyDescent="0.25"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</row>
    <row r="854" spans="14:35" ht="15.75" customHeight="1" x14ac:dyDescent="0.25"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</row>
    <row r="855" spans="14:35" ht="15.75" customHeight="1" x14ac:dyDescent="0.25"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</row>
    <row r="856" spans="14:35" ht="15.75" customHeight="1" x14ac:dyDescent="0.25"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</row>
    <row r="857" spans="14:35" ht="15.75" customHeight="1" x14ac:dyDescent="0.25"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</row>
    <row r="858" spans="14:35" ht="15.75" customHeight="1" x14ac:dyDescent="0.25"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</row>
    <row r="859" spans="14:35" ht="15.75" customHeight="1" x14ac:dyDescent="0.25"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</row>
    <row r="860" spans="14:35" ht="15.75" customHeight="1" x14ac:dyDescent="0.25"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</row>
    <row r="861" spans="14:35" ht="15.75" customHeight="1" x14ac:dyDescent="0.25"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</row>
    <row r="862" spans="14:35" ht="15.75" customHeight="1" x14ac:dyDescent="0.25"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</row>
    <row r="863" spans="14:35" ht="15.75" customHeight="1" x14ac:dyDescent="0.25"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</row>
    <row r="864" spans="14:35" ht="15.75" customHeight="1" x14ac:dyDescent="0.25"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</row>
    <row r="865" spans="14:35" ht="15.75" customHeight="1" x14ac:dyDescent="0.25"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</row>
    <row r="866" spans="14:35" ht="15.75" customHeight="1" x14ac:dyDescent="0.25"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</row>
    <row r="867" spans="14:35" ht="15.75" customHeight="1" x14ac:dyDescent="0.25"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</row>
    <row r="868" spans="14:35" ht="15.75" customHeight="1" x14ac:dyDescent="0.25"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</row>
    <row r="869" spans="14:35" ht="15.75" customHeight="1" x14ac:dyDescent="0.25"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</row>
    <row r="870" spans="14:35" ht="15.75" customHeight="1" x14ac:dyDescent="0.25"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</row>
    <row r="871" spans="14:35" ht="15.75" customHeight="1" x14ac:dyDescent="0.25"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</row>
    <row r="872" spans="14:35" ht="15.75" customHeight="1" x14ac:dyDescent="0.25"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</row>
    <row r="873" spans="14:35" ht="15.75" customHeight="1" x14ac:dyDescent="0.25"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</row>
    <row r="874" spans="14:35" ht="15.75" customHeight="1" x14ac:dyDescent="0.25"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</row>
    <row r="875" spans="14:35" ht="15.75" customHeight="1" x14ac:dyDescent="0.25"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</row>
    <row r="876" spans="14:35" ht="15.75" customHeight="1" x14ac:dyDescent="0.25"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</row>
    <row r="877" spans="14:35" ht="15.75" customHeight="1" x14ac:dyDescent="0.25"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</row>
    <row r="878" spans="14:35" ht="15.75" customHeight="1" x14ac:dyDescent="0.25"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</row>
    <row r="879" spans="14:35" ht="15.75" customHeight="1" x14ac:dyDescent="0.25"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</row>
    <row r="880" spans="14:35" ht="15.75" customHeight="1" x14ac:dyDescent="0.25"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</row>
    <row r="881" spans="14:35" ht="15.75" customHeight="1" x14ac:dyDescent="0.25"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</row>
    <row r="882" spans="14:35" ht="15.75" customHeight="1" x14ac:dyDescent="0.25"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</row>
    <row r="883" spans="14:35" ht="15.75" customHeight="1" x14ac:dyDescent="0.25"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</row>
    <row r="884" spans="14:35" ht="15.75" customHeight="1" x14ac:dyDescent="0.25"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</row>
    <row r="885" spans="14:35" ht="15.75" customHeight="1" x14ac:dyDescent="0.25"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</row>
    <row r="886" spans="14:35" ht="15.75" customHeight="1" x14ac:dyDescent="0.25"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</row>
    <row r="887" spans="14:35" ht="15.75" customHeight="1" x14ac:dyDescent="0.25"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</row>
    <row r="888" spans="14:35" ht="15.75" customHeight="1" x14ac:dyDescent="0.25"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</row>
    <row r="889" spans="14:35" ht="15.75" customHeight="1" x14ac:dyDescent="0.25"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</row>
    <row r="890" spans="14:35" ht="15.75" customHeight="1" x14ac:dyDescent="0.25"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</row>
    <row r="891" spans="14:35" ht="15.75" customHeight="1" x14ac:dyDescent="0.25"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</row>
    <row r="892" spans="14:35" ht="15.75" customHeight="1" x14ac:dyDescent="0.25"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</row>
    <row r="893" spans="14:35" ht="15.75" customHeight="1" x14ac:dyDescent="0.25"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</row>
    <row r="894" spans="14:35" ht="15.75" customHeight="1" x14ac:dyDescent="0.25"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</row>
    <row r="895" spans="14:35" ht="15.75" customHeight="1" x14ac:dyDescent="0.25"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</row>
    <row r="896" spans="14:35" ht="15.75" customHeight="1" x14ac:dyDescent="0.25"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</row>
    <row r="897" spans="14:35" ht="15.75" customHeight="1" x14ac:dyDescent="0.25"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</row>
    <row r="898" spans="14:35" ht="15.75" customHeight="1" x14ac:dyDescent="0.25"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</row>
    <row r="899" spans="14:35" ht="15.75" customHeight="1" x14ac:dyDescent="0.25"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</row>
    <row r="900" spans="14:35" ht="15.75" customHeight="1" x14ac:dyDescent="0.25"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</row>
    <row r="901" spans="14:35" ht="15.75" customHeight="1" x14ac:dyDescent="0.25"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</row>
    <row r="902" spans="14:35" ht="15.75" customHeight="1" x14ac:dyDescent="0.25"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</row>
    <row r="903" spans="14:35" ht="15.75" customHeight="1" x14ac:dyDescent="0.25"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</row>
    <row r="904" spans="14:35" ht="15.75" customHeight="1" x14ac:dyDescent="0.25"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</row>
    <row r="905" spans="14:35" ht="15.75" customHeight="1" x14ac:dyDescent="0.25"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</row>
    <row r="906" spans="14:35" ht="15.75" customHeight="1" x14ac:dyDescent="0.25"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</row>
    <row r="907" spans="14:35" ht="15.75" customHeight="1" x14ac:dyDescent="0.25"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</row>
    <row r="908" spans="14:35" ht="15.75" customHeight="1" x14ac:dyDescent="0.25"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</row>
    <row r="909" spans="14:35" ht="15.75" customHeight="1" x14ac:dyDescent="0.25"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</row>
    <row r="910" spans="14:35" ht="15.75" customHeight="1" x14ac:dyDescent="0.25"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</row>
    <row r="911" spans="14:35" ht="15.75" customHeight="1" x14ac:dyDescent="0.25"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</row>
    <row r="912" spans="14:35" ht="15.75" customHeight="1" x14ac:dyDescent="0.25"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</row>
    <row r="913" spans="14:35" ht="15.75" customHeight="1" x14ac:dyDescent="0.25"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</row>
    <row r="914" spans="14:35" ht="15.75" customHeight="1" x14ac:dyDescent="0.25"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</row>
    <row r="915" spans="14:35" ht="15.75" customHeight="1" x14ac:dyDescent="0.25"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</row>
    <row r="916" spans="14:35" ht="15.75" customHeight="1" x14ac:dyDescent="0.25"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</row>
    <row r="917" spans="14:35" ht="15.75" customHeight="1" x14ac:dyDescent="0.25"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</row>
    <row r="918" spans="14:35" ht="15.75" customHeight="1" x14ac:dyDescent="0.25"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</row>
    <row r="919" spans="14:35" ht="15.75" customHeight="1" x14ac:dyDescent="0.25"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</row>
    <row r="920" spans="14:35" ht="15.75" customHeight="1" x14ac:dyDescent="0.25"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</row>
    <row r="921" spans="14:35" ht="15.75" customHeight="1" x14ac:dyDescent="0.25"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</row>
    <row r="922" spans="14:35" ht="15.75" customHeight="1" x14ac:dyDescent="0.25"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</row>
    <row r="923" spans="14:35" ht="15.75" customHeight="1" x14ac:dyDescent="0.25"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</row>
    <row r="924" spans="14:35" ht="15.75" customHeight="1" x14ac:dyDescent="0.25"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</row>
    <row r="925" spans="14:35" ht="15.75" customHeight="1" x14ac:dyDescent="0.25"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</row>
    <row r="926" spans="14:35" ht="15.75" customHeight="1" x14ac:dyDescent="0.25"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</row>
    <row r="927" spans="14:35" ht="15.75" customHeight="1" x14ac:dyDescent="0.25"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</row>
    <row r="928" spans="14:35" ht="15.75" customHeight="1" x14ac:dyDescent="0.25"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</row>
    <row r="929" spans="14:35" ht="15.75" customHeight="1" x14ac:dyDescent="0.25"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</row>
    <row r="930" spans="14:35" ht="15.75" customHeight="1" x14ac:dyDescent="0.25"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</row>
    <row r="931" spans="14:35" ht="15.75" customHeight="1" x14ac:dyDescent="0.25"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</row>
    <row r="932" spans="14:35" ht="15.75" customHeight="1" x14ac:dyDescent="0.25"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</row>
    <row r="933" spans="14:35" ht="15.75" customHeight="1" x14ac:dyDescent="0.25"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</row>
    <row r="934" spans="14:35" ht="15.75" customHeight="1" x14ac:dyDescent="0.25"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</row>
    <row r="935" spans="14:35" ht="15.75" customHeight="1" x14ac:dyDescent="0.25"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</row>
    <row r="936" spans="14:35" ht="15.75" customHeight="1" x14ac:dyDescent="0.25"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</row>
    <row r="937" spans="14:35" ht="15.75" customHeight="1" x14ac:dyDescent="0.25"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</row>
    <row r="938" spans="14:35" ht="15.75" customHeight="1" x14ac:dyDescent="0.25"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</row>
    <row r="939" spans="14:35" ht="15.75" customHeight="1" x14ac:dyDescent="0.25"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</row>
    <row r="940" spans="14:35" ht="15.75" customHeight="1" x14ac:dyDescent="0.25"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</row>
    <row r="941" spans="14:35" ht="15.75" customHeight="1" x14ac:dyDescent="0.25"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</row>
    <row r="942" spans="14:35" ht="15.75" customHeight="1" x14ac:dyDescent="0.25"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</row>
    <row r="943" spans="14:35" ht="15.75" customHeight="1" x14ac:dyDescent="0.25"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</row>
    <row r="944" spans="14:35" ht="15.75" customHeight="1" x14ac:dyDescent="0.25"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</row>
    <row r="945" spans="14:35" ht="15.75" customHeight="1" x14ac:dyDescent="0.25"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</row>
    <row r="946" spans="14:35" ht="15.75" customHeight="1" x14ac:dyDescent="0.25"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</row>
    <row r="947" spans="14:35" ht="15.75" customHeight="1" x14ac:dyDescent="0.25"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</row>
    <row r="948" spans="14:35" ht="15.75" customHeight="1" x14ac:dyDescent="0.25"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</row>
    <row r="949" spans="14:35" ht="15.75" customHeight="1" x14ac:dyDescent="0.25"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</row>
    <row r="950" spans="14:35" ht="15.75" customHeight="1" x14ac:dyDescent="0.25"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</row>
    <row r="951" spans="14:35" ht="15.75" customHeight="1" x14ac:dyDescent="0.25"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</row>
    <row r="952" spans="14:35" ht="15.75" customHeight="1" x14ac:dyDescent="0.25"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</row>
    <row r="953" spans="14:35" ht="15.75" customHeight="1" x14ac:dyDescent="0.25"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</row>
    <row r="954" spans="14:35" ht="15.75" customHeight="1" x14ac:dyDescent="0.25"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</row>
    <row r="955" spans="14:35" ht="15.75" customHeight="1" x14ac:dyDescent="0.25"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</row>
    <row r="956" spans="14:35" ht="15.75" customHeight="1" x14ac:dyDescent="0.25"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</row>
    <row r="957" spans="14:35" ht="15.75" customHeight="1" x14ac:dyDescent="0.25"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</row>
    <row r="958" spans="14:35" ht="15.75" customHeight="1" x14ac:dyDescent="0.25"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</row>
    <row r="959" spans="14:35" ht="15.75" customHeight="1" x14ac:dyDescent="0.25"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</row>
    <row r="960" spans="14:35" ht="15.75" customHeight="1" x14ac:dyDescent="0.25"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</row>
    <row r="961" spans="14:35" ht="15.75" customHeight="1" x14ac:dyDescent="0.25"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</row>
    <row r="962" spans="14:35" ht="15.75" customHeight="1" x14ac:dyDescent="0.25"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</row>
    <row r="963" spans="14:35" ht="15.75" customHeight="1" x14ac:dyDescent="0.25"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</row>
    <row r="964" spans="14:35" ht="15.75" customHeight="1" x14ac:dyDescent="0.25"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</row>
    <row r="965" spans="14:35" ht="15.75" customHeight="1" x14ac:dyDescent="0.25"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</row>
    <row r="966" spans="14:35" ht="15.75" customHeight="1" x14ac:dyDescent="0.25"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</row>
    <row r="967" spans="14:35" ht="15.75" customHeight="1" x14ac:dyDescent="0.25"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</row>
    <row r="968" spans="14:35" ht="15.75" customHeight="1" x14ac:dyDescent="0.25"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</row>
    <row r="969" spans="14:35" ht="15.75" customHeight="1" x14ac:dyDescent="0.25"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</row>
    <row r="970" spans="14:35" ht="15.75" customHeight="1" x14ac:dyDescent="0.25"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</row>
    <row r="971" spans="14:35" ht="15.75" customHeight="1" x14ac:dyDescent="0.25"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</row>
    <row r="972" spans="14:35" ht="15.75" customHeight="1" x14ac:dyDescent="0.25"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</row>
    <row r="973" spans="14:35" ht="15.75" customHeight="1" x14ac:dyDescent="0.25"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</row>
    <row r="974" spans="14:35" ht="15.75" customHeight="1" x14ac:dyDescent="0.25"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</row>
    <row r="975" spans="14:35" ht="15.75" customHeight="1" x14ac:dyDescent="0.25"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</row>
    <row r="976" spans="14:35" ht="15.75" customHeight="1" x14ac:dyDescent="0.25"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</row>
    <row r="977" spans="14:35" ht="15.75" customHeight="1" x14ac:dyDescent="0.25"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</row>
    <row r="978" spans="14:35" ht="15.75" customHeight="1" x14ac:dyDescent="0.25"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</row>
    <row r="979" spans="14:35" ht="15.75" customHeight="1" x14ac:dyDescent="0.25"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</row>
    <row r="980" spans="14:35" ht="15.75" customHeight="1" x14ac:dyDescent="0.25"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</row>
    <row r="981" spans="14:35" ht="15.75" customHeight="1" x14ac:dyDescent="0.25"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</row>
    <row r="982" spans="14:35" ht="15.75" customHeight="1" x14ac:dyDescent="0.25"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</row>
    <row r="983" spans="14:35" ht="15.75" customHeight="1" x14ac:dyDescent="0.25"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</row>
    <row r="984" spans="14:35" ht="15.75" customHeight="1" x14ac:dyDescent="0.25"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</row>
    <row r="985" spans="14:35" ht="15.75" customHeight="1" x14ac:dyDescent="0.25"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</row>
    <row r="986" spans="14:35" ht="15.75" customHeight="1" x14ac:dyDescent="0.25"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</row>
    <row r="987" spans="14:35" ht="15.75" customHeight="1" x14ac:dyDescent="0.25"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</row>
    <row r="988" spans="14:35" ht="15.75" customHeight="1" x14ac:dyDescent="0.25"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</row>
    <row r="989" spans="14:35" ht="15.75" customHeight="1" x14ac:dyDescent="0.25"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</row>
    <row r="990" spans="14:35" ht="15.75" customHeight="1" x14ac:dyDescent="0.25"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</row>
    <row r="991" spans="14:35" ht="15.75" customHeight="1" x14ac:dyDescent="0.25"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</row>
    <row r="992" spans="14:35" ht="15.75" customHeight="1" x14ac:dyDescent="0.25"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</row>
    <row r="993" spans="14:35" ht="15.75" customHeight="1" x14ac:dyDescent="0.25"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</row>
    <row r="994" spans="14:35" ht="15.75" customHeight="1" x14ac:dyDescent="0.25"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</row>
    <row r="995" spans="14:35" ht="15.75" customHeight="1" x14ac:dyDescent="0.25"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</row>
    <row r="996" spans="14:35" ht="15.75" customHeight="1" x14ac:dyDescent="0.25"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</row>
    <row r="997" spans="14:35" ht="15.75" customHeight="1" x14ac:dyDescent="0.25"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</row>
    <row r="998" spans="14:35" ht="15.75" customHeight="1" x14ac:dyDescent="0.25"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</row>
    <row r="999" spans="14:35" ht="15.75" customHeight="1" x14ac:dyDescent="0.25"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</row>
    <row r="1000" spans="14:35" ht="15.75" customHeight="1" x14ac:dyDescent="0.25"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28" priority="1">
      <formula>J23=""</formula>
    </cfRule>
  </conditionalFormatting>
  <conditionalFormatting sqref="M24:N26">
    <cfRule type="expression" dxfId="27" priority="2">
      <formula>J24=""</formula>
    </cfRule>
  </conditionalFormatting>
  <conditionalFormatting sqref="M25:N25">
    <cfRule type="expression" dxfId="26" priority="3">
      <formula>J25=""</formula>
    </cfRule>
  </conditionalFormatting>
  <conditionalFormatting sqref="M27:N27">
    <cfRule type="expression" dxfId="25" priority="4">
      <formula>J27=""</formula>
    </cfRule>
  </conditionalFormatting>
  <conditionalFormatting sqref="B22:H28 J22:N27">
    <cfRule type="expression" dxfId="24" priority="5">
      <formula>OR($I$22=0,AND($J$20="",$J$21="",$J$22="",$J$23=""))</formula>
    </cfRule>
  </conditionalFormatting>
  <pageMargins left="0.7" right="0.7" top="0.75" bottom="0.75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000"/>
  <sheetViews>
    <sheetView showGridLines="0" workbookViewId="0">
      <selection activeCell="M15" sqref="M15"/>
    </sheetView>
  </sheetViews>
  <sheetFormatPr baseColWidth="10" defaultColWidth="12.625" defaultRowHeight="15" customHeight="1" x14ac:dyDescent="0.2"/>
  <cols>
    <col min="1" max="7" width="10" customWidth="1"/>
    <col min="8" max="8" width="5.125" customWidth="1"/>
    <col min="9" max="9" width="4.625" customWidth="1"/>
    <col min="10" max="10" width="10" customWidth="1"/>
    <col min="11" max="11" width="11.625" customWidth="1"/>
    <col min="12" max="13" width="10" customWidth="1"/>
    <col min="14" max="14" width="13" customWidth="1"/>
    <col min="15" max="15" width="16.375" customWidth="1"/>
    <col min="16" max="26" width="10" customWidth="1"/>
    <col min="27" max="27" width="9.125" customWidth="1"/>
    <col min="28" max="28" width="12" customWidth="1"/>
    <col min="29" max="29" width="9.125" customWidth="1"/>
    <col min="30" max="30" width="8.625" customWidth="1"/>
    <col min="31" max="31" width="11.375" customWidth="1"/>
    <col min="32" max="32" width="26.125" customWidth="1"/>
    <col min="33" max="33" width="22.375" customWidth="1"/>
    <col min="34" max="34" width="10" customWidth="1"/>
  </cols>
  <sheetData>
    <row r="1" spans="1:34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4"/>
      <c r="B3" s="124" t="s">
        <v>54</v>
      </c>
      <c r="C3" s="125"/>
      <c r="D3" s="125"/>
      <c r="E3" s="125"/>
      <c r="F3" s="125"/>
      <c r="G3" s="126"/>
      <c r="H3" s="4"/>
      <c r="I3" s="4"/>
      <c r="J3" s="4"/>
      <c r="K3" s="4"/>
      <c r="L3" s="4"/>
      <c r="M3" s="4"/>
      <c r="N3" s="4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4"/>
      <c r="B4" s="127"/>
      <c r="C4" s="128"/>
      <c r="D4" s="128"/>
      <c r="E4" s="128"/>
      <c r="F4" s="128"/>
      <c r="G4" s="129"/>
      <c r="H4" s="4"/>
      <c r="I4" s="4"/>
      <c r="J4" s="4"/>
      <c r="K4" s="4"/>
      <c r="L4" s="4"/>
      <c r="M4" s="4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4"/>
      <c r="B5" s="9"/>
      <c r="C5" s="10">
        <v>2</v>
      </c>
      <c r="D5" s="10">
        <v>3</v>
      </c>
      <c r="E5" s="10">
        <v>5</v>
      </c>
      <c r="F5" s="10">
        <v>6</v>
      </c>
      <c r="G5" s="10">
        <v>4</v>
      </c>
      <c r="H5" s="4"/>
      <c r="I5" s="4"/>
      <c r="J5" s="4"/>
      <c r="K5" s="4"/>
      <c r="L5" s="4"/>
      <c r="M5" s="4"/>
      <c r="N5" s="4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x14ac:dyDescent="0.25">
      <c r="A6" s="4"/>
      <c r="B6" s="130" t="s">
        <v>26</v>
      </c>
      <c r="C6" s="131"/>
      <c r="D6" s="131"/>
      <c r="E6" s="131"/>
      <c r="F6" s="131"/>
      <c r="G6" s="132"/>
      <c r="H6" s="9"/>
      <c r="I6" s="4"/>
      <c r="J6" s="11" t="s">
        <v>27</v>
      </c>
      <c r="K6" s="133" t="s">
        <v>28</v>
      </c>
      <c r="L6" s="131"/>
      <c r="M6" s="131"/>
      <c r="N6" s="132"/>
      <c r="O6" s="10"/>
      <c r="P6" s="1">
        <v>1</v>
      </c>
      <c r="Q6" s="1">
        <v>2</v>
      </c>
      <c r="R6" s="1" t="s">
        <v>29</v>
      </c>
      <c r="S6" s="1"/>
      <c r="T6" s="1" t="s">
        <v>30</v>
      </c>
      <c r="U6" s="1" t="s">
        <v>31</v>
      </c>
      <c r="V6" s="1" t="s">
        <v>32</v>
      </c>
      <c r="W6" s="1" t="s">
        <v>33</v>
      </c>
      <c r="X6" s="1" t="s">
        <v>34</v>
      </c>
      <c r="Y6" s="1" t="s">
        <v>35</v>
      </c>
      <c r="Z6" s="1"/>
      <c r="AA6" s="1"/>
      <c r="AB6" s="1" t="s">
        <v>31</v>
      </c>
      <c r="AC6" s="1" t="s">
        <v>36</v>
      </c>
      <c r="AD6" s="1" t="s">
        <v>29</v>
      </c>
      <c r="AE6" s="1" t="s">
        <v>37</v>
      </c>
      <c r="AF6" s="1" t="s">
        <v>38</v>
      </c>
      <c r="AG6" s="1" t="s">
        <v>39</v>
      </c>
      <c r="AH6" s="1" t="s">
        <v>40</v>
      </c>
    </row>
    <row r="7" spans="1:34" x14ac:dyDescent="0.25">
      <c r="A7" s="4"/>
      <c r="B7" s="12" t="s">
        <v>41</v>
      </c>
      <c r="C7" s="13" t="s">
        <v>31</v>
      </c>
      <c r="D7" s="14" t="s">
        <v>32</v>
      </c>
      <c r="E7" s="14" t="s">
        <v>34</v>
      </c>
      <c r="F7" s="14" t="s">
        <v>35</v>
      </c>
      <c r="G7" s="15" t="s">
        <v>33</v>
      </c>
      <c r="H7" s="9"/>
      <c r="I7" s="16">
        <v>3</v>
      </c>
      <c r="J7" s="17">
        <v>44361</v>
      </c>
      <c r="K7" s="18" t="s">
        <v>55</v>
      </c>
      <c r="L7" s="19">
        <v>1</v>
      </c>
      <c r="M7" s="20">
        <v>2</v>
      </c>
      <c r="N7" s="16" t="s">
        <v>56</v>
      </c>
      <c r="O7" s="10" t="e">
        <f t="shared" ref="O7:O16" ca="1" si="0">_xludf.CONCAT(K7,"_",N7)</f>
        <v>#NAME?</v>
      </c>
      <c r="P7" s="1">
        <f t="shared" ref="P7:P16" si="1">IF(L7&gt;M7,3,IF(L7&lt;M7,0,1))</f>
        <v>0</v>
      </c>
      <c r="Q7" s="1">
        <f t="shared" ref="Q7:Q16" si="2">IF(P7=3,0,IF(P7=1,1,3))</f>
        <v>3</v>
      </c>
      <c r="R7" s="1" t="str">
        <f t="shared" ref="R7:R16" si="3">IF(P7&gt;Q7,K7,IF(Q7&gt;P7,N7,"SIN GANADOR"))</f>
        <v>Chile</v>
      </c>
      <c r="S7" s="1"/>
      <c r="T7" s="1">
        <f t="shared" ref="T7:T11" si="4">_xlfn.RANK.EQ(AH7,AH$7:AH$11,1)</f>
        <v>2</v>
      </c>
      <c r="U7" s="1" t="s">
        <v>55</v>
      </c>
      <c r="V7" s="1">
        <f t="shared" ref="V7:V11" si="5">SUMIF($K$7:$K$16,U7,$P$7:$P$16) + SUMIF($N$7:$N$16,U7,$Q$7:$Q$16)</f>
        <v>9</v>
      </c>
      <c r="W7" s="1">
        <f t="shared" ref="W7:W11" si="6">X7-Y7</f>
        <v>4</v>
      </c>
      <c r="X7" s="1">
        <f t="shared" ref="X7:X11" si="7">SUMIF($K$7:$K$16,U7,$L$7:$L$16) + SUMIF($N$7:$N$16,U7,$M$7:$M$16)</f>
        <v>9</v>
      </c>
      <c r="Y7" s="1">
        <f t="shared" ref="Y7:Y11" si="8">SUMIF($K$7:$K$16,U7,$M$7:$M$16) + SUMIF($N$7:$N$16,U7,$L$7:$L$16)</f>
        <v>5</v>
      </c>
      <c r="Z7" s="1"/>
      <c r="AA7" s="1"/>
      <c r="AB7" s="1" t="str">
        <f t="shared" ref="AB7:AB11" si="9">U7</f>
        <v>Argentina</v>
      </c>
      <c r="AC7" s="1" t="str">
        <f>IF(AF7=AF8,AB8,IF(AF7=AF9,AB9,IF(AF7=AF10,AB10,IF(AF7=AF11,AB11,""))))</f>
        <v/>
      </c>
      <c r="AD7" s="1" t="str">
        <f t="shared" ref="AD7:AD11" si="10">IF(AC7="","",IFERROR(VLOOKUP(CONCATENATE(AB7,"_",AC7),$O$7:$R$16,4,FALSE),VLOOKUP(CONCATENATE(AC7,"_",AB7),$O$7:$R$16,4,FALSE)))</f>
        <v/>
      </c>
      <c r="AE7" s="1">
        <f t="shared" ref="AE7:AE11" si="11">IF(AD7="",1,IF(AD7=AB7,1,0))</f>
        <v>1</v>
      </c>
      <c r="AF7" s="1">
        <f t="shared" ref="AF7:AF11" si="12">-V7*10000000 - W7*10000 - X7*100</f>
        <v>-90040900</v>
      </c>
      <c r="AG7" s="1">
        <f t="shared" ref="AG7:AG11" si="13">AF7-AE7*10</f>
        <v>-90040910</v>
      </c>
      <c r="AH7" s="1">
        <f t="shared" ref="AH7:AH11" si="14">AG7+N23</f>
        <v>-90040908</v>
      </c>
    </row>
    <row r="8" spans="1:34" x14ac:dyDescent="0.25">
      <c r="A8" s="4"/>
      <c r="B8" s="21">
        <v>1</v>
      </c>
      <c r="C8" s="22" t="str">
        <f t="shared" ref="C8:G8" si="15">IFERROR(VLOOKUP($B8,$T$7:$Y$11,C$5,FALSE),"")</f>
        <v>Chile</v>
      </c>
      <c r="D8" s="23">
        <f t="shared" si="15"/>
        <v>10</v>
      </c>
      <c r="E8" s="23">
        <f t="shared" si="15"/>
        <v>8</v>
      </c>
      <c r="F8" s="23">
        <f t="shared" si="15"/>
        <v>4</v>
      </c>
      <c r="G8" s="24">
        <f t="shared" si="15"/>
        <v>4</v>
      </c>
      <c r="H8" s="9"/>
      <c r="I8" s="25">
        <v>4</v>
      </c>
      <c r="J8" s="26">
        <v>44361</v>
      </c>
      <c r="K8" s="27" t="s">
        <v>57</v>
      </c>
      <c r="L8" s="28">
        <v>1</v>
      </c>
      <c r="M8" s="29">
        <v>1</v>
      </c>
      <c r="N8" s="25" t="s">
        <v>58</v>
      </c>
      <c r="O8" s="10" t="e">
        <f t="shared" ca="1" si="0"/>
        <v>#NAME?</v>
      </c>
      <c r="P8" s="1">
        <f t="shared" si="1"/>
        <v>1</v>
      </c>
      <c r="Q8" s="1">
        <f t="shared" si="2"/>
        <v>1</v>
      </c>
      <c r="R8" s="1" t="str">
        <f t="shared" si="3"/>
        <v>SIN GANADOR</v>
      </c>
      <c r="S8" s="1"/>
      <c r="T8" s="1">
        <f t="shared" si="4"/>
        <v>5</v>
      </c>
      <c r="U8" s="1" t="s">
        <v>58</v>
      </c>
      <c r="V8" s="1">
        <f t="shared" si="5"/>
        <v>1</v>
      </c>
      <c r="W8" s="1">
        <f t="shared" si="6"/>
        <v>-7</v>
      </c>
      <c r="X8" s="1">
        <f t="shared" si="7"/>
        <v>2</v>
      </c>
      <c r="Y8" s="1">
        <f t="shared" si="8"/>
        <v>9</v>
      </c>
      <c r="Z8" s="1"/>
      <c r="AA8" s="1"/>
      <c r="AB8" s="1" t="str">
        <f t="shared" si="9"/>
        <v>Bolivia</v>
      </c>
      <c r="AC8" s="1" t="str">
        <f>IF(AF8=AF9,AB9,IF(AF8=AF10,AB10,IF(AF8=AF11,AB11,IF(AF8=AF7,AB7,""))))</f>
        <v/>
      </c>
      <c r="AD8" s="1" t="str">
        <f t="shared" si="10"/>
        <v/>
      </c>
      <c r="AE8" s="1">
        <f t="shared" si="11"/>
        <v>1</v>
      </c>
      <c r="AF8" s="1">
        <f t="shared" si="12"/>
        <v>-9930200</v>
      </c>
      <c r="AG8" s="1">
        <f t="shared" si="13"/>
        <v>-9930210</v>
      </c>
      <c r="AH8" s="1">
        <f t="shared" si="14"/>
        <v>-9930205</v>
      </c>
    </row>
    <row r="9" spans="1:34" x14ac:dyDescent="0.25">
      <c r="A9" s="4"/>
      <c r="B9" s="30">
        <v>2</v>
      </c>
      <c r="C9" s="31" t="str">
        <f t="shared" ref="C9:G9" si="16">IFERROR(VLOOKUP($B9,$T$7:$Y$11,C$5,FALSE),"")</f>
        <v>Argentina</v>
      </c>
      <c r="D9" s="32">
        <f t="shared" si="16"/>
        <v>9</v>
      </c>
      <c r="E9" s="32">
        <f t="shared" si="16"/>
        <v>9</v>
      </c>
      <c r="F9" s="32">
        <f t="shared" si="16"/>
        <v>5</v>
      </c>
      <c r="G9" s="33">
        <f t="shared" si="16"/>
        <v>4</v>
      </c>
      <c r="H9" s="9"/>
      <c r="I9" s="34">
        <v>7</v>
      </c>
      <c r="J9" s="35">
        <v>44365</v>
      </c>
      <c r="K9" s="36" t="s">
        <v>56</v>
      </c>
      <c r="L9" s="28">
        <v>3</v>
      </c>
      <c r="M9" s="29">
        <v>1</v>
      </c>
      <c r="N9" s="34" t="s">
        <v>58</v>
      </c>
      <c r="O9" s="10" t="e">
        <f t="shared" ca="1" si="0"/>
        <v>#NAME?</v>
      </c>
      <c r="P9" s="1">
        <f t="shared" si="1"/>
        <v>3</v>
      </c>
      <c r="Q9" s="1">
        <f t="shared" si="2"/>
        <v>0</v>
      </c>
      <c r="R9" s="1" t="str">
        <f t="shared" si="3"/>
        <v>Chile</v>
      </c>
      <c r="S9" s="1"/>
      <c r="T9" s="1">
        <f t="shared" si="4"/>
        <v>1</v>
      </c>
      <c r="U9" s="1" t="s">
        <v>56</v>
      </c>
      <c r="V9" s="1">
        <f t="shared" si="5"/>
        <v>10</v>
      </c>
      <c r="W9" s="1">
        <f t="shared" si="6"/>
        <v>4</v>
      </c>
      <c r="X9" s="1">
        <f t="shared" si="7"/>
        <v>8</v>
      </c>
      <c r="Y9" s="1">
        <f t="shared" si="8"/>
        <v>4</v>
      </c>
      <c r="Z9" s="1"/>
      <c r="AA9" s="1"/>
      <c r="AB9" s="1" t="str">
        <f t="shared" si="9"/>
        <v>Chile</v>
      </c>
      <c r="AC9" s="1" t="str">
        <f>IF(AF9=AF10,AB10,IF(AF9=AF11,AB11,IF(AF9=AF7,AB7,IF(AF9=AF8,AB8,""))))</f>
        <v/>
      </c>
      <c r="AD9" s="1" t="str">
        <f t="shared" si="10"/>
        <v/>
      </c>
      <c r="AE9" s="1">
        <f t="shared" si="11"/>
        <v>1</v>
      </c>
      <c r="AF9" s="1">
        <f t="shared" si="12"/>
        <v>-100040800</v>
      </c>
      <c r="AG9" s="1">
        <f t="shared" si="13"/>
        <v>-100040810</v>
      </c>
      <c r="AH9" s="1">
        <f t="shared" si="14"/>
        <v>-100040809</v>
      </c>
    </row>
    <row r="10" spans="1:34" x14ac:dyDescent="0.25">
      <c r="A10" s="4"/>
      <c r="B10" s="37">
        <v>3</v>
      </c>
      <c r="C10" s="38" t="str">
        <f t="shared" ref="C10:G10" si="17">IFERROR(VLOOKUP($B10,$T$7:$Y$11,C$5,FALSE),"")</f>
        <v>Uruguay</v>
      </c>
      <c r="D10" s="39">
        <f t="shared" si="17"/>
        <v>5</v>
      </c>
      <c r="E10" s="39">
        <f t="shared" si="17"/>
        <v>7</v>
      </c>
      <c r="F10" s="39">
        <f t="shared" si="17"/>
        <v>6</v>
      </c>
      <c r="G10" s="40">
        <f t="shared" si="17"/>
        <v>1</v>
      </c>
      <c r="H10" s="9"/>
      <c r="I10" s="25">
        <v>8</v>
      </c>
      <c r="J10" s="26">
        <v>44365</v>
      </c>
      <c r="K10" s="27" t="s">
        <v>55</v>
      </c>
      <c r="L10" s="28">
        <v>3</v>
      </c>
      <c r="M10" s="29">
        <v>2</v>
      </c>
      <c r="N10" s="25" t="s">
        <v>59</v>
      </c>
      <c r="O10" s="10" t="e">
        <f t="shared" ca="1" si="0"/>
        <v>#NAME?</v>
      </c>
      <c r="P10" s="1">
        <f t="shared" si="1"/>
        <v>3</v>
      </c>
      <c r="Q10" s="1">
        <f t="shared" si="2"/>
        <v>0</v>
      </c>
      <c r="R10" s="1" t="str">
        <f t="shared" si="3"/>
        <v>Argentina</v>
      </c>
      <c r="S10" s="1"/>
      <c r="T10" s="1">
        <f t="shared" si="4"/>
        <v>4</v>
      </c>
      <c r="U10" s="1" t="s">
        <v>57</v>
      </c>
      <c r="V10" s="1">
        <f t="shared" si="5"/>
        <v>2</v>
      </c>
      <c r="W10" s="1">
        <f t="shared" si="6"/>
        <v>-2</v>
      </c>
      <c r="X10" s="1">
        <f t="shared" si="7"/>
        <v>5</v>
      </c>
      <c r="Y10" s="1">
        <f t="shared" si="8"/>
        <v>7</v>
      </c>
      <c r="Z10" s="1"/>
      <c r="AA10" s="1"/>
      <c r="AB10" s="1" t="str">
        <f t="shared" si="9"/>
        <v>Paraguay</v>
      </c>
      <c r="AC10" s="1" t="str">
        <f>IF(AF10=AF11,AB11,IF(AF10=AF7,AB7,IF(AF10=AF8,AB8,IF(AF10=AF9,AB9,""))))</f>
        <v/>
      </c>
      <c r="AD10" s="1" t="str">
        <f t="shared" si="10"/>
        <v/>
      </c>
      <c r="AE10" s="1">
        <f t="shared" si="11"/>
        <v>1</v>
      </c>
      <c r="AF10" s="1">
        <f t="shared" si="12"/>
        <v>-19980500</v>
      </c>
      <c r="AG10" s="1">
        <f t="shared" si="13"/>
        <v>-19980510</v>
      </c>
      <c r="AH10" s="1">
        <f t="shared" si="14"/>
        <v>-19980506</v>
      </c>
    </row>
    <row r="11" spans="1:34" x14ac:dyDescent="0.25">
      <c r="A11" s="4"/>
      <c r="B11" s="41">
        <v>4</v>
      </c>
      <c r="C11" s="42" t="str">
        <f t="shared" ref="C11:G11" si="18">IFERROR(VLOOKUP($B11,$T$7:$Y$11,C$5,FALSE),"")</f>
        <v>Paraguay</v>
      </c>
      <c r="D11" s="43">
        <f t="shared" si="18"/>
        <v>2</v>
      </c>
      <c r="E11" s="43">
        <f t="shared" si="18"/>
        <v>5</v>
      </c>
      <c r="F11" s="43">
        <f t="shared" si="18"/>
        <v>7</v>
      </c>
      <c r="G11" s="44">
        <f t="shared" si="18"/>
        <v>-2</v>
      </c>
      <c r="H11" s="9"/>
      <c r="I11" s="34">
        <v>11</v>
      </c>
      <c r="J11" s="35">
        <v>44368</v>
      </c>
      <c r="K11" s="36" t="s">
        <v>59</v>
      </c>
      <c r="L11" s="28">
        <v>1</v>
      </c>
      <c r="M11" s="29">
        <v>1</v>
      </c>
      <c r="N11" s="34" t="s">
        <v>56</v>
      </c>
      <c r="O11" s="10" t="e">
        <f t="shared" ca="1" si="0"/>
        <v>#NAME?</v>
      </c>
      <c r="P11" s="1">
        <f t="shared" si="1"/>
        <v>1</v>
      </c>
      <c r="Q11" s="1">
        <f t="shared" si="2"/>
        <v>1</v>
      </c>
      <c r="R11" s="1" t="str">
        <f t="shared" si="3"/>
        <v>SIN GANADOR</v>
      </c>
      <c r="S11" s="1"/>
      <c r="T11" s="1">
        <f t="shared" si="4"/>
        <v>3</v>
      </c>
      <c r="U11" s="1" t="s">
        <v>59</v>
      </c>
      <c r="V11" s="1">
        <f t="shared" si="5"/>
        <v>5</v>
      </c>
      <c r="W11" s="1">
        <f t="shared" si="6"/>
        <v>1</v>
      </c>
      <c r="X11" s="1">
        <f t="shared" si="7"/>
        <v>7</v>
      </c>
      <c r="Y11" s="1">
        <f t="shared" si="8"/>
        <v>6</v>
      </c>
      <c r="Z11" s="1"/>
      <c r="AA11" s="1"/>
      <c r="AB11" s="1" t="str">
        <f t="shared" si="9"/>
        <v>Uruguay</v>
      </c>
      <c r="AC11" s="1" t="str">
        <f>IF(AF11=AF7,AB7,IF(AF11=AF8,AB8,IF(AF11=AF9,AB9,IF(AF11=AF10,AB10,""))))</f>
        <v/>
      </c>
      <c r="AD11" s="1" t="str">
        <f t="shared" si="10"/>
        <v/>
      </c>
      <c r="AE11" s="1">
        <f t="shared" si="11"/>
        <v>1</v>
      </c>
      <c r="AF11" s="1">
        <f t="shared" si="12"/>
        <v>-50010700</v>
      </c>
      <c r="AG11" s="1">
        <f t="shared" si="13"/>
        <v>-50010710</v>
      </c>
      <c r="AH11" s="1">
        <f t="shared" si="14"/>
        <v>-50010707</v>
      </c>
    </row>
    <row r="12" spans="1:34" x14ac:dyDescent="0.25">
      <c r="A12" s="4"/>
      <c r="B12" s="45">
        <v>5</v>
      </c>
      <c r="C12" s="46" t="str">
        <f t="shared" ref="C12:G12" si="19">IFERROR(VLOOKUP($B12,$T$7:$Y$11,C$5,FALSE),"")</f>
        <v>Bolivia</v>
      </c>
      <c r="D12" s="47">
        <f t="shared" si="19"/>
        <v>1</v>
      </c>
      <c r="E12" s="47">
        <f t="shared" si="19"/>
        <v>2</v>
      </c>
      <c r="F12" s="47">
        <f t="shared" si="19"/>
        <v>9</v>
      </c>
      <c r="G12" s="48">
        <f t="shared" si="19"/>
        <v>-7</v>
      </c>
      <c r="H12" s="9"/>
      <c r="I12" s="49">
        <v>12</v>
      </c>
      <c r="J12" s="50">
        <v>44368</v>
      </c>
      <c r="K12" s="51" t="s">
        <v>55</v>
      </c>
      <c r="L12" s="52">
        <v>2</v>
      </c>
      <c r="M12" s="53">
        <v>1</v>
      </c>
      <c r="N12" s="49" t="s">
        <v>57</v>
      </c>
      <c r="O12" s="10" t="e">
        <f t="shared" ca="1" si="0"/>
        <v>#NAME?</v>
      </c>
      <c r="P12" s="1">
        <f t="shared" si="1"/>
        <v>3</v>
      </c>
      <c r="Q12" s="1">
        <f t="shared" si="2"/>
        <v>0</v>
      </c>
      <c r="R12" s="1" t="str">
        <f t="shared" si="3"/>
        <v>Argentina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</row>
    <row r="13" spans="1:34" x14ac:dyDescent="0.25">
      <c r="A13" s="4"/>
      <c r="B13" s="4"/>
      <c r="C13" s="4"/>
      <c r="D13" s="4"/>
      <c r="E13" s="4"/>
      <c r="F13" s="4"/>
      <c r="G13" s="4"/>
      <c r="H13" s="4"/>
      <c r="I13" s="54">
        <v>15</v>
      </c>
      <c r="J13" s="55">
        <v>44371</v>
      </c>
      <c r="K13" s="56" t="s">
        <v>58</v>
      </c>
      <c r="L13" s="52">
        <v>0</v>
      </c>
      <c r="M13" s="53">
        <v>2</v>
      </c>
      <c r="N13" s="54" t="s">
        <v>59</v>
      </c>
      <c r="O13" s="10" t="e">
        <f t="shared" ca="1" si="0"/>
        <v>#NAME?</v>
      </c>
      <c r="P13" s="1">
        <f t="shared" si="1"/>
        <v>0</v>
      </c>
      <c r="Q13" s="1">
        <f t="shared" si="2"/>
        <v>3</v>
      </c>
      <c r="R13" s="1" t="str">
        <f t="shared" si="3"/>
        <v>Uruguay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</row>
    <row r="14" spans="1:34" x14ac:dyDescent="0.25">
      <c r="A14" s="4"/>
      <c r="B14" s="4"/>
      <c r="C14" s="4"/>
      <c r="D14" s="4"/>
      <c r="E14" s="4"/>
      <c r="F14" s="4"/>
      <c r="G14" s="4"/>
      <c r="H14" s="4"/>
      <c r="I14" s="49">
        <v>16</v>
      </c>
      <c r="J14" s="50">
        <v>44371</v>
      </c>
      <c r="K14" s="51" t="s">
        <v>56</v>
      </c>
      <c r="L14" s="52">
        <v>2</v>
      </c>
      <c r="M14" s="53">
        <v>1</v>
      </c>
      <c r="N14" s="49" t="s">
        <v>57</v>
      </c>
      <c r="O14" s="10" t="e">
        <f t="shared" ca="1" si="0"/>
        <v>#NAME?</v>
      </c>
      <c r="P14" s="1">
        <f t="shared" si="1"/>
        <v>3</v>
      </c>
      <c r="Q14" s="1">
        <f t="shared" si="2"/>
        <v>0</v>
      </c>
      <c r="R14" s="1" t="str">
        <f t="shared" si="3"/>
        <v>Chile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x14ac:dyDescent="0.25">
      <c r="A15" s="4"/>
      <c r="B15" s="4"/>
      <c r="C15" s="4"/>
      <c r="D15" s="4"/>
      <c r="E15" s="4"/>
      <c r="F15" s="4"/>
      <c r="G15" s="4"/>
      <c r="H15" s="4"/>
      <c r="I15" s="54">
        <v>19</v>
      </c>
      <c r="J15" s="55">
        <v>44375</v>
      </c>
      <c r="K15" s="56" t="s">
        <v>59</v>
      </c>
      <c r="L15" s="52">
        <v>2</v>
      </c>
      <c r="M15" s="53">
        <v>2</v>
      </c>
      <c r="N15" s="54" t="s">
        <v>57</v>
      </c>
      <c r="O15" s="10" t="e">
        <f t="shared" ca="1" si="0"/>
        <v>#NAME?</v>
      </c>
      <c r="P15" s="1">
        <f t="shared" si="1"/>
        <v>1</v>
      </c>
      <c r="Q15" s="1">
        <f t="shared" si="2"/>
        <v>1</v>
      </c>
      <c r="R15" s="1" t="str">
        <f t="shared" si="3"/>
        <v>SIN GANADOR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</row>
    <row r="16" spans="1:34" x14ac:dyDescent="0.25">
      <c r="A16" s="4"/>
      <c r="B16" s="4"/>
      <c r="C16" s="4"/>
      <c r="D16" s="4"/>
      <c r="E16" s="4"/>
      <c r="F16" s="4"/>
      <c r="G16" s="4"/>
      <c r="H16" s="4"/>
      <c r="I16" s="57">
        <v>20</v>
      </c>
      <c r="J16" s="58">
        <v>44375</v>
      </c>
      <c r="K16" s="59" t="s">
        <v>55</v>
      </c>
      <c r="L16" s="60">
        <v>3</v>
      </c>
      <c r="M16" s="61">
        <v>0</v>
      </c>
      <c r="N16" s="57" t="s">
        <v>58</v>
      </c>
      <c r="O16" s="10" t="e">
        <f t="shared" ca="1" si="0"/>
        <v>#NAME?</v>
      </c>
      <c r="P16" s="1">
        <f t="shared" si="1"/>
        <v>3</v>
      </c>
      <c r="Q16" s="1">
        <f t="shared" si="2"/>
        <v>0</v>
      </c>
      <c r="R16" s="1" t="str">
        <f t="shared" si="3"/>
        <v>Argentina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</row>
    <row r="17" spans="1:34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</row>
    <row r="18" spans="1:34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</row>
    <row r="19" spans="1:34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</row>
    <row r="20" spans="1:34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</row>
    <row r="21" spans="1:34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15.75" customHeight="1" x14ac:dyDescent="0.25">
      <c r="A22" s="4"/>
      <c r="B22" s="62" t="s">
        <v>47</v>
      </c>
      <c r="C22" s="63"/>
      <c r="D22" s="63"/>
      <c r="E22" s="63"/>
      <c r="F22" s="63"/>
      <c r="G22" s="63"/>
      <c r="H22" s="64"/>
      <c r="I22" s="1">
        <v>1</v>
      </c>
      <c r="J22" s="111" t="s">
        <v>48</v>
      </c>
      <c r="K22" s="112"/>
      <c r="L22" s="112"/>
      <c r="M22" s="113"/>
      <c r="N22" s="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5.75" customHeight="1" x14ac:dyDescent="0.25">
      <c r="A23" s="4"/>
      <c r="B23" s="65" t="s">
        <v>49</v>
      </c>
      <c r="C23" s="66"/>
      <c r="D23" s="66"/>
      <c r="E23" s="66"/>
      <c r="F23" s="66"/>
      <c r="G23" s="66"/>
      <c r="H23" s="67"/>
      <c r="I23" s="1">
        <f t="shared" ref="I23:I27" si="20">IF(J23="",0,1)</f>
        <v>1</v>
      </c>
      <c r="J23" s="134" t="s">
        <v>55</v>
      </c>
      <c r="K23" s="135"/>
      <c r="L23" s="115"/>
      <c r="M23" s="75">
        <v>2</v>
      </c>
      <c r="N23" s="4">
        <f t="shared" ref="N23:N27" si="21">IF(J23="",0,M23)</f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5.75" customHeight="1" x14ac:dyDescent="0.25">
      <c r="A24" s="4"/>
      <c r="B24" s="65" t="s">
        <v>50</v>
      </c>
      <c r="C24" s="66"/>
      <c r="D24" s="66"/>
      <c r="E24" s="66"/>
      <c r="F24" s="66"/>
      <c r="G24" s="66"/>
      <c r="H24" s="67"/>
      <c r="I24" s="1">
        <f t="shared" si="20"/>
        <v>1</v>
      </c>
      <c r="J24" s="120" t="s">
        <v>58</v>
      </c>
      <c r="K24" s="121"/>
      <c r="L24" s="117"/>
      <c r="M24" s="76">
        <v>5</v>
      </c>
      <c r="N24" s="4">
        <f t="shared" si="21"/>
        <v>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  <row r="25" spans="1:34" ht="15.75" customHeight="1" x14ac:dyDescent="0.25">
      <c r="A25" s="4"/>
      <c r="B25" s="65" t="s">
        <v>51</v>
      </c>
      <c r="C25" s="66"/>
      <c r="D25" s="66"/>
      <c r="E25" s="66"/>
      <c r="F25" s="66"/>
      <c r="G25" s="66"/>
      <c r="H25" s="67"/>
      <c r="I25" s="1">
        <f t="shared" si="20"/>
        <v>1</v>
      </c>
      <c r="J25" s="120" t="s">
        <v>56</v>
      </c>
      <c r="K25" s="121"/>
      <c r="L25" s="117"/>
      <c r="M25" s="70">
        <v>1</v>
      </c>
      <c r="N25" s="4">
        <f t="shared" si="21"/>
        <v>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</row>
    <row r="26" spans="1:34" ht="15.75" customHeight="1" x14ac:dyDescent="0.25">
      <c r="A26" s="4"/>
      <c r="B26" s="65" t="s">
        <v>52</v>
      </c>
      <c r="C26" s="66"/>
      <c r="D26" s="66"/>
      <c r="E26" s="66"/>
      <c r="F26" s="66"/>
      <c r="G26" s="66"/>
      <c r="H26" s="67"/>
      <c r="I26" s="1">
        <f t="shared" si="20"/>
        <v>1</v>
      </c>
      <c r="J26" s="120" t="s">
        <v>57</v>
      </c>
      <c r="K26" s="121"/>
      <c r="L26" s="117"/>
      <c r="M26" s="76">
        <v>4</v>
      </c>
      <c r="N26" s="4">
        <f t="shared" si="21"/>
        <v>4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</row>
    <row r="27" spans="1:34" ht="15.75" customHeight="1" x14ac:dyDescent="0.25">
      <c r="A27" s="4"/>
      <c r="B27" s="65" t="s">
        <v>53</v>
      </c>
      <c r="C27" s="66"/>
      <c r="D27" s="66"/>
      <c r="E27" s="66"/>
      <c r="F27" s="66"/>
      <c r="G27" s="66"/>
      <c r="H27" s="67"/>
      <c r="I27" s="1">
        <f t="shared" si="20"/>
        <v>1</v>
      </c>
      <c r="J27" s="122" t="s">
        <v>59</v>
      </c>
      <c r="K27" s="123"/>
      <c r="L27" s="119"/>
      <c r="M27" s="71">
        <v>3</v>
      </c>
      <c r="N27" s="4">
        <f t="shared" si="21"/>
        <v>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</row>
    <row r="28" spans="1:34" ht="15.75" customHeight="1" x14ac:dyDescent="0.25">
      <c r="A28" s="4"/>
      <c r="B28" s="72"/>
      <c r="C28" s="73"/>
      <c r="D28" s="73"/>
      <c r="E28" s="73"/>
      <c r="F28" s="73"/>
      <c r="G28" s="73"/>
      <c r="H28" s="74"/>
      <c r="I28" s="4"/>
      <c r="J28" s="4"/>
      <c r="K28" s="4"/>
      <c r="L28" s="4"/>
      <c r="M28" s="4"/>
      <c r="N28" s="4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</row>
    <row r="29" spans="1:34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</row>
    <row r="30" spans="1:34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</row>
    <row r="32" spans="1:34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</row>
    <row r="33" spans="1:34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</row>
    <row r="34" spans="1:34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</row>
    <row r="35" spans="1:34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</row>
    <row r="36" spans="1:34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</row>
    <row r="37" spans="1:34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</row>
    <row r="38" spans="1:34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</row>
    <row r="39" spans="1:34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</row>
    <row r="41" spans="1:34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</row>
    <row r="42" spans="1:34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</row>
    <row r="43" spans="1:34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</row>
    <row r="44" spans="1:34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</row>
    <row r="45" spans="1:34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</row>
    <row r="46" spans="1:34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</row>
    <row r="47" spans="1:34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</row>
    <row r="49" spans="1:34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</row>
    <row r="51" spans="1:34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</row>
    <row r="52" spans="1:34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</row>
    <row r="53" spans="1:34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</row>
    <row r="54" spans="1:34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</row>
    <row r="55" spans="1:34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</row>
    <row r="56" spans="1:34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</row>
    <row r="58" spans="1:34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</row>
    <row r="60" spans="1:34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</row>
    <row r="61" spans="1:34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</row>
    <row r="62" spans="1:34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</row>
    <row r="63" spans="1:34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</row>
    <row r="64" spans="1:34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</row>
    <row r="65" spans="1:34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</row>
    <row r="66" spans="1:34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</row>
    <row r="67" spans="1:34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</row>
    <row r="68" spans="1:34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</row>
    <row r="69" spans="1:34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</row>
    <row r="70" spans="1:34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</row>
    <row r="71" spans="1:34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</row>
    <row r="72" spans="1:34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</row>
    <row r="73" spans="1:34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</row>
    <row r="74" spans="1:34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</row>
    <row r="75" spans="1:34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</row>
    <row r="76" spans="1:34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</row>
    <row r="77" spans="1:34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</row>
    <row r="78" spans="1:34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</row>
    <row r="79" spans="1:34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</row>
    <row r="80" spans="1:34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</row>
    <row r="81" spans="1:34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</row>
    <row r="82" spans="1:34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</row>
    <row r="83" spans="1:34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</row>
    <row r="84" spans="1:34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</row>
    <row r="85" spans="1:34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</row>
    <row r="86" spans="1:34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</row>
    <row r="87" spans="1:34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</row>
    <row r="88" spans="1:34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</row>
    <row r="89" spans="1:34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</row>
    <row r="90" spans="1:34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</row>
    <row r="91" spans="1:34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</row>
    <row r="92" spans="1:34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</row>
    <row r="93" spans="1:34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</row>
    <row r="94" spans="1:34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</row>
    <row r="95" spans="1:34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</row>
    <row r="96" spans="1:34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</row>
    <row r="97" spans="1:34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spans="1:34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spans="1:34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spans="1:34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spans="1:34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spans="1:34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spans="1:34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spans="1:34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spans="1:34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spans="1:34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spans="1:34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spans="1:34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spans="1:34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spans="1:34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spans="1:34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spans="1:34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spans="1:34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spans="1:34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spans="1:34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spans="1:34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spans="1:34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spans="1:34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spans="1:34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spans="1:34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spans="1:34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spans="1:34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spans="1:34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spans="1:34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spans="1:34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spans="1:34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spans="1:34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spans="1:34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spans="1:34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spans="1:34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spans="1:34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spans="1:34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spans="1:34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spans="1:34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spans="1:34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spans="1:34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spans="1:34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</row>
    <row r="138" spans="1:34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</row>
    <row r="139" spans="1:34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</row>
    <row r="140" spans="1:34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</row>
    <row r="141" spans="1:34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</row>
    <row r="142" spans="1:34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</row>
    <row r="143" spans="1:34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</row>
    <row r="144" spans="1:34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</row>
    <row r="145" spans="1:34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</row>
    <row r="146" spans="1:34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</row>
    <row r="147" spans="1:34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</row>
    <row r="148" spans="1:34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</row>
    <row r="149" spans="1:34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</row>
    <row r="150" spans="1:34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</row>
    <row r="151" spans="1:34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</row>
    <row r="152" spans="1:34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</row>
    <row r="153" spans="1:34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</row>
    <row r="154" spans="1:34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</row>
    <row r="155" spans="1:34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</row>
    <row r="156" spans="1:34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</row>
    <row r="157" spans="1:34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</row>
    <row r="158" spans="1:34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</row>
    <row r="159" spans="1:34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</row>
    <row r="160" spans="1:34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</row>
    <row r="161" spans="1:34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</row>
    <row r="162" spans="1:34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</row>
    <row r="163" spans="1:34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</row>
    <row r="164" spans="1:34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</row>
    <row r="165" spans="1:34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</row>
    <row r="166" spans="1:34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</row>
    <row r="167" spans="1:34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</row>
    <row r="168" spans="1:34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</row>
    <row r="169" spans="1:34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</row>
    <row r="170" spans="1:34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</row>
    <row r="171" spans="1:34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</row>
    <row r="172" spans="1:34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</row>
    <row r="173" spans="1:34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</row>
    <row r="174" spans="1:34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</row>
    <row r="175" spans="1:34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</row>
    <row r="176" spans="1:34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</row>
    <row r="177" spans="1:34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</row>
    <row r="178" spans="1:34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</row>
    <row r="179" spans="1:34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</row>
    <row r="180" spans="1:34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</row>
    <row r="181" spans="1:34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</row>
    <row r="182" spans="1:34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</row>
    <row r="183" spans="1:34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</row>
    <row r="184" spans="1:34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</row>
    <row r="185" spans="1:34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</row>
    <row r="186" spans="1:34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</row>
    <row r="187" spans="1:34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</row>
    <row r="188" spans="1:34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</row>
    <row r="189" spans="1:34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</row>
    <row r="190" spans="1:34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</row>
    <row r="191" spans="1:34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</row>
    <row r="192" spans="1:34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</row>
    <row r="193" spans="1:34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</row>
    <row r="194" spans="1:34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</row>
    <row r="195" spans="1:34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</row>
    <row r="196" spans="1:34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</row>
    <row r="197" spans="1:34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</row>
    <row r="198" spans="1:34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</row>
    <row r="199" spans="1:34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</row>
    <row r="200" spans="1:34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</row>
    <row r="201" spans="1:34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</row>
    <row r="202" spans="1:34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</row>
    <row r="203" spans="1:34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</row>
    <row r="204" spans="1:34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</row>
    <row r="205" spans="1:34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</row>
    <row r="206" spans="1:34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</row>
    <row r="207" spans="1:34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</row>
    <row r="208" spans="1:34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</row>
    <row r="209" spans="1:34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</row>
    <row r="210" spans="1:34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</row>
    <row r="211" spans="1:34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</row>
    <row r="212" spans="1:34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</row>
    <row r="213" spans="1:34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</row>
    <row r="214" spans="1:34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</row>
    <row r="215" spans="1:34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</row>
    <row r="216" spans="1:34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</row>
    <row r="217" spans="1:34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</row>
    <row r="218" spans="1:34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</row>
    <row r="219" spans="1:34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</row>
    <row r="220" spans="1:34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</row>
    <row r="221" spans="1:34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</row>
    <row r="222" spans="1:34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</row>
    <row r="223" spans="1:34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</row>
    <row r="224" spans="1:34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</row>
    <row r="225" spans="1:34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</row>
    <row r="226" spans="1:34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</row>
    <row r="227" spans="1:34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</row>
    <row r="228" spans="1:34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</row>
    <row r="229" spans="1:34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</row>
    <row r="230" spans="1:34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</row>
    <row r="231" spans="1:34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</row>
    <row r="232" spans="1:34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</row>
    <row r="233" spans="1:34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</row>
    <row r="234" spans="1:34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</row>
    <row r="235" spans="1:34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</row>
    <row r="236" spans="1:34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</row>
    <row r="237" spans="1:34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</row>
    <row r="238" spans="1:34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</row>
    <row r="239" spans="1:34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</row>
    <row r="240" spans="1:34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</row>
    <row r="241" spans="1:34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</row>
    <row r="242" spans="1:34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</row>
    <row r="243" spans="1:34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</row>
    <row r="244" spans="1:34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</row>
    <row r="245" spans="1:34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</row>
    <row r="246" spans="1:34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</row>
    <row r="247" spans="1:34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</row>
    <row r="248" spans="1:34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</row>
    <row r="249" spans="1:34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</row>
    <row r="250" spans="1:34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</row>
    <row r="251" spans="1:34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</row>
    <row r="252" spans="1:34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</row>
    <row r="253" spans="1:34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</row>
    <row r="254" spans="1:34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</row>
    <row r="255" spans="1:34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</row>
    <row r="256" spans="1:34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</row>
    <row r="257" spans="1:34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</row>
    <row r="258" spans="1:34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</row>
    <row r="259" spans="1:34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</row>
    <row r="260" spans="1:34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</row>
    <row r="261" spans="1:34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</row>
    <row r="262" spans="1:34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</row>
    <row r="263" spans="1:34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</row>
    <row r="264" spans="1:34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</row>
    <row r="265" spans="1:34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</row>
    <row r="266" spans="1:34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</row>
    <row r="267" spans="1:34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</row>
    <row r="268" spans="1:34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</row>
    <row r="269" spans="1:34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</row>
    <row r="270" spans="1:34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</row>
    <row r="271" spans="1:34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</row>
    <row r="272" spans="1:34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</row>
    <row r="273" spans="1:34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</row>
    <row r="274" spans="1:34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</row>
    <row r="275" spans="1:34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</row>
    <row r="276" spans="1:34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</row>
    <row r="277" spans="1:34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</row>
    <row r="278" spans="1:34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</row>
    <row r="279" spans="1:34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</row>
    <row r="280" spans="1:34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</row>
    <row r="281" spans="1:34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</row>
    <row r="282" spans="1:34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</row>
    <row r="283" spans="1:34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</row>
    <row r="284" spans="1:34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</row>
    <row r="285" spans="1:34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</row>
    <row r="286" spans="1:34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</row>
    <row r="287" spans="1:34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</row>
    <row r="288" spans="1:34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</row>
    <row r="289" spans="1:34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</row>
    <row r="290" spans="1:34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</row>
    <row r="291" spans="1:34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</row>
    <row r="292" spans="1:34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</row>
    <row r="293" spans="1:34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</row>
    <row r="294" spans="1:34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</row>
    <row r="295" spans="1:34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</row>
    <row r="296" spans="1:34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</row>
    <row r="297" spans="1:34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</row>
    <row r="298" spans="1:34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</row>
    <row r="299" spans="1:34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</row>
    <row r="300" spans="1:34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</row>
    <row r="301" spans="1:34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</row>
    <row r="302" spans="1:34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</row>
    <row r="303" spans="1:34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</row>
    <row r="304" spans="1:34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</row>
    <row r="305" spans="1:34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</row>
    <row r="306" spans="1:34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</row>
    <row r="307" spans="1:34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</row>
    <row r="308" spans="1:34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</row>
    <row r="309" spans="1:34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</row>
    <row r="310" spans="1:34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</row>
    <row r="311" spans="1:34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</row>
    <row r="312" spans="1:34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</row>
    <row r="313" spans="1:34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</row>
    <row r="314" spans="1:34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</row>
    <row r="315" spans="1:34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</row>
    <row r="316" spans="1:34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</row>
    <row r="317" spans="1:34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</row>
    <row r="318" spans="1:34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</row>
    <row r="319" spans="1:34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</row>
    <row r="320" spans="1:34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</row>
    <row r="321" spans="1:34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</row>
    <row r="322" spans="1:34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</row>
    <row r="323" spans="1:34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</row>
    <row r="324" spans="1:34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</row>
    <row r="325" spans="1:34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</row>
    <row r="326" spans="1:34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</row>
    <row r="327" spans="1:34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</row>
    <row r="328" spans="1:34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</row>
    <row r="329" spans="1:34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</row>
    <row r="330" spans="1:34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</row>
    <row r="331" spans="1:34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</row>
    <row r="332" spans="1:34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</row>
    <row r="333" spans="1:34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</row>
    <row r="334" spans="1:34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</row>
    <row r="335" spans="1:34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</row>
    <row r="336" spans="1:34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</row>
    <row r="337" spans="1:34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</row>
    <row r="338" spans="1:34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</row>
    <row r="339" spans="1:34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</row>
    <row r="340" spans="1:34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</row>
    <row r="341" spans="1:34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</row>
    <row r="342" spans="1:34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</row>
    <row r="343" spans="1:34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</row>
    <row r="344" spans="1:34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</row>
    <row r="345" spans="1:34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</row>
    <row r="346" spans="1:34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</row>
    <row r="347" spans="1:34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</row>
    <row r="348" spans="1:34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</row>
    <row r="349" spans="1:34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</row>
    <row r="350" spans="1:34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</row>
    <row r="351" spans="1:34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</row>
    <row r="352" spans="1:34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</row>
    <row r="353" spans="1:34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</row>
    <row r="354" spans="1:34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</row>
    <row r="355" spans="1:34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</row>
    <row r="356" spans="1:34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</row>
    <row r="357" spans="1:34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</row>
    <row r="358" spans="1:34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</row>
    <row r="359" spans="1:34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</row>
    <row r="360" spans="1:34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</row>
    <row r="361" spans="1:34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</row>
    <row r="362" spans="1:34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</row>
    <row r="363" spans="1:34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</row>
    <row r="364" spans="1:34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</row>
    <row r="365" spans="1:34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</row>
    <row r="366" spans="1:34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</row>
    <row r="367" spans="1:34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</row>
    <row r="368" spans="1:34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</row>
    <row r="369" spans="1:34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</row>
    <row r="370" spans="1:34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</row>
    <row r="371" spans="1:34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</row>
    <row r="372" spans="1:34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</row>
    <row r="373" spans="1:34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</row>
    <row r="374" spans="1:34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</row>
    <row r="375" spans="1:34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</row>
    <row r="376" spans="1:34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</row>
    <row r="377" spans="1:34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</row>
    <row r="378" spans="1:34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</row>
    <row r="379" spans="1:34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</row>
    <row r="380" spans="1:34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</row>
    <row r="381" spans="1:34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</row>
    <row r="382" spans="1:34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</row>
    <row r="383" spans="1:34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</row>
    <row r="384" spans="1:34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</row>
    <row r="385" spans="1:34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</row>
    <row r="386" spans="1:34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</row>
    <row r="387" spans="1:34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</row>
    <row r="388" spans="1:34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</row>
    <row r="389" spans="1:34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</row>
    <row r="390" spans="1:34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</row>
    <row r="391" spans="1:34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</row>
    <row r="392" spans="1:34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</row>
    <row r="393" spans="1:34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</row>
    <row r="394" spans="1:34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</row>
    <row r="395" spans="1:34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</row>
    <row r="396" spans="1:34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</row>
    <row r="397" spans="1:34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</row>
    <row r="398" spans="1:34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</row>
    <row r="399" spans="1:34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</row>
    <row r="400" spans="1:34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</row>
    <row r="401" spans="1:34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</row>
    <row r="402" spans="1:34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</row>
    <row r="403" spans="1:34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</row>
    <row r="404" spans="1:34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</row>
    <row r="405" spans="1:34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</row>
    <row r="406" spans="1:34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</row>
    <row r="407" spans="1:34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</row>
    <row r="408" spans="1:34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</row>
    <row r="409" spans="1:34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</row>
    <row r="410" spans="1:34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</row>
    <row r="411" spans="1:34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</row>
    <row r="412" spans="1:34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</row>
    <row r="413" spans="1:34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</row>
    <row r="414" spans="1:34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</row>
    <row r="415" spans="1:34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</row>
    <row r="416" spans="1:34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</row>
    <row r="417" spans="1:34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</row>
    <row r="418" spans="1:34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</row>
    <row r="419" spans="1:34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</row>
    <row r="420" spans="1:34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</row>
    <row r="421" spans="1:34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</row>
    <row r="422" spans="1:34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</row>
    <row r="423" spans="1:34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</row>
    <row r="424" spans="1:34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</row>
    <row r="425" spans="1:34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</row>
    <row r="426" spans="1:34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</row>
    <row r="427" spans="1:34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</row>
    <row r="428" spans="1:34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</row>
    <row r="429" spans="1:34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</row>
    <row r="430" spans="1:34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</row>
    <row r="431" spans="1:34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</row>
    <row r="432" spans="1:34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</row>
    <row r="433" spans="1:34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</row>
    <row r="434" spans="1:34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</row>
    <row r="435" spans="1:34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</row>
    <row r="436" spans="1:34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</row>
    <row r="437" spans="1:34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</row>
    <row r="438" spans="1:34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</row>
    <row r="439" spans="1:34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</row>
    <row r="440" spans="1:34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</row>
    <row r="441" spans="1:34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</row>
    <row r="442" spans="1:34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</row>
    <row r="443" spans="1:34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</row>
    <row r="444" spans="1:34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</row>
    <row r="445" spans="1:34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</row>
    <row r="446" spans="1:34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</row>
    <row r="447" spans="1:34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</row>
    <row r="448" spans="1:34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</row>
    <row r="449" spans="1:34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</row>
    <row r="450" spans="1:34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</row>
    <row r="451" spans="1:34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</row>
    <row r="452" spans="1:34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</row>
    <row r="453" spans="1:34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</row>
    <row r="454" spans="1:34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</row>
    <row r="455" spans="1:34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</row>
    <row r="456" spans="1:34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</row>
    <row r="457" spans="1:34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</row>
    <row r="458" spans="1:34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</row>
    <row r="459" spans="1:34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</row>
    <row r="460" spans="1:34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</row>
    <row r="461" spans="1:34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</row>
    <row r="462" spans="1:34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</row>
    <row r="463" spans="1:34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</row>
    <row r="464" spans="1:34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</row>
    <row r="465" spans="1:34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</row>
    <row r="466" spans="1:34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</row>
    <row r="467" spans="1:34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</row>
    <row r="468" spans="1:34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</row>
    <row r="469" spans="1:34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</row>
    <row r="470" spans="1:34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</row>
    <row r="471" spans="1:34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</row>
    <row r="472" spans="1:34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</row>
    <row r="473" spans="1:34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</row>
    <row r="474" spans="1:34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</row>
    <row r="475" spans="1:34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</row>
    <row r="476" spans="1:34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</row>
    <row r="477" spans="1:34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</row>
    <row r="478" spans="1:34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</row>
    <row r="479" spans="1:34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</row>
    <row r="480" spans="1:34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</row>
    <row r="481" spans="1:34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</row>
    <row r="482" spans="1:34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</row>
    <row r="483" spans="1:34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</row>
    <row r="484" spans="1:34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</row>
    <row r="485" spans="1:34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</row>
    <row r="486" spans="1:34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</row>
    <row r="487" spans="1:34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</row>
    <row r="488" spans="1:34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</row>
    <row r="489" spans="1:34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</row>
    <row r="490" spans="1:34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</row>
    <row r="491" spans="1:34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</row>
    <row r="492" spans="1:34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</row>
    <row r="493" spans="1:34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</row>
    <row r="494" spans="1:34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</row>
    <row r="495" spans="1:34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</row>
    <row r="496" spans="1:34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</row>
    <row r="497" spans="1:34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</row>
    <row r="498" spans="1:34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</row>
    <row r="499" spans="1:34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</row>
    <row r="500" spans="1:34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</row>
    <row r="501" spans="1:34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</row>
    <row r="502" spans="1:34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</row>
    <row r="503" spans="1:34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</row>
    <row r="504" spans="1:34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</row>
    <row r="505" spans="1:34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</row>
    <row r="506" spans="1:34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</row>
    <row r="507" spans="1:34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</row>
    <row r="508" spans="1:34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</row>
    <row r="509" spans="1:34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</row>
    <row r="510" spans="1:34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</row>
    <row r="511" spans="1:34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</row>
    <row r="512" spans="1:34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</row>
    <row r="513" spans="1:34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</row>
    <row r="514" spans="1:34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</row>
    <row r="515" spans="1:34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</row>
    <row r="516" spans="1:34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</row>
    <row r="517" spans="1:34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</row>
    <row r="518" spans="1:34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</row>
    <row r="519" spans="1:34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</row>
    <row r="520" spans="1:34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</row>
    <row r="521" spans="1:34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</row>
    <row r="522" spans="1:34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</row>
    <row r="523" spans="1:34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</row>
    <row r="524" spans="1:34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</row>
    <row r="525" spans="1:34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</row>
    <row r="526" spans="1:34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</row>
    <row r="527" spans="1:34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</row>
    <row r="528" spans="1:34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</row>
    <row r="529" spans="1:34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</row>
    <row r="530" spans="1:34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</row>
    <row r="531" spans="1:34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</row>
    <row r="532" spans="1:34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</row>
    <row r="533" spans="1:34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</row>
    <row r="534" spans="1:34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</row>
    <row r="535" spans="1:34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</row>
    <row r="536" spans="1:34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</row>
    <row r="537" spans="1:34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</row>
    <row r="538" spans="1:34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</row>
    <row r="539" spans="1:34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</row>
    <row r="540" spans="1:34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</row>
    <row r="541" spans="1:34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</row>
    <row r="542" spans="1:34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</row>
    <row r="543" spans="1:34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</row>
    <row r="544" spans="1:34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</row>
    <row r="545" spans="1:34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</row>
    <row r="546" spans="1:34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</row>
    <row r="547" spans="1:34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</row>
    <row r="548" spans="1:34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</row>
    <row r="549" spans="1:34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</row>
    <row r="550" spans="1:34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</row>
    <row r="551" spans="1:34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</row>
    <row r="552" spans="1:34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</row>
    <row r="553" spans="1:34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</row>
    <row r="554" spans="1:34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</row>
    <row r="555" spans="1:34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</row>
    <row r="556" spans="1:34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</row>
    <row r="557" spans="1:34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</row>
    <row r="558" spans="1:34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</row>
    <row r="559" spans="1:34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</row>
    <row r="560" spans="1:34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</row>
    <row r="561" spans="1:34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</row>
    <row r="562" spans="1:34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</row>
    <row r="563" spans="1:34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</row>
    <row r="564" spans="1:34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</row>
    <row r="565" spans="1:34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</row>
    <row r="566" spans="1:34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</row>
    <row r="567" spans="1:34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</row>
    <row r="568" spans="1:34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</row>
    <row r="569" spans="1:34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</row>
    <row r="570" spans="1:34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</row>
    <row r="571" spans="1:34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</row>
    <row r="572" spans="1:34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</row>
    <row r="573" spans="1:34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</row>
    <row r="574" spans="1:34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</row>
    <row r="575" spans="1:34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</row>
    <row r="576" spans="1:34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</row>
    <row r="577" spans="1:34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</row>
    <row r="578" spans="1:34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</row>
    <row r="579" spans="1:34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</row>
    <row r="580" spans="1:34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</row>
    <row r="581" spans="1:34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</row>
    <row r="582" spans="1:34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</row>
    <row r="583" spans="1:34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</row>
    <row r="584" spans="1:34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</row>
    <row r="585" spans="1:34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</row>
    <row r="586" spans="1:34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</row>
    <row r="587" spans="1:34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</row>
    <row r="588" spans="1:34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</row>
    <row r="589" spans="1:34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</row>
    <row r="590" spans="1:34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</row>
    <row r="591" spans="1:34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</row>
    <row r="592" spans="1:34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</row>
    <row r="593" spans="1:34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</row>
    <row r="594" spans="1:34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</row>
    <row r="595" spans="1:34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</row>
    <row r="596" spans="1:34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</row>
    <row r="597" spans="1:34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</row>
    <row r="598" spans="1:34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</row>
    <row r="599" spans="1:34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</row>
    <row r="600" spans="1:34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</row>
    <row r="601" spans="1:34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</row>
    <row r="602" spans="1:34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</row>
    <row r="603" spans="1:34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</row>
    <row r="604" spans="1:34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</row>
    <row r="605" spans="1:34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</row>
    <row r="606" spans="1:34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</row>
    <row r="607" spans="1:34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</row>
    <row r="608" spans="1:34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</row>
    <row r="609" spans="1:34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</row>
    <row r="610" spans="1:34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</row>
    <row r="611" spans="1:34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</row>
    <row r="612" spans="1:34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</row>
    <row r="613" spans="1:34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</row>
    <row r="614" spans="1:34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</row>
    <row r="615" spans="1:34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</row>
    <row r="616" spans="1:34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</row>
    <row r="617" spans="1:34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</row>
    <row r="618" spans="1:34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</row>
    <row r="619" spans="1:34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</row>
    <row r="620" spans="1:34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</row>
    <row r="621" spans="1:34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</row>
    <row r="622" spans="1:34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</row>
    <row r="623" spans="1:34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</row>
    <row r="624" spans="1:34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</row>
    <row r="625" spans="1:34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</row>
    <row r="626" spans="1:34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</row>
    <row r="627" spans="1:34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</row>
    <row r="628" spans="1:34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</row>
    <row r="629" spans="1:34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</row>
    <row r="630" spans="1:34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</row>
    <row r="631" spans="1:34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</row>
    <row r="632" spans="1:34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</row>
    <row r="633" spans="1:34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</row>
    <row r="634" spans="1:34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</row>
    <row r="635" spans="1:34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</row>
    <row r="636" spans="1:34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</row>
    <row r="637" spans="1:34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</row>
    <row r="638" spans="1:34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</row>
    <row r="639" spans="1:34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</row>
    <row r="640" spans="1:34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</row>
    <row r="641" spans="1:34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</row>
    <row r="642" spans="1:34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</row>
    <row r="643" spans="1:34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</row>
    <row r="644" spans="1:34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</row>
    <row r="645" spans="1:34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</row>
    <row r="646" spans="1:34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</row>
    <row r="647" spans="1:34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</row>
    <row r="648" spans="1:34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</row>
    <row r="649" spans="1:34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</row>
    <row r="650" spans="1:34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</row>
    <row r="651" spans="1:34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</row>
    <row r="652" spans="1:34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</row>
    <row r="653" spans="1:34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</row>
    <row r="654" spans="1:34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</row>
    <row r="655" spans="1:34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</row>
    <row r="656" spans="1:34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</row>
    <row r="657" spans="1:34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</row>
    <row r="658" spans="1:34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</row>
    <row r="659" spans="1:34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</row>
    <row r="660" spans="1:34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</row>
    <row r="661" spans="1:34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</row>
    <row r="662" spans="1:34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</row>
    <row r="663" spans="1:34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</row>
    <row r="664" spans="1:34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</row>
    <row r="665" spans="1:34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</row>
    <row r="666" spans="1:34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</row>
    <row r="667" spans="1:34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</row>
    <row r="668" spans="1:34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</row>
    <row r="669" spans="1:34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</row>
    <row r="670" spans="1:34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</row>
    <row r="671" spans="1:34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</row>
    <row r="672" spans="1:34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</row>
    <row r="673" spans="1:34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</row>
    <row r="674" spans="1:34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</row>
    <row r="675" spans="1:34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</row>
    <row r="676" spans="1:34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</row>
    <row r="677" spans="1:34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</row>
    <row r="678" spans="1:34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</row>
    <row r="679" spans="1:34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</row>
    <row r="680" spans="1:34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</row>
    <row r="681" spans="1:34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</row>
    <row r="682" spans="1:34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</row>
    <row r="683" spans="1:34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</row>
    <row r="684" spans="1:34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</row>
    <row r="685" spans="1:34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</row>
    <row r="686" spans="1:34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</row>
    <row r="687" spans="1:34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</row>
    <row r="688" spans="1:34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</row>
    <row r="689" spans="1:34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</row>
    <row r="690" spans="1:34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</row>
    <row r="691" spans="1:34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</row>
    <row r="692" spans="1:34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</row>
    <row r="693" spans="1:34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</row>
    <row r="694" spans="1:34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</row>
    <row r="695" spans="1:34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</row>
    <row r="696" spans="1:34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</row>
    <row r="697" spans="1:34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</row>
    <row r="698" spans="1:34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</row>
    <row r="699" spans="1:34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</row>
    <row r="700" spans="1:34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</row>
    <row r="701" spans="1:34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</row>
    <row r="702" spans="1:34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</row>
    <row r="703" spans="1:34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</row>
    <row r="704" spans="1:34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</row>
    <row r="705" spans="1:34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</row>
    <row r="706" spans="1:34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</row>
    <row r="707" spans="1:34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</row>
    <row r="708" spans="1:34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</row>
    <row r="709" spans="1:34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</row>
    <row r="710" spans="1:34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</row>
    <row r="711" spans="1:34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</row>
    <row r="712" spans="1:34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</row>
    <row r="713" spans="1:34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</row>
    <row r="714" spans="1:34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</row>
    <row r="715" spans="1:34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</row>
    <row r="716" spans="1:34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</row>
    <row r="717" spans="1:34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</row>
    <row r="718" spans="1:34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</row>
    <row r="719" spans="1:34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</row>
    <row r="720" spans="1:34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</row>
    <row r="721" spans="1:34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</row>
    <row r="722" spans="1:34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</row>
    <row r="723" spans="1:34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</row>
    <row r="724" spans="1:34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</row>
    <row r="725" spans="1:34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</row>
    <row r="726" spans="1:34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</row>
    <row r="727" spans="1:34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</row>
    <row r="728" spans="1:34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</row>
    <row r="729" spans="1:34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</row>
    <row r="730" spans="1:34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</row>
    <row r="731" spans="1:34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</row>
    <row r="732" spans="1:34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</row>
    <row r="733" spans="1:34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</row>
    <row r="734" spans="1:34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</row>
    <row r="735" spans="1:34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</row>
    <row r="736" spans="1:34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</row>
    <row r="737" spans="1:34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</row>
    <row r="738" spans="1:34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</row>
    <row r="739" spans="1:34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</row>
    <row r="740" spans="1:34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</row>
    <row r="741" spans="1:34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</row>
    <row r="742" spans="1:34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</row>
    <row r="743" spans="1:34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</row>
    <row r="744" spans="1:34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</row>
    <row r="745" spans="1:34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</row>
    <row r="746" spans="1:34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</row>
    <row r="747" spans="1:34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</row>
    <row r="748" spans="1:34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</row>
    <row r="749" spans="1:34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</row>
    <row r="750" spans="1:34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</row>
    <row r="751" spans="1:34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</row>
    <row r="752" spans="1:34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</row>
    <row r="753" spans="1:34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</row>
    <row r="754" spans="1:34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</row>
    <row r="755" spans="1:34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</row>
    <row r="756" spans="1:34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</row>
    <row r="757" spans="1:34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</row>
    <row r="758" spans="1:34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</row>
    <row r="759" spans="1:34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</row>
    <row r="760" spans="1:34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</row>
    <row r="761" spans="1:34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</row>
    <row r="762" spans="1:34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</row>
    <row r="763" spans="1:34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</row>
    <row r="764" spans="1:34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</row>
    <row r="765" spans="1:34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</row>
    <row r="766" spans="1:34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</row>
    <row r="767" spans="1:34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</row>
    <row r="768" spans="1:34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</row>
    <row r="769" spans="1:34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</row>
    <row r="770" spans="1:34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</row>
    <row r="771" spans="1:34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</row>
    <row r="772" spans="1:34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</row>
    <row r="773" spans="1:34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</row>
    <row r="774" spans="1:34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</row>
    <row r="775" spans="1:34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</row>
    <row r="776" spans="1:34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</row>
    <row r="777" spans="1:34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</row>
    <row r="778" spans="1:34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</row>
    <row r="779" spans="1:34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</row>
    <row r="780" spans="1:34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</row>
    <row r="781" spans="1:34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</row>
    <row r="782" spans="1:34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</row>
    <row r="783" spans="1:34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</row>
    <row r="784" spans="1:34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</row>
    <row r="785" spans="1:34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</row>
    <row r="786" spans="1:34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</row>
    <row r="787" spans="1:34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</row>
    <row r="788" spans="1:34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</row>
    <row r="789" spans="1:34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</row>
    <row r="790" spans="1:34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</row>
    <row r="791" spans="1:34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</row>
    <row r="792" spans="1:34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</row>
    <row r="793" spans="1:34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</row>
    <row r="794" spans="1:34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</row>
    <row r="795" spans="1:34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</row>
    <row r="796" spans="1:34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</row>
    <row r="797" spans="1:34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</row>
    <row r="798" spans="1:34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</row>
    <row r="799" spans="1:34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</row>
    <row r="800" spans="1:34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</row>
    <row r="801" spans="1:34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</row>
    <row r="802" spans="1:34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</row>
    <row r="803" spans="1:34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</row>
    <row r="804" spans="1:34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</row>
    <row r="805" spans="1:34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</row>
    <row r="806" spans="1:34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</row>
    <row r="807" spans="1:34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</row>
    <row r="808" spans="1:34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</row>
    <row r="809" spans="1:34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</row>
    <row r="810" spans="1:34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</row>
    <row r="811" spans="1:34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</row>
    <row r="812" spans="1:34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</row>
    <row r="813" spans="1:34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</row>
    <row r="814" spans="1:34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</row>
    <row r="815" spans="1:34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</row>
    <row r="816" spans="1:34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</row>
    <row r="817" spans="1:34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</row>
    <row r="818" spans="1:34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</row>
    <row r="819" spans="1:34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</row>
    <row r="820" spans="1:34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</row>
    <row r="821" spans="1:34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</row>
    <row r="822" spans="1:34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</row>
    <row r="823" spans="1:34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</row>
    <row r="824" spans="1:34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</row>
    <row r="825" spans="1:34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</row>
    <row r="826" spans="1:34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</row>
    <row r="827" spans="1:34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</row>
    <row r="828" spans="1:34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</row>
    <row r="829" spans="1:34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</row>
    <row r="830" spans="1:34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</row>
    <row r="831" spans="1:34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</row>
    <row r="832" spans="1:34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</row>
    <row r="833" spans="1:34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</row>
    <row r="834" spans="1:34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</row>
    <row r="835" spans="1:34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</row>
    <row r="836" spans="1:34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</row>
    <row r="837" spans="1:34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</row>
    <row r="838" spans="1:34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</row>
    <row r="839" spans="1:34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</row>
    <row r="840" spans="1:34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</row>
    <row r="841" spans="1:34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</row>
    <row r="842" spans="1:34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</row>
    <row r="843" spans="1:34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</row>
    <row r="844" spans="1:34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</row>
    <row r="845" spans="1:34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</row>
    <row r="846" spans="1:34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</row>
    <row r="847" spans="1:34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</row>
    <row r="848" spans="1:34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</row>
    <row r="849" spans="1:34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</row>
    <row r="850" spans="1:34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</row>
    <row r="851" spans="1:34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</row>
    <row r="852" spans="1:34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</row>
    <row r="853" spans="1:34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</row>
    <row r="854" spans="1:34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</row>
    <row r="855" spans="1:34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</row>
    <row r="856" spans="1:34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</row>
    <row r="857" spans="1:34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</row>
    <row r="858" spans="1:34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</row>
    <row r="859" spans="1:34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</row>
    <row r="860" spans="1:34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</row>
    <row r="861" spans="1:34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</row>
    <row r="862" spans="1:34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</row>
    <row r="863" spans="1:34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</row>
    <row r="864" spans="1:34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</row>
    <row r="865" spans="1:34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</row>
    <row r="866" spans="1:34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</row>
    <row r="867" spans="1:34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</row>
    <row r="868" spans="1:34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</row>
    <row r="869" spans="1:34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</row>
    <row r="870" spans="1:34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</row>
    <row r="871" spans="1:34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</row>
    <row r="872" spans="1:34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</row>
    <row r="873" spans="1:34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</row>
    <row r="874" spans="1:34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</row>
    <row r="875" spans="1:34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</row>
    <row r="876" spans="1:34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</row>
    <row r="877" spans="1:34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</row>
    <row r="878" spans="1:34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</row>
    <row r="879" spans="1:34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</row>
    <row r="880" spans="1:34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</row>
    <row r="881" spans="1:34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</row>
    <row r="882" spans="1:34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</row>
    <row r="883" spans="1:34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</row>
    <row r="884" spans="1:34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</row>
    <row r="885" spans="1:34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</row>
    <row r="886" spans="1:34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</row>
    <row r="887" spans="1:34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</row>
    <row r="888" spans="1:34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</row>
    <row r="889" spans="1:34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</row>
    <row r="890" spans="1:34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</row>
    <row r="891" spans="1:34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</row>
    <row r="892" spans="1:34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</row>
    <row r="893" spans="1:34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</row>
    <row r="894" spans="1:34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</row>
    <row r="895" spans="1:34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</row>
    <row r="896" spans="1:34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</row>
    <row r="897" spans="1:34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</row>
    <row r="898" spans="1:34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</row>
    <row r="899" spans="1:34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</row>
    <row r="900" spans="1:34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</row>
    <row r="901" spans="1:34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</row>
    <row r="902" spans="1:34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</row>
    <row r="903" spans="1:34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</row>
    <row r="904" spans="1:34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</row>
    <row r="905" spans="1:34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</row>
    <row r="906" spans="1:34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</row>
    <row r="907" spans="1:34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</row>
    <row r="908" spans="1:34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</row>
    <row r="909" spans="1:34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</row>
    <row r="910" spans="1:34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</row>
    <row r="911" spans="1:34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</row>
    <row r="912" spans="1:34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</row>
    <row r="913" spans="1:34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</row>
    <row r="914" spans="1:34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</row>
    <row r="915" spans="1:34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</row>
    <row r="916" spans="1:34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</row>
    <row r="917" spans="1:34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</row>
    <row r="918" spans="1:34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</row>
    <row r="919" spans="1:34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</row>
    <row r="920" spans="1:34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</row>
    <row r="921" spans="1:34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</row>
    <row r="922" spans="1:34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</row>
    <row r="923" spans="1:34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</row>
    <row r="924" spans="1:34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</row>
    <row r="925" spans="1:34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</row>
    <row r="926" spans="1:34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</row>
    <row r="927" spans="1:34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</row>
    <row r="928" spans="1:34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</row>
    <row r="929" spans="1:34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</row>
    <row r="930" spans="1:34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</row>
    <row r="931" spans="1:34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</row>
    <row r="932" spans="1:34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</row>
    <row r="933" spans="1:34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</row>
    <row r="934" spans="1:34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</row>
    <row r="935" spans="1:34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</row>
    <row r="936" spans="1:34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</row>
    <row r="937" spans="1:34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</row>
    <row r="938" spans="1:34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</row>
    <row r="939" spans="1:34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</row>
    <row r="940" spans="1:34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</row>
    <row r="941" spans="1:34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</row>
    <row r="942" spans="1:34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</row>
    <row r="943" spans="1:34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</row>
    <row r="944" spans="1:34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</row>
    <row r="945" spans="1:34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</row>
    <row r="946" spans="1:34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</row>
    <row r="947" spans="1:34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</row>
    <row r="948" spans="1:34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</row>
    <row r="949" spans="1:34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</row>
    <row r="950" spans="1:34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</row>
    <row r="951" spans="1:34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</row>
    <row r="952" spans="1:34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</row>
    <row r="953" spans="1:34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</row>
    <row r="954" spans="1:34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</row>
    <row r="955" spans="1:34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</row>
    <row r="956" spans="1:34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</row>
    <row r="957" spans="1:34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</row>
    <row r="958" spans="1:34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</row>
    <row r="959" spans="1:34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</row>
    <row r="960" spans="1:34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</row>
    <row r="961" spans="1:34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</row>
    <row r="962" spans="1:34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</row>
    <row r="963" spans="1:34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</row>
    <row r="964" spans="1:34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</row>
    <row r="965" spans="1:34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</row>
    <row r="966" spans="1:34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</row>
    <row r="967" spans="1:34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</row>
    <row r="968" spans="1:34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</row>
    <row r="969" spans="1:34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</row>
    <row r="970" spans="1:34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</row>
    <row r="971" spans="1:34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</row>
    <row r="972" spans="1:34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</row>
    <row r="973" spans="1:34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</row>
    <row r="974" spans="1:34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</row>
    <row r="975" spans="1:34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</row>
    <row r="976" spans="1:34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</row>
    <row r="977" spans="1:34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</row>
    <row r="978" spans="1:34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</row>
    <row r="979" spans="1:34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</row>
    <row r="980" spans="1:34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</row>
    <row r="981" spans="1:34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</row>
    <row r="982" spans="1:34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</row>
    <row r="983" spans="1:34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</row>
    <row r="984" spans="1:34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</row>
    <row r="985" spans="1:34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</row>
    <row r="986" spans="1:34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</row>
    <row r="987" spans="1:34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</row>
    <row r="988" spans="1:34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</row>
    <row r="989" spans="1:34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</row>
    <row r="990" spans="1:34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</row>
    <row r="991" spans="1:34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</row>
    <row r="992" spans="1:34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</row>
    <row r="993" spans="1:34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</row>
    <row r="994" spans="1:34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</row>
    <row r="995" spans="1:34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</row>
    <row r="996" spans="1:34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</row>
    <row r="997" spans="1:34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</row>
    <row r="998" spans="1:34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</row>
    <row r="999" spans="1:34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</row>
    <row r="1000" spans="1:34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</row>
  </sheetData>
  <mergeCells count="9">
    <mergeCell ref="J26:L26"/>
    <mergeCell ref="J27:L27"/>
    <mergeCell ref="B3:G4"/>
    <mergeCell ref="B6:G6"/>
    <mergeCell ref="K6:N6"/>
    <mergeCell ref="J22:M22"/>
    <mergeCell ref="J23:L23"/>
    <mergeCell ref="J24:L24"/>
    <mergeCell ref="J25:L25"/>
  </mergeCells>
  <conditionalFormatting sqref="M23:N27">
    <cfRule type="expression" dxfId="23" priority="1">
      <formula>J23=""</formula>
    </cfRule>
  </conditionalFormatting>
  <conditionalFormatting sqref="M24:N26">
    <cfRule type="expression" dxfId="22" priority="2">
      <formula>J24=""</formula>
    </cfRule>
  </conditionalFormatting>
  <conditionalFormatting sqref="M25:N25">
    <cfRule type="expression" dxfId="21" priority="3">
      <formula>J25=""</formula>
    </cfRule>
  </conditionalFormatting>
  <conditionalFormatting sqref="M27:N27">
    <cfRule type="expression" dxfId="20" priority="4">
      <formula>J27=""</formula>
    </cfRule>
  </conditionalFormatting>
  <conditionalFormatting sqref="B28:H28 J22:N22 M23:N27 C22:H27">
    <cfRule type="expression" dxfId="19" priority="5">
      <formula>OR($I$22=0,AND($J$20="",$J$21="",$J$22="",$J$23=""))</formula>
    </cfRule>
  </conditionalFormatting>
  <conditionalFormatting sqref="J23:L27">
    <cfRule type="expression" dxfId="18" priority="6">
      <formula>OR($I$22=0,AND($J$20="",$J$21="",$J$22="",$J$23=""))</formula>
    </cfRule>
  </conditionalFormatting>
  <conditionalFormatting sqref="B22:B27">
    <cfRule type="expression" dxfId="17" priority="7">
      <formula>OR($I$22=0,AND($J$20="",$J$21="",$J$22="",$J$23=""))</formula>
    </cfRule>
  </conditionalFormatting>
  <pageMargins left="0.7" right="0.7" top="0.75" bottom="0.75" header="0" footer="0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1000"/>
  <sheetViews>
    <sheetView showGridLines="0" workbookViewId="0">
      <selection activeCell="O23" sqref="O23"/>
    </sheetView>
  </sheetViews>
  <sheetFormatPr baseColWidth="10" defaultColWidth="12.625" defaultRowHeight="15" customHeight="1" x14ac:dyDescent="0.2"/>
  <cols>
    <col min="1" max="2" width="10" customWidth="1"/>
    <col min="3" max="3" width="9.875" customWidth="1"/>
    <col min="4" max="4" width="8" customWidth="1"/>
    <col min="5" max="8" width="10" customWidth="1"/>
    <col min="9" max="9" width="8" customWidth="1"/>
    <col min="10" max="13" width="10" customWidth="1"/>
    <col min="14" max="14" width="8" customWidth="1"/>
    <col min="15" max="16" width="10" customWidth="1"/>
    <col min="17" max="17" width="14.75" customWidth="1"/>
    <col min="18" max="43" width="10" customWidth="1"/>
  </cols>
  <sheetData>
    <row r="1" spans="1:43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</row>
    <row r="2" spans="1:4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x14ac:dyDescent="0.25">
      <c r="A3" s="4"/>
      <c r="B3" s="130" t="s">
        <v>60</v>
      </c>
      <c r="C3" s="131"/>
      <c r="D3" s="13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x14ac:dyDescent="0.25">
      <c r="A5" s="4"/>
      <c r="B5" s="4"/>
      <c r="C5" s="4"/>
      <c r="D5" s="4"/>
      <c r="E5" s="4"/>
      <c r="F5" s="4"/>
      <c r="G5" s="130" t="s">
        <v>61</v>
      </c>
      <c r="H5" s="131"/>
      <c r="I5" s="132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x14ac:dyDescent="0.25">
      <c r="A6" s="4"/>
      <c r="B6" s="77">
        <v>24</v>
      </c>
      <c r="C6" s="78" t="s">
        <v>62</v>
      </c>
      <c r="D6" s="79" t="s">
        <v>63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x14ac:dyDescent="0.25">
      <c r="A7" s="4"/>
      <c r="B7" s="80" t="str">
        <f>'Grupo B'!C8</f>
        <v>Chile</v>
      </c>
      <c r="C7" s="81">
        <v>2</v>
      </c>
      <c r="D7" s="8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83">
        <v>1</v>
      </c>
      <c r="T7" s="83" t="s">
        <v>64</v>
      </c>
      <c r="U7" s="83" t="s">
        <v>43</v>
      </c>
      <c r="V7" s="83">
        <v>5</v>
      </c>
      <c r="W7" s="83">
        <v>2</v>
      </c>
      <c r="X7" s="83">
        <v>2</v>
      </c>
      <c r="Y7" s="83">
        <v>0</v>
      </c>
      <c r="Z7" s="83"/>
      <c r="AA7" s="83"/>
      <c r="AB7" s="83">
        <v>1</v>
      </c>
      <c r="AC7" s="83">
        <v>1</v>
      </c>
      <c r="AD7" s="83">
        <v>3</v>
      </c>
      <c r="AE7" s="83">
        <v>1</v>
      </c>
      <c r="AF7" s="83">
        <v>1</v>
      </c>
      <c r="AG7" s="83"/>
      <c r="AH7" s="83">
        <v>1</v>
      </c>
      <c r="AI7" s="83">
        <v>1</v>
      </c>
      <c r="AJ7" s="83">
        <v>1</v>
      </c>
      <c r="AK7" s="83">
        <v>4</v>
      </c>
      <c r="AL7" s="83">
        <v>1</v>
      </c>
      <c r="AM7" s="83"/>
      <c r="AN7" s="83"/>
      <c r="AO7" s="83"/>
      <c r="AP7" s="83"/>
      <c r="AQ7" s="83"/>
    </row>
    <row r="8" spans="1:43" x14ac:dyDescent="0.25">
      <c r="A8" s="4"/>
      <c r="B8" s="84" t="str">
        <f>'Grupo A'!C11</f>
        <v>Venezuela</v>
      </c>
      <c r="C8" s="85">
        <v>0</v>
      </c>
      <c r="D8" s="86"/>
      <c r="E8" s="87"/>
      <c r="F8" s="4"/>
      <c r="G8" s="77">
        <v>26</v>
      </c>
      <c r="H8" s="78" t="s">
        <v>62</v>
      </c>
      <c r="I8" s="79" t="s">
        <v>63</v>
      </c>
      <c r="J8" s="4"/>
      <c r="K8" s="4"/>
      <c r="L8" s="4"/>
      <c r="M8" s="4"/>
      <c r="N8" s="4"/>
      <c r="O8" s="4"/>
      <c r="P8" s="4"/>
      <c r="Q8" s="4"/>
      <c r="R8" s="4"/>
      <c r="S8" s="83">
        <v>2</v>
      </c>
      <c r="T8" s="83" t="s">
        <v>65</v>
      </c>
      <c r="U8" s="83" t="s">
        <v>57</v>
      </c>
      <c r="V8" s="83">
        <v>2</v>
      </c>
      <c r="W8" s="83">
        <v>-2</v>
      </c>
      <c r="X8" s="83">
        <v>3</v>
      </c>
      <c r="Y8" s="83">
        <v>5</v>
      </c>
      <c r="Z8" s="83"/>
      <c r="AA8" s="83"/>
      <c r="AB8" s="83">
        <v>2</v>
      </c>
      <c r="AC8" s="83">
        <v>2</v>
      </c>
      <c r="AD8" s="83">
        <v>1</v>
      </c>
      <c r="AE8" s="83">
        <v>2</v>
      </c>
      <c r="AF8" s="83">
        <v>2</v>
      </c>
      <c r="AG8" s="83"/>
      <c r="AH8" s="83">
        <v>2</v>
      </c>
      <c r="AI8" s="83">
        <v>2</v>
      </c>
      <c r="AJ8" s="83">
        <v>2</v>
      </c>
      <c r="AK8" s="83">
        <v>8</v>
      </c>
      <c r="AL8" s="83">
        <v>2</v>
      </c>
      <c r="AM8" s="83"/>
      <c r="AN8" s="83"/>
      <c r="AO8" s="83"/>
      <c r="AP8" s="83"/>
      <c r="AQ8" s="83"/>
    </row>
    <row r="9" spans="1:43" x14ac:dyDescent="0.25">
      <c r="A9" s="4"/>
      <c r="B9" s="4"/>
      <c r="C9" s="4"/>
      <c r="D9" s="4"/>
      <c r="E9" s="88"/>
      <c r="F9" s="4"/>
      <c r="G9" s="80" t="str">
        <f>IF(C8&gt;C7,B8,IF(C7&gt;C8,B7,IF(D8&gt;D7,B8,IF(D7&gt;D8,B7,""))))</f>
        <v>Chile</v>
      </c>
      <c r="H9" s="81">
        <v>1</v>
      </c>
      <c r="I9" s="89">
        <v>4</v>
      </c>
      <c r="J9" s="4"/>
      <c r="K9" s="4"/>
      <c r="L9" s="130" t="s">
        <v>66</v>
      </c>
      <c r="M9" s="131"/>
      <c r="N9" s="132"/>
      <c r="O9" s="4"/>
      <c r="P9" s="4"/>
      <c r="Q9" s="4"/>
      <c r="R9" s="4"/>
      <c r="S9" s="83">
        <v>3</v>
      </c>
      <c r="T9" s="83" t="s">
        <v>67</v>
      </c>
      <c r="U9" s="83" t="s">
        <v>68</v>
      </c>
      <c r="V9" s="83">
        <v>2</v>
      </c>
      <c r="W9" s="83">
        <v>-4</v>
      </c>
      <c r="X9" s="83">
        <v>3</v>
      </c>
      <c r="Y9" s="83">
        <v>7</v>
      </c>
      <c r="Z9" s="83"/>
      <c r="AA9" s="83"/>
      <c r="AB9" s="83">
        <v>2</v>
      </c>
      <c r="AC9" s="83">
        <v>3</v>
      </c>
      <c r="AD9" s="83">
        <v>1</v>
      </c>
      <c r="AE9" s="83">
        <v>2.1</v>
      </c>
      <c r="AF9" s="83">
        <v>2.1</v>
      </c>
      <c r="AG9" s="83"/>
      <c r="AH9" s="83">
        <v>3</v>
      </c>
      <c r="AI9" s="83">
        <v>3</v>
      </c>
      <c r="AJ9" s="83">
        <v>3</v>
      </c>
      <c r="AK9" s="83">
        <v>12</v>
      </c>
      <c r="AL9" s="83">
        <v>3</v>
      </c>
      <c r="AM9" s="83"/>
      <c r="AN9" s="83"/>
      <c r="AO9" s="83"/>
      <c r="AP9" s="83"/>
      <c r="AQ9" s="83"/>
    </row>
    <row r="10" spans="1:43" x14ac:dyDescent="0.25">
      <c r="A10" s="4"/>
      <c r="B10" s="77">
        <v>23</v>
      </c>
      <c r="C10" s="78" t="s">
        <v>62</v>
      </c>
      <c r="D10" s="79" t="s">
        <v>63</v>
      </c>
      <c r="E10" s="90"/>
      <c r="F10" s="91"/>
      <c r="G10" s="84" t="str">
        <f>IF(C12&gt;C11,B12,IF(C11&gt;C12,B11,IF(D12&gt;D11,B12,IF(D11&gt;D12,B11,""))))</f>
        <v>Argentina</v>
      </c>
      <c r="H10" s="85">
        <v>1</v>
      </c>
      <c r="I10" s="92">
        <v>2</v>
      </c>
      <c r="J10" s="8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x14ac:dyDescent="0.25">
      <c r="A11" s="4"/>
      <c r="B11" s="80" t="str">
        <f>'Grupo B'!C9</f>
        <v>Argentina</v>
      </c>
      <c r="C11" s="81">
        <v>2</v>
      </c>
      <c r="D11" s="89">
        <v>4</v>
      </c>
      <c r="E11" s="93"/>
      <c r="F11" s="4"/>
      <c r="G11" s="4"/>
      <c r="H11" s="4"/>
      <c r="I11" s="4"/>
      <c r="J11" s="88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x14ac:dyDescent="0.25">
      <c r="A12" s="4"/>
      <c r="B12" s="84" t="str">
        <f>'Grupo A'!C10</f>
        <v>Colombia</v>
      </c>
      <c r="C12" s="85">
        <v>2</v>
      </c>
      <c r="D12" s="92">
        <v>2</v>
      </c>
      <c r="E12" s="94"/>
      <c r="F12" s="4"/>
      <c r="G12" s="4"/>
      <c r="H12" s="4"/>
      <c r="I12" s="4"/>
      <c r="J12" s="88"/>
      <c r="K12" s="4"/>
      <c r="L12" s="77">
        <v>28</v>
      </c>
      <c r="M12" s="78" t="s">
        <v>62</v>
      </c>
      <c r="N12" s="79" t="s">
        <v>63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 x14ac:dyDescent="0.25">
      <c r="A13" s="4"/>
      <c r="B13" s="4"/>
      <c r="C13" s="4"/>
      <c r="D13" s="4"/>
      <c r="E13" s="4"/>
      <c r="F13" s="4"/>
      <c r="G13" s="4"/>
      <c r="H13" s="4"/>
      <c r="I13" s="4"/>
      <c r="J13" s="88"/>
      <c r="K13" s="4"/>
      <c r="L13" s="80" t="str">
        <f>IF(H10&gt;H9,G10,IF(H9&gt;H10,G9,IF(I10&gt;I9,G10,IF(I9&gt;I10,G9,""))))</f>
        <v>Chile</v>
      </c>
      <c r="M13" s="81">
        <v>2</v>
      </c>
      <c r="N13" s="8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 x14ac:dyDescent="0.25">
      <c r="A14" s="4"/>
      <c r="B14" s="77">
        <v>21</v>
      </c>
      <c r="C14" s="78" t="s">
        <v>62</v>
      </c>
      <c r="D14" s="79" t="s">
        <v>63</v>
      </c>
      <c r="E14" s="4"/>
      <c r="F14" s="4"/>
      <c r="G14" s="4"/>
      <c r="H14" s="4"/>
      <c r="I14" s="4"/>
      <c r="J14" s="88"/>
      <c r="K14" s="91"/>
      <c r="L14" s="84" t="str">
        <f>IF(H18&gt;H17,G18,IF(H17&gt;H18,G17,IF(I18&gt;I17,G18,IF(I17&gt;I18,G17,""))))</f>
        <v>Brasil</v>
      </c>
      <c r="M14" s="85">
        <v>3</v>
      </c>
      <c r="N14" s="8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 x14ac:dyDescent="0.25">
      <c r="A15" s="4"/>
      <c r="B15" s="80" t="str">
        <f>'Grupo A'!C9</f>
        <v>Ecuador</v>
      </c>
      <c r="C15" s="81">
        <v>2</v>
      </c>
      <c r="D15" s="82"/>
      <c r="E15" s="4"/>
      <c r="F15" s="4"/>
      <c r="G15" s="4"/>
      <c r="H15" s="4"/>
      <c r="I15" s="4"/>
      <c r="J15" s="88"/>
      <c r="K15" s="4"/>
      <c r="L15" s="4"/>
      <c r="M15" s="4"/>
      <c r="N15" s="4"/>
      <c r="O15" s="4"/>
      <c r="P15" s="4"/>
      <c r="Q15" s="4"/>
      <c r="R15" s="4"/>
      <c r="S15" s="4"/>
      <c r="T15" s="4"/>
      <c r="U15" s="95" t="s">
        <v>69</v>
      </c>
      <c r="V15" s="96"/>
      <c r="W15" s="96"/>
      <c r="X15" s="96"/>
      <c r="Y15" s="96"/>
      <c r="Z15" s="97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x14ac:dyDescent="0.25">
      <c r="A16" s="4"/>
      <c r="B16" s="84" t="str">
        <f>'Grupo B'!C10</f>
        <v>Uruguay</v>
      </c>
      <c r="C16" s="85">
        <v>3</v>
      </c>
      <c r="D16" s="86"/>
      <c r="E16" s="87"/>
      <c r="F16" s="4"/>
      <c r="G16" s="77">
        <v>25</v>
      </c>
      <c r="H16" s="78" t="s">
        <v>62</v>
      </c>
      <c r="I16" s="79" t="s">
        <v>63</v>
      </c>
      <c r="J16" s="88"/>
      <c r="K16" s="4"/>
      <c r="L16" s="4"/>
      <c r="M16" s="4"/>
      <c r="N16" s="4"/>
      <c r="O16" s="4"/>
      <c r="P16" s="4"/>
      <c r="Q16" s="130" t="s">
        <v>70</v>
      </c>
      <c r="R16" s="132"/>
      <c r="S16" s="4"/>
      <c r="T16" s="4"/>
      <c r="U16" s="98" t="s">
        <v>71</v>
      </c>
      <c r="V16" s="99"/>
      <c r="W16" s="99"/>
      <c r="X16" s="99"/>
      <c r="Y16" s="99"/>
      <c r="Z16" s="100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x14ac:dyDescent="0.25">
      <c r="A17" s="4"/>
      <c r="B17" s="4"/>
      <c r="C17" s="4"/>
      <c r="D17" s="4"/>
      <c r="E17" s="88"/>
      <c r="F17" s="4"/>
      <c r="G17" s="80" t="str">
        <f>IF(C16&gt;C15,B16,IF(C15&gt;C16,B15,IF(D16&gt;D15,B16,IF(D15&gt;D16,B15,""))))</f>
        <v>Uruguay</v>
      </c>
      <c r="H17" s="81">
        <v>2</v>
      </c>
      <c r="I17" s="89"/>
      <c r="J17" s="93"/>
      <c r="K17" s="4"/>
      <c r="L17" s="4"/>
      <c r="M17" s="4"/>
      <c r="N17" s="4"/>
      <c r="O17" s="4"/>
      <c r="P17" s="4"/>
      <c r="Q17" s="80" t="s">
        <v>72</v>
      </c>
      <c r="R17" s="101" t="str">
        <f>IF(M13&gt;M14,L13,IF(M14&gt;M13,L14,IF(N13&gt;N14,L13,IF(N14&gt;N13,L14,""))))</f>
        <v>Brasil</v>
      </c>
      <c r="S17" s="4"/>
      <c r="T17" s="4"/>
      <c r="U17" s="98" t="s">
        <v>73</v>
      </c>
      <c r="V17" s="99"/>
      <c r="W17" s="99"/>
      <c r="X17" s="99"/>
      <c r="Y17" s="99"/>
      <c r="Z17" s="100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x14ac:dyDescent="0.25">
      <c r="A18" s="4"/>
      <c r="B18" s="77">
        <v>22</v>
      </c>
      <c r="C18" s="78" t="s">
        <v>62</v>
      </c>
      <c r="D18" s="79" t="s">
        <v>63</v>
      </c>
      <c r="E18" s="90"/>
      <c r="F18" s="91"/>
      <c r="G18" s="84" t="str">
        <f>IF(C20&gt;C19,B20,IF(C19&gt;C20,B19,IF(D20&gt;D19,B20,IF(D19&gt;D20,B19,""))))</f>
        <v>Brasil</v>
      </c>
      <c r="H18" s="85">
        <v>3</v>
      </c>
      <c r="I18" s="92"/>
      <c r="J18" s="4"/>
      <c r="K18" s="4"/>
      <c r="L18" s="130" t="s">
        <v>74</v>
      </c>
      <c r="M18" s="131"/>
      <c r="N18" s="132"/>
      <c r="O18" s="4"/>
      <c r="P18" s="4"/>
      <c r="Q18" s="102" t="s">
        <v>75</v>
      </c>
      <c r="R18" s="103" t="str">
        <f>IF(R17=L13,L14,IF(R17=L14,L13,""))</f>
        <v>Chile</v>
      </c>
      <c r="S18" s="4"/>
      <c r="T18" s="4"/>
      <c r="U18" s="104" t="s">
        <v>76</v>
      </c>
      <c r="V18" s="105"/>
      <c r="W18" s="105"/>
      <c r="X18" s="105"/>
      <c r="Y18" s="105"/>
      <c r="Z18" s="106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x14ac:dyDescent="0.25">
      <c r="A19" s="4"/>
      <c r="B19" s="80" t="str">
        <f>'Grupo A'!C8</f>
        <v>Brasil</v>
      </c>
      <c r="C19" s="81">
        <v>3</v>
      </c>
      <c r="D19" s="82"/>
      <c r="E19" s="93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84" t="s">
        <v>77</v>
      </c>
      <c r="R19" s="107" t="str">
        <f>IF(M22&gt;M23,L22,IF(M23&gt;M22,L23,IF(N22&gt;N23,L22,IF(N23&gt;N22,L23,""))))</f>
        <v>Argentina</v>
      </c>
      <c r="S19" s="4"/>
      <c r="T19" s="4"/>
      <c r="U19" s="108"/>
      <c r="V19" s="108"/>
      <c r="W19" s="108"/>
      <c r="X19" s="108"/>
      <c r="Y19" s="108"/>
      <c r="Z19" s="108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x14ac:dyDescent="0.25">
      <c r="A20" s="4"/>
      <c r="B20" s="84" t="str">
        <f>'Grupo B'!C11</f>
        <v>Paraguay</v>
      </c>
      <c r="C20" s="85">
        <v>1</v>
      </c>
      <c r="D20" s="86"/>
      <c r="E20" s="9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111" t="s">
        <v>78</v>
      </c>
      <c r="V20" s="112"/>
      <c r="W20" s="113"/>
      <c r="X20" s="108"/>
      <c r="Y20" s="108"/>
      <c r="Z20" s="108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ht="15.7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77">
        <v>27</v>
      </c>
      <c r="M21" s="78" t="s">
        <v>62</v>
      </c>
      <c r="N21" s="79" t="s">
        <v>63</v>
      </c>
      <c r="O21" s="4"/>
      <c r="P21" s="4"/>
      <c r="Q21" s="4"/>
      <c r="R21" s="4"/>
      <c r="S21" s="4"/>
      <c r="T21" s="4"/>
      <c r="U21" s="138" t="s">
        <v>79</v>
      </c>
      <c r="V21" s="139"/>
      <c r="W21" s="140"/>
      <c r="X21" s="108"/>
      <c r="Y21" s="108"/>
      <c r="Z21" s="108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80" t="str">
        <f>IF(L13=G9,G10,IF(L13=G10,G9,""))</f>
        <v>Argentina</v>
      </c>
      <c r="M22" s="81">
        <v>2</v>
      </c>
      <c r="N22" s="82">
        <v>1</v>
      </c>
      <c r="O22" s="4"/>
      <c r="P22" s="4"/>
      <c r="Q22" s="4"/>
      <c r="R22" s="4"/>
      <c r="S22" s="4"/>
      <c r="T22" s="4"/>
      <c r="U22" s="136" t="s">
        <v>80</v>
      </c>
      <c r="V22" s="115"/>
      <c r="W22" s="109">
        <v>1</v>
      </c>
      <c r="X22" s="108"/>
      <c r="Y22" s="108"/>
      <c r="Z22" s="108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84" t="str">
        <f>IF(L14=G17,G18,IF(L14=G18,G17,""))</f>
        <v>Uruguay</v>
      </c>
      <c r="M23" s="85">
        <v>2</v>
      </c>
      <c r="N23" s="86">
        <v>0</v>
      </c>
      <c r="O23" s="4"/>
      <c r="P23" s="4"/>
      <c r="Q23" s="4"/>
      <c r="R23" s="4"/>
      <c r="S23" s="4"/>
      <c r="T23" s="4"/>
      <c r="U23" s="137" t="s">
        <v>55</v>
      </c>
      <c r="V23" s="117"/>
      <c r="W23" s="109">
        <v>2</v>
      </c>
      <c r="X23" s="108"/>
      <c r="Y23" s="108"/>
      <c r="Z23" s="108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122" t="s">
        <v>57</v>
      </c>
      <c r="V24" s="119"/>
      <c r="W24" s="110">
        <v>3</v>
      </c>
      <c r="X24" s="108"/>
      <c r="Y24" s="108"/>
      <c r="Z24" s="108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</row>
    <row r="32" spans="1:43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</row>
    <row r="33" spans="1:43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</row>
    <row r="37" spans="1:43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</row>
    <row r="38" spans="1:43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</row>
    <row r="39" spans="1:43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</row>
    <row r="40" spans="1:43" ht="15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</row>
    <row r="41" spans="1:43" ht="15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5.7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5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5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</row>
    <row r="45" spans="1:43" ht="15.7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</row>
    <row r="46" spans="1:43" ht="15.7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</row>
    <row r="47" spans="1:43" ht="15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</row>
    <row r="48" spans="1:43" ht="15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</row>
    <row r="49" spans="1:43" ht="15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5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5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5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</row>
    <row r="53" spans="1:43" ht="15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</row>
    <row r="54" spans="1:43" ht="15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</row>
    <row r="55" spans="1:43" ht="15.7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</row>
    <row r="56" spans="1:43" ht="15.7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</row>
    <row r="57" spans="1:43" ht="15.7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5.7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5.7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5.7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</row>
    <row r="61" spans="1:43" ht="15.7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</row>
    <row r="62" spans="1:43" ht="15.7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</row>
    <row r="63" spans="1:43" ht="15.7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</row>
    <row r="64" spans="1:43" ht="15.7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</row>
    <row r="65" spans="1:43" ht="15.7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5.7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5.7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5.7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</row>
    <row r="69" spans="1:43" ht="15.7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</row>
    <row r="70" spans="1:43" ht="15.7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</row>
    <row r="71" spans="1:43" ht="15.7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</row>
    <row r="72" spans="1:43" ht="15.7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</row>
    <row r="73" spans="1:43" ht="15.7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</row>
    <row r="74" spans="1:43" ht="15.7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</row>
    <row r="75" spans="1:43" ht="15.7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ht="15.7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</row>
    <row r="77" spans="1:43" ht="15.7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</row>
    <row r="78" spans="1:43" ht="15.7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</row>
    <row r="79" spans="1:43" ht="15.7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</row>
    <row r="80" spans="1:43" ht="15.7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</row>
    <row r="81" spans="1:43" ht="15.7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</row>
    <row r="82" spans="1:43" ht="15.7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</row>
    <row r="83" spans="1:43" ht="15.7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ht="15.7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</row>
    <row r="85" spans="1:43" ht="15.7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</row>
    <row r="86" spans="1:43" ht="15.7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</row>
    <row r="87" spans="1:43" ht="15.7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</row>
    <row r="88" spans="1:43" ht="15.7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</row>
    <row r="89" spans="1:43" ht="15.7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</row>
    <row r="90" spans="1:43" ht="15.7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</row>
    <row r="91" spans="1:43" ht="15.7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ht="15.7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</row>
    <row r="93" spans="1:43" ht="15.7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</row>
    <row r="94" spans="1:43" ht="15.7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</row>
    <row r="95" spans="1:43" ht="15.7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</row>
    <row r="96" spans="1:43" ht="15.7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</row>
    <row r="97" spans="1:43" ht="15.7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</row>
    <row r="98" spans="1:43" ht="15.7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</row>
    <row r="99" spans="1:43" ht="15.7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</row>
    <row r="100" spans="1:43" ht="15.75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</row>
    <row r="101" spans="1:43" ht="15.75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</row>
    <row r="102" spans="1:43" ht="15.75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</row>
    <row r="103" spans="1:43" ht="15.75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</row>
    <row r="104" spans="1:43" ht="15.75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</row>
    <row r="105" spans="1:43" ht="15.75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</row>
    <row r="106" spans="1:43" ht="15.75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</row>
    <row r="107" spans="1:43" ht="15.75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</row>
    <row r="108" spans="1:43" ht="15.75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</row>
    <row r="109" spans="1:43" ht="15.75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</row>
    <row r="110" spans="1:43" ht="15.75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</row>
    <row r="111" spans="1:43" ht="15.75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</row>
    <row r="112" spans="1:43" ht="15.75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</row>
    <row r="113" spans="1:43" ht="15.75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</row>
    <row r="114" spans="1:43" ht="15.75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</row>
    <row r="115" spans="1:43" ht="15.75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 ht="15.75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 ht="15.75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 ht="15.75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 ht="15.75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 ht="15.75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 ht="15.75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 ht="15.75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 ht="15.75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15.75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 ht="15.75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15.75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15.75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 ht="15.75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5.75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5.75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5.75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5.75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5.75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5.75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5.75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5.75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5.75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5.75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5.75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5.75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5.75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spans="1:43" ht="15.75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spans="1:43" ht="15.75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</row>
    <row r="144" spans="1:43" ht="15.75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</row>
    <row r="145" spans="1:43" ht="15.75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</row>
    <row r="146" spans="1:43" ht="15.75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</row>
    <row r="147" spans="1:43" ht="15.75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</row>
    <row r="148" spans="1:43" ht="15.75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</row>
    <row r="149" spans="1:43" ht="15.75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</row>
    <row r="150" spans="1:43" ht="15.75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</row>
    <row r="151" spans="1:43" ht="15.75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</row>
    <row r="152" spans="1:43" ht="15.75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</row>
    <row r="153" spans="1:43" ht="15.75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</row>
    <row r="154" spans="1:43" ht="15.75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</row>
    <row r="155" spans="1:43" ht="15.75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</row>
    <row r="156" spans="1:43" ht="15.75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</row>
    <row r="157" spans="1:43" ht="15.75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</row>
    <row r="158" spans="1:43" ht="15.75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</row>
    <row r="159" spans="1:43" ht="15.75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</row>
    <row r="160" spans="1:43" ht="15.75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</row>
    <row r="161" spans="1:43" ht="15.75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</row>
    <row r="162" spans="1:43" ht="15.75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</row>
    <row r="163" spans="1:43" ht="15.75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</row>
    <row r="164" spans="1:43" ht="15.75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</row>
    <row r="165" spans="1:43" ht="15.75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</row>
    <row r="166" spans="1:43" ht="15.75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</row>
    <row r="167" spans="1:43" ht="15.75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</row>
    <row r="168" spans="1:43" ht="15.75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</row>
    <row r="169" spans="1:43" ht="15.75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</row>
    <row r="170" spans="1:43" ht="15.75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</row>
    <row r="171" spans="1:43" ht="15.75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</row>
    <row r="172" spans="1:43" ht="15.75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</row>
    <row r="173" spans="1:43" ht="15.75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</row>
    <row r="174" spans="1:43" ht="15.75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</row>
    <row r="175" spans="1:43" ht="15.75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</row>
    <row r="176" spans="1:43" ht="15.75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</row>
    <row r="177" spans="1:43" ht="15.75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</row>
    <row r="178" spans="1:43" ht="15.75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</row>
    <row r="179" spans="1:43" ht="15.75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</row>
    <row r="180" spans="1:43" ht="15.75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</row>
    <row r="181" spans="1:43" ht="15.75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</row>
    <row r="182" spans="1:43" ht="15.75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</row>
    <row r="183" spans="1:43" ht="15.75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</row>
    <row r="184" spans="1:43" ht="15.75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</row>
    <row r="185" spans="1:43" ht="15.75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</row>
    <row r="186" spans="1:43" ht="15.75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</row>
    <row r="187" spans="1:43" ht="15.75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</row>
    <row r="188" spans="1:43" ht="15.75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</row>
    <row r="189" spans="1:43" ht="15.75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</row>
    <row r="190" spans="1:43" ht="15.75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</row>
    <row r="191" spans="1:43" ht="15.75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</row>
    <row r="192" spans="1:43" ht="15.75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</row>
    <row r="193" spans="1:43" ht="15.75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</row>
    <row r="194" spans="1:43" ht="15.75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</row>
    <row r="195" spans="1:43" ht="15.75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</row>
    <row r="196" spans="1:43" ht="15.75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</row>
    <row r="197" spans="1:43" ht="15.75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</row>
    <row r="198" spans="1:43" ht="15.75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</row>
    <row r="199" spans="1:43" ht="15.75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</row>
    <row r="200" spans="1:43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</row>
    <row r="201" spans="1:43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</row>
    <row r="202" spans="1:43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</row>
    <row r="203" spans="1:43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</row>
    <row r="204" spans="1:43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</row>
    <row r="205" spans="1:43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</row>
    <row r="206" spans="1:43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</row>
    <row r="207" spans="1:43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</row>
    <row r="208" spans="1:43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</row>
    <row r="209" spans="1:43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</row>
    <row r="210" spans="1:43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</row>
    <row r="211" spans="1:43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</row>
    <row r="212" spans="1:43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</row>
    <row r="213" spans="1:43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</row>
    <row r="214" spans="1:43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</row>
    <row r="215" spans="1:43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</row>
    <row r="216" spans="1:43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</row>
    <row r="217" spans="1:43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</row>
    <row r="218" spans="1:43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</row>
    <row r="219" spans="1:43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</row>
    <row r="220" spans="1:43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</row>
    <row r="221" spans="1:43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</row>
    <row r="222" spans="1:43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</row>
    <row r="223" spans="1:43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</row>
    <row r="224" spans="1:43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</row>
    <row r="225" spans="1:43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</row>
    <row r="226" spans="1:43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</row>
    <row r="227" spans="1:43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</row>
    <row r="228" spans="1:43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</row>
    <row r="229" spans="1:43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</row>
    <row r="230" spans="1:43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</row>
    <row r="231" spans="1:43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</row>
    <row r="232" spans="1:43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</row>
    <row r="233" spans="1:43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</row>
    <row r="234" spans="1:43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</row>
    <row r="235" spans="1:43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</row>
    <row r="236" spans="1:43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</row>
    <row r="237" spans="1:43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</row>
    <row r="238" spans="1:43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</row>
    <row r="239" spans="1:43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</row>
    <row r="240" spans="1:43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</row>
    <row r="241" spans="1:43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</row>
    <row r="242" spans="1:43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</row>
    <row r="243" spans="1:43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</row>
    <row r="244" spans="1:43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</row>
    <row r="245" spans="1:43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</row>
    <row r="246" spans="1:43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</row>
    <row r="247" spans="1:43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</row>
    <row r="248" spans="1:43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</row>
    <row r="249" spans="1:43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</row>
    <row r="250" spans="1:43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</row>
    <row r="251" spans="1:43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</row>
    <row r="252" spans="1:43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</row>
    <row r="253" spans="1:43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</row>
    <row r="254" spans="1:43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</row>
    <row r="255" spans="1:43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</row>
    <row r="256" spans="1:43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</row>
    <row r="257" spans="1:43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</row>
    <row r="258" spans="1:43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</row>
    <row r="259" spans="1:43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</row>
    <row r="260" spans="1:43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</row>
    <row r="261" spans="1:43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</row>
    <row r="262" spans="1:43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</row>
    <row r="263" spans="1:43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</row>
    <row r="264" spans="1:43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</row>
    <row r="265" spans="1:43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</row>
    <row r="266" spans="1:43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</row>
    <row r="267" spans="1:43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</row>
    <row r="268" spans="1:43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</row>
    <row r="269" spans="1:43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</row>
    <row r="270" spans="1:43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</row>
    <row r="271" spans="1:43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</row>
    <row r="272" spans="1:43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</row>
    <row r="273" spans="1:43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</row>
    <row r="274" spans="1:43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</row>
    <row r="275" spans="1:43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</row>
    <row r="276" spans="1:43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</row>
    <row r="277" spans="1:43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</row>
    <row r="278" spans="1:43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</row>
    <row r="279" spans="1:43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</row>
    <row r="280" spans="1:43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</row>
    <row r="281" spans="1:43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</row>
    <row r="282" spans="1:43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</row>
    <row r="283" spans="1:43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</row>
    <row r="284" spans="1:43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</row>
    <row r="285" spans="1:43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</row>
    <row r="286" spans="1:43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</row>
    <row r="287" spans="1:43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</row>
    <row r="288" spans="1:43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</row>
    <row r="289" spans="1:43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</row>
    <row r="290" spans="1:43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</row>
    <row r="291" spans="1:43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</row>
    <row r="292" spans="1:43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</row>
    <row r="293" spans="1:43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</row>
    <row r="294" spans="1:43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</row>
    <row r="295" spans="1:43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</row>
    <row r="296" spans="1:43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</row>
    <row r="297" spans="1:43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</row>
    <row r="298" spans="1:43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</row>
    <row r="299" spans="1:43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</row>
    <row r="300" spans="1:43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</row>
    <row r="301" spans="1:43" ht="15.75" customHeight="1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</row>
    <row r="302" spans="1:43" ht="15.75" customHeight="1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</row>
    <row r="303" spans="1:43" ht="15.75" customHeight="1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</row>
    <row r="304" spans="1:43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</row>
    <row r="305" spans="1:4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</row>
    <row r="306" spans="1:4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</row>
    <row r="307" spans="1:4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</row>
    <row r="308" spans="1:4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</row>
    <row r="309" spans="1:4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</row>
    <row r="310" spans="1:4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</row>
    <row r="311" spans="1:4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</row>
    <row r="312" spans="1:4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</row>
    <row r="313" spans="1:4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</row>
    <row r="314" spans="1:4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</row>
    <row r="315" spans="1:4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</row>
    <row r="316" spans="1:4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</row>
    <row r="317" spans="1:4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</row>
    <row r="318" spans="1:4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</row>
    <row r="319" spans="1:4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</row>
    <row r="320" spans="1:4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</row>
    <row r="321" spans="1:4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</row>
    <row r="322" spans="1:4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</row>
    <row r="323" spans="1:4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</row>
    <row r="324" spans="1:4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</row>
    <row r="325" spans="1:4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</row>
    <row r="326" spans="1:4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</row>
    <row r="327" spans="1:4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</row>
    <row r="328" spans="1:4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</row>
    <row r="329" spans="1:4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</row>
    <row r="330" spans="1:4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</row>
    <row r="331" spans="1:4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</row>
    <row r="332" spans="1:4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</row>
    <row r="333" spans="1:4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</row>
    <row r="334" spans="1:4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</row>
    <row r="335" spans="1:4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</row>
    <row r="336" spans="1:4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</row>
    <row r="337" spans="1:4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</row>
    <row r="338" spans="1:4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</row>
    <row r="339" spans="1:4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</row>
    <row r="340" spans="1:4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</row>
    <row r="341" spans="1:4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</row>
    <row r="342" spans="1:4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</row>
    <row r="343" spans="1:4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</row>
    <row r="344" spans="1:4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</row>
    <row r="345" spans="1:4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</row>
    <row r="346" spans="1:4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</row>
    <row r="347" spans="1:4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</row>
    <row r="348" spans="1:4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</row>
    <row r="349" spans="1:4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</row>
    <row r="350" spans="1:4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</row>
    <row r="351" spans="1:4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</row>
    <row r="352" spans="1:4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</row>
    <row r="353" spans="1:4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</row>
    <row r="354" spans="1:4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</row>
    <row r="355" spans="1:4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</row>
    <row r="356" spans="1:4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</row>
    <row r="357" spans="1:4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</row>
    <row r="358" spans="1:4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</row>
    <row r="359" spans="1:4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</row>
    <row r="360" spans="1:4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</row>
    <row r="361" spans="1:4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</row>
    <row r="362" spans="1:4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</row>
    <row r="363" spans="1:4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</row>
    <row r="364" spans="1:4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</row>
    <row r="365" spans="1:4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</row>
    <row r="366" spans="1:4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</row>
    <row r="367" spans="1:4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</row>
    <row r="368" spans="1:4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</row>
    <row r="369" spans="1:4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</row>
    <row r="370" spans="1:4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</row>
    <row r="371" spans="1:4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</row>
    <row r="372" spans="1:4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</row>
    <row r="373" spans="1:4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</row>
    <row r="374" spans="1:4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</row>
    <row r="375" spans="1:4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</row>
    <row r="376" spans="1:4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</row>
    <row r="377" spans="1:4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</row>
    <row r="378" spans="1:4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</row>
    <row r="379" spans="1:4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</row>
    <row r="380" spans="1:4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</row>
    <row r="381" spans="1:4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</row>
    <row r="382" spans="1:4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</row>
    <row r="383" spans="1:4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</row>
    <row r="384" spans="1:4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</row>
    <row r="385" spans="1:4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</row>
    <row r="386" spans="1:4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</row>
    <row r="387" spans="1:4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</row>
    <row r="388" spans="1:4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</row>
    <row r="389" spans="1:4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</row>
    <row r="390" spans="1:4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</row>
    <row r="391" spans="1:4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</row>
    <row r="392" spans="1:4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</row>
    <row r="393" spans="1:4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</row>
    <row r="394" spans="1:4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</row>
    <row r="395" spans="1:4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</row>
    <row r="396" spans="1:4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</row>
    <row r="397" spans="1:4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</row>
    <row r="398" spans="1:4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</row>
    <row r="399" spans="1:4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</row>
    <row r="400" spans="1:4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</row>
    <row r="401" spans="1:4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</row>
    <row r="402" spans="1:4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</row>
    <row r="403" spans="1:4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</row>
    <row r="404" spans="1:4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</row>
    <row r="405" spans="1:4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</row>
    <row r="406" spans="1:4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</row>
    <row r="407" spans="1:4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</row>
    <row r="408" spans="1:4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</row>
    <row r="409" spans="1:4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</row>
    <row r="410" spans="1:4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</row>
    <row r="411" spans="1:4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</row>
    <row r="412" spans="1:4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</row>
    <row r="413" spans="1:4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</row>
    <row r="414" spans="1:4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</row>
    <row r="415" spans="1:4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</row>
    <row r="416" spans="1:4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</row>
    <row r="417" spans="1:4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</row>
    <row r="418" spans="1:4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</row>
    <row r="419" spans="1:4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</row>
    <row r="420" spans="1:4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</row>
    <row r="421" spans="1:4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</row>
    <row r="422" spans="1:4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</row>
    <row r="423" spans="1:4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</row>
    <row r="424" spans="1:4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</row>
    <row r="425" spans="1:4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</row>
    <row r="426" spans="1:4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</row>
    <row r="427" spans="1:4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</row>
    <row r="428" spans="1:4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</row>
    <row r="429" spans="1:4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</row>
    <row r="430" spans="1:4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</row>
    <row r="431" spans="1:4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</row>
    <row r="432" spans="1:4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</row>
    <row r="433" spans="1:4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</row>
    <row r="434" spans="1:4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</row>
    <row r="435" spans="1:4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</row>
    <row r="436" spans="1:4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</row>
    <row r="437" spans="1:4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</row>
    <row r="438" spans="1:4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</row>
    <row r="439" spans="1:4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</row>
    <row r="440" spans="1:4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</row>
    <row r="441" spans="1:4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</row>
    <row r="442" spans="1:4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</row>
    <row r="443" spans="1:4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</row>
    <row r="444" spans="1:4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</row>
    <row r="445" spans="1:4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</row>
    <row r="446" spans="1:4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</row>
    <row r="447" spans="1:4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</row>
    <row r="448" spans="1:4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</row>
    <row r="449" spans="1:4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</row>
    <row r="450" spans="1:4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</row>
    <row r="451" spans="1:4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</row>
    <row r="452" spans="1:4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</row>
    <row r="453" spans="1:4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</row>
    <row r="454" spans="1:4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</row>
    <row r="455" spans="1:4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</row>
    <row r="456" spans="1:4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</row>
    <row r="457" spans="1:4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</row>
    <row r="458" spans="1:4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</row>
    <row r="459" spans="1:4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</row>
    <row r="460" spans="1:4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</row>
    <row r="461" spans="1:4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</row>
    <row r="462" spans="1:4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</row>
    <row r="463" spans="1:4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</row>
    <row r="464" spans="1:4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</row>
    <row r="465" spans="1:4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</row>
    <row r="466" spans="1:4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</row>
    <row r="467" spans="1:4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</row>
    <row r="468" spans="1:4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</row>
    <row r="469" spans="1:4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</row>
    <row r="470" spans="1:4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</row>
    <row r="471" spans="1:4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</row>
    <row r="472" spans="1:4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</row>
    <row r="473" spans="1:4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</row>
    <row r="474" spans="1:4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</row>
    <row r="475" spans="1:4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</row>
    <row r="476" spans="1:4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</row>
    <row r="477" spans="1:4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</row>
    <row r="478" spans="1:4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</row>
    <row r="479" spans="1:4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</row>
    <row r="480" spans="1:4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</row>
    <row r="481" spans="1:4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</row>
    <row r="482" spans="1:4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</row>
    <row r="483" spans="1:4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</row>
    <row r="484" spans="1:4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</row>
    <row r="485" spans="1:4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</row>
    <row r="486" spans="1:4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</row>
    <row r="487" spans="1:4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</row>
    <row r="488" spans="1:4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</row>
    <row r="489" spans="1:4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</row>
    <row r="490" spans="1:4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</row>
    <row r="491" spans="1:4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</row>
    <row r="492" spans="1:4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</row>
    <row r="493" spans="1:4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</row>
    <row r="494" spans="1:4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</row>
    <row r="495" spans="1:4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</row>
    <row r="496" spans="1:4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</row>
    <row r="497" spans="1:4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</row>
    <row r="498" spans="1:4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</row>
    <row r="499" spans="1:4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</row>
    <row r="500" spans="1:4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</row>
    <row r="501" spans="1:4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</row>
    <row r="502" spans="1:4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</row>
    <row r="503" spans="1:4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</row>
    <row r="504" spans="1:4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</row>
    <row r="505" spans="1:4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</row>
    <row r="506" spans="1:4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</row>
    <row r="507" spans="1:4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</row>
    <row r="508" spans="1:4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</row>
    <row r="509" spans="1:4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</row>
    <row r="510" spans="1:4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</row>
    <row r="511" spans="1:4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</row>
    <row r="512" spans="1:4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</row>
    <row r="513" spans="1:4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</row>
    <row r="514" spans="1:4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</row>
    <row r="515" spans="1:4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</row>
    <row r="516" spans="1:4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</row>
    <row r="517" spans="1:4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</row>
    <row r="518" spans="1:4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</row>
    <row r="519" spans="1:4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</row>
    <row r="520" spans="1:4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</row>
    <row r="521" spans="1:4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</row>
    <row r="522" spans="1:4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</row>
    <row r="523" spans="1:4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</row>
    <row r="524" spans="1:4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</row>
    <row r="525" spans="1:4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</row>
    <row r="526" spans="1:4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</row>
    <row r="527" spans="1:4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</row>
    <row r="528" spans="1:4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</row>
    <row r="529" spans="1:4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</row>
    <row r="530" spans="1:4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</row>
    <row r="531" spans="1:4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</row>
    <row r="532" spans="1:4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</row>
    <row r="533" spans="1:4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</row>
    <row r="534" spans="1:4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</row>
    <row r="535" spans="1:4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</row>
    <row r="536" spans="1:4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</row>
    <row r="537" spans="1:4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</row>
    <row r="538" spans="1:4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</row>
    <row r="539" spans="1:4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</row>
    <row r="540" spans="1:4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</row>
    <row r="541" spans="1:4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</row>
    <row r="542" spans="1:4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</row>
    <row r="543" spans="1:4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</row>
    <row r="544" spans="1:4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</row>
    <row r="545" spans="1:4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</row>
    <row r="546" spans="1:4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</row>
    <row r="547" spans="1:4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</row>
    <row r="548" spans="1:4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</row>
    <row r="549" spans="1:4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</row>
    <row r="550" spans="1:4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</row>
    <row r="551" spans="1:4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</row>
    <row r="552" spans="1:4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</row>
    <row r="553" spans="1:4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</row>
    <row r="554" spans="1:4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</row>
    <row r="555" spans="1:4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</row>
    <row r="556" spans="1:4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</row>
    <row r="557" spans="1:4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</row>
    <row r="558" spans="1:4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</row>
    <row r="559" spans="1:4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</row>
    <row r="560" spans="1:4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</row>
    <row r="561" spans="1:4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</row>
    <row r="562" spans="1:4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</row>
    <row r="563" spans="1:4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</row>
    <row r="564" spans="1:4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</row>
    <row r="565" spans="1:4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</row>
    <row r="566" spans="1:4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</row>
    <row r="567" spans="1:4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</row>
    <row r="568" spans="1:4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</row>
    <row r="569" spans="1:4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</row>
    <row r="570" spans="1:4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</row>
    <row r="571" spans="1:4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</row>
    <row r="572" spans="1:4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</row>
    <row r="573" spans="1:4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</row>
    <row r="574" spans="1:4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</row>
    <row r="575" spans="1:4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</row>
    <row r="576" spans="1:4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</row>
    <row r="577" spans="1:4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</row>
    <row r="578" spans="1:4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</row>
    <row r="579" spans="1:4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</row>
    <row r="580" spans="1:4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</row>
    <row r="581" spans="1:4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</row>
    <row r="582" spans="1:4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</row>
    <row r="583" spans="1:4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</row>
    <row r="584" spans="1:4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</row>
    <row r="585" spans="1:4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</row>
    <row r="586" spans="1:4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</row>
    <row r="587" spans="1:4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</row>
    <row r="588" spans="1:4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</row>
    <row r="589" spans="1:4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</row>
    <row r="590" spans="1:4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</row>
    <row r="591" spans="1:4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</row>
    <row r="592" spans="1:4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</row>
    <row r="593" spans="1:4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</row>
    <row r="594" spans="1:4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</row>
    <row r="595" spans="1:4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</row>
    <row r="596" spans="1:4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</row>
    <row r="597" spans="1:4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</row>
    <row r="598" spans="1:4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</row>
    <row r="599" spans="1:4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</row>
    <row r="600" spans="1:4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</row>
    <row r="601" spans="1:4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</row>
    <row r="602" spans="1:4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</row>
    <row r="603" spans="1:4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</row>
    <row r="604" spans="1:4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</row>
    <row r="605" spans="1:4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</row>
    <row r="606" spans="1:4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</row>
    <row r="607" spans="1:4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</row>
    <row r="608" spans="1:4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</row>
    <row r="609" spans="1:4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</row>
    <row r="610" spans="1:4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</row>
    <row r="611" spans="1:4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</row>
    <row r="612" spans="1:4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</row>
    <row r="613" spans="1:4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</row>
    <row r="614" spans="1:4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</row>
    <row r="615" spans="1:4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</row>
    <row r="616" spans="1:4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</row>
    <row r="617" spans="1:4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</row>
    <row r="618" spans="1:4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</row>
    <row r="619" spans="1:4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</row>
    <row r="620" spans="1:4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</row>
    <row r="621" spans="1:4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</row>
    <row r="622" spans="1:4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</row>
    <row r="623" spans="1:4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</row>
    <row r="624" spans="1:4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</row>
    <row r="625" spans="1:4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</row>
    <row r="626" spans="1:4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</row>
    <row r="627" spans="1:4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</row>
    <row r="628" spans="1:4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</row>
    <row r="629" spans="1:4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</row>
    <row r="630" spans="1:4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</row>
    <row r="631" spans="1:4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</row>
    <row r="632" spans="1:4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</row>
    <row r="633" spans="1:4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</row>
    <row r="634" spans="1:4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</row>
    <row r="635" spans="1:4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</row>
    <row r="636" spans="1:4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</row>
    <row r="637" spans="1:4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</row>
    <row r="638" spans="1:4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</row>
    <row r="639" spans="1:4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</row>
    <row r="640" spans="1:4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</row>
    <row r="641" spans="1:4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</row>
    <row r="642" spans="1:4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</row>
    <row r="643" spans="1:4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</row>
    <row r="644" spans="1:4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</row>
    <row r="645" spans="1:4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</row>
    <row r="646" spans="1:4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</row>
    <row r="647" spans="1:4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</row>
    <row r="648" spans="1:4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</row>
    <row r="649" spans="1:4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</row>
    <row r="650" spans="1:4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</row>
    <row r="651" spans="1:4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</row>
    <row r="652" spans="1:4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</row>
    <row r="653" spans="1:4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</row>
    <row r="654" spans="1:4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</row>
    <row r="655" spans="1:4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</row>
    <row r="656" spans="1:4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</row>
    <row r="657" spans="1:4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</row>
    <row r="658" spans="1:4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</row>
    <row r="659" spans="1:4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</row>
    <row r="660" spans="1:4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</row>
    <row r="661" spans="1:4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</row>
    <row r="662" spans="1:4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</row>
    <row r="663" spans="1:4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</row>
    <row r="664" spans="1:4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</row>
    <row r="665" spans="1:4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</row>
    <row r="666" spans="1:4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</row>
    <row r="667" spans="1:4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</row>
    <row r="668" spans="1:4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</row>
    <row r="669" spans="1:4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</row>
    <row r="670" spans="1:4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</row>
    <row r="671" spans="1:4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</row>
    <row r="672" spans="1:4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</row>
    <row r="673" spans="1:4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</row>
    <row r="674" spans="1:4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</row>
    <row r="675" spans="1:4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</row>
    <row r="676" spans="1:4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</row>
    <row r="677" spans="1:4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</row>
    <row r="678" spans="1:4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</row>
    <row r="679" spans="1:4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</row>
    <row r="680" spans="1:4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</row>
    <row r="681" spans="1:4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</row>
    <row r="682" spans="1:4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</row>
    <row r="683" spans="1:4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</row>
    <row r="684" spans="1:4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</row>
    <row r="685" spans="1:4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</row>
    <row r="686" spans="1:4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</row>
    <row r="687" spans="1:4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</row>
    <row r="688" spans="1:4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</row>
    <row r="689" spans="1:4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</row>
    <row r="690" spans="1:4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</row>
    <row r="691" spans="1:4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</row>
    <row r="692" spans="1:4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</row>
    <row r="693" spans="1:4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</row>
    <row r="694" spans="1:4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</row>
    <row r="695" spans="1:4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</row>
    <row r="696" spans="1:4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</row>
    <row r="697" spans="1:4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</row>
    <row r="698" spans="1:4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</row>
    <row r="699" spans="1:4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</row>
    <row r="700" spans="1:4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</row>
    <row r="701" spans="1:4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</row>
    <row r="702" spans="1:4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</row>
    <row r="703" spans="1:4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</row>
    <row r="704" spans="1:4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</row>
    <row r="705" spans="1:4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</row>
    <row r="706" spans="1:4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</row>
    <row r="707" spans="1:4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</row>
    <row r="708" spans="1:4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</row>
    <row r="709" spans="1:4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</row>
    <row r="710" spans="1:4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</row>
    <row r="711" spans="1:4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</row>
    <row r="712" spans="1:4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</row>
    <row r="713" spans="1:4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</row>
    <row r="714" spans="1:4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</row>
    <row r="715" spans="1:4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</row>
    <row r="716" spans="1:4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</row>
    <row r="717" spans="1:4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</row>
    <row r="718" spans="1:4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</row>
    <row r="719" spans="1:4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</row>
    <row r="720" spans="1:4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</row>
    <row r="721" spans="1:4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</row>
    <row r="722" spans="1:4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</row>
    <row r="723" spans="1:4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</row>
    <row r="724" spans="1:4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</row>
    <row r="725" spans="1:4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</row>
    <row r="726" spans="1:4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</row>
    <row r="727" spans="1:4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</row>
    <row r="728" spans="1:4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</row>
    <row r="729" spans="1:4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</row>
    <row r="730" spans="1:4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</row>
    <row r="731" spans="1:4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</row>
    <row r="732" spans="1:4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</row>
    <row r="733" spans="1:4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</row>
    <row r="734" spans="1:4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</row>
    <row r="735" spans="1:4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</row>
    <row r="736" spans="1:4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</row>
    <row r="737" spans="1:4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</row>
    <row r="738" spans="1:4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</row>
    <row r="739" spans="1:4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</row>
    <row r="740" spans="1:4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</row>
    <row r="741" spans="1:4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</row>
    <row r="742" spans="1:4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</row>
    <row r="743" spans="1:4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</row>
    <row r="744" spans="1:4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</row>
    <row r="745" spans="1:4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</row>
    <row r="746" spans="1:4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</row>
    <row r="747" spans="1:4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</row>
    <row r="748" spans="1:4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</row>
    <row r="749" spans="1:4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</row>
    <row r="750" spans="1:4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</row>
    <row r="751" spans="1:4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</row>
    <row r="752" spans="1:4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</row>
    <row r="753" spans="1:4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</row>
    <row r="754" spans="1:4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</row>
    <row r="755" spans="1:4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</row>
    <row r="756" spans="1:4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</row>
    <row r="757" spans="1:4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</row>
    <row r="758" spans="1:4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</row>
    <row r="759" spans="1:4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</row>
    <row r="760" spans="1:4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</row>
    <row r="761" spans="1:4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</row>
    <row r="762" spans="1:4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</row>
    <row r="763" spans="1:4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</row>
    <row r="764" spans="1:4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</row>
    <row r="765" spans="1:4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</row>
    <row r="766" spans="1:4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</row>
    <row r="767" spans="1:4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</row>
    <row r="768" spans="1:4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</row>
    <row r="769" spans="1:4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</row>
    <row r="770" spans="1:4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</row>
    <row r="771" spans="1:4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</row>
    <row r="772" spans="1:4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</row>
    <row r="773" spans="1:4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</row>
    <row r="774" spans="1:4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</row>
    <row r="775" spans="1:4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</row>
    <row r="776" spans="1:4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</row>
    <row r="777" spans="1:4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</row>
    <row r="778" spans="1:4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</row>
    <row r="779" spans="1:4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</row>
    <row r="780" spans="1:4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</row>
    <row r="781" spans="1:4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</row>
    <row r="782" spans="1:4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</row>
    <row r="783" spans="1:4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</row>
    <row r="784" spans="1:4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</row>
    <row r="785" spans="1:4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</row>
    <row r="786" spans="1:4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</row>
    <row r="787" spans="1:4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</row>
    <row r="788" spans="1:4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</row>
    <row r="789" spans="1:4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</row>
    <row r="790" spans="1:4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</row>
    <row r="791" spans="1:4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</row>
    <row r="792" spans="1:4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</row>
    <row r="793" spans="1:4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</row>
    <row r="794" spans="1:4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</row>
    <row r="795" spans="1:4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</row>
    <row r="796" spans="1:4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</row>
    <row r="797" spans="1:4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</row>
    <row r="798" spans="1:4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</row>
    <row r="799" spans="1:4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</row>
    <row r="800" spans="1:4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</row>
    <row r="801" spans="1:4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</row>
    <row r="802" spans="1:4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</row>
    <row r="803" spans="1:4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</row>
    <row r="804" spans="1:4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</row>
    <row r="805" spans="1:4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</row>
    <row r="806" spans="1:4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</row>
    <row r="807" spans="1:4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</row>
    <row r="808" spans="1:4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</row>
    <row r="809" spans="1:4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</row>
    <row r="810" spans="1:4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</row>
    <row r="811" spans="1:4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</row>
    <row r="812" spans="1:4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</row>
    <row r="813" spans="1:4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</row>
    <row r="814" spans="1:4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</row>
    <row r="815" spans="1:4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</row>
    <row r="816" spans="1:4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</row>
    <row r="817" spans="1:4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</row>
    <row r="818" spans="1:4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</row>
    <row r="819" spans="1:4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</row>
    <row r="820" spans="1:4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</row>
    <row r="821" spans="1:4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</row>
    <row r="822" spans="1:4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</row>
    <row r="823" spans="1:4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</row>
    <row r="824" spans="1:4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</row>
    <row r="825" spans="1:4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</row>
    <row r="826" spans="1:4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</row>
    <row r="827" spans="1:4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</row>
    <row r="828" spans="1:4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</row>
    <row r="829" spans="1:4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</row>
    <row r="830" spans="1:4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</row>
    <row r="831" spans="1:4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</row>
    <row r="832" spans="1:4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</row>
    <row r="833" spans="1:4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</row>
    <row r="834" spans="1:4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</row>
    <row r="835" spans="1:4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</row>
    <row r="836" spans="1:4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</row>
    <row r="837" spans="1:4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</row>
    <row r="838" spans="1:4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</row>
    <row r="839" spans="1:4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</row>
    <row r="840" spans="1:4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</row>
    <row r="841" spans="1:4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</row>
    <row r="842" spans="1:4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</row>
    <row r="843" spans="1:4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</row>
    <row r="844" spans="1:4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</row>
    <row r="845" spans="1:4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</row>
    <row r="846" spans="1:4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</row>
    <row r="847" spans="1:4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</row>
    <row r="848" spans="1:4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</row>
    <row r="849" spans="1:4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</row>
    <row r="850" spans="1:4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</row>
    <row r="851" spans="1:4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</row>
    <row r="852" spans="1:4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</row>
    <row r="853" spans="1:4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</row>
    <row r="854" spans="1:4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</row>
    <row r="855" spans="1:4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</row>
    <row r="856" spans="1:4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</row>
    <row r="857" spans="1:4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</row>
    <row r="858" spans="1:4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</row>
    <row r="859" spans="1:4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</row>
    <row r="860" spans="1:4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</row>
    <row r="861" spans="1:4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</row>
    <row r="862" spans="1:4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</row>
    <row r="863" spans="1:4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</row>
    <row r="864" spans="1:4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</row>
    <row r="865" spans="1:4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</row>
    <row r="866" spans="1:4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</row>
    <row r="867" spans="1:4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</row>
    <row r="868" spans="1:4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</row>
    <row r="869" spans="1:4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</row>
    <row r="870" spans="1:4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</row>
    <row r="871" spans="1:4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</row>
    <row r="872" spans="1:4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</row>
    <row r="873" spans="1:4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</row>
    <row r="874" spans="1:4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</row>
    <row r="875" spans="1:4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</row>
    <row r="876" spans="1:4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</row>
    <row r="877" spans="1:4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</row>
    <row r="878" spans="1:4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</row>
    <row r="879" spans="1:4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</row>
    <row r="880" spans="1:4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</row>
    <row r="881" spans="1:4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</row>
    <row r="882" spans="1:4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</row>
    <row r="883" spans="1:4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</row>
    <row r="884" spans="1:4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</row>
    <row r="885" spans="1:4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</row>
    <row r="886" spans="1:4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</row>
    <row r="887" spans="1:4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</row>
    <row r="888" spans="1:4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</row>
    <row r="889" spans="1:4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</row>
    <row r="890" spans="1:4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</row>
    <row r="891" spans="1:4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</row>
    <row r="892" spans="1:4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</row>
    <row r="893" spans="1:4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</row>
    <row r="894" spans="1:4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</row>
    <row r="895" spans="1:4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</row>
    <row r="896" spans="1:4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</row>
    <row r="897" spans="1:4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</row>
    <row r="898" spans="1:4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</row>
    <row r="899" spans="1:4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</row>
    <row r="900" spans="1:4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</row>
    <row r="901" spans="1:4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</row>
    <row r="902" spans="1:4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</row>
    <row r="903" spans="1:4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</row>
    <row r="904" spans="1:4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</row>
    <row r="905" spans="1:4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</row>
    <row r="906" spans="1:4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</row>
    <row r="907" spans="1:4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</row>
    <row r="908" spans="1:4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</row>
    <row r="909" spans="1:4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</row>
    <row r="910" spans="1:4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</row>
    <row r="911" spans="1:4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</row>
    <row r="912" spans="1:4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</row>
    <row r="913" spans="1:4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</row>
    <row r="914" spans="1:4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</row>
    <row r="915" spans="1:4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</row>
    <row r="916" spans="1:4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</row>
    <row r="917" spans="1:4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</row>
    <row r="918" spans="1:4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</row>
    <row r="919" spans="1:4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</row>
    <row r="920" spans="1:4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</row>
    <row r="921" spans="1:4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</row>
    <row r="922" spans="1:4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</row>
    <row r="923" spans="1:4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</row>
    <row r="924" spans="1:4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</row>
    <row r="925" spans="1:4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</row>
    <row r="926" spans="1:4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</row>
    <row r="927" spans="1:4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</row>
    <row r="928" spans="1:4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</row>
    <row r="929" spans="1:4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</row>
    <row r="930" spans="1:4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</row>
    <row r="931" spans="1:4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</row>
    <row r="932" spans="1:4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</row>
    <row r="933" spans="1:4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</row>
    <row r="934" spans="1:4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</row>
    <row r="935" spans="1:4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</row>
    <row r="936" spans="1:4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</row>
    <row r="937" spans="1:4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</row>
    <row r="938" spans="1:4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</row>
    <row r="939" spans="1:4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</row>
    <row r="940" spans="1:4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</row>
    <row r="941" spans="1:4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</row>
    <row r="942" spans="1:4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</row>
    <row r="943" spans="1:4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</row>
    <row r="944" spans="1:4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</row>
    <row r="945" spans="1:4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</row>
    <row r="946" spans="1:4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</row>
    <row r="947" spans="1:4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</row>
    <row r="948" spans="1:4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</row>
    <row r="949" spans="1:4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</row>
    <row r="950" spans="1:4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</row>
    <row r="951" spans="1:4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</row>
    <row r="952" spans="1:4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</row>
    <row r="953" spans="1:4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</row>
    <row r="954" spans="1:4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</row>
    <row r="955" spans="1:4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</row>
    <row r="956" spans="1:4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</row>
    <row r="957" spans="1:4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</row>
    <row r="958" spans="1:4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</row>
    <row r="959" spans="1:4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</row>
    <row r="960" spans="1:4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</row>
    <row r="961" spans="1:4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</row>
    <row r="962" spans="1:4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</row>
    <row r="963" spans="1:4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</row>
    <row r="964" spans="1:4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</row>
    <row r="965" spans="1:4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</row>
    <row r="966" spans="1:4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</row>
    <row r="967" spans="1:4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</row>
    <row r="968" spans="1:4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</row>
    <row r="969" spans="1:4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</row>
    <row r="970" spans="1:4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</row>
    <row r="971" spans="1:4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</row>
    <row r="972" spans="1:4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</row>
    <row r="973" spans="1:4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</row>
    <row r="974" spans="1:4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</row>
    <row r="975" spans="1:4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</row>
    <row r="976" spans="1:4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</row>
    <row r="977" spans="1:4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</row>
    <row r="978" spans="1:4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</row>
    <row r="979" spans="1:4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</row>
    <row r="980" spans="1:4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</row>
    <row r="981" spans="1:4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</row>
    <row r="982" spans="1:4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</row>
    <row r="983" spans="1:4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</row>
    <row r="984" spans="1:4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</row>
    <row r="985" spans="1:4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</row>
    <row r="986" spans="1:4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</row>
    <row r="987" spans="1:4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</row>
    <row r="988" spans="1:4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</row>
    <row r="989" spans="1:4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</row>
    <row r="990" spans="1:4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</row>
    <row r="991" spans="1:4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</row>
    <row r="992" spans="1:4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</row>
    <row r="993" spans="1:4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</row>
    <row r="994" spans="1:4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</row>
    <row r="995" spans="1:4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</row>
    <row r="996" spans="1:4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</row>
    <row r="997" spans="1:4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</row>
    <row r="998" spans="1:4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</row>
    <row r="999" spans="1:4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</row>
    <row r="1000" spans="1:4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</row>
  </sheetData>
  <mergeCells count="10">
    <mergeCell ref="U22:V22"/>
    <mergeCell ref="U23:V23"/>
    <mergeCell ref="U24:V24"/>
    <mergeCell ref="B3:D3"/>
    <mergeCell ref="G5:I5"/>
    <mergeCell ref="L9:N9"/>
    <mergeCell ref="Q16:R16"/>
    <mergeCell ref="L18:N18"/>
    <mergeCell ref="U20:W20"/>
    <mergeCell ref="U21:W21"/>
  </mergeCells>
  <conditionalFormatting sqref="D7">
    <cfRule type="expression" dxfId="16" priority="1">
      <formula>$C$7=$C$8</formula>
    </cfRule>
  </conditionalFormatting>
  <conditionalFormatting sqref="D8">
    <cfRule type="expression" dxfId="15" priority="2">
      <formula>$C$7=$C$8</formula>
    </cfRule>
  </conditionalFormatting>
  <conditionalFormatting sqref="D11">
    <cfRule type="expression" dxfId="14" priority="3">
      <formula>C11=C12</formula>
    </cfRule>
  </conditionalFormatting>
  <conditionalFormatting sqref="D12">
    <cfRule type="expression" dxfId="13" priority="4">
      <formula>C11=C12</formula>
    </cfRule>
  </conditionalFormatting>
  <conditionalFormatting sqref="D15">
    <cfRule type="expression" dxfId="12" priority="5">
      <formula>C15=C16</formula>
    </cfRule>
  </conditionalFormatting>
  <conditionalFormatting sqref="D16">
    <cfRule type="expression" dxfId="11" priority="6">
      <formula>C15=C16</formula>
    </cfRule>
  </conditionalFormatting>
  <conditionalFormatting sqref="D19">
    <cfRule type="expression" dxfId="10" priority="7">
      <formula>C19=C20</formula>
    </cfRule>
  </conditionalFormatting>
  <conditionalFormatting sqref="D20">
    <cfRule type="expression" dxfId="9" priority="8">
      <formula>C19=C20</formula>
    </cfRule>
  </conditionalFormatting>
  <conditionalFormatting sqref="I9">
    <cfRule type="expression" dxfId="8" priority="9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11">
      <formula>H17=H18</formula>
    </cfRule>
  </conditionalFormatting>
  <conditionalFormatting sqref="I18">
    <cfRule type="expression" dxfId="5" priority="12">
      <formula>H17=H18</formula>
    </cfRule>
  </conditionalFormatting>
  <conditionalFormatting sqref="N13">
    <cfRule type="expression" dxfId="4" priority="13">
      <formula>M13=M14</formula>
    </cfRule>
  </conditionalFormatting>
  <conditionalFormatting sqref="N14">
    <cfRule type="expression" dxfId="3" priority="14">
      <formula>M13=M14</formula>
    </cfRule>
  </conditionalFormatting>
  <conditionalFormatting sqref="U15:Z24">
    <cfRule type="expression" dxfId="2" priority="15">
      <formula>AND($U$22="",$U$23="",$U$24="")</formula>
    </cfRule>
  </conditionalFormatting>
  <conditionalFormatting sqref="N22">
    <cfRule type="expression" dxfId="1" priority="16">
      <formula>M22=M23</formula>
    </cfRule>
  </conditionalFormatting>
  <conditionalFormatting sqref="N23">
    <cfRule type="expression" dxfId="0" priority="17">
      <formula>M22=M23</formula>
    </cfRule>
  </conditionalFormatting>
  <pageMargins left="0.7" right="0.7" top="0.75" bottom="0.75" header="0" footer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2021-05-30T22:13:47Z</dcterms:created>
  <dcterms:modified xsi:type="dcterms:W3CDTF">2021-06-13T20:11:36Z</dcterms:modified>
</cp:coreProperties>
</file>