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edro\Desktop\"/>
    </mc:Choice>
  </mc:AlternateContent>
  <bookViews>
    <workbookView xWindow="0" yWindow="0" windowWidth="16785" windowHeight="7620"/>
  </bookViews>
  <sheets>
    <sheet name="INFORMACION" sheetId="4" r:id="rId1"/>
    <sheet name="Grupo A" sheetId="1" r:id="rId2"/>
    <sheet name="Grupo B" sheetId="2" r:id="rId3"/>
    <sheet name="Play-Off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AF7" i="2" s="1"/>
  <c r="Q15" i="2"/>
  <c r="R15" i="2" s="1"/>
  <c r="Q16" i="2"/>
  <c r="R16" i="2" s="1"/>
  <c r="AF11" i="2" l="1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R17" i="3"/>
  <c r="D8" i="1" l="1"/>
  <c r="C8" i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<sst xmlns="http://schemas.openxmlformats.org/spreadsheetml/2006/main" count="190" uniqueCount="84">
  <si>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</si>
  <si>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</si>
  <si>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</si>
  <si>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</si>
  <si>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</si>
  <si>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</si>
  <si>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</si>
  <si>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</si>
  <si>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</si>
  <si>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</si>
  <si>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</si>
  <si>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</si>
  <si>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</si>
  <si>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</si>
  <si>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</si>
  <si>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</si>
  <si>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</si>
  <si>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</si>
  <si>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</si>
  <si>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</si>
  <si>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</si>
  <si>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</si>
  <si>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</si>
  <si>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</si>
  <si>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</si>
  <si>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</si>
  <si>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</si>
  <si>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</si>
  <si>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</si>
  <si>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</si>
  <si>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</si>
  <si>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</si>
  <si>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</si>
  <si>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</si>
  <si>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</si>
  <si>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</si>
  <si>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</si>
  <si>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</si>
  <si>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</si>
  <si>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</si>
  <si>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</si>
  <si>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</si>
  <si>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</si>
  <si>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</si>
  <si>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</si>
  <si>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</si>
  <si>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</si>
  <si>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</si>
  <si>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</si>
  <si>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</si>
  <si>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</si>
  <si>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</si>
  <si>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</si>
  <si>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</si>
  <si>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</si>
  <si>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</si>
  <si>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</si>
  <si>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</si>
  <si>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</si>
  <si>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</si>
  <si>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</si>
  <si>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</si>
  <si>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</si>
  <si>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</si>
  <si>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</si>
  <si>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</si>
  <si>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</si>
  <si>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</si>
  <si>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</si>
  <si>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</si>
  <si>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</si>
  <si>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</si>
  <si>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</si>
  <si>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</si>
  <si>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</si>
  <si>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</si>
  <si>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</si>
  <si>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</si>
  <si>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</si>
  <si>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</si>
  <si>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</si>
  <si>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 xml:space="preserve">Tomás Mackenney </t>
  </si>
  <si>
    <t>tmackenneyr@udd.cl</t>
  </si>
  <si>
    <t>Uruguay no máh (La va a ganar y Edinson Goleador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</si>
</sst>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showGridLines="0" tabSelected="1" zoomScale="160" zoomScaleNormal="160" workbookViewId="0">
      <selection activeCell="E6" sqref="E6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Real Madrid</v>
      </c>
      <c r="D5" s="99" t="s">
        <v>63</v>
      </c>
      <c r="G5" s="91" t="s">
        <v>60</v>
      </c>
    </row>
    <row r="6" spans="2:7" ht="30.75" customHeight="1" thickBot="1" x14ac:dyDescent="0.3">
      <c r="B6" s="98" t="s">
        <v>80</v>
      </c>
      <c r="C6" s="100" t="s">
        <v>83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9"/>
  <sheetViews>
    <sheetView showGridLines="0" topLeftCell="C2" zoomScale="140" zoomScaleNormal="140" workbookViewId="0">
      <selection activeCell="M17" sqref="M17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5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10</v>
      </c>
      <c r="W7" s="91">
        <f>X7-Y7</f>
        <v>9</v>
      </c>
      <c r="X7" s="91">
        <f>SUMIF($K$7:$K$16,U7,$L$7:$L$16) + SUMIF($N$7:$N$16,U7,$M$7:$M$16)</f>
        <v>12</v>
      </c>
      <c r="Y7" s="91">
        <f>SUMIF($K$7:$K$16,U7,$M$7:$M$16) + SUMIF($N$7:$N$16,U7,$L$7:$L$16)</f>
        <v>3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-100091200</v>
      </c>
      <c r="AG7" s="91">
        <f>AF7-AE7*10</f>
        <v>-100091210</v>
      </c>
      <c r="AH7" s="91">
        <f>AG7+N23</f>
        <v>-100091209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10</v>
      </c>
      <c r="E8" s="33">
        <f t="shared" si="1"/>
        <v>12</v>
      </c>
      <c r="F8" s="33">
        <f t="shared" si="1"/>
        <v>3</v>
      </c>
      <c r="G8" s="34">
        <f t="shared" si="1"/>
        <v>9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2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Ecuador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5</v>
      </c>
      <c r="W8" s="91">
        <f>X8-Y8</f>
        <v>0</v>
      </c>
      <c r="X8" s="91">
        <f>SUMIF($K$7:$K$16,U8,$L$7:$L$16) + SUMIF($N$7:$N$16,U8,$M$7:$M$16)</f>
        <v>4</v>
      </c>
      <c r="Y8" s="91">
        <f>SUMIF($K$7:$K$16,U8,$M$7:$M$16) + SUMIF($N$7:$N$16,U8,$L$7:$L$16)</f>
        <v>4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-50000400</v>
      </c>
      <c r="AG8" s="91">
        <f t="shared" ref="AG8:AG11" si="8">AF8-AE8*10</f>
        <v>-50000410</v>
      </c>
      <c r="AH8" s="91">
        <f>AG8+N24</f>
        <v>-50000408</v>
      </c>
    </row>
    <row r="9" spans="2:35" x14ac:dyDescent="0.25">
      <c r="B9" s="62">
        <v>2</v>
      </c>
      <c r="C9" s="63" t="str">
        <f t="shared" si="1"/>
        <v>Ecuador</v>
      </c>
      <c r="D9" s="64">
        <f t="shared" si="1"/>
        <v>7</v>
      </c>
      <c r="E9" s="64">
        <f t="shared" si="1"/>
        <v>6</v>
      </c>
      <c r="F9" s="64">
        <f t="shared" si="1"/>
        <v>5</v>
      </c>
      <c r="G9" s="65">
        <f t="shared" si="1"/>
        <v>1</v>
      </c>
      <c r="H9" s="71"/>
      <c r="I9" s="9">
        <v>5</v>
      </c>
      <c r="J9" s="13">
        <v>44364</v>
      </c>
      <c r="K9" s="8" t="s">
        <v>12</v>
      </c>
      <c r="L9" s="20">
        <v>1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7</v>
      </c>
      <c r="W9" s="91">
        <f t="shared" ref="W9:W11" si="9">X9-Y9</f>
        <v>1</v>
      </c>
      <c r="X9" s="91">
        <f>SUMIF($K$7:$K$16,U9,$L$7:$L$16) + SUMIF($N$7:$N$16,U9,$M$7:$M$16)</f>
        <v>6</v>
      </c>
      <c r="Y9" s="91">
        <f>SUMIF($K$7:$K$16,U9,$M$7:$M$16) + SUMIF($N$7:$N$16,U9,$L$7:$L$16)</f>
        <v>5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-70010600</v>
      </c>
      <c r="AG9" s="91">
        <f t="shared" si="8"/>
        <v>-70010610</v>
      </c>
      <c r="AH9" s="91">
        <f>AG9+N25</f>
        <v>-70010607</v>
      </c>
    </row>
    <row r="10" spans="2:35" x14ac:dyDescent="0.25">
      <c r="B10" s="58">
        <v>3</v>
      </c>
      <c r="C10" s="59" t="str">
        <f t="shared" si="1"/>
        <v>Colombia</v>
      </c>
      <c r="D10" s="60">
        <f t="shared" si="1"/>
        <v>5</v>
      </c>
      <c r="E10" s="60">
        <f t="shared" si="1"/>
        <v>4</v>
      </c>
      <c r="F10" s="60">
        <f t="shared" si="1"/>
        <v>4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5</v>
      </c>
      <c r="W10" s="91">
        <f t="shared" si="9"/>
        <v>-1</v>
      </c>
      <c r="X10" s="91">
        <f>SUMIF($K$7:$K$16,U10,$L$7:$L$16) + SUMIF($N$7:$N$16,U10,$M$7:$M$16)</f>
        <v>5</v>
      </c>
      <c r="Y10" s="91">
        <f>SUMIF($K$7:$K$16,U10,$M$7:$M$16) + SUMIF($N$7:$N$16,U10,$L$7:$L$16)</f>
        <v>6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-49990500</v>
      </c>
      <c r="AG10" s="91">
        <f t="shared" si="8"/>
        <v>-49990510</v>
      </c>
      <c r="AH10" s="91">
        <f>AG10+N26</f>
        <v>-49990506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5</v>
      </c>
      <c r="E11" s="68">
        <f t="shared" si="1"/>
        <v>5</v>
      </c>
      <c r="F11" s="68">
        <f t="shared" si="1"/>
        <v>6</v>
      </c>
      <c r="G11" s="69">
        <f t="shared" si="1"/>
        <v>-1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-9</v>
      </c>
      <c r="X11" s="91">
        <f>SUMIF($K$7:$K$16,U11,$L$7:$L$16) + SUMIF($N$7:$N$16,U11,$M$7:$M$16)</f>
        <v>1</v>
      </c>
      <c r="Y11" s="91">
        <f>SUMIF($K$7:$K$16,U11,$M$7:$M$16) + SUMIF($N$7:$N$16,U11,$L$7:$L$16)</f>
        <v>10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89900</v>
      </c>
      <c r="AG11" s="91">
        <f t="shared" si="8"/>
        <v>89890</v>
      </c>
      <c r="AH11" s="91">
        <f>AG11+N27</f>
        <v>89895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1</v>
      </c>
      <c r="F12" s="56">
        <f t="shared" si="1"/>
        <v>10</v>
      </c>
      <c r="G12" s="57">
        <f t="shared" si="1"/>
        <v>-9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1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1</v>
      </c>
      <c r="N14" s="31" t="s">
        <v>2</v>
      </c>
      <c r="O14" s="92" t="str">
        <f t="shared" si="2"/>
        <v>Colombia_Brasil</v>
      </c>
      <c r="P14" s="91">
        <f t="shared" si="0"/>
        <v>1</v>
      </c>
      <c r="Q14" s="91">
        <f t="shared" si="10"/>
        <v>1</v>
      </c>
      <c r="R14" s="91" t="str">
        <f t="shared" si="4"/>
        <v>SIN GANADOR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8"/>
  <sheetViews>
    <sheetView showGridLines="0" topLeftCell="C2" zoomScale="140" zoomScaleNormal="140" workbookViewId="0">
      <selection activeCell="L16" sqref="L16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10</v>
      </c>
      <c r="W7" s="91">
        <f>X7-Y7</f>
        <v>6</v>
      </c>
      <c r="X7" s="91">
        <f>SUMIF($K$7:$K$16,U7,$L$7:$L$16) + SUMIF($N$7:$N$16,U7,$M$7:$M$16)</f>
        <v>9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-100060900</v>
      </c>
      <c r="AG7" s="91">
        <f>AF7-AE7*10</f>
        <v>-100060910</v>
      </c>
      <c r="AH7" s="91">
        <f>AG7+N23</f>
        <v>-100060909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10</v>
      </c>
      <c r="E8" s="33">
        <f t="shared" si="1"/>
        <v>9</v>
      </c>
      <c r="F8" s="33">
        <f t="shared" si="1"/>
        <v>3</v>
      </c>
      <c r="G8" s="34">
        <f t="shared" si="1"/>
        <v>6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-9</v>
      </c>
      <c r="X8" s="91">
        <f>SUMIF($K$7:$K$16,U8,$L$7:$L$16) + SUMIF($N$7:$N$16,U8,$M$7:$M$16)</f>
        <v>0</v>
      </c>
      <c r="Y8" s="91">
        <f>SUMIF($K$7:$K$16,U8,$M$7:$M$16) + SUMIF($N$7:$N$16,U8,$L$7:$L$16)</f>
        <v>9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90000</v>
      </c>
      <c r="AG8" s="91">
        <f t="shared" ref="AG8:AG11" si="8">AF8-AE8*10</f>
        <v>89990</v>
      </c>
      <c r="AH8" s="91">
        <f>AG8+N24</f>
        <v>89995</v>
      </c>
    </row>
    <row r="9" spans="2:34" x14ac:dyDescent="0.25">
      <c r="B9" s="62">
        <v>2</v>
      </c>
      <c r="C9" s="63" t="str">
        <f t="shared" si="1"/>
        <v>Uruguay</v>
      </c>
      <c r="D9" s="64">
        <f t="shared" si="1"/>
        <v>7</v>
      </c>
      <c r="E9" s="64">
        <f t="shared" si="1"/>
        <v>7</v>
      </c>
      <c r="F9" s="64">
        <f t="shared" si="1"/>
        <v>5</v>
      </c>
      <c r="G9" s="65">
        <f t="shared" si="1"/>
        <v>2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4</v>
      </c>
      <c r="U9" s="91" t="s">
        <v>26</v>
      </c>
      <c r="V9" s="91">
        <f>SUMIF($K$7:$K$16,U9,$P$7:$P$16) + SUMIF($N$7:$N$16,U9,$Q$7:$Q$16)</f>
        <v>4</v>
      </c>
      <c r="W9" s="91">
        <f t="shared" ref="W9:W11" si="9">X9-Y9</f>
        <v>-1</v>
      </c>
      <c r="X9" s="91">
        <f>SUMIF($K$7:$K$16,U9,$L$7:$L$16) + SUMIF($N$7:$N$16,U9,$M$7:$M$16)</f>
        <v>4</v>
      </c>
      <c r="Y9" s="91">
        <f>SUMIF($K$7:$K$16,U9,$M$7:$M$16) + SUMIF($N$7:$N$16,U9,$L$7:$L$16)</f>
        <v>5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-39990400</v>
      </c>
      <c r="AG9" s="91">
        <f t="shared" si="8"/>
        <v>-39990410</v>
      </c>
      <c r="AH9" s="91">
        <f>AG9+N25</f>
        <v>-39990408</v>
      </c>
    </row>
    <row r="10" spans="2:34" x14ac:dyDescent="0.25">
      <c r="B10" s="58">
        <v>3</v>
      </c>
      <c r="C10" s="59" t="str">
        <f t="shared" si="1"/>
        <v>Paraguay</v>
      </c>
      <c r="D10" s="60">
        <f t="shared" si="1"/>
        <v>7</v>
      </c>
      <c r="E10" s="60">
        <f t="shared" si="1"/>
        <v>5</v>
      </c>
      <c r="F10" s="60">
        <f t="shared" si="1"/>
        <v>3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3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3</v>
      </c>
      <c r="Q10" s="91">
        <f t="shared" si="3"/>
        <v>0</v>
      </c>
      <c r="R10" s="91" t="str">
        <f t="shared" si="4"/>
        <v>Argentina</v>
      </c>
      <c r="T10" s="91">
        <f>_xlfn.RANK.EQ(AH10,AH$7:AH$11,1)</f>
        <v>3</v>
      </c>
      <c r="U10" s="91" t="s">
        <v>27</v>
      </c>
      <c r="V10" s="91">
        <f>SUMIF($K$7:$K$16,U10,$P$7:$P$16) + SUMIF($N$7:$N$16,U10,$Q$7:$Q$16)</f>
        <v>7</v>
      </c>
      <c r="W10" s="91">
        <f t="shared" si="9"/>
        <v>2</v>
      </c>
      <c r="X10" s="91">
        <f>SUMIF($K$7:$K$16,U10,$L$7:$L$16) + SUMIF($N$7:$N$16,U10,$M$7:$M$16)</f>
        <v>5</v>
      </c>
      <c r="Y10" s="91">
        <f>SUMIF($K$7:$K$16,U10,$M$7:$M$16) + SUMIF($N$7:$N$16,U10,$L$7:$L$16)</f>
        <v>3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-70020500</v>
      </c>
      <c r="AG10" s="91">
        <f t="shared" si="8"/>
        <v>-70020510</v>
      </c>
      <c r="AH10" s="91">
        <f>AG10+N26</f>
        <v>-70020506</v>
      </c>
    </row>
    <row r="11" spans="2:34" x14ac:dyDescent="0.25">
      <c r="B11" s="66">
        <v>4</v>
      </c>
      <c r="C11" s="67" t="str">
        <f t="shared" si="1"/>
        <v>Chile</v>
      </c>
      <c r="D11" s="68">
        <f t="shared" si="1"/>
        <v>4</v>
      </c>
      <c r="E11" s="68">
        <f t="shared" si="1"/>
        <v>4</v>
      </c>
      <c r="F11" s="68">
        <f t="shared" si="1"/>
        <v>5</v>
      </c>
      <c r="G11" s="69">
        <f t="shared" si="1"/>
        <v>-1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3</v>
      </c>
      <c r="Q11" s="91">
        <f t="shared" si="3"/>
        <v>0</v>
      </c>
      <c r="R11" s="91" t="str">
        <f t="shared" si="4"/>
        <v>Uruguay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7</v>
      </c>
      <c r="W11" s="91">
        <f t="shared" si="9"/>
        <v>2</v>
      </c>
      <c r="X11" s="91">
        <f>SUMIF($K$7:$K$16,U11,$L$7:$L$16) + SUMIF($N$7:$N$16,U11,$M$7:$M$16)</f>
        <v>7</v>
      </c>
      <c r="Y11" s="91">
        <f>SUMIF($K$7:$K$16,U11,$M$7:$M$16) + SUMIF($N$7:$N$16,U11,$L$7:$L$16)</f>
        <v>5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-70020700</v>
      </c>
      <c r="AG11" s="91">
        <f t="shared" si="8"/>
        <v>-70020710</v>
      </c>
      <c r="AH11" s="91">
        <f>AG11+N27</f>
        <v>-70020707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0</v>
      </c>
      <c r="F12" s="56">
        <f t="shared" si="1"/>
        <v>9</v>
      </c>
      <c r="G12" s="57">
        <f t="shared" si="1"/>
        <v>-9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0</v>
      </c>
      <c r="M14" s="27">
        <v>2</v>
      </c>
      <c r="N14" s="31" t="s">
        <v>27</v>
      </c>
      <c r="O14" s="92" t="str">
        <f t="shared" si="2"/>
        <v>Chile_Paraguay</v>
      </c>
      <c r="P14" s="91">
        <f t="shared" si="0"/>
        <v>0</v>
      </c>
      <c r="Q14" s="91">
        <f t="shared" si="3"/>
        <v>3</v>
      </c>
      <c r="R14" s="91" t="str">
        <f t="shared" si="4"/>
        <v>Paraguay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1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4"/>
  <sheetViews>
    <sheetView showGridLines="0" topLeftCell="J6" zoomScale="120" zoomScaleNormal="120" workbookViewId="0">
      <selection activeCell="Q20" sqref="Q20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1</v>
      </c>
      <c r="D7" s="75">
        <v>4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1</v>
      </c>
      <c r="D8" s="77">
        <v>3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2</v>
      </c>
      <c r="I10" s="77"/>
      <c r="J10" s="78"/>
    </row>
    <row r="11" spans="2:43" ht="15.75" thickBot="1" x14ac:dyDescent="0.3">
      <c r="B11" s="74" t="str">
        <f>'Grupo B'!C9</f>
        <v>Uruguay</v>
      </c>
      <c r="C11" s="41">
        <v>2</v>
      </c>
      <c r="D11" s="75"/>
      <c r="E11" s="82"/>
      <c r="J11" s="79"/>
    </row>
    <row r="12" spans="2:43" ht="15.75" thickBot="1" x14ac:dyDescent="0.3">
      <c r="B12" s="76" t="str">
        <f>'Grupo A'!C10</f>
        <v>Colombia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Uruguay</v>
      </c>
      <c r="M13" s="41">
        <v>2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1</v>
      </c>
      <c r="N14" s="77"/>
    </row>
    <row r="15" spans="2:43" ht="15.75" thickBot="1" x14ac:dyDescent="0.3">
      <c r="B15" s="74" t="str">
        <f>'Grupo A'!C9</f>
        <v>Ecuador</v>
      </c>
      <c r="C15" s="41">
        <v>0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Paraguay</v>
      </c>
      <c r="C16" s="42">
        <v>1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Paraguay</v>
      </c>
      <c r="H17" s="41">
        <v>0</v>
      </c>
      <c r="I17" s="75"/>
      <c r="J17" s="82"/>
      <c r="Q17" s="74" t="s">
        <v>40</v>
      </c>
      <c r="R17" s="84" t="str">
        <f>IF(M13&gt;M14,L13,IF(M14&gt;M13,L14,IF(N13&gt;N14,L13,IF(N14&gt;N13,L14,""))))</f>
        <v>Uruguay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Argentina</v>
      </c>
    </row>
    <row r="20" spans="2:26" ht="15.75" thickBot="1" x14ac:dyDescent="0.3">
      <c r="B20" s="76" t="str">
        <f>'Grupo B'!C11</f>
        <v>Chile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Argentina</v>
      </c>
      <c r="M22" s="41">
        <v>3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Paraguay</v>
      </c>
      <c r="M23" s="42">
        <v>0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Pedro</cp:lastModifiedBy>
  <dcterms:created xsi:type="dcterms:W3CDTF">2021-05-30T22:13:47Z</dcterms:created>
  <dcterms:modified xsi:type="dcterms:W3CDTF">2021-06-12T16:22:31Z</dcterms:modified>
</cp:coreProperties>
</file>