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ios\"/>
    </mc:Choice>
  </mc:AlternateContent>
  <xr:revisionPtr revIDLastSave="0" documentId="13_ncr:1_{8B8AC7F8-4A3C-4C01-9470-3F39827C1B86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8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<sst xmlns="http://schemas.openxmlformats.org/spreadsheetml/2006/main" count="190" uniqueCount="83">
  <si>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</si>
  <si>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</si>
  <si>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</si>
  <si>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</si>
  <si>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</si>
  <si>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</si>
  <si>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</si>
  <si>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</si>
  <si>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</si>
  <si>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</si>
  <si>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</si>
  <si>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</si>
  <si>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</si>
  <si>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</si>
  <si>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</si>
  <si>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</si>
  <si>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</si>
  <si>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</si>
  <si>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</si>
  <si>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</si>
  <si>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</si>
  <si>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</si>
  <si>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</si>
  <si>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</si>
  <si>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</si>
  <si>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</si>
  <si>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</si>
  <si>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</si>
  <si>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</si>
  <si>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</si>
  <si>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</si>
  <si>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</si>
  <si>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</si>
  <si>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</si>
  <si>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</si>
  <si>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</si>
  <si>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</si>
  <si>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</si>
  <si>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</si>
  <si>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</si>
  <si>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</si>
  <si>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</si>
  <si>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</si>
  <si>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</si>
  <si>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</si>
  <si>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</si>
  <si>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</si>
  <si>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</si>
  <si>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</si>
  <si>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</si>
  <si>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</si>
  <si>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</si>
  <si>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</si>
  <si>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</si>
  <si>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</si>
  <si>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</si>
  <si>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</si>
  <si>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</si>
  <si>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</si>
  <si>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</si>
  <si>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</si>
  <si>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</si>
  <si>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</si>
  <si>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</si>
  <si>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</si>
  <si>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</si>
  <si>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</si>
  <si>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</si>
  <si>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</si>
  <si>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</si>
  <si>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</si>
  <si>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</si>
  <si>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</si>
  <si>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</si>
  <si>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</si>
  <si>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</si>
  <si>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</si>
  <si>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</si>
  <si>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</si>
  <si>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</si>
  <si>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</si>
  <si>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Mauricio Tocornal</t>
  </si>
  <si>
    <t>matocornal@miuandes.cl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</si>
</sst>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">
      <c r="B6" s="98" t="s">
        <v>80</v>
      </c>
      <c r="C6" s="100" t="s">
        <v>25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3" zoomScaleNormal="100" workbookViewId="0">
      <selection activeCell="M26" sqref="M2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9</v>
      </c>
      <c r="Y7" s="91">
        <f>SUMIF($K$7:$K$16,U7,$M$7:$M$16) + SUMIF($N$7:$N$16,U7,$L$7:$L$16)</f>
        <v>0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-120090900</v>
      </c>
      <c r="AG7" s="91">
        <f>AF7-AE7*10</f>
        <v>-120090910</v>
      </c>
      <c r="AH7" s="91">
        <f>AG7+N23</f>
        <v>-120090909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0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-70010600</v>
      </c>
      <c r="AG8" s="91">
        <f t="shared" ref="AG8:AG11" si="8">AF8-AE8*10</f>
        <v>-70010610</v>
      </c>
      <c r="AH8" s="91">
        <f>AG8+N24</f>
        <v>-70010608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-70000400</v>
      </c>
      <c r="AG9" s="91">
        <f t="shared" si="8"/>
        <v>-70000410</v>
      </c>
      <c r="AH9" s="91">
        <f>AG9+N25</f>
        <v>-70000407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7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-29970200</v>
      </c>
      <c r="AG10" s="91">
        <f t="shared" si="8"/>
        <v>-29970210</v>
      </c>
      <c r="AH10" s="91">
        <f>AG10+N26</f>
        <v>-29970206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-7</v>
      </c>
      <c r="X11" s="91">
        <f>SUMIF($K$7:$K$16,U11,$L$7:$L$16) + SUMIF($N$7:$N$16,U11,$M$7:$M$16)</f>
        <v>2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69800</v>
      </c>
      <c r="AG11" s="91">
        <f t="shared" si="8"/>
        <v>69790</v>
      </c>
      <c r="AH11" s="91">
        <f>AG11+N27</f>
        <v>69795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7" zoomScaleNormal="100" workbookViewId="0">
      <selection activeCell="L28" sqref="L28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7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5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-70020500</v>
      </c>
      <c r="AG9" s="91">
        <f t="shared" si="8"/>
        <v>-70020510</v>
      </c>
      <c r="AH9" s="91">
        <f>AG9+N25</f>
        <v>-70020508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6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2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-39980200</v>
      </c>
      <c r="AG10" s="91">
        <f t="shared" si="8"/>
        <v>-39980210</v>
      </c>
      <c r="AH10" s="91">
        <f>AG10+N26</f>
        <v>-39980206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2</v>
      </c>
      <c r="F11" s="68">
        <f t="shared" si="1"/>
        <v>4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6</v>
      </c>
      <c r="W11" s="91">
        <f t="shared" si="9"/>
        <v>2</v>
      </c>
      <c r="X11" s="91">
        <f>SUMIF($K$7:$K$16,U11,$L$7:$L$16) + SUMIF($N$7:$N$16,U11,$M$7:$M$16)</f>
        <v>5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-60020500</v>
      </c>
      <c r="AG11" s="91">
        <f t="shared" si="8"/>
        <v>-60020510</v>
      </c>
      <c r="AH11" s="91">
        <f>AG11+N27</f>
        <v>-60020507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J6" zoomScale="140" zoomScaleNormal="140" workbookViewId="0">
      <selection activeCell="A24" sqref="A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Uruguay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0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Uruguay</v>
      </c>
      <c r="M23" s="42">
        <v>0</v>
      </c>
      <c r="N23" s="77">
        <v>2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56998</cp:lastModifiedBy>
  <dcterms:created xsi:type="dcterms:W3CDTF">2021-05-30T22:13:47Z</dcterms:created>
  <dcterms:modified xsi:type="dcterms:W3CDTF">2021-06-12T19:35:15Z</dcterms:modified>
</cp:coreProperties>
</file>