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penac\Desktop\"/>
    </mc:Choice>
  </mc:AlternateContent>
  <bookViews>
    <workbookView xWindow="0" yWindow="0" windowWidth="19410" windowHeight="3765"/>
  </bookViews>
  <sheets>
    <sheet name="INFORMACION" sheetId="4" r:id="rId1"/>
    <sheet name="Grupo A" sheetId="1" r:id="rId2"/>
    <sheet name="Grupo B" sheetId="2" r:id="rId3"/>
    <sheet name="Play-Off" sheetId="3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<sst xmlns="http://schemas.openxmlformats.org/spreadsheetml/2006/main" count="190" uniqueCount="83">
  <si>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</si>
  <si>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</si>
  <si>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</si>
  <si>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</si>
  <si>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</si>
  <si>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</si>
  <si>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</si>
  <si>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</si>
  <si>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</si>
  <si>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</si>
  <si>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</si>
  <si>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</si>
  <si>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</si>
  <si>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</si>
  <si>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</si>
  <si>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</si>
  <si>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</si>
  <si>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</si>
  <si>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</si>
  <si>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</si>
  <si>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</si>
  <si>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</si>
  <si>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</si>
  <si>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</si>
  <si>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</si>
  <si>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</si>
  <si>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</si>
  <si>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</si>
  <si>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</si>
  <si>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</si>
  <si>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</si>
  <si>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</si>
  <si>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</si>
  <si>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</si>
  <si>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</si>
  <si>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</si>
  <si>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</si>
  <si>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</si>
  <si>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</si>
  <si>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</si>
  <si>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</si>
  <si>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</si>
  <si>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</si>
  <si>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</si>
  <si>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</si>
  <si>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</si>
  <si>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</si>
  <si>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</si>
  <si>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</si>
  <si>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</si>
  <si>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</si>
  <si>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</si>
  <si>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</si>
  <si>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</si>
  <si>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</si>
  <si>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</si>
  <si>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</si>
  <si>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</si>
  <si>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</si>
  <si>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</si>
  <si>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</si>
  <si>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</si>
  <si>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</si>
  <si>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</si>
  <si>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</si>
  <si>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</si>
  <si>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</si>
  <si>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</si>
  <si>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</si>
  <si>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</si>
  <si>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</si>
  <si>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</si>
  <si>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</si>
  <si>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</si>
  <si>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</si>
  <si>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</si>
  <si>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</si>
  <si>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</si>
  <si>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</si>
  <si>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</si>
  <si>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</si>
  <si>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José Miguel Peña Colodro</t>
  </si>
  <si>
    <t>jmpena@uc.cl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</si>
</sst>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4"/>
  <sheetViews>
    <sheetView showGridLines="0" tabSelected="1" zoomScale="130" zoomScaleNormal="130" workbookViewId="0">
      <selection activeCell="C8" sqref="C8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 t="s">
        <v>82</v>
      </c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Real Madrid</v>
      </c>
      <c r="D5" s="99" t="s">
        <v>74</v>
      </c>
      <c r="G5" s="91" t="s">
        <v>60</v>
      </c>
    </row>
    <row r="6" spans="2:7" ht="30.75" customHeight="1" thickBot="1" x14ac:dyDescent="0.3">
      <c r="B6" s="98" t="s">
        <v>80</v>
      </c>
      <c r="C6" s="100" t="s">
        <v>25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29"/>
  <sheetViews>
    <sheetView showGridLines="0" zoomScale="110" zoomScaleNormal="110" workbookViewId="0">
      <selection activeCell="G17" sqref="G17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2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7</v>
      </c>
      <c r="X7" s="91">
        <f>SUMIF($K$7:$K$16,U7,$L$7:$L$16) + SUMIF($N$7:$N$16,U7,$M$7:$M$16)</f>
        <v>8</v>
      </c>
      <c r="Y7" s="91">
        <f>SUMIF($K$7:$K$16,U7,$M$7:$M$16) + SUMIF($N$7:$N$16,U7,$L$7:$L$16)</f>
        <v>1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-120070800</v>
      </c>
      <c r="AG7" s="91">
        <f>AF7-AE7*10</f>
        <v>-120070810</v>
      </c>
      <c r="AH7" s="91">
        <f>AG7+N23</f>
        <v>-120070809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8</v>
      </c>
      <c r="F8" s="33">
        <f t="shared" si="1"/>
        <v>1</v>
      </c>
      <c r="G8" s="34">
        <f t="shared" si="1"/>
        <v>7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5</v>
      </c>
      <c r="W8" s="91">
        <f>X8-Y8</f>
        <v>-1</v>
      </c>
      <c r="X8" s="91">
        <f>SUMIF($K$7:$K$16,U8,$L$7:$L$16) + SUMIF($N$7:$N$16,U8,$M$7:$M$16)</f>
        <v>5</v>
      </c>
      <c r="Y8" s="91">
        <f>SUMIF($K$7:$K$16,U8,$M$7:$M$16) + SUMIF($N$7:$N$16,U8,$L$7:$L$16)</f>
        <v>6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-49990500</v>
      </c>
      <c r="AG8" s="91">
        <f t="shared" ref="AG8:AG11" si="8">AF8-AE8*10</f>
        <v>-49990510</v>
      </c>
      <c r="AH8" s="91">
        <f>AG8+N24</f>
        <v>-49990508</v>
      </c>
    </row>
    <row r="9" spans="2:35" x14ac:dyDescent="0.25">
      <c r="B9" s="62">
        <v>2</v>
      </c>
      <c r="C9" s="63" t="str">
        <f t="shared" si="1"/>
        <v>Colombia</v>
      </c>
      <c r="D9" s="64">
        <f t="shared" si="1"/>
        <v>5</v>
      </c>
      <c r="E9" s="64">
        <f t="shared" si="1"/>
        <v>5</v>
      </c>
      <c r="F9" s="64">
        <f t="shared" si="1"/>
        <v>6</v>
      </c>
      <c r="G9" s="65">
        <f t="shared" si="1"/>
        <v>-1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4</v>
      </c>
      <c r="W9" s="91">
        <f t="shared" ref="W9:W11" si="9">X9-Y9</f>
        <v>1</v>
      </c>
      <c r="X9" s="91">
        <f>SUMIF($K$7:$K$16,U9,$L$7:$L$16) + SUMIF($N$7:$N$16,U9,$M$7:$M$16)</f>
        <v>5</v>
      </c>
      <c r="Y9" s="91">
        <f>SUMIF($K$7:$K$16,U9,$M$7:$M$16) + SUMIF($N$7:$N$16,U9,$L$7:$L$16)</f>
        <v>4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-40010500</v>
      </c>
      <c r="AG9" s="91">
        <f t="shared" si="8"/>
        <v>-40010510</v>
      </c>
      <c r="AH9" s="91">
        <f>AG9+N25</f>
        <v>-40010507</v>
      </c>
    </row>
    <row r="10" spans="2:35" x14ac:dyDescent="0.25">
      <c r="B10" s="58">
        <v>3</v>
      </c>
      <c r="C10" s="59" t="str">
        <f t="shared" si="1"/>
        <v>Ecuador</v>
      </c>
      <c r="D10" s="60">
        <f t="shared" si="1"/>
        <v>4</v>
      </c>
      <c r="E10" s="60">
        <f t="shared" si="1"/>
        <v>5</v>
      </c>
      <c r="F10" s="60">
        <f t="shared" si="1"/>
        <v>4</v>
      </c>
      <c r="G10" s="61">
        <f t="shared" si="1"/>
        <v>1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5</v>
      </c>
      <c r="U10" s="91" t="s">
        <v>5</v>
      </c>
      <c r="V10" s="91">
        <f>SUMIF($K$7:$K$16,U10,$P$7:$P$16) + SUMIF($N$7:$N$16,U10,$Q$7:$Q$16)</f>
        <v>2</v>
      </c>
      <c r="W10" s="91">
        <f t="shared" si="9"/>
        <v>-5</v>
      </c>
      <c r="X10" s="91">
        <f>SUMIF($K$7:$K$16,U10,$L$7:$L$16) + SUMIF($N$7:$N$16,U10,$M$7:$M$16)</f>
        <v>3</v>
      </c>
      <c r="Y10" s="91">
        <f>SUMIF($K$7:$K$16,U10,$M$7:$M$16) + SUMIF($N$7:$N$16,U10,$L$7:$L$16)</f>
        <v>8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-19950300</v>
      </c>
      <c r="AG10" s="91">
        <f t="shared" si="8"/>
        <v>-19950310</v>
      </c>
      <c r="AH10" s="91">
        <f>AG10+N26</f>
        <v>-19950306</v>
      </c>
    </row>
    <row r="11" spans="2:35" x14ac:dyDescent="0.25">
      <c r="B11" s="66">
        <v>4</v>
      </c>
      <c r="C11" s="67" t="str">
        <f t="shared" si="1"/>
        <v>Venezuela</v>
      </c>
      <c r="D11" s="68">
        <f t="shared" si="1"/>
        <v>4</v>
      </c>
      <c r="E11" s="68">
        <f t="shared" si="1"/>
        <v>5</v>
      </c>
      <c r="F11" s="68">
        <f t="shared" si="1"/>
        <v>7</v>
      </c>
      <c r="G11" s="69">
        <f t="shared" si="1"/>
        <v>-2</v>
      </c>
      <c r="H11" s="71"/>
      <c r="I11" s="9">
        <v>9</v>
      </c>
      <c r="J11" s="13">
        <v>44367</v>
      </c>
      <c r="K11" s="8" t="s">
        <v>4</v>
      </c>
      <c r="L11" s="20">
        <v>2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3</v>
      </c>
      <c r="Q11" s="91">
        <f t="shared" si="3"/>
        <v>0</v>
      </c>
      <c r="R11" s="91" t="str">
        <f t="shared" si="4"/>
        <v>Venezuela</v>
      </c>
      <c r="T11" s="91">
        <f>_xlfn.RANK.EQ(AH11,AH$7:AH$11,1)</f>
        <v>4</v>
      </c>
      <c r="U11" s="91" t="s">
        <v>4</v>
      </c>
      <c r="V11" s="91">
        <f>SUMIF($K$7:$K$16,U11,$P$7:$P$16) + SUMIF($N$7:$N$16,U11,$Q$7:$Q$16)</f>
        <v>4</v>
      </c>
      <c r="W11" s="91">
        <f t="shared" si="9"/>
        <v>-2</v>
      </c>
      <c r="X11" s="91">
        <f>SUMIF($K$7:$K$16,U11,$L$7:$L$16) + SUMIF($N$7:$N$16,U11,$M$7:$M$16)</f>
        <v>5</v>
      </c>
      <c r="Y11" s="91">
        <f>SUMIF($K$7:$K$16,U11,$M$7:$M$16) + SUMIF($N$7:$N$16,U11,$L$7:$L$16)</f>
        <v>7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-39980500</v>
      </c>
      <c r="AG11" s="91">
        <f t="shared" si="8"/>
        <v>-39980510</v>
      </c>
      <c r="AH11" s="91">
        <f>AG11+N27</f>
        <v>-39980505</v>
      </c>
    </row>
    <row r="12" spans="2:35" s="1" customFormat="1" ht="15.75" thickBot="1" x14ac:dyDescent="0.3">
      <c r="B12" s="54">
        <v>5</v>
      </c>
      <c r="C12" s="55" t="str">
        <f t="shared" si="1"/>
        <v>Peru</v>
      </c>
      <c r="D12" s="56">
        <f t="shared" si="1"/>
        <v>2</v>
      </c>
      <c r="E12" s="56">
        <f t="shared" si="1"/>
        <v>3</v>
      </c>
      <c r="F12" s="56">
        <f t="shared" si="1"/>
        <v>8</v>
      </c>
      <c r="G12" s="57">
        <f t="shared" si="1"/>
        <v>-5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1</v>
      </c>
      <c r="Q12" s="91">
        <f t="shared" ref="Q12:Q15" si="10">IF(P12=3,0,IF(P12=1,1,3))</f>
        <v>1</v>
      </c>
      <c r="R12" s="91" t="str">
        <f t="shared" si="4"/>
        <v>SIN GANADOR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3</v>
      </c>
      <c r="M13" s="27">
        <v>0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1</v>
      </c>
      <c r="M14" s="27">
        <v>3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0</v>
      </c>
      <c r="M15" s="27">
        <v>1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2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1</v>
      </c>
      <c r="Q16" s="91">
        <f t="shared" si="3"/>
        <v>1</v>
      </c>
      <c r="R16" s="91" t="str">
        <f t="shared" si="4"/>
        <v>SIN GANADOR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28"/>
  <sheetViews>
    <sheetView showGridLines="0" zoomScale="120" zoomScaleNormal="120" workbookViewId="0">
      <selection activeCell="F16" sqref="F16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10</v>
      </c>
      <c r="W7" s="91">
        <f>X7-Y7</f>
        <v>6</v>
      </c>
      <c r="X7" s="91">
        <f>SUMIF($K$7:$K$16,U7,$L$7:$L$16) + SUMIF($N$7:$N$16,U7,$M$7:$M$16)</f>
        <v>9</v>
      </c>
      <c r="Y7" s="91">
        <f>SUMIF($K$7:$K$16,U7,$M$7:$M$16) + SUMIF($N$7:$N$16,U7,$L$7:$L$16)</f>
        <v>3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-100060900</v>
      </c>
      <c r="AG7" s="91">
        <f>AF7-AE7*10</f>
        <v>-100060910</v>
      </c>
      <c r="AH7" s="91">
        <f>AG7+N23</f>
        <v>-100060909</v>
      </c>
    </row>
    <row r="8" spans="2:34" x14ac:dyDescent="0.25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10</v>
      </c>
      <c r="E8" s="33">
        <f t="shared" si="1"/>
        <v>9</v>
      </c>
      <c r="F8" s="33">
        <f t="shared" si="1"/>
        <v>3</v>
      </c>
      <c r="G8" s="34">
        <f t="shared" si="1"/>
        <v>6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-9</v>
      </c>
      <c r="X8" s="91">
        <f>SUMIF($K$7:$K$16,U8,$L$7:$L$16) + SUMIF($N$7:$N$16,U8,$M$7:$M$16)</f>
        <v>1</v>
      </c>
      <c r="Y8" s="91">
        <f>SUMIF($K$7:$K$16,U8,$M$7:$M$16) + SUMIF($N$7:$N$16,U8,$L$7:$L$16)</f>
        <v>10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89900</v>
      </c>
      <c r="AG8" s="91">
        <f t="shared" ref="AG8:AG11" si="8">AF8-AE8*10</f>
        <v>89890</v>
      </c>
      <c r="AH8" s="91">
        <f>AG8+N24</f>
        <v>89895</v>
      </c>
    </row>
    <row r="9" spans="2:34" x14ac:dyDescent="0.25">
      <c r="B9" s="62">
        <v>2</v>
      </c>
      <c r="C9" s="63" t="str">
        <f t="shared" si="1"/>
        <v>Uruguay</v>
      </c>
      <c r="D9" s="64">
        <f t="shared" si="1"/>
        <v>8</v>
      </c>
      <c r="E9" s="64">
        <f t="shared" si="1"/>
        <v>7</v>
      </c>
      <c r="F9" s="64">
        <f t="shared" si="1"/>
        <v>3</v>
      </c>
      <c r="G9" s="65">
        <f t="shared" si="1"/>
        <v>4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7</v>
      </c>
      <c r="W9" s="91">
        <f t="shared" ref="W9:W11" si="9">X9-Y9</f>
        <v>2</v>
      </c>
      <c r="X9" s="91">
        <f>SUMIF($K$7:$K$16,U9,$L$7:$L$16) + SUMIF($N$7:$N$16,U9,$M$7:$M$16)</f>
        <v>6</v>
      </c>
      <c r="Y9" s="91">
        <f>SUMIF($K$7:$K$16,U9,$M$7:$M$16) + SUMIF($N$7:$N$16,U9,$L$7:$L$16)</f>
        <v>4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-70020600</v>
      </c>
      <c r="AG9" s="91">
        <f t="shared" si="8"/>
        <v>-70020610</v>
      </c>
      <c r="AH9" s="91">
        <f>AG9+N25</f>
        <v>-70020608</v>
      </c>
    </row>
    <row r="10" spans="2:34" x14ac:dyDescent="0.25">
      <c r="B10" s="58">
        <v>3</v>
      </c>
      <c r="C10" s="59" t="str">
        <f t="shared" si="1"/>
        <v>Chile</v>
      </c>
      <c r="D10" s="60">
        <f t="shared" si="1"/>
        <v>7</v>
      </c>
      <c r="E10" s="60">
        <f t="shared" si="1"/>
        <v>6</v>
      </c>
      <c r="F10" s="60">
        <f t="shared" si="1"/>
        <v>4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3</v>
      </c>
      <c r="W10" s="91">
        <f t="shared" si="9"/>
        <v>-3</v>
      </c>
      <c r="X10" s="91">
        <f>SUMIF($K$7:$K$16,U10,$L$7:$L$16) + SUMIF($N$7:$N$16,U10,$M$7:$M$16)</f>
        <v>3</v>
      </c>
      <c r="Y10" s="91">
        <f>SUMIF($K$7:$K$16,U10,$M$7:$M$16) + SUMIF($N$7:$N$16,U10,$L$7:$L$16)</f>
        <v>6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-29970300</v>
      </c>
      <c r="AG10" s="91">
        <f t="shared" si="8"/>
        <v>-29970310</v>
      </c>
      <c r="AH10" s="91">
        <f>AG10+N26</f>
        <v>-29970306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3</v>
      </c>
      <c r="E11" s="68">
        <f t="shared" si="1"/>
        <v>3</v>
      </c>
      <c r="F11" s="68">
        <f t="shared" si="1"/>
        <v>6</v>
      </c>
      <c r="G11" s="69">
        <f t="shared" si="1"/>
        <v>-3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8</v>
      </c>
      <c r="W11" s="91">
        <f t="shared" si="9"/>
        <v>4</v>
      </c>
      <c r="X11" s="91">
        <f>SUMIF($K$7:$K$16,U11,$L$7:$L$16) + SUMIF($N$7:$N$16,U11,$M$7:$M$16)</f>
        <v>7</v>
      </c>
      <c r="Y11" s="91">
        <f>SUMIF($K$7:$K$16,U11,$M$7:$M$16) + SUMIF($N$7:$N$16,U11,$L$7:$L$16)</f>
        <v>3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-80040700</v>
      </c>
      <c r="AG11" s="91">
        <f t="shared" si="8"/>
        <v>-80040710</v>
      </c>
      <c r="AH11" s="91">
        <f>AG11+N27</f>
        <v>-80040707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1</v>
      </c>
      <c r="F12" s="56">
        <f t="shared" si="1"/>
        <v>10</v>
      </c>
      <c r="G12" s="57">
        <f t="shared" si="1"/>
        <v>-9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2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1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24"/>
  <sheetViews>
    <sheetView showGridLines="0" zoomScale="120" zoomScaleNormal="120" workbookViewId="0">
      <selection activeCell="I3" sqref="I3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Argentina</v>
      </c>
      <c r="C7" s="41">
        <v>3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Venezuela</v>
      </c>
      <c r="C8" s="42">
        <v>1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Argentina</v>
      </c>
      <c r="H9" s="41">
        <v>2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Uruguay</v>
      </c>
      <c r="H10" s="42">
        <v>1</v>
      </c>
      <c r="I10" s="77"/>
      <c r="J10" s="78"/>
    </row>
    <row r="11" spans="2:43" ht="15.75" thickBot="1" x14ac:dyDescent="0.3">
      <c r="B11" s="74" t="str">
        <f>'Grupo B'!C9</f>
        <v>Uruguay</v>
      </c>
      <c r="C11" s="41">
        <v>2</v>
      </c>
      <c r="D11" s="75"/>
      <c r="E11" s="82"/>
      <c r="J11" s="79"/>
    </row>
    <row r="12" spans="2:43" ht="15.75" thickBot="1" x14ac:dyDescent="0.3">
      <c r="B12" s="76" t="str">
        <f>'Grupo A'!C10</f>
        <v>Ecuador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Argentina</v>
      </c>
      <c r="M13" s="41">
        <v>1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5.75" thickBot="1" x14ac:dyDescent="0.3">
      <c r="B15" s="74" t="str">
        <f>'Grupo A'!C9</f>
        <v>Colombia</v>
      </c>
      <c r="C15" s="41">
        <v>0</v>
      </c>
      <c r="D15" s="75">
        <v>0</v>
      </c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Chile</v>
      </c>
      <c r="C16" s="42">
        <v>0</v>
      </c>
      <c r="D16" s="77">
        <v>1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Chile</v>
      </c>
      <c r="H17" s="41">
        <v>0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Argentina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Uruguay</v>
      </c>
    </row>
    <row r="20" spans="2:26" ht="15.75" thickBot="1" x14ac:dyDescent="0.3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Uruguay</v>
      </c>
      <c r="M22" s="41">
        <v>1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Chile</v>
      </c>
      <c r="M23" s="42">
        <v>0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Jose Miguel Peña Colodro</cp:lastModifiedBy>
  <dcterms:created xsi:type="dcterms:W3CDTF">2021-05-30T22:13:47Z</dcterms:created>
  <dcterms:modified xsi:type="dcterms:W3CDTF">2021-06-12T14:01:00Z</dcterms:modified>
</cp:coreProperties>
</file>