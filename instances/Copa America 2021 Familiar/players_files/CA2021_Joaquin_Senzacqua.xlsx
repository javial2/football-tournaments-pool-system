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uario1/Desktop/"/>
    </mc:Choice>
  </mc:AlternateContent>
  <xr:revisionPtr revIDLastSave="0" documentId="8_{5AD505BC-0075-9948-8EEC-4D57C4A42D4C}" xr6:coauthVersionLast="47" xr6:coauthVersionMax="47" xr10:uidLastSave="{00000000-0000-0000-0000-000000000000}"/>
  <bookViews>
    <workbookView xWindow="0" yWindow="0" windowWidth="25600" windowHeight="1600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<sst xmlns="http://schemas.openxmlformats.org/spreadsheetml/2006/main" count="188" uniqueCount="83">
  <si>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</si>
  <si>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</si>
  <si>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</si>
  <si>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</si>
  <si>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</si>
  <si>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</si>
  <si>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</si>
  <si>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</si>
  <si>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</si>
  <si>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</si>
  <si>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</si>
  <si>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</si>
  <si>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</si>
  <si>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</si>
  <si>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</si>
  <si>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</si>
  <si>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</si>
  <si>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</si>
  <si>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</si>
  <si>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</si>
  <si>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</si>
  <si>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</si>
  <si>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</si>
  <si>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</si>
  <si>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</si>
  <si>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</si>
  <si>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</si>
  <si>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</si>
  <si>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</si>
  <si>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</si>
  <si>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</si>
  <si>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</si>
  <si>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</si>
  <si>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</si>
  <si>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</si>
  <si>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</si>
  <si>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</si>
  <si>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</si>
  <si>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</si>
  <si>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</si>
  <si>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</si>
  <si>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</si>
  <si>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</si>
  <si>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</si>
  <si>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</si>
  <si>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</si>
  <si>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</si>
  <si>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</si>
  <si>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</si>
  <si>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</si>
  <si>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</si>
  <si>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</si>
  <si>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</si>
  <si>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</si>
  <si>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</si>
  <si>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</si>
  <si>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</si>
  <si>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</si>
  <si>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</si>
  <si>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</si>
  <si>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</si>
  <si>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</si>
  <si>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</si>
  <si>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</si>
  <si>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</si>
  <si>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</si>
  <si>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</si>
  <si>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</si>
  <si>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</si>
  <si>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</si>
  <si>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</si>
  <si>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</si>
  <si>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</si>
  <si>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</si>
  <si>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</si>
  <si>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</si>
  <si>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</si>
  <si>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</si>
  <si>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</si>
  <si>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</si>
  <si>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</si>
  <si>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Joaquín Senzacqua P.</t>
  </si>
  <si>
    <t>Joaquinsp@gmail.com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</si>
</sst>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60" zoomScaleNormal="160" workbookViewId="0">
      <selection activeCell="C5" sqref="C5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25">
      <c r="B6" s="98" t="s">
        <v>80</v>
      </c>
      <c r="C6" s="100" t="s">
        <v>25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5" zoomScale="140" zoomScaleNormal="140" workbookViewId="0">
      <selection activeCell="M18" sqref="M18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>
        <v>1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10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-120081000</v>
      </c>
      <c r="AG7" s="91">
        <f>AF7-AE7*10</f>
        <v>-120081010</v>
      </c>
      <c r="AH7" s="91">
        <f>AG7+N23</f>
        <v>-120081009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10</v>
      </c>
      <c r="F8" s="33">
        <f t="shared" si="1"/>
        <v>2</v>
      </c>
      <c r="G8" s="34">
        <f t="shared" si="1"/>
        <v>8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-70010600</v>
      </c>
      <c r="AG8" s="91">
        <f t="shared" ref="AG8:AG11" si="8">AF8-AE8*10</f>
        <v>-70010610</v>
      </c>
      <c r="AH8" s="91">
        <f>AG8+N24</f>
        <v>-70010608</v>
      </c>
    </row>
    <row r="9" spans="2:35" x14ac:dyDescent="0.2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-1</v>
      </c>
      <c r="X9" s="91">
        <f>SUMIF($K$7:$K$16,U9,$L$7:$L$16) + SUMIF($N$7:$N$16,U9,$M$7:$M$16)</f>
        <v>2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-49990200</v>
      </c>
      <c r="AG9" s="91">
        <f t="shared" si="8"/>
        <v>-49990210</v>
      </c>
      <c r="AH9" s="91">
        <f>AG9+N25</f>
        <v>-49990207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2</v>
      </c>
      <c r="F10" s="60">
        <f t="shared" si="1"/>
        <v>3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2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-19970300</v>
      </c>
      <c r="AG10" s="91">
        <f t="shared" si="8"/>
        <v>-19970310</v>
      </c>
      <c r="AH10" s="91">
        <f>AG10+N26</f>
        <v>-19970306</v>
      </c>
    </row>
    <row r="11" spans="2:35" x14ac:dyDescent="0.2">
      <c r="B11" s="66">
        <v>4</v>
      </c>
      <c r="C11" s="67" t="str">
        <f t="shared" si="1"/>
        <v>Peru</v>
      </c>
      <c r="D11" s="68">
        <f t="shared" si="1"/>
        <v>2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2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-9950200</v>
      </c>
      <c r="AG11" s="91">
        <f t="shared" si="8"/>
        <v>-9950210</v>
      </c>
      <c r="AH11" s="91">
        <f>AG11+N27</f>
        <v>-9950205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2</v>
      </c>
      <c r="F12" s="56">
        <f t="shared" si="1"/>
        <v>7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0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1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118" zoomScaleNormal="140" workbookViewId="0">
      <selection activeCell="M26" sqref="M2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10</v>
      </c>
      <c r="W7" s="91">
        <f>X7-Y7</f>
        <v>4</v>
      </c>
      <c r="X7" s="91">
        <f>SUMIF($K$7:$K$16,U7,$L$7:$L$16) + SUMIF($N$7:$N$16,U7,$M$7:$M$16)</f>
        <v>7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-100040700</v>
      </c>
      <c r="AG7" s="91">
        <f>AF7-AE7*10</f>
        <v>-100040710</v>
      </c>
      <c r="AH7" s="91">
        <f>AG7+N23</f>
        <v>-100040708</v>
      </c>
    </row>
    <row r="8" spans="2:34" x14ac:dyDescent="0.2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0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80000</v>
      </c>
      <c r="AG8" s="91">
        <f t="shared" ref="AG8:AG11" si="8">AF8-AE8*10</f>
        <v>79990</v>
      </c>
      <c r="AH8" s="91">
        <f>AG8+N24</f>
        <v>79995</v>
      </c>
    </row>
    <row r="9" spans="2:34" x14ac:dyDescent="0.2">
      <c r="B9" s="62">
        <v>2</v>
      </c>
      <c r="C9" s="63" t="str">
        <f t="shared" si="1"/>
        <v>Argentina</v>
      </c>
      <c r="D9" s="64">
        <f t="shared" si="1"/>
        <v>10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-60020600</v>
      </c>
      <c r="AG9" s="91">
        <f t="shared" si="8"/>
        <v>-60020610</v>
      </c>
      <c r="AH9" s="91">
        <f>AG9+N25</f>
        <v>-60020607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-29970200</v>
      </c>
      <c r="AG10" s="91">
        <f t="shared" si="8"/>
        <v>-29970210</v>
      </c>
      <c r="AH10" s="91">
        <f>AG10+N26</f>
        <v>-29970206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5</v>
      </c>
      <c r="X11" s="91">
        <f>SUMIF($K$7:$K$16,U11,$L$7:$L$16) + SUMIF($N$7:$N$16,U11,$M$7:$M$16)</f>
        <v>7</v>
      </c>
      <c r="Y11" s="91">
        <f>SUMIF($K$7:$K$16,U11,$M$7:$M$16) + SUMIF($N$7:$N$16,U11,$L$7:$L$16)</f>
        <v>2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-100050700</v>
      </c>
      <c r="AG11" s="91">
        <f t="shared" si="8"/>
        <v>-100050710</v>
      </c>
      <c r="AH11" s="91">
        <f>AG11+N27</f>
        <v>-100050709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1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1</v>
      </c>
      <c r="N27" s="1">
        <f>IF(J27="",0,M27)</f>
        <v>1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08" zoomScaleNormal="140" workbookViewId="0">
      <selection activeCell="H23" sqref="H23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Uruguay</v>
      </c>
      <c r="C7" s="41">
        <v>1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Peru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Uruguay</v>
      </c>
      <c r="H9" s="41">
        <v>0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1</v>
      </c>
      <c r="I10" s="77"/>
      <c r="J10" s="78"/>
    </row>
    <row r="11" spans="2:43" ht="16" thickBot="1" x14ac:dyDescent="0.25">
      <c r="B11" s="74" t="str">
        <f>'Grupo B'!C9</f>
        <v>Argentina</v>
      </c>
      <c r="C11" s="41">
        <v>2</v>
      </c>
      <c r="D11" s="75"/>
      <c r="E11" s="82"/>
      <c r="J11" s="79"/>
    </row>
    <row r="12" spans="2:43" ht="16" thickBot="1" x14ac:dyDescent="0.25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Argentina</v>
      </c>
      <c r="M13" s="41">
        <v>0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5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Uruguay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Microsoft Office User</cp:lastModifiedBy>
  <dcterms:created xsi:type="dcterms:W3CDTF">2021-05-30T22:13:47Z</dcterms:created>
  <dcterms:modified xsi:type="dcterms:W3CDTF">2021-06-12T15:36:47Z</dcterms:modified>
</cp:coreProperties>
</file>