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610" windowHeight="1116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l="1"/>
  <c r="C8" i="1"/>
  <c r="B19" i="3" s="1"/>
  <c r="G18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G17" i="3" s="1"/>
  <c r="L14" i="3" s="1"/>
  <c r="L23" i="3" l="1"/>
  <c r="R17" i="3"/>
  <c r="R18" i="3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<sst xmlns="http://schemas.openxmlformats.org/spreadsheetml/2006/main" count="190" uniqueCount="84">
  <si>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</si>
  <si>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</si>
  <si>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</si>
  <si>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</si>
  <si>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</si>
  <si>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</si>
  <si>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</si>
  <si>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</si>
  <si>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</si>
  <si>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</si>
  <si>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</si>
  <si>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</si>
  <si>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</si>
  <si>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</si>
  <si>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</si>
  <si>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</si>
  <si>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</si>
  <si>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</si>
  <si>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</si>
  <si>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</si>
  <si>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</si>
  <si>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</si>
  <si>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</si>
  <si>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</si>
  <si>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</si>
  <si>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</si>
  <si>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</si>
  <si>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</si>
  <si>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</si>
  <si>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</si>
  <si>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</si>
  <si>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</si>
  <si>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</si>
  <si>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</si>
  <si>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</si>
  <si>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</si>
  <si>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</si>
  <si>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</si>
  <si>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</si>
  <si>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</si>
  <si>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</si>
  <si>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</si>
  <si>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</si>
  <si>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</si>
  <si>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</si>
  <si>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</si>
  <si>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</si>
  <si>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</si>
  <si>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</si>
  <si>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</si>
  <si>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</si>
  <si>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</si>
  <si>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</si>
  <si>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</si>
  <si>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</si>
  <si>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</si>
  <si>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</si>
  <si>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</si>
  <si>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</si>
  <si>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</si>
  <si>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</si>
  <si>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</si>
  <si>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</si>
  <si>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</si>
  <si>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</si>
  <si>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</si>
  <si>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</si>
  <si>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</si>
  <si>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</si>
  <si>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</si>
  <si>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</si>
  <si>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</si>
  <si>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</si>
  <si>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</si>
  <si>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</si>
  <si>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</si>
  <si>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</si>
  <si>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</si>
  <si>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</si>
  <si>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</si>
  <si>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</si>
  <si>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Francia</t>
  </si>
  <si>
    <t>Juan Pablo Figueroa Rozas</t>
  </si>
  <si>
    <t>jpablofigueroa@yahoo.com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</si>
</sst>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workbookViewId="0">
      <selection activeCell="B10" sqref="B10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82</v>
      </c>
      <c r="D3" s="106"/>
    </row>
    <row r="4" spans="2:7" x14ac:dyDescent="0.25">
      <c r="B4" s="94" t="s">
        <v>58</v>
      </c>
      <c r="C4" s="107" t="s">
        <v>83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69</v>
      </c>
      <c r="G5" s="91" t="s">
        <v>60</v>
      </c>
    </row>
    <row r="6" spans="2:7" ht="30.75" customHeight="1" thickBot="1" x14ac:dyDescent="0.3">
      <c r="B6" s="98" t="s">
        <v>80</v>
      </c>
      <c r="C6" s="100" t="s">
        <v>81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A11" zoomScale="110" zoomScaleNormal="110" workbookViewId="0">
      <selection activeCell="N19" sqref="N19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2</v>
      </c>
      <c r="U7" s="91" t="s">
        <v>2</v>
      </c>
      <c r="V7" s="91">
        <f>SUMIF($K$7:$K$16,U7,$P$7:$P$16) + SUMIF($N$7:$N$16,U7,$Q$7:$Q$16)</f>
        <v>8</v>
      </c>
      <c r="W7" s="91">
        <f>X7-Y7</f>
        <v>5</v>
      </c>
      <c r="X7" s="91">
        <f>SUMIF($K$7:$K$16,U7,$L$7:$L$16) + SUMIF($N$7:$N$16,U7,$M$7:$M$16)</f>
        <v>10</v>
      </c>
      <c r="Y7" s="91">
        <f>SUMIF($K$7:$K$16,U7,$M$7:$M$16) + SUMIF($N$7:$N$16,U7,$L$7:$L$16)</f>
        <v>5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-80051000</v>
      </c>
      <c r="AG7" s="91">
        <f>AF7-AE7*10</f>
        <v>-80051010</v>
      </c>
      <c r="AH7" s="91">
        <f>AG7+N23</f>
        <v>-80051009</v>
      </c>
    </row>
    <row r="8" spans="2:35" x14ac:dyDescent="0.25">
      <c r="B8" s="50">
        <v>1</v>
      </c>
      <c r="C8" s="32" t="str">
        <f t="shared" ref="C8:G12" si="1">IFERROR(VLOOKUP($B8,$T$7:$Y$11,C$5,FALSE),"")</f>
        <v>Colombia</v>
      </c>
      <c r="D8" s="33">
        <f t="shared" si="1"/>
        <v>10</v>
      </c>
      <c r="E8" s="33">
        <f t="shared" si="1"/>
        <v>9</v>
      </c>
      <c r="F8" s="33">
        <f t="shared" si="1"/>
        <v>5</v>
      </c>
      <c r="G8" s="34">
        <f t="shared" si="1"/>
        <v>4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1</v>
      </c>
      <c r="U8" s="91" t="s">
        <v>12</v>
      </c>
      <c r="V8" s="91">
        <f>SUMIF($K$7:$K$16,U8,$P$7:$P$16) + SUMIF($N$7:$N$16,U8,$Q$7:$Q$16)</f>
        <v>10</v>
      </c>
      <c r="W8" s="91">
        <f>X8-Y8</f>
        <v>4</v>
      </c>
      <c r="X8" s="91">
        <f>SUMIF($K$7:$K$16,U8,$L$7:$L$16) + SUMIF($N$7:$N$16,U8,$M$7:$M$16)</f>
        <v>9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-100040900</v>
      </c>
      <c r="AG8" s="91">
        <f t="shared" ref="AG8:AG11" si="8">AF8-AE8*10</f>
        <v>-100040910</v>
      </c>
      <c r="AH8" s="91">
        <f>AG8+N24</f>
        <v>-100040908</v>
      </c>
    </row>
    <row r="9" spans="2:35" x14ac:dyDescent="0.25">
      <c r="B9" s="62">
        <v>2</v>
      </c>
      <c r="C9" s="63" t="str">
        <f t="shared" si="1"/>
        <v>Brasil</v>
      </c>
      <c r="D9" s="64">
        <f t="shared" si="1"/>
        <v>8</v>
      </c>
      <c r="E9" s="64">
        <f t="shared" si="1"/>
        <v>10</v>
      </c>
      <c r="F9" s="64">
        <f t="shared" si="1"/>
        <v>5</v>
      </c>
      <c r="G9" s="65">
        <f t="shared" si="1"/>
        <v>5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-2</v>
      </c>
      <c r="X9" s="91">
        <f>SUMIF($K$7:$K$16,U9,$L$7:$L$16) + SUMIF($N$7:$N$16,U9,$M$7:$M$16)</f>
        <v>5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-39980500</v>
      </c>
      <c r="AG9" s="91">
        <f t="shared" si="8"/>
        <v>-39980510</v>
      </c>
      <c r="AH9" s="91">
        <f>AG9+N25</f>
        <v>-39980506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5</v>
      </c>
      <c r="E10" s="60">
        <f t="shared" si="1"/>
        <v>6</v>
      </c>
      <c r="F10" s="60">
        <f t="shared" si="1"/>
        <v>6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2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5</v>
      </c>
      <c r="W10" s="91">
        <f t="shared" si="9"/>
        <v>0</v>
      </c>
      <c r="X10" s="91">
        <f>SUMIF($K$7:$K$16,U10,$L$7:$L$16) + SUMIF($N$7:$N$16,U10,$M$7:$M$16)</f>
        <v>6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-50000600</v>
      </c>
      <c r="AG10" s="91">
        <f t="shared" si="8"/>
        <v>-50000610</v>
      </c>
      <c r="AH10" s="91">
        <f>AG10+N26</f>
        <v>-50000607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4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-7</v>
      </c>
      <c r="X11" s="91">
        <f>SUMIF($K$7:$K$16,U11,$L$7:$L$16) + SUMIF($N$7:$N$16,U11,$M$7:$M$16)</f>
        <v>3</v>
      </c>
      <c r="Y11" s="91">
        <f>SUMIF($K$7:$K$16,U11,$M$7:$M$16) + SUMIF($N$7:$N$16,U11,$L$7:$L$16)</f>
        <v>10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69700</v>
      </c>
      <c r="AG11" s="91">
        <f t="shared" si="8"/>
        <v>69690</v>
      </c>
      <c r="AH11" s="91">
        <f>AG11+N27</f>
        <v>69695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3</v>
      </c>
      <c r="F12" s="56">
        <f t="shared" si="1"/>
        <v>10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2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4</v>
      </c>
      <c r="N25" s="1">
        <f>IF(J25="",0,M25)</f>
        <v>4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zoomScale="96" zoomScaleNormal="96" workbookViewId="0">
      <selection activeCell="O21" sqref="O21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8</v>
      </c>
      <c r="W7" s="91">
        <f>X7-Y7</f>
        <v>5</v>
      </c>
      <c r="X7" s="91">
        <f>SUMIF($K$7:$K$16,U7,$L$7:$L$16) + SUMIF($N$7:$N$16,U7,$M$7:$M$16)</f>
        <v>8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-80050800</v>
      </c>
      <c r="AG7" s="91">
        <f>AF7-AE7*10</f>
        <v>-80050810</v>
      </c>
      <c r="AH7" s="91">
        <f>AG7+N23</f>
        <v>-80050809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8</v>
      </c>
      <c r="E8" s="33">
        <f t="shared" si="1"/>
        <v>8</v>
      </c>
      <c r="F8" s="33">
        <f t="shared" si="1"/>
        <v>3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79900</v>
      </c>
      <c r="AG8" s="91">
        <f t="shared" ref="AG8:AG11" si="8">AF8-AE8*10</f>
        <v>79890</v>
      </c>
      <c r="AH8" s="91">
        <f>AG8+N24</f>
        <v>79895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8</v>
      </c>
      <c r="F9" s="64">
        <f t="shared" si="1"/>
        <v>4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2</v>
      </c>
      <c r="X9" s="91">
        <f>SUMIF($K$7:$K$16,U9,$L$7:$L$16) + SUMIF($N$7:$N$16,U9,$M$7:$M$16)</f>
        <v>8</v>
      </c>
      <c r="Y9" s="91">
        <f>SUMIF($K$7:$K$16,U9,$M$7:$M$16) + SUMIF($N$7:$N$16,U9,$L$7:$L$16)</f>
        <v>6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-80020800</v>
      </c>
      <c r="AG9" s="91">
        <f t="shared" si="8"/>
        <v>-80020810</v>
      </c>
      <c r="AH9" s="91">
        <f>AG9+N25</f>
        <v>-80020807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8</v>
      </c>
      <c r="E10" s="60">
        <f t="shared" si="1"/>
        <v>8</v>
      </c>
      <c r="F10" s="60">
        <f t="shared" si="1"/>
        <v>6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4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-29970400</v>
      </c>
      <c r="AG10" s="91">
        <f t="shared" si="8"/>
        <v>-29970410</v>
      </c>
      <c r="AH10" s="91">
        <f>AG10+N26</f>
        <v>-29970406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4</v>
      </c>
      <c r="F11" s="68">
        <f t="shared" si="1"/>
        <v>7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8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-80040800</v>
      </c>
      <c r="AG11" s="91">
        <f t="shared" si="8"/>
        <v>-80040810</v>
      </c>
      <c r="AH11" s="91">
        <f>AG11+N27</f>
        <v>-80040808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3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zoomScale="140" zoomScaleNormal="140" workbookViewId="0">
      <selection activeCell="E20" sqref="E20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Uruguay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Peru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2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Brasil</v>
      </c>
      <c r="C15" s="41">
        <v>3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Brasil</v>
      </c>
      <c r="H17" s="41">
        <v>3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Colombia</v>
      </c>
      <c r="H18" s="42">
        <v>1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Colombia</v>
      </c>
      <c r="C19" s="41">
        <v>2</v>
      </c>
      <c r="D19" s="75">
        <v>3</v>
      </c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Paraguay</v>
      </c>
      <c r="C20" s="42">
        <v>2</v>
      </c>
      <c r="D20" s="77">
        <v>1</v>
      </c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2</v>
      </c>
      <c r="N22" s="75">
        <v>3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Colombia</v>
      </c>
      <c r="M23" s="42">
        <v>2</v>
      </c>
      <c r="N23" s="77">
        <v>2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PCFACIL</cp:lastModifiedBy>
  <dcterms:created xsi:type="dcterms:W3CDTF">2021-05-30T22:13:47Z</dcterms:created>
  <dcterms:modified xsi:type="dcterms:W3CDTF">2021-06-12T17:11:58Z</dcterms:modified>
</cp:coreProperties>
</file>