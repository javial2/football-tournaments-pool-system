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basura/basura/basura/"/>
    </mc:Choice>
  </mc:AlternateContent>
  <xr:revisionPtr revIDLastSave="42" documentId="8_{9CC3939A-755E-4BF8-91B1-146113EA5514}" xr6:coauthVersionLast="47" xr6:coauthVersionMax="47" xr10:uidLastSave="{C6CE08AE-F06C-450B-8C58-69C7AB750AFA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B15" i="3"/>
  <c r="G17" i="3" s="1"/>
  <c r="L23" i="3" s="1"/>
  <c r="R19" i="3" l="1"/>
  <c r="R17" i="3"/>
  <c r="R18" i="3" s="1"/>
</calcChain>
</file>

<file path=xl/sharedStrings.xml><?xml version="1.0" encoding="utf-8"?>
<sst xmlns="http://schemas.openxmlformats.org/spreadsheetml/2006/main" count="198" uniqueCount="85">
  <si>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</si>
  <si>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</si>
  <si>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</si>
  <si>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</si>
  <si>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</si>
  <si>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</si>
  <si>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</si>
  <si>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</si>
  <si>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</si>
  <si>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</si>
  <si>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</si>
  <si>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</si>
  <si>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</si>
  <si>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</si>
  <si>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</si>
  <si>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</si>
  <si>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</si>
  <si>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</si>
  <si>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</si>
  <si>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</si>
  <si>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</si>
  <si>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</si>
  <si>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</si>
  <si>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</si>
  <si>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</si>
  <si>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</si>
  <si>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</si>
  <si>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</si>
  <si>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</si>
  <si>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</si>
  <si>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</si>
  <si>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</si>
  <si>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</si>
  <si>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</si>
  <si>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</si>
  <si>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</si>
  <si>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</si>
  <si>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</si>
  <si>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</si>
  <si>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</si>
  <si>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</si>
  <si>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</si>
  <si>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</si>
  <si>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</si>
  <si>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</si>
  <si>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</si>
  <si>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</si>
  <si>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</si>
  <si>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</si>
  <si>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</si>
  <si>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</si>
  <si>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</si>
  <si>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</si>
  <si>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</si>
  <si>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</si>
  <si>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</si>
  <si>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</si>
  <si>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</si>
  <si>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</si>
  <si>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</si>
  <si>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</si>
  <si>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</si>
  <si>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</si>
  <si>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</si>
  <si>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</si>
  <si>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</si>
  <si>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</si>
  <si>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</si>
  <si>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</si>
  <si>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</si>
  <si>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</si>
  <si>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</si>
  <si>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</si>
  <si>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</si>
  <si>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</si>
  <si>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</si>
  <si>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</si>
  <si>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</si>
  <si>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</si>
  <si>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</si>
  <si>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</si>
  <si>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chile</t>
  </si>
  <si>
    <t xml:space="preserve"> </t>
  </si>
  <si>
    <t>Pelayo Figueroa Rozas</t>
  </si>
  <si>
    <t>pelayofigueroa@gmail.com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</si>
</sst>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7" sqref="C7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83</v>
      </c>
      <c r="D3" s="106"/>
    </row>
    <row r="4" spans="2:7" x14ac:dyDescent="0.35">
      <c r="B4" s="94" t="s">
        <v>58</v>
      </c>
      <c r="C4" s="107" t="s">
        <v>84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4">
      <c r="B6" s="98" t="s">
        <v>80</v>
      </c>
      <c r="C6" s="100" t="s">
        <v>81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4" zoomScale="140" zoomScaleNormal="140" workbookViewId="0">
      <selection activeCell="N12" sqref="N12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7</v>
      </c>
      <c r="Y8" s="91">
        <f>SUMIF($K$7:$K$16,U8,$M$7:$M$16) + SUMIF($N$7:$N$16,U8,$L$7:$L$16)</f>
        <v>7</v>
      </c>
      <c r="AB8" s="91" t="str">
        <f t="shared" ref="AB8:AB11" si="5">U8</f>
        <v>Colombia</v>
      </c>
      <c r="AC8" s="91" t="str">
        <f>IF(AF8=AF9,AB9,IF(AF8=AF10,AB10,IF(AF8=AF11,AB11,IF(AF8=AF7,AB7,""))))</f>
        <v>Ecuador</v>
      </c>
      <c r="AD8" s="91" t="str">
        <f>IF(AC8="","",IFERROR(VLOOKUP(CONCATENATE(AB8,"_",AC8),$O$7:$R$16,4,FALSE),VLOOKUP(CONCATENATE(AC8,"_",AB8),$O$7:$R$16,4,FALSE)))</f>
        <v>Ecuador</v>
      </c>
      <c r="AE8" s="91">
        <f t="shared" ref="AE8:AE11" si="6">IF(AD8="",1,IF(AD8=AB8,1,0))</f>
        <v>0</v>
      </c>
      <c r="AF8" s="91">
        <f t="shared" ref="AF8:AF11" si="7">-V8*10000000 - W8*10000 - X8*100</f>
        <v>-50000700</v>
      </c>
      <c r="AG8" s="91">
        <f t="shared" ref="AG8:AG11" si="8">AF8-AE8*10</f>
        <v>-50000700</v>
      </c>
      <c r="AH8" s="91">
        <f>AG8+N24</f>
        <v>-50000698</v>
      </c>
    </row>
    <row r="9" spans="2:35" x14ac:dyDescent="0.35">
      <c r="B9" s="62">
        <v>2</v>
      </c>
      <c r="C9" s="63" t="str">
        <f t="shared" si="1"/>
        <v>Ecuador</v>
      </c>
      <c r="D9" s="64">
        <f t="shared" si="1"/>
        <v>5</v>
      </c>
      <c r="E9" s="64">
        <f t="shared" si="1"/>
        <v>7</v>
      </c>
      <c r="F9" s="64">
        <f t="shared" si="1"/>
        <v>7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2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7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>Colombia</v>
      </c>
      <c r="AD9" s="91" t="str">
        <f>IF(AC9="","",IFERROR(VLOOKUP(CONCATENATE(AB9,"_",AC9),$O$7:$R$16,4,FALSE),VLOOKUP(CONCATENATE(AC9,"_",AB9),$O$7:$R$16,4,FALSE)))</f>
        <v>Ecuador</v>
      </c>
      <c r="AE9" s="91">
        <f t="shared" si="6"/>
        <v>1</v>
      </c>
      <c r="AF9" s="91">
        <f t="shared" si="7"/>
        <v>-50000700</v>
      </c>
      <c r="AG9" s="91">
        <f t="shared" si="8"/>
        <v>-50000710</v>
      </c>
      <c r="AH9" s="91">
        <f>AG9+N25</f>
        <v>-50000707</v>
      </c>
    </row>
    <row r="10" spans="2:35" x14ac:dyDescent="0.35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7</v>
      </c>
      <c r="F10" s="60">
        <f t="shared" si="1"/>
        <v>7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-19970300</v>
      </c>
      <c r="AG10" s="91">
        <f t="shared" si="8"/>
        <v>-19970310</v>
      </c>
      <c r="AH10" s="91">
        <f>AG10+N26</f>
        <v>-19970306</v>
      </c>
    </row>
    <row r="11" spans="2:35" x14ac:dyDescent="0.35">
      <c r="B11" s="66">
        <v>4</v>
      </c>
      <c r="C11" s="67" t="str">
        <f t="shared" si="1"/>
        <v>Venezuela</v>
      </c>
      <c r="D11" s="68">
        <f t="shared" si="1"/>
        <v>3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3</v>
      </c>
      <c r="W11" s="91">
        <f t="shared" si="9"/>
        <v>-3</v>
      </c>
      <c r="X11" s="91">
        <f>SUMIF($K$7:$K$16,U11,$L$7:$L$16) + SUMIF($N$7:$N$16,U11,$M$7:$M$16)</f>
        <v>4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-29970400</v>
      </c>
      <c r="AG11" s="91">
        <f t="shared" si="8"/>
        <v>-29970410</v>
      </c>
      <c r="AH11" s="91">
        <f>AG11+N27</f>
        <v>-29970405</v>
      </c>
    </row>
    <row r="12" spans="2:35" s="1" customFormat="1" ht="15" thickBot="1" x14ac:dyDescent="0.4">
      <c r="B12" s="54">
        <v>5</v>
      </c>
      <c r="C12" s="55" t="str">
        <f t="shared" si="1"/>
        <v>Peru</v>
      </c>
      <c r="D12" s="56">
        <f t="shared" si="1"/>
        <v>2</v>
      </c>
      <c r="E12" s="56">
        <f t="shared" si="1"/>
        <v>3</v>
      </c>
      <c r="F12" s="56">
        <f t="shared" si="1"/>
        <v>6</v>
      </c>
      <c r="G12" s="57">
        <f t="shared" si="1"/>
        <v>-3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2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2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M16" sqref="M16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2</v>
      </c>
      <c r="X7" s="91">
        <f>SUMIF($K$7:$K$16,U7,$L$7:$L$16) + SUMIF($N$7:$N$16,U7,$M$7:$M$16)</f>
        <v>7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-80020700</v>
      </c>
      <c r="AG7" s="91">
        <f>AF7-AE7*10</f>
        <v>-80020710</v>
      </c>
      <c r="AH7" s="91">
        <f>AG7+N23</f>
        <v>-80020709</v>
      </c>
    </row>
    <row r="8" spans="2:34" x14ac:dyDescent="0.3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8</v>
      </c>
      <c r="E8" s="33">
        <f t="shared" si="1"/>
        <v>7</v>
      </c>
      <c r="F8" s="33">
        <f t="shared" si="1"/>
        <v>5</v>
      </c>
      <c r="G8" s="34">
        <f t="shared" si="1"/>
        <v>2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-5</v>
      </c>
      <c r="X8" s="91">
        <f>SUMIF($K$7:$K$16,U8,$L$7:$L$16) + SUMIF($N$7:$N$16,U8,$M$7:$M$16)</f>
        <v>3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49700</v>
      </c>
      <c r="AG8" s="91">
        <f t="shared" ref="AG8:AG11" si="8">AF8-AE8*10</f>
        <v>49690</v>
      </c>
      <c r="AH8" s="91">
        <f>AG8+N24</f>
        <v>49695</v>
      </c>
    </row>
    <row r="9" spans="2:34" x14ac:dyDescent="0.35">
      <c r="B9" s="62">
        <v>2</v>
      </c>
      <c r="C9" s="63" t="str">
        <f t="shared" si="1"/>
        <v>Uruguay</v>
      </c>
      <c r="D9" s="64">
        <f t="shared" si="1"/>
        <v>6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-60010500</v>
      </c>
      <c r="AG9" s="91">
        <f t="shared" si="8"/>
        <v>-60010510</v>
      </c>
      <c r="AH9" s="91">
        <f>AG9+N25</f>
        <v>-60010508</v>
      </c>
    </row>
    <row r="10" spans="2:34" x14ac:dyDescent="0.3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5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-50000500</v>
      </c>
      <c r="AG10" s="91">
        <f t="shared" si="8"/>
        <v>-50000510</v>
      </c>
      <c r="AH10" s="91">
        <f>AG10+N26</f>
        <v>-50000506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5</v>
      </c>
      <c r="E11" s="68">
        <f t="shared" si="1"/>
        <v>5</v>
      </c>
      <c r="F11" s="68">
        <f t="shared" si="1"/>
        <v>5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6</v>
      </c>
      <c r="W11" s="91">
        <f t="shared" si="9"/>
        <v>2</v>
      </c>
      <c r="X11" s="91">
        <f>SUMIF($K$7:$K$16,U11,$L$7:$L$16) + SUMIF($N$7:$N$16,U11,$M$7:$M$16)</f>
        <v>6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-60020600</v>
      </c>
      <c r="AG11" s="91">
        <f t="shared" si="8"/>
        <v>-60020610</v>
      </c>
      <c r="AH11" s="91">
        <f>AG11+N27</f>
        <v>-60020607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3</v>
      </c>
      <c r="F12" s="56">
        <f t="shared" si="1"/>
        <v>8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2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13" zoomScale="140" zoomScaleNormal="140" workbookViewId="0">
      <selection activeCell="M24" sqref="M24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Argentina</v>
      </c>
      <c r="C7" s="41">
        <v>2</v>
      </c>
      <c r="D7" s="75" t="s">
        <v>82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Venezuela</v>
      </c>
      <c r="C8" s="42">
        <v>0</v>
      </c>
      <c r="D8" s="77" t="s">
        <v>82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Argentina</v>
      </c>
      <c r="H9" s="41">
        <v>1</v>
      </c>
      <c r="I9" s="75" t="s">
        <v>82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Colombia</v>
      </c>
      <c r="H10" s="42">
        <v>2</v>
      </c>
      <c r="I10" s="77" t="s">
        <v>82</v>
      </c>
      <c r="J10" s="78"/>
    </row>
    <row r="11" spans="2:43" ht="15" thickBot="1" x14ac:dyDescent="0.4">
      <c r="B11" s="74" t="str">
        <f>'Grupo B'!C9</f>
        <v>Uruguay</v>
      </c>
      <c r="C11" s="41">
        <v>1</v>
      </c>
      <c r="D11" s="75" t="s">
        <v>82</v>
      </c>
      <c r="E11" s="82"/>
      <c r="J11" s="79"/>
    </row>
    <row r="12" spans="2:43" ht="15" thickBot="1" x14ac:dyDescent="0.4">
      <c r="B12" s="76" t="str">
        <f>'Grupo A'!C10</f>
        <v>Colombia</v>
      </c>
      <c r="C12" s="42">
        <v>2</v>
      </c>
      <c r="D12" s="77" t="s">
        <v>82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Colombia</v>
      </c>
      <c r="M13" s="41">
        <v>0</v>
      </c>
      <c r="N13" s="75" t="s">
        <v>82</v>
      </c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Chile</v>
      </c>
      <c r="M14" s="42">
        <v>1</v>
      </c>
      <c r="N14" s="77" t="s">
        <v>82</v>
      </c>
    </row>
    <row r="15" spans="2:43" ht="15" thickBot="1" x14ac:dyDescent="0.4">
      <c r="B15" s="74" t="str">
        <f>'Grupo A'!C9</f>
        <v>Ecuador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Chile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Chile</v>
      </c>
      <c r="H17" s="41">
        <v>2</v>
      </c>
      <c r="I17" s="75">
        <v>5</v>
      </c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>
        <v>4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Colombia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Brasil</v>
      </c>
    </row>
    <row r="20" spans="2:26" ht="15" thickBot="1" x14ac:dyDescent="0.4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Brasil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2021-06-12T21:03:33Z</dcterms:modified>
</cp:coreProperties>
</file>