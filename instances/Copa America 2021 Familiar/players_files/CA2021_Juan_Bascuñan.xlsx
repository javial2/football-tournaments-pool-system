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cuments\Copa America 2021\Familiar\Archivos_De_Jugadores\"/>
    </mc:Choice>
  </mc:AlternateContent>
  <xr:revisionPtr revIDLastSave="0" documentId="13_ncr:1_{3ED26D32-78CD-4A0B-B538-477D2A6DAD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V8" i="2" l="1"/>
  <c r="AF8" i="2" s="1"/>
  <c r="AF7" i="2"/>
  <c r="AF11" i="2"/>
  <c r="V10" i="2"/>
  <c r="AF10" i="2" s="1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B15" i="3"/>
  <c r="G17" i="3" s="1"/>
  <c r="L14" i="3" s="1"/>
  <c r="L23" i="3" l="1"/>
  <c r="R19" i="3" s="1"/>
  <c r="R17" i="3"/>
  <c r="R18" i="3" s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<sst xmlns="http://schemas.openxmlformats.org/spreadsheetml/2006/main" count="187" uniqueCount="82">
  <si>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</si>
  <si>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</si>
  <si>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</si>
  <si>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</si>
  <si>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</si>
  <si>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</si>
  <si>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</si>
  <si>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</si>
  <si>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</si>
  <si>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</si>
  <si>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</si>
  <si>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</si>
  <si>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</si>
  <si>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</si>
  <si>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</si>
  <si>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</si>
  <si>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</si>
  <si>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</si>
  <si>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</si>
  <si>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</si>
  <si>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</si>
  <si>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</si>
  <si>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</si>
  <si>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</si>
  <si>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</si>
  <si>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</si>
  <si>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</si>
  <si>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</si>
  <si>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</si>
  <si>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</si>
  <si>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</si>
  <si>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</si>
  <si>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</si>
  <si>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</si>
  <si>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</si>
  <si>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</si>
  <si>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</si>
  <si>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</si>
  <si>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</si>
  <si>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</si>
  <si>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</si>
  <si>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</si>
  <si>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</si>
  <si>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</si>
  <si>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</si>
  <si>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</si>
  <si>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</si>
  <si>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</si>
  <si>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</si>
  <si>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</si>
  <si>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</si>
  <si>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</si>
  <si>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</si>
  <si>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</si>
  <si>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</si>
  <si>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</si>
  <si>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</si>
  <si>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</si>
  <si>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</si>
  <si>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</si>
  <si>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</si>
  <si>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</si>
  <si>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</si>
  <si>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</si>
  <si>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</si>
  <si>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</si>
  <si>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</si>
  <si>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</si>
  <si>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</si>
  <si>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</si>
  <si>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</si>
  <si>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</si>
  <si>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</si>
  <si>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</si>
  <si>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</si>
  <si>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</si>
  <si>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</si>
  <si>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</si>
  <si>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</si>
  <si>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</si>
  <si>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</si>
  <si>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Juan Bascuñan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</si>
</sst>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3" fillId="0" borderId="49" xfId="1" applyFont="1" applyBorder="1" applyAlignment="1" applyProtection="1">
      <alignment horizontal="center"/>
    </xf>
    <xf numFmtId="0" fontId="3" fillId="0" borderId="50" xfId="1" applyFont="1" applyBorder="1" applyAlignment="1" applyProtection="1">
      <alignment horizontal="center"/>
    </xf>
    <xf numFmtId="0" fontId="3" fillId="0" borderId="51" xfId="1" applyFont="1" applyBorder="1" applyAlignment="1" applyProtection="1">
      <alignment horizontal="center"/>
    </xf>
    <xf numFmtId="0" fontId="3" fillId="0" borderId="52" xfId="1" applyFont="1" applyBorder="1" applyAlignment="1" applyProtection="1">
      <alignment horizontal="center"/>
    </xf>
    <xf numFmtId="0" fontId="3" fillId="0" borderId="56" xfId="1" applyFont="1" applyBorder="1" applyAlignment="1" applyProtection="1">
      <alignment horizontal="center"/>
    </xf>
    <xf numFmtId="0" fontId="3" fillId="0" borderId="57" xfId="1" applyFont="1" applyBorder="1" applyAlignment="1" applyProtection="1">
      <alignment horizontal="center"/>
    </xf>
    <xf numFmtId="0" fontId="3" fillId="0" borderId="53" xfId="1" applyFont="1" applyBorder="1" applyAlignment="1" applyProtection="1">
      <alignment horizontal="center"/>
    </xf>
    <xf numFmtId="0" fontId="3" fillId="0" borderId="54" xfId="1" applyFont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4"/>
  <sheetViews>
    <sheetView showGridLines="0" tabSelected="1" zoomScale="160" zoomScaleNormal="160" workbookViewId="0">
      <selection activeCell="C4" sqref="C4:D4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83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87" t="s">
        <v>57</v>
      </c>
      <c r="C3" s="105" t="s">
        <v>81</v>
      </c>
      <c r="D3" s="106"/>
    </row>
    <row r="4" spans="2:7" x14ac:dyDescent="0.25">
      <c r="B4" s="86" t="s">
        <v>58</v>
      </c>
      <c r="C4" s="107"/>
      <c r="D4" s="108"/>
    </row>
    <row r="5" spans="2:7" s="1" customFormat="1" x14ac:dyDescent="0.25">
      <c r="B5" s="88" t="s">
        <v>59</v>
      </c>
      <c r="C5" s="89" t="str">
        <f>IF(D5="","Seleccione de la lista -&gt;","Real Madrid")</f>
        <v>Seleccione de la lista -&gt;</v>
      </c>
      <c r="D5" s="91"/>
      <c r="G5" s="83" t="s">
        <v>60</v>
      </c>
    </row>
    <row r="6" spans="2:7" ht="30.75" customHeight="1" thickBot="1" x14ac:dyDescent="0.3">
      <c r="B6" s="90" t="s">
        <v>80</v>
      </c>
      <c r="C6" s="100"/>
      <c r="D6" s="101"/>
      <c r="G6" s="83" t="s">
        <v>61</v>
      </c>
    </row>
    <row r="7" spans="2:7" x14ac:dyDescent="0.25">
      <c r="G7" s="83" t="s">
        <v>62</v>
      </c>
    </row>
    <row r="8" spans="2:7" x14ac:dyDescent="0.25">
      <c r="G8" s="83" t="s">
        <v>74</v>
      </c>
    </row>
    <row r="9" spans="2:7" x14ac:dyDescent="0.25">
      <c r="G9" s="83" t="s">
        <v>63</v>
      </c>
    </row>
    <row r="10" spans="2:7" x14ac:dyDescent="0.25">
      <c r="G10" s="83" t="s">
        <v>64</v>
      </c>
    </row>
    <row r="11" spans="2:7" x14ac:dyDescent="0.25">
      <c r="G11" s="83" t="s">
        <v>65</v>
      </c>
    </row>
    <row r="12" spans="2:7" x14ac:dyDescent="0.25">
      <c r="G12" s="83" t="s">
        <v>66</v>
      </c>
    </row>
    <row r="13" spans="2:7" x14ac:dyDescent="0.25">
      <c r="G13" s="83" t="s">
        <v>68</v>
      </c>
    </row>
    <row r="14" spans="2:7" x14ac:dyDescent="0.25">
      <c r="G14" s="83" t="s">
        <v>69</v>
      </c>
    </row>
    <row r="15" spans="2:7" x14ac:dyDescent="0.25">
      <c r="G15" s="83" t="s">
        <v>70</v>
      </c>
    </row>
    <row r="16" spans="2:7" x14ac:dyDescent="0.25">
      <c r="G16" s="83" t="s">
        <v>71</v>
      </c>
    </row>
    <row r="17" spans="7:7" x14ac:dyDescent="0.25">
      <c r="G17" s="83" t="s">
        <v>72</v>
      </c>
    </row>
    <row r="18" spans="7:7" x14ac:dyDescent="0.25">
      <c r="G18" s="83" t="s">
        <v>67</v>
      </c>
    </row>
    <row r="19" spans="7:7" x14ac:dyDescent="0.25">
      <c r="G19" s="83" t="s">
        <v>73</v>
      </c>
    </row>
    <row r="20" spans="7:7" x14ac:dyDescent="0.25">
      <c r="G20" s="83" t="s">
        <v>75</v>
      </c>
    </row>
    <row r="21" spans="7:7" x14ac:dyDescent="0.25">
      <c r="G21" s="83" t="s">
        <v>76</v>
      </c>
    </row>
    <row r="22" spans="7:7" x14ac:dyDescent="0.25">
      <c r="G22" s="83" t="s">
        <v>77</v>
      </c>
    </row>
    <row r="23" spans="7:7" x14ac:dyDescent="0.25">
      <c r="G23" s="83" t="s">
        <v>78</v>
      </c>
    </row>
    <row r="24" spans="7:7" x14ac:dyDescent="0.25">
      <c r="G24" s="83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00000000-0002-0000-0000-000000000000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29"/>
  <sheetViews>
    <sheetView showGridLines="0" zoomScale="107" zoomScaleNormal="140" workbookViewId="0">
      <selection activeCell="M17" sqref="M17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62" bestFit="1" customWidth="1"/>
    <col min="15" max="15" width="20" style="83" bestFit="1" customWidth="1"/>
    <col min="16" max="26" width="11.42578125" style="83"/>
    <col min="27" max="27" width="10.42578125" style="83" bestFit="1" customWidth="1"/>
    <col min="28" max="28" width="13.7109375" style="83" bestFit="1" customWidth="1"/>
    <col min="29" max="29" width="10.42578125" style="83" bestFit="1" customWidth="1"/>
    <col min="30" max="30" width="9.85546875" style="83" bestFit="1" customWidth="1"/>
    <col min="31" max="31" width="13" style="83" bestFit="1" customWidth="1"/>
    <col min="32" max="32" width="29.85546875" style="83" bestFit="1" customWidth="1"/>
    <col min="33" max="33" width="25.7109375" style="83" bestFit="1" customWidth="1"/>
    <col min="34" max="35" width="11.42578125" style="83"/>
  </cols>
  <sheetData>
    <row r="1" spans="2:35" s="1" customFormat="1" x14ac:dyDescent="0.25">
      <c r="N1" s="62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85">
        <v>2</v>
      </c>
      <c r="D5" s="85">
        <v>3</v>
      </c>
      <c r="E5" s="85">
        <v>5</v>
      </c>
      <c r="F5" s="85">
        <v>6</v>
      </c>
      <c r="G5" s="85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1"/>
      <c r="J6" s="3" t="s">
        <v>0</v>
      </c>
      <c r="K6" s="115" t="s">
        <v>1</v>
      </c>
      <c r="L6" s="116"/>
      <c r="M6" s="116"/>
      <c r="N6" s="117"/>
      <c r="O6" s="84"/>
      <c r="P6" s="83">
        <v>1</v>
      </c>
      <c r="Q6" s="83">
        <v>2</v>
      </c>
      <c r="R6" s="83" t="s">
        <v>21</v>
      </c>
      <c r="T6" s="83" t="s">
        <v>6</v>
      </c>
      <c r="U6" s="83" t="s">
        <v>7</v>
      </c>
      <c r="V6" s="83" t="s">
        <v>8</v>
      </c>
      <c r="W6" s="83" t="s">
        <v>9</v>
      </c>
      <c r="X6" s="83" t="s">
        <v>10</v>
      </c>
      <c r="Y6" s="83" t="s">
        <v>11</v>
      </c>
      <c r="AB6" s="83" t="s">
        <v>7</v>
      </c>
      <c r="AC6" s="83" t="s">
        <v>20</v>
      </c>
      <c r="AD6" s="83" t="s">
        <v>21</v>
      </c>
      <c r="AE6" s="83" t="s">
        <v>22</v>
      </c>
      <c r="AF6" s="83" t="s">
        <v>18</v>
      </c>
      <c r="AG6" s="83" t="s">
        <v>23</v>
      </c>
      <c r="AH6" s="83" t="s">
        <v>19</v>
      </c>
    </row>
    <row r="7" spans="2:35" ht="15.75" thickBot="1" x14ac:dyDescent="0.3">
      <c r="B7" s="16" t="s">
        <v>16</v>
      </c>
      <c r="C7" s="43" t="s">
        <v>7</v>
      </c>
      <c r="D7" s="44" t="s">
        <v>8</v>
      </c>
      <c r="E7" s="44" t="s">
        <v>10</v>
      </c>
      <c r="F7" s="44" t="s">
        <v>11</v>
      </c>
      <c r="G7" s="45" t="s">
        <v>9</v>
      </c>
      <c r="H7" s="81"/>
      <c r="I7" s="5">
        <v>1</v>
      </c>
      <c r="J7" s="10">
        <v>44360</v>
      </c>
      <c r="K7" s="4" t="s">
        <v>2</v>
      </c>
      <c r="L7" s="92">
        <v>3</v>
      </c>
      <c r="M7" s="93">
        <v>1</v>
      </c>
      <c r="N7" s="5" t="s">
        <v>4</v>
      </c>
      <c r="O7" s="84" t="str">
        <f>_xlfn.CONCAT(K7,"_",N7)</f>
        <v>Brasil_Venezuela</v>
      </c>
      <c r="P7" s="83">
        <f t="shared" ref="P7:P16" si="0">IF(L7&gt;M7,3,IF(L7&lt;M7,0,1))</f>
        <v>3</v>
      </c>
      <c r="Q7" s="83">
        <f>IF(P7=3,0,IF(P7=1,1,3))</f>
        <v>0</v>
      </c>
      <c r="R7" s="83" t="str">
        <f>IF(P7&gt;Q7,K7,IF(Q7&gt;P7,N7,"SIN GANADOR"))</f>
        <v>Brasil</v>
      </c>
      <c r="T7" s="83">
        <f>_xlfn.RANK.EQ(AH7,AH$7:AH$11,1)</f>
        <v>1</v>
      </c>
      <c r="U7" s="83" t="s">
        <v>2</v>
      </c>
      <c r="V7" s="83">
        <f>SUMIF($K$7:$K$16,U7,$P$7:$P$16) + SUMIF($N$7:$N$16,U7,$Q$7:$Q$16)</f>
        <v>12</v>
      </c>
      <c r="W7" s="83">
        <f>X7-Y7</f>
        <v>7</v>
      </c>
      <c r="X7" s="83">
        <f>SUMIF($K$7:$K$16,U7,$L$7:$L$16) + SUMIF($N$7:$N$16,U7,$M$7:$M$16)</f>
        <v>9</v>
      </c>
      <c r="Y7" s="83">
        <f>SUMIF($K$7:$K$16,U7,$M$7:$M$16) + SUMIF($N$7:$N$16,U7,$L$7:$L$16)</f>
        <v>2</v>
      </c>
      <c r="AB7" s="83" t="str">
        <f>U7</f>
        <v>Brasil</v>
      </c>
      <c r="AC7" s="83" t="str">
        <f>IF(AF7=AF8,AB8,IF(AF7=AF9,AB9,IF(AF7=AF10,AB10,IF(AF7=AF11,AB11,""))))</f>
        <v/>
      </c>
      <c r="AD7" s="83" t="str">
        <f>IF(AC7="","",IFERROR(VLOOKUP(CONCATENATE(AB7,"_",AC7),$O$7:$R$16,4,FALSE),VLOOKUP(CONCATENATE(AC7,"_",AB7),$O$7:$R$16,4,FALSE)))</f>
        <v/>
      </c>
      <c r="AE7" s="83">
        <f>IF(AD7="",1,IF(AD7=AB7,1,0))</f>
        <v>1</v>
      </c>
      <c r="AF7" s="83">
        <f>-V7*10000000 - W7*10000 - X7*100</f>
        <v>-120070900</v>
      </c>
      <c r="AG7" s="83">
        <f>AF7-AE7*10</f>
        <v>-120070910</v>
      </c>
      <c r="AH7" s="83">
        <f>AG7+N23</f>
        <v>-120070909</v>
      </c>
    </row>
    <row r="8" spans="2:35" x14ac:dyDescent="0.25">
      <c r="B8" s="42">
        <v>1</v>
      </c>
      <c r="C8" s="24" t="str">
        <f t="shared" ref="C8:G12" si="1">IFERROR(VLOOKUP($B8,$T$7:$Y$11,C$5,FALSE),"")</f>
        <v>Brasil</v>
      </c>
      <c r="D8" s="25">
        <f t="shared" si="1"/>
        <v>12</v>
      </c>
      <c r="E8" s="25">
        <f t="shared" si="1"/>
        <v>9</v>
      </c>
      <c r="F8" s="25">
        <f t="shared" si="1"/>
        <v>2</v>
      </c>
      <c r="G8" s="26">
        <f t="shared" si="1"/>
        <v>7</v>
      </c>
      <c r="H8" s="63"/>
      <c r="I8" s="12">
        <v>2</v>
      </c>
      <c r="J8" s="6">
        <v>44360</v>
      </c>
      <c r="K8" s="11" t="s">
        <v>12</v>
      </c>
      <c r="L8" s="94">
        <v>1</v>
      </c>
      <c r="M8" s="95">
        <v>2</v>
      </c>
      <c r="N8" s="12" t="s">
        <v>13</v>
      </c>
      <c r="O8" s="84" t="str">
        <f t="shared" ref="O8:O16" si="2">_xlfn.CONCAT(K8,"_",N8)</f>
        <v>Colombia_Ecuador</v>
      </c>
      <c r="P8" s="83">
        <f t="shared" si="0"/>
        <v>0</v>
      </c>
      <c r="Q8" s="83">
        <f t="shared" ref="Q8:Q16" si="3">IF(P8=3,0,IF(P8=1,1,3))</f>
        <v>3</v>
      </c>
      <c r="R8" s="83" t="str">
        <f t="shared" ref="R8:R16" si="4">IF(P8&gt;Q8,K8,IF(Q8&gt;P8,N8,"SIN GANADOR"))</f>
        <v>Ecuador</v>
      </c>
      <c r="T8" s="83">
        <f>_xlfn.RANK.EQ(AH8,AH$7:AH$11,1)</f>
        <v>3</v>
      </c>
      <c r="U8" s="83" t="s">
        <v>12</v>
      </c>
      <c r="V8" s="83">
        <f>SUMIF($K$7:$K$16,U8,$P$7:$P$16) + SUMIF($N$7:$N$16,U8,$Q$7:$Q$16)</f>
        <v>4</v>
      </c>
      <c r="W8" s="83">
        <f>X8-Y8</f>
        <v>-2</v>
      </c>
      <c r="X8" s="83">
        <f>SUMIF($K$7:$K$16,U8,$L$7:$L$16) + SUMIF($N$7:$N$16,U8,$M$7:$M$16)</f>
        <v>4</v>
      </c>
      <c r="Y8" s="83">
        <f>SUMIF($K$7:$K$16,U8,$M$7:$M$16) + SUMIF($N$7:$N$16,U8,$L$7:$L$16)</f>
        <v>6</v>
      </c>
      <c r="AB8" s="83" t="str">
        <f t="shared" ref="AB8:AB11" si="5">U8</f>
        <v>Colombia</v>
      </c>
      <c r="AC8" s="83" t="str">
        <f>IF(AF8=AF9,AB9,IF(AF8=AF10,AB10,IF(AF8=AF11,AB11,IF(AF8=AF7,AB7,""))))</f>
        <v/>
      </c>
      <c r="AD8" s="83" t="str">
        <f>IF(AC8="","",IFERROR(VLOOKUP(CONCATENATE(AB8,"_",AC8),$O$7:$R$16,4,FALSE),VLOOKUP(CONCATENATE(AC8,"_",AB8),$O$7:$R$16,4,FALSE)))</f>
        <v/>
      </c>
      <c r="AE8" s="83">
        <f t="shared" ref="AE8:AE11" si="6">IF(AD8="",1,IF(AD8=AB8,1,0))</f>
        <v>1</v>
      </c>
      <c r="AF8" s="83">
        <f t="shared" ref="AF8:AF11" si="7">-V8*10000000 - W8*10000 - X8*100</f>
        <v>-39980400</v>
      </c>
      <c r="AG8" s="83">
        <f t="shared" ref="AG8:AG11" si="8">AF8-AE8*10</f>
        <v>-39980410</v>
      </c>
      <c r="AH8" s="83">
        <f>AG8+N24</f>
        <v>-39980407</v>
      </c>
    </row>
    <row r="9" spans="2:35" x14ac:dyDescent="0.25">
      <c r="B9" s="54">
        <v>2</v>
      </c>
      <c r="C9" s="55" t="str">
        <f t="shared" si="1"/>
        <v>Ecuador</v>
      </c>
      <c r="D9" s="56">
        <f t="shared" si="1"/>
        <v>9</v>
      </c>
      <c r="E9" s="56">
        <f t="shared" si="1"/>
        <v>6</v>
      </c>
      <c r="F9" s="56">
        <f t="shared" si="1"/>
        <v>3</v>
      </c>
      <c r="G9" s="57">
        <f t="shared" si="1"/>
        <v>3</v>
      </c>
      <c r="H9" s="63"/>
      <c r="I9" s="9">
        <v>5</v>
      </c>
      <c r="J9" s="13">
        <v>44364</v>
      </c>
      <c r="K9" s="8" t="s">
        <v>12</v>
      </c>
      <c r="L9" s="94">
        <v>2</v>
      </c>
      <c r="M9" s="95">
        <v>1</v>
      </c>
      <c r="N9" s="9" t="s">
        <v>4</v>
      </c>
      <c r="O9" s="84" t="str">
        <f t="shared" si="2"/>
        <v>Colombia_Venezuela</v>
      </c>
      <c r="P9" s="83">
        <f t="shared" si="0"/>
        <v>3</v>
      </c>
      <c r="Q9" s="83">
        <f t="shared" si="3"/>
        <v>0</v>
      </c>
      <c r="R9" s="83" t="str">
        <f t="shared" si="4"/>
        <v>Colombia</v>
      </c>
      <c r="T9" s="83">
        <f>_xlfn.RANK.EQ(AH9,AH$7:AH$11,1)</f>
        <v>2</v>
      </c>
      <c r="U9" s="83" t="s">
        <v>13</v>
      </c>
      <c r="V9" s="83">
        <f>SUMIF($K$7:$K$16,U9,$P$7:$P$16) + SUMIF($N$7:$N$16,U9,$Q$7:$Q$16)</f>
        <v>9</v>
      </c>
      <c r="W9" s="83">
        <f t="shared" ref="W9:W11" si="9">X9-Y9</f>
        <v>3</v>
      </c>
      <c r="X9" s="83">
        <f>SUMIF($K$7:$K$16,U9,$L$7:$L$16) + SUMIF($N$7:$N$16,U9,$M$7:$M$16)</f>
        <v>6</v>
      </c>
      <c r="Y9" s="83">
        <f>SUMIF($K$7:$K$16,U9,$M$7:$M$16) + SUMIF($N$7:$N$16,U9,$L$7:$L$16)</f>
        <v>3</v>
      </c>
      <c r="AB9" s="83" t="str">
        <f t="shared" si="5"/>
        <v>Ecuador</v>
      </c>
      <c r="AC9" s="83" t="str">
        <f>IF(AF9=AF10,AB10,IF(AF9=AF11,AB11,IF(AF9=AF7,AB7,IF(AF9=AF8,AB8,""))))</f>
        <v/>
      </c>
      <c r="AD9" s="83" t="str">
        <f>IF(AC9="","",IFERROR(VLOOKUP(CONCATENATE(AB9,"_",AC9),$O$7:$R$16,4,FALSE),VLOOKUP(CONCATENATE(AC9,"_",AB9),$O$7:$R$16,4,FALSE)))</f>
        <v/>
      </c>
      <c r="AE9" s="83">
        <f t="shared" si="6"/>
        <v>1</v>
      </c>
      <c r="AF9" s="83">
        <f t="shared" si="7"/>
        <v>-90030600</v>
      </c>
      <c r="AG9" s="83">
        <f t="shared" si="8"/>
        <v>-90030610</v>
      </c>
      <c r="AH9" s="83">
        <f>AG9+N25</f>
        <v>-90030608</v>
      </c>
    </row>
    <row r="10" spans="2:35" x14ac:dyDescent="0.25">
      <c r="B10" s="50">
        <v>3</v>
      </c>
      <c r="C10" s="51" t="str">
        <f t="shared" si="1"/>
        <v>Colombia</v>
      </c>
      <c r="D10" s="52">
        <f t="shared" si="1"/>
        <v>4</v>
      </c>
      <c r="E10" s="52">
        <f t="shared" si="1"/>
        <v>4</v>
      </c>
      <c r="F10" s="52">
        <f t="shared" si="1"/>
        <v>6</v>
      </c>
      <c r="G10" s="53">
        <f t="shared" si="1"/>
        <v>-2</v>
      </c>
      <c r="H10" s="63"/>
      <c r="I10" s="12">
        <v>6</v>
      </c>
      <c r="J10" s="6">
        <v>44364</v>
      </c>
      <c r="K10" s="11" t="s">
        <v>5</v>
      </c>
      <c r="L10" s="94">
        <v>1</v>
      </c>
      <c r="M10" s="95">
        <v>2</v>
      </c>
      <c r="N10" s="12" t="s">
        <v>2</v>
      </c>
      <c r="O10" s="84" t="str">
        <f t="shared" si="2"/>
        <v>Peru_Brasil</v>
      </c>
      <c r="P10" s="83">
        <f t="shared" si="0"/>
        <v>0</v>
      </c>
      <c r="Q10" s="83">
        <f t="shared" si="3"/>
        <v>3</v>
      </c>
      <c r="R10" s="83" t="str">
        <f t="shared" si="4"/>
        <v>Brasil</v>
      </c>
      <c r="T10" s="83">
        <f>_xlfn.RANK.EQ(AH10,AH$7:AH$11,1)</f>
        <v>4</v>
      </c>
      <c r="U10" s="83" t="s">
        <v>5</v>
      </c>
      <c r="V10" s="83">
        <f>SUMIF($K$7:$K$16,U10,$P$7:$P$16) + SUMIF($N$7:$N$16,U10,$Q$7:$Q$16)</f>
        <v>4</v>
      </c>
      <c r="W10" s="83">
        <f t="shared" si="9"/>
        <v>-2</v>
      </c>
      <c r="X10" s="83">
        <f>SUMIF($K$7:$K$16,U10,$L$7:$L$16) + SUMIF($N$7:$N$16,U10,$M$7:$M$16)</f>
        <v>3</v>
      </c>
      <c r="Y10" s="83">
        <f>SUMIF($K$7:$K$16,U10,$M$7:$M$16) + SUMIF($N$7:$N$16,U10,$L$7:$L$16)</f>
        <v>5</v>
      </c>
      <c r="AB10" s="83" t="str">
        <f t="shared" si="5"/>
        <v>Peru</v>
      </c>
      <c r="AC10" s="83" t="str">
        <f>IF(AF10=AF11,AB11,IF(AF10=AF7,AB7,IF(AF10=AF8,AB8,IF(AF10=AF9,AB9,""))))</f>
        <v/>
      </c>
      <c r="AD10" s="83" t="str">
        <f>IF(AC10="","",IFERROR(VLOOKUP(CONCATENATE(AB10,"_",AC10),$O$7:$R$16,4,FALSE),VLOOKUP(CONCATENATE(AC10,"_",AB10),$O$7:$R$16,4,FALSE)))</f>
        <v/>
      </c>
      <c r="AE10" s="83">
        <f t="shared" si="6"/>
        <v>1</v>
      </c>
      <c r="AF10" s="83">
        <f t="shared" si="7"/>
        <v>-39980300</v>
      </c>
      <c r="AG10" s="83">
        <f t="shared" si="8"/>
        <v>-39980310</v>
      </c>
      <c r="AH10" s="83">
        <f>AG10+N26</f>
        <v>-39980306</v>
      </c>
    </row>
    <row r="11" spans="2:35" x14ac:dyDescent="0.25">
      <c r="B11" s="58">
        <v>4</v>
      </c>
      <c r="C11" s="59" t="str">
        <f t="shared" si="1"/>
        <v>Peru</v>
      </c>
      <c r="D11" s="60">
        <f t="shared" si="1"/>
        <v>4</v>
      </c>
      <c r="E11" s="60">
        <f t="shared" si="1"/>
        <v>3</v>
      </c>
      <c r="F11" s="60">
        <f t="shared" si="1"/>
        <v>5</v>
      </c>
      <c r="G11" s="61">
        <f t="shared" si="1"/>
        <v>-2</v>
      </c>
      <c r="H11" s="63"/>
      <c r="I11" s="9">
        <v>9</v>
      </c>
      <c r="J11" s="13">
        <v>44367</v>
      </c>
      <c r="K11" s="8" t="s">
        <v>4</v>
      </c>
      <c r="L11" s="94">
        <v>0</v>
      </c>
      <c r="M11" s="95">
        <v>2</v>
      </c>
      <c r="N11" s="9" t="s">
        <v>13</v>
      </c>
      <c r="O11" s="84" t="str">
        <f t="shared" si="2"/>
        <v>Venezuela_Ecuador</v>
      </c>
      <c r="P11" s="83">
        <f t="shared" si="0"/>
        <v>0</v>
      </c>
      <c r="Q11" s="83">
        <f t="shared" si="3"/>
        <v>3</v>
      </c>
      <c r="R11" s="83" t="str">
        <f t="shared" si="4"/>
        <v>Ecuador</v>
      </c>
      <c r="T11" s="83">
        <f>_xlfn.RANK.EQ(AH11,AH$7:AH$11,1)</f>
        <v>5</v>
      </c>
      <c r="U11" s="83" t="s">
        <v>4</v>
      </c>
      <c r="V11" s="83">
        <f>SUMIF($K$7:$K$16,U11,$P$7:$P$16) + SUMIF($N$7:$N$16,U11,$Q$7:$Q$16)</f>
        <v>0</v>
      </c>
      <c r="W11" s="83">
        <f t="shared" si="9"/>
        <v>-6</v>
      </c>
      <c r="X11" s="83">
        <f>SUMIF($K$7:$K$16,U11,$L$7:$L$16) + SUMIF($N$7:$N$16,U11,$M$7:$M$16)</f>
        <v>2</v>
      </c>
      <c r="Y11" s="83">
        <f>SUMIF($K$7:$K$16,U11,$M$7:$M$16) + SUMIF($N$7:$N$16,U11,$L$7:$L$16)</f>
        <v>8</v>
      </c>
      <c r="AB11" s="83" t="str">
        <f t="shared" si="5"/>
        <v>Venezuela</v>
      </c>
      <c r="AC11" s="83" t="str">
        <f>IF(AF11=AF7,AB7,IF(AF11=AF8,AB8,IF(AF11=AF9,AB9,IF(AF11=AF10,AB10,""))))</f>
        <v/>
      </c>
      <c r="AD11" s="83" t="str">
        <f>IF(AC11="","",IFERROR(VLOOKUP(CONCATENATE(AB11,"_",AC11),$O$7:$R$16,4,FALSE),VLOOKUP(CONCATENATE(AC11,"_",AB11),$O$7:$R$16,4,FALSE)))</f>
        <v/>
      </c>
      <c r="AE11" s="83">
        <f t="shared" si="6"/>
        <v>1</v>
      </c>
      <c r="AF11" s="83">
        <f t="shared" si="7"/>
        <v>59800</v>
      </c>
      <c r="AG11" s="83">
        <f t="shared" si="8"/>
        <v>59790</v>
      </c>
      <c r="AH11" s="83">
        <f>AG11+N27</f>
        <v>59795</v>
      </c>
    </row>
    <row r="12" spans="2:35" s="1" customFormat="1" ht="15.75" thickBot="1" x14ac:dyDescent="0.3">
      <c r="B12" s="46">
        <v>5</v>
      </c>
      <c r="C12" s="47" t="str">
        <f t="shared" si="1"/>
        <v>Venezuela</v>
      </c>
      <c r="D12" s="48">
        <f t="shared" si="1"/>
        <v>0</v>
      </c>
      <c r="E12" s="48">
        <f t="shared" si="1"/>
        <v>2</v>
      </c>
      <c r="F12" s="48">
        <f t="shared" si="1"/>
        <v>8</v>
      </c>
      <c r="G12" s="49">
        <f t="shared" si="1"/>
        <v>-6</v>
      </c>
      <c r="H12" s="63"/>
      <c r="I12" s="23">
        <v>10</v>
      </c>
      <c r="J12" s="21">
        <v>44367</v>
      </c>
      <c r="K12" s="22" t="s">
        <v>12</v>
      </c>
      <c r="L12" s="96">
        <v>1</v>
      </c>
      <c r="M12" s="97">
        <v>1</v>
      </c>
      <c r="N12" s="23" t="s">
        <v>5</v>
      </c>
      <c r="O12" s="84" t="str">
        <f t="shared" si="2"/>
        <v>Colombia_Peru</v>
      </c>
      <c r="P12" s="83">
        <f t="shared" si="0"/>
        <v>1</v>
      </c>
      <c r="Q12" s="83">
        <f t="shared" ref="Q12:Q15" si="10">IF(P12=3,0,IF(P12=1,1,3))</f>
        <v>1</v>
      </c>
      <c r="R12" s="83" t="str">
        <f t="shared" si="4"/>
        <v>SIN GANADOR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</row>
    <row r="13" spans="2:35" s="1" customFormat="1" x14ac:dyDescent="0.25">
      <c r="I13" s="20">
        <v>13</v>
      </c>
      <c r="J13" s="18">
        <v>44370</v>
      </c>
      <c r="K13" s="19" t="s">
        <v>13</v>
      </c>
      <c r="L13" s="96">
        <v>2</v>
      </c>
      <c r="M13" s="97">
        <v>0</v>
      </c>
      <c r="N13" s="20" t="s">
        <v>5</v>
      </c>
      <c r="O13" s="84" t="str">
        <f t="shared" si="2"/>
        <v>Ecuador_Peru</v>
      </c>
      <c r="P13" s="83">
        <f t="shared" si="0"/>
        <v>3</v>
      </c>
      <c r="Q13" s="83">
        <f t="shared" si="10"/>
        <v>0</v>
      </c>
      <c r="R13" s="83" t="str">
        <f t="shared" si="4"/>
        <v>Ecuador</v>
      </c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</row>
    <row r="14" spans="2:35" s="1" customFormat="1" x14ac:dyDescent="0.25">
      <c r="I14" s="23">
        <v>14</v>
      </c>
      <c r="J14" s="21">
        <v>44370</v>
      </c>
      <c r="K14" s="22" t="s">
        <v>12</v>
      </c>
      <c r="L14" s="96">
        <v>0</v>
      </c>
      <c r="M14" s="97">
        <v>2</v>
      </c>
      <c r="N14" s="23" t="s">
        <v>2</v>
      </c>
      <c r="O14" s="84" t="str">
        <f t="shared" si="2"/>
        <v>Colombia_Brasil</v>
      </c>
      <c r="P14" s="83">
        <f t="shared" si="0"/>
        <v>0</v>
      </c>
      <c r="Q14" s="83">
        <f t="shared" si="10"/>
        <v>3</v>
      </c>
      <c r="R14" s="83" t="str">
        <f t="shared" si="4"/>
        <v>Brasil</v>
      </c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</row>
    <row r="15" spans="2:35" s="1" customFormat="1" x14ac:dyDescent="0.25">
      <c r="I15" s="20">
        <v>17</v>
      </c>
      <c r="J15" s="18">
        <v>44374</v>
      </c>
      <c r="K15" s="19" t="s">
        <v>13</v>
      </c>
      <c r="L15" s="96">
        <v>0</v>
      </c>
      <c r="M15" s="97">
        <v>2</v>
      </c>
      <c r="N15" s="20" t="s">
        <v>2</v>
      </c>
      <c r="O15" s="84" t="str">
        <f t="shared" si="2"/>
        <v>Ecuador_Brasil</v>
      </c>
      <c r="P15" s="83">
        <f t="shared" si="0"/>
        <v>0</v>
      </c>
      <c r="Q15" s="83">
        <f t="shared" si="10"/>
        <v>3</v>
      </c>
      <c r="R15" s="83" t="str">
        <f t="shared" si="4"/>
        <v>Brasil</v>
      </c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98">
        <v>0</v>
      </c>
      <c r="M16" s="99">
        <v>1</v>
      </c>
      <c r="N16" s="15" t="s">
        <v>5</v>
      </c>
      <c r="O16" s="84" t="str">
        <f t="shared" si="2"/>
        <v>Venezuela_Peru</v>
      </c>
      <c r="P16" s="83">
        <f t="shared" si="0"/>
        <v>0</v>
      </c>
      <c r="Q16" s="83">
        <f t="shared" si="3"/>
        <v>3</v>
      </c>
      <c r="R16" s="83" t="str">
        <f t="shared" si="4"/>
        <v>Peru</v>
      </c>
    </row>
    <row r="18" spans="2:35" s="1" customFormat="1" x14ac:dyDescent="0.25">
      <c r="N18" s="62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</row>
    <row r="19" spans="2:35" s="1" customFormat="1" x14ac:dyDescent="0.25">
      <c r="N19" s="62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</row>
    <row r="21" spans="2:35" ht="15.75" thickBot="1" x14ac:dyDescent="0.3"/>
    <row r="22" spans="2:35" ht="15.75" thickBot="1" x14ac:dyDescent="0.3">
      <c r="B22" s="27" t="s">
        <v>50</v>
      </c>
      <c r="C22" s="28"/>
      <c r="D22" s="28"/>
      <c r="E22" s="28"/>
      <c r="F22" s="28"/>
      <c r="G22" s="28"/>
      <c r="H22" s="29"/>
      <c r="I22" s="83">
        <v>1</v>
      </c>
      <c r="J22" s="102" t="s">
        <v>17</v>
      </c>
      <c r="K22" s="103"/>
      <c r="L22" s="103"/>
      <c r="M22" s="104"/>
      <c r="N22" s="63"/>
    </row>
    <row r="23" spans="2:35" x14ac:dyDescent="0.25">
      <c r="B23" s="30" t="s">
        <v>51</v>
      </c>
      <c r="C23" s="31"/>
      <c r="D23" s="31"/>
      <c r="E23" s="31"/>
      <c r="F23" s="31"/>
      <c r="G23" s="31"/>
      <c r="H23" s="32"/>
      <c r="I23" s="83">
        <f>IF(J23="",0,1)</f>
        <v>1</v>
      </c>
      <c r="J23" s="127" t="s">
        <v>2</v>
      </c>
      <c r="K23" s="128"/>
      <c r="L23" s="129"/>
      <c r="M23" s="39">
        <v>1</v>
      </c>
      <c r="N23">
        <f>IF(J23="",0,M23)</f>
        <v>1</v>
      </c>
    </row>
    <row r="24" spans="2:35" x14ac:dyDescent="0.25">
      <c r="B24" s="30" t="s">
        <v>53</v>
      </c>
      <c r="C24" s="31"/>
      <c r="D24" s="31"/>
      <c r="E24" s="31"/>
      <c r="F24" s="31"/>
      <c r="G24" s="31"/>
      <c r="H24" s="32"/>
      <c r="I24" s="83">
        <f t="shared" ref="I24:I27" si="11">IF(J24="",0,1)</f>
        <v>1</v>
      </c>
      <c r="J24" s="109" t="s">
        <v>12</v>
      </c>
      <c r="K24" s="110"/>
      <c r="L24" s="111"/>
      <c r="M24" s="40">
        <v>3</v>
      </c>
      <c r="N24" s="1">
        <f>IF(J24="",0,M24)</f>
        <v>3</v>
      </c>
    </row>
    <row r="25" spans="2:35" x14ac:dyDescent="0.25">
      <c r="B25" s="30" t="s">
        <v>52</v>
      </c>
      <c r="C25" s="31"/>
      <c r="D25" s="31"/>
      <c r="E25" s="31"/>
      <c r="F25" s="31"/>
      <c r="G25" s="31"/>
      <c r="H25" s="32"/>
      <c r="I25" s="83">
        <f t="shared" si="11"/>
        <v>1</v>
      </c>
      <c r="J25" s="109" t="s">
        <v>13</v>
      </c>
      <c r="K25" s="110"/>
      <c r="L25" s="111"/>
      <c r="M25" s="40">
        <v>2</v>
      </c>
      <c r="N25" s="1">
        <f>IF(J25="",0,M25)</f>
        <v>2</v>
      </c>
    </row>
    <row r="26" spans="2:35" x14ac:dyDescent="0.25">
      <c r="B26" s="30" t="s">
        <v>54</v>
      </c>
      <c r="C26" s="31"/>
      <c r="D26" s="31"/>
      <c r="E26" s="31"/>
      <c r="F26" s="31"/>
      <c r="G26" s="31"/>
      <c r="H26" s="32"/>
      <c r="I26" s="83">
        <f t="shared" si="11"/>
        <v>1</v>
      </c>
      <c r="J26" s="109" t="s">
        <v>5</v>
      </c>
      <c r="K26" s="110"/>
      <c r="L26" s="111"/>
      <c r="M26" s="40">
        <v>4</v>
      </c>
      <c r="N26" s="1">
        <f>IF(J26="",0,M26)</f>
        <v>4</v>
      </c>
    </row>
    <row r="27" spans="2:35" ht="15.75" thickBot="1" x14ac:dyDescent="0.3">
      <c r="B27" s="30" t="s">
        <v>55</v>
      </c>
      <c r="C27" s="31"/>
      <c r="D27" s="31"/>
      <c r="E27" s="31"/>
      <c r="F27" s="31"/>
      <c r="G27" s="31"/>
      <c r="H27" s="32"/>
      <c r="I27" s="83">
        <f t="shared" si="11"/>
        <v>1</v>
      </c>
      <c r="J27" s="112" t="s">
        <v>4</v>
      </c>
      <c r="K27" s="113"/>
      <c r="L27" s="114"/>
      <c r="M27" s="41">
        <v>5</v>
      </c>
      <c r="N27" s="1">
        <f>IF(J27="",0,M27)</f>
        <v>5</v>
      </c>
    </row>
    <row r="28" spans="2:35" ht="15.75" thickBot="1" x14ac:dyDescent="0.3">
      <c r="B28" s="35"/>
      <c r="C28" s="36"/>
      <c r="D28" s="36"/>
      <c r="E28" s="36"/>
      <c r="F28" s="36"/>
      <c r="G28" s="36"/>
      <c r="H28" s="37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J28"/>
  <sheetViews>
    <sheetView showGridLines="0" topLeftCell="A5" zoomScaleNormal="140" workbookViewId="0">
      <selection activeCell="L11" sqref="L11"/>
    </sheetView>
  </sheetViews>
  <sheetFormatPr baseColWidth="10" defaultColWidth="11.42578125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62" customWidth="1"/>
    <col min="15" max="15" width="18.85546875" style="83" bestFit="1" customWidth="1"/>
    <col min="16" max="26" width="11.42578125" style="83"/>
    <col min="27" max="27" width="10.42578125" style="83" bestFit="1" customWidth="1"/>
    <col min="28" max="28" width="13.7109375" style="83" bestFit="1" customWidth="1"/>
    <col min="29" max="29" width="10.42578125" style="83" bestFit="1" customWidth="1"/>
    <col min="30" max="30" width="9.85546875" style="83" bestFit="1" customWidth="1"/>
    <col min="31" max="31" width="13" style="83" bestFit="1" customWidth="1"/>
    <col min="32" max="32" width="29.85546875" style="83" bestFit="1" customWidth="1"/>
    <col min="33" max="33" width="25.7109375" style="83" bestFit="1" customWidth="1"/>
    <col min="34" max="36" width="11.42578125" style="83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85">
        <v>2</v>
      </c>
      <c r="D5" s="85">
        <v>3</v>
      </c>
      <c r="E5" s="85">
        <v>5</v>
      </c>
      <c r="F5" s="85">
        <v>6</v>
      </c>
      <c r="G5" s="85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1"/>
      <c r="J6" s="3" t="s">
        <v>0</v>
      </c>
      <c r="K6" s="115" t="s">
        <v>1</v>
      </c>
      <c r="L6" s="116"/>
      <c r="M6" s="116"/>
      <c r="N6" s="117"/>
      <c r="O6" s="84"/>
      <c r="P6" s="83">
        <v>1</v>
      </c>
      <c r="Q6" s="83">
        <v>2</v>
      </c>
      <c r="R6" s="83" t="s">
        <v>21</v>
      </c>
      <c r="T6" s="83" t="s">
        <v>6</v>
      </c>
      <c r="U6" s="83" t="s">
        <v>7</v>
      </c>
      <c r="V6" s="83" t="s">
        <v>8</v>
      </c>
      <c r="W6" s="83" t="s">
        <v>9</v>
      </c>
      <c r="X6" s="83" t="s">
        <v>10</v>
      </c>
      <c r="Y6" s="83" t="s">
        <v>11</v>
      </c>
      <c r="AB6" s="83" t="s">
        <v>7</v>
      </c>
      <c r="AC6" s="83" t="s">
        <v>20</v>
      </c>
      <c r="AD6" s="83" t="s">
        <v>21</v>
      </c>
      <c r="AE6" s="83" t="s">
        <v>22</v>
      </c>
      <c r="AF6" s="83" t="s">
        <v>18</v>
      </c>
      <c r="AG6" s="83" t="s">
        <v>23</v>
      </c>
      <c r="AH6" s="83" t="s">
        <v>19</v>
      </c>
    </row>
    <row r="7" spans="2:34" ht="15.75" thickBot="1" x14ac:dyDescent="0.3">
      <c r="B7" s="16" t="s">
        <v>16</v>
      </c>
      <c r="C7" s="43" t="s">
        <v>7</v>
      </c>
      <c r="D7" s="44" t="s">
        <v>8</v>
      </c>
      <c r="E7" s="44" t="s">
        <v>10</v>
      </c>
      <c r="F7" s="44" t="s">
        <v>11</v>
      </c>
      <c r="G7" s="45" t="s">
        <v>9</v>
      </c>
      <c r="H7" s="81"/>
      <c r="I7" s="5">
        <v>3</v>
      </c>
      <c r="J7" s="10">
        <v>44361</v>
      </c>
      <c r="K7" s="4" t="s">
        <v>25</v>
      </c>
      <c r="L7" s="92">
        <v>1</v>
      </c>
      <c r="M7" s="93">
        <v>1</v>
      </c>
      <c r="N7" s="5" t="s">
        <v>26</v>
      </c>
      <c r="O7" s="84" t="str">
        <f>_xlfn.CONCAT(K7,"_",N7)</f>
        <v>Argentina_Chile</v>
      </c>
      <c r="P7" s="83">
        <f t="shared" ref="P7:P16" si="0">IF(L7&gt;M7,3,IF(L7&lt;M7,0,1))</f>
        <v>1</v>
      </c>
      <c r="Q7" s="83">
        <f>IF(P7=3,0,IF(P7=1,1,3))</f>
        <v>1</v>
      </c>
      <c r="R7" s="83" t="str">
        <f>IF(P7&gt;Q7,K7,IF(Q7&gt;P7,N7,"SIN GANADOR"))</f>
        <v>SIN GANADOR</v>
      </c>
      <c r="T7" s="83">
        <f>_xlfn.RANK.EQ(AH7,AH$7:AH$11,1)</f>
        <v>2</v>
      </c>
      <c r="U7" s="83" t="s">
        <v>25</v>
      </c>
      <c r="V7" s="83">
        <f>SUMIF($K$7:$K$16,U7,$P$7:$P$16) + SUMIF($N$7:$N$16,U7,$Q$7:$Q$16)</f>
        <v>8</v>
      </c>
      <c r="W7" s="83">
        <f>X7-Y7</f>
        <v>3</v>
      </c>
      <c r="X7" s="83">
        <f>SUMIF($K$7:$K$16,U7,$L$7:$L$16) + SUMIF($N$7:$N$16,U7,$M$7:$M$16)</f>
        <v>7</v>
      </c>
      <c r="Y7" s="83">
        <f>SUMIF($K$7:$K$16,U7,$M$7:$M$16) + SUMIF($N$7:$N$16,U7,$L$7:$L$16)</f>
        <v>4</v>
      </c>
      <c r="AB7" s="83" t="str">
        <f>U7</f>
        <v>Argentina</v>
      </c>
      <c r="AC7" s="83" t="str">
        <f>IF(AF7=AF8,AB8,IF(AF7=AF9,AB9,IF(AF7=AF10,AB10,IF(AF7=AF11,AB11,""))))</f>
        <v/>
      </c>
      <c r="AD7" s="83" t="str">
        <f>IF(AC7="","",IFERROR(VLOOKUP(CONCATENATE(AB7,"_",AC7),$O$7:$R$16,4,FALSE),VLOOKUP(CONCATENATE(AC7,"_",AB7),$O$7:$R$16,4,FALSE)))</f>
        <v/>
      </c>
      <c r="AE7" s="83">
        <f>IF(AD7="",1,IF(AD7=AB7,1,0))</f>
        <v>1</v>
      </c>
      <c r="AF7" s="83">
        <f>-V7*10000000 - W7*10000 - X7*100</f>
        <v>-80030700</v>
      </c>
      <c r="AG7" s="83">
        <f>AF7-AE7*10</f>
        <v>-80030710</v>
      </c>
      <c r="AH7" s="83">
        <f>AG7+N23</f>
        <v>-80030709</v>
      </c>
    </row>
    <row r="8" spans="2:34" x14ac:dyDescent="0.25">
      <c r="B8" s="42">
        <v>1</v>
      </c>
      <c r="C8" s="24" t="str">
        <f t="shared" ref="C8:G12" si="1">IFERROR(VLOOKUP($B8,$T$7:$Y$11,C$5,FALSE),"")</f>
        <v>Uruguay</v>
      </c>
      <c r="D8" s="25">
        <f t="shared" si="1"/>
        <v>8</v>
      </c>
      <c r="E8" s="25">
        <f t="shared" si="1"/>
        <v>6</v>
      </c>
      <c r="F8" s="25">
        <f t="shared" si="1"/>
        <v>2</v>
      </c>
      <c r="G8" s="26">
        <f t="shared" si="1"/>
        <v>4</v>
      </c>
      <c r="H8" s="63"/>
      <c r="I8" s="12">
        <v>4</v>
      </c>
      <c r="J8" s="6">
        <v>44361</v>
      </c>
      <c r="K8" s="11" t="s">
        <v>27</v>
      </c>
      <c r="L8" s="94">
        <v>2</v>
      </c>
      <c r="M8" s="95">
        <v>1</v>
      </c>
      <c r="N8" s="12" t="s">
        <v>3</v>
      </c>
      <c r="O8" s="84" t="str">
        <f t="shared" ref="O8:O16" si="2">_xlfn.CONCAT(K8,"_",N8)</f>
        <v>Paraguay_Bolivia</v>
      </c>
      <c r="P8" s="83">
        <f t="shared" si="0"/>
        <v>3</v>
      </c>
      <c r="Q8" s="83">
        <f t="shared" ref="Q8:Q16" si="3">IF(P8=3,0,IF(P8=1,1,3))</f>
        <v>0</v>
      </c>
      <c r="R8" s="83" t="str">
        <f t="shared" ref="R8:R16" si="4">IF(P8&gt;Q8,K8,IF(Q8&gt;P8,N8,"SIN GANADOR"))</f>
        <v>Paraguay</v>
      </c>
      <c r="T8" s="83">
        <f>_xlfn.RANK.EQ(AH8,AH$7:AH$11,1)</f>
        <v>5</v>
      </c>
      <c r="U8" s="83" t="s">
        <v>3</v>
      </c>
      <c r="V8" s="83">
        <f>SUMIF($K$7:$K$16,U8,$P$7:$P$16) + SUMIF($N$7:$N$16,U8,$Q$7:$Q$16)</f>
        <v>0</v>
      </c>
      <c r="W8" s="83">
        <f>X8-Y8</f>
        <v>-7</v>
      </c>
      <c r="X8" s="83">
        <f>SUMIF($K$7:$K$16,U8,$L$7:$L$16) + SUMIF($N$7:$N$16,U8,$M$7:$M$16)</f>
        <v>2</v>
      </c>
      <c r="Y8" s="83">
        <f>SUMIF($K$7:$K$16,U8,$M$7:$M$16) + SUMIF($N$7:$N$16,U8,$L$7:$L$16)</f>
        <v>9</v>
      </c>
      <c r="AB8" s="83" t="str">
        <f t="shared" ref="AB8:AB11" si="5">U8</f>
        <v>Bolivia</v>
      </c>
      <c r="AC8" s="83" t="str">
        <f>IF(AF8=AF9,AB9,IF(AF8=AF10,AB10,IF(AF8=AF11,AB11,IF(AF8=AF7,AB7,""))))</f>
        <v/>
      </c>
      <c r="AD8" s="83" t="str">
        <f>IF(AC8="","",IFERROR(VLOOKUP(CONCATENATE(AB8,"_",AC8),$O$7:$R$16,4,FALSE),VLOOKUP(CONCATENATE(AC8,"_",AB8),$O$7:$R$16,4,FALSE)))</f>
        <v/>
      </c>
      <c r="AE8" s="83">
        <f t="shared" ref="AE8:AE11" si="6">IF(AD8="",1,IF(AD8=AB8,1,0))</f>
        <v>1</v>
      </c>
      <c r="AF8" s="83">
        <f t="shared" ref="AF8:AF11" si="7">-V8*10000000 - W8*10000 - X8*100</f>
        <v>69800</v>
      </c>
      <c r="AG8" s="83">
        <f t="shared" ref="AG8:AG11" si="8">AF8-AE8*10</f>
        <v>69790</v>
      </c>
      <c r="AH8" s="83">
        <f>AG8+N24</f>
        <v>69795</v>
      </c>
    </row>
    <row r="9" spans="2:34" x14ac:dyDescent="0.25">
      <c r="B9" s="54">
        <v>2</v>
      </c>
      <c r="C9" s="55" t="str">
        <f t="shared" si="1"/>
        <v>Argentina</v>
      </c>
      <c r="D9" s="56">
        <f t="shared" si="1"/>
        <v>8</v>
      </c>
      <c r="E9" s="56">
        <f t="shared" si="1"/>
        <v>7</v>
      </c>
      <c r="F9" s="56">
        <f t="shared" si="1"/>
        <v>4</v>
      </c>
      <c r="G9" s="57">
        <f t="shared" si="1"/>
        <v>3</v>
      </c>
      <c r="H9" s="63"/>
      <c r="I9" s="9">
        <v>7</v>
      </c>
      <c r="J9" s="13">
        <v>44365</v>
      </c>
      <c r="K9" s="8" t="s">
        <v>26</v>
      </c>
      <c r="L9" s="94">
        <v>1</v>
      </c>
      <c r="M9" s="95">
        <v>0</v>
      </c>
      <c r="N9" s="9" t="s">
        <v>3</v>
      </c>
      <c r="O9" s="84" t="str">
        <f t="shared" si="2"/>
        <v>Chile_Bolivia</v>
      </c>
      <c r="P9" s="83">
        <f t="shared" si="0"/>
        <v>3</v>
      </c>
      <c r="Q9" s="83">
        <f t="shared" si="3"/>
        <v>0</v>
      </c>
      <c r="R9" s="83" t="str">
        <f t="shared" si="4"/>
        <v>Chile</v>
      </c>
      <c r="T9" s="83">
        <f>_xlfn.RANK.EQ(AH9,AH$7:AH$11,1)</f>
        <v>3</v>
      </c>
      <c r="U9" s="83" t="s">
        <v>26</v>
      </c>
      <c r="V9" s="83">
        <f>SUMIF($K$7:$K$16,U9,$P$7:$P$16) + SUMIF($N$7:$N$16,U9,$Q$7:$Q$16)</f>
        <v>8</v>
      </c>
      <c r="W9" s="83">
        <f t="shared" ref="W9:W11" si="9">X9-Y9</f>
        <v>2</v>
      </c>
      <c r="X9" s="83">
        <f>SUMIF($K$7:$K$16,U9,$L$7:$L$16) + SUMIF($N$7:$N$16,U9,$M$7:$M$16)</f>
        <v>5</v>
      </c>
      <c r="Y9" s="83">
        <f>SUMIF($K$7:$K$16,U9,$M$7:$M$16) + SUMIF($N$7:$N$16,U9,$L$7:$L$16)</f>
        <v>3</v>
      </c>
      <c r="AB9" s="83" t="str">
        <f t="shared" si="5"/>
        <v>Chile</v>
      </c>
      <c r="AC9" s="83" t="str">
        <f>IF(AF9=AF10,AB10,IF(AF9=AF11,AB11,IF(AF9=AF7,AB7,IF(AF9=AF8,AB8,""))))</f>
        <v/>
      </c>
      <c r="AD9" s="83" t="str">
        <f>IF(AC9="","",IFERROR(VLOOKUP(CONCATENATE(AB9,"_",AC9),$O$7:$R$16,4,FALSE),VLOOKUP(CONCATENATE(AC9,"_",AB9),$O$7:$R$16,4,FALSE)))</f>
        <v/>
      </c>
      <c r="AE9" s="83">
        <f t="shared" si="6"/>
        <v>1</v>
      </c>
      <c r="AF9" s="83">
        <f t="shared" si="7"/>
        <v>-80020500</v>
      </c>
      <c r="AG9" s="83">
        <f t="shared" si="8"/>
        <v>-80020510</v>
      </c>
      <c r="AH9" s="83">
        <f>AG9+N25</f>
        <v>-80020508</v>
      </c>
    </row>
    <row r="10" spans="2:34" x14ac:dyDescent="0.25">
      <c r="B10" s="50">
        <v>3</v>
      </c>
      <c r="C10" s="51" t="str">
        <f t="shared" si="1"/>
        <v>Chile</v>
      </c>
      <c r="D10" s="52">
        <f t="shared" si="1"/>
        <v>8</v>
      </c>
      <c r="E10" s="52">
        <f t="shared" si="1"/>
        <v>5</v>
      </c>
      <c r="F10" s="52">
        <f t="shared" si="1"/>
        <v>3</v>
      </c>
      <c r="G10" s="53">
        <f t="shared" si="1"/>
        <v>2</v>
      </c>
      <c r="H10" s="63"/>
      <c r="I10" s="12">
        <v>8</v>
      </c>
      <c r="J10" s="6">
        <v>44365</v>
      </c>
      <c r="K10" s="11" t="s">
        <v>25</v>
      </c>
      <c r="L10" s="94">
        <v>1</v>
      </c>
      <c r="M10" s="95">
        <v>1</v>
      </c>
      <c r="N10" s="12" t="s">
        <v>28</v>
      </c>
      <c r="O10" s="84" t="str">
        <f t="shared" si="2"/>
        <v>Argentina_Uruguay</v>
      </c>
      <c r="P10" s="83">
        <f t="shared" si="0"/>
        <v>1</v>
      </c>
      <c r="Q10" s="83">
        <f t="shared" si="3"/>
        <v>1</v>
      </c>
      <c r="R10" s="83" t="str">
        <f t="shared" si="4"/>
        <v>SIN GANADOR</v>
      </c>
      <c r="T10" s="83">
        <f>_xlfn.RANK.EQ(AH10,AH$7:AH$11,1)</f>
        <v>4</v>
      </c>
      <c r="U10" s="83" t="s">
        <v>27</v>
      </c>
      <c r="V10" s="83">
        <f>SUMIF($K$7:$K$16,U10,$P$7:$P$16) + SUMIF($N$7:$N$16,U10,$Q$7:$Q$16)</f>
        <v>3</v>
      </c>
      <c r="W10" s="83">
        <f t="shared" si="9"/>
        <v>-2</v>
      </c>
      <c r="X10" s="83">
        <f>SUMIF($K$7:$K$16,U10,$L$7:$L$16) + SUMIF($N$7:$N$16,U10,$M$7:$M$16)</f>
        <v>4</v>
      </c>
      <c r="Y10" s="83">
        <f>SUMIF($K$7:$K$16,U10,$M$7:$M$16) + SUMIF($N$7:$N$16,U10,$L$7:$L$16)</f>
        <v>6</v>
      </c>
      <c r="AB10" s="83" t="str">
        <f t="shared" si="5"/>
        <v>Paraguay</v>
      </c>
      <c r="AC10" s="83" t="str">
        <f>IF(AF10=AF11,AB11,IF(AF10=AF7,AB7,IF(AF10=AF8,AB8,IF(AF10=AF9,AB9,""))))</f>
        <v/>
      </c>
      <c r="AD10" s="83" t="str">
        <f>IF(AC10="","",IFERROR(VLOOKUP(CONCATENATE(AB10,"_",AC10),$O$7:$R$16,4,FALSE),VLOOKUP(CONCATENATE(AC10,"_",AB10),$O$7:$R$16,4,FALSE)))</f>
        <v/>
      </c>
      <c r="AE10" s="83">
        <f t="shared" si="6"/>
        <v>1</v>
      </c>
      <c r="AF10" s="83">
        <f t="shared" si="7"/>
        <v>-29980400</v>
      </c>
      <c r="AG10" s="83">
        <f t="shared" si="8"/>
        <v>-29980410</v>
      </c>
      <c r="AH10" s="83">
        <f>AG10+N26</f>
        <v>-29980407</v>
      </c>
    </row>
    <row r="11" spans="2:34" x14ac:dyDescent="0.25">
      <c r="B11" s="58">
        <v>4</v>
      </c>
      <c r="C11" s="59" t="str">
        <f t="shared" si="1"/>
        <v>Paraguay</v>
      </c>
      <c r="D11" s="60">
        <f t="shared" si="1"/>
        <v>3</v>
      </c>
      <c r="E11" s="60">
        <f t="shared" si="1"/>
        <v>4</v>
      </c>
      <c r="F11" s="60">
        <f t="shared" si="1"/>
        <v>6</v>
      </c>
      <c r="G11" s="61">
        <f t="shared" si="1"/>
        <v>-2</v>
      </c>
      <c r="H11" s="63"/>
      <c r="I11" s="9">
        <v>11</v>
      </c>
      <c r="J11" s="13">
        <v>44368</v>
      </c>
      <c r="K11" s="8" t="s">
        <v>28</v>
      </c>
      <c r="L11" s="94">
        <v>1</v>
      </c>
      <c r="M11" s="95">
        <v>1</v>
      </c>
      <c r="N11" s="9" t="s">
        <v>26</v>
      </c>
      <c r="O11" s="84" t="str">
        <f t="shared" si="2"/>
        <v>Uruguay_Chile</v>
      </c>
      <c r="P11" s="83">
        <f t="shared" si="0"/>
        <v>1</v>
      </c>
      <c r="Q11" s="83">
        <f t="shared" si="3"/>
        <v>1</v>
      </c>
      <c r="R11" s="83" t="str">
        <f t="shared" si="4"/>
        <v>SIN GANADOR</v>
      </c>
      <c r="T11" s="83">
        <f>_xlfn.RANK.EQ(AH11,AH$7:AH$11,1)</f>
        <v>1</v>
      </c>
      <c r="U11" s="83" t="s">
        <v>28</v>
      </c>
      <c r="V11" s="83">
        <f>SUMIF($K$7:$K$16,U11,$P$7:$P$16) + SUMIF($N$7:$N$16,U11,$Q$7:$Q$16)</f>
        <v>8</v>
      </c>
      <c r="W11" s="83">
        <f t="shared" si="9"/>
        <v>4</v>
      </c>
      <c r="X11" s="83">
        <f>SUMIF($K$7:$K$16,U11,$L$7:$L$16) + SUMIF($N$7:$N$16,U11,$M$7:$M$16)</f>
        <v>6</v>
      </c>
      <c r="Y11" s="83">
        <f>SUMIF($K$7:$K$16,U11,$M$7:$M$16) + SUMIF($N$7:$N$16,U11,$L$7:$L$16)</f>
        <v>2</v>
      </c>
      <c r="AB11" s="83" t="str">
        <f t="shared" si="5"/>
        <v>Uruguay</v>
      </c>
      <c r="AC11" s="83" t="str">
        <f>IF(AF11=AF7,AB7,IF(AF11=AF8,AB8,IF(AF11=AF9,AB9,IF(AF11=AF10,AB10,""))))</f>
        <v/>
      </c>
      <c r="AD11" s="83" t="str">
        <f>IF(AC11="","",IFERROR(VLOOKUP(CONCATENATE(AB11,"_",AC11),$O$7:$R$16,4,FALSE),VLOOKUP(CONCATENATE(AC11,"_",AB11),$O$7:$R$16,4,FALSE)))</f>
        <v/>
      </c>
      <c r="AE11" s="83">
        <f t="shared" si="6"/>
        <v>1</v>
      </c>
      <c r="AF11" s="83">
        <f t="shared" si="7"/>
        <v>-80040600</v>
      </c>
      <c r="AG11" s="83">
        <f t="shared" si="8"/>
        <v>-80040610</v>
      </c>
      <c r="AH11" s="83">
        <f>AG11+N27</f>
        <v>-80040606</v>
      </c>
    </row>
    <row r="12" spans="2:34" ht="15.75" thickBot="1" x14ac:dyDescent="0.3">
      <c r="B12" s="46">
        <v>5</v>
      </c>
      <c r="C12" s="47" t="str">
        <f t="shared" si="1"/>
        <v>Bolivia</v>
      </c>
      <c r="D12" s="48">
        <f t="shared" si="1"/>
        <v>0</v>
      </c>
      <c r="E12" s="48">
        <f t="shared" si="1"/>
        <v>2</v>
      </c>
      <c r="F12" s="48">
        <f t="shared" si="1"/>
        <v>9</v>
      </c>
      <c r="G12" s="49">
        <f t="shared" si="1"/>
        <v>-7</v>
      </c>
      <c r="H12" s="63"/>
      <c r="I12" s="23">
        <v>12</v>
      </c>
      <c r="J12" s="21">
        <v>44368</v>
      </c>
      <c r="K12" s="22" t="s">
        <v>25</v>
      </c>
      <c r="L12" s="96">
        <v>2</v>
      </c>
      <c r="M12" s="97">
        <v>1</v>
      </c>
      <c r="N12" s="23" t="s">
        <v>27</v>
      </c>
      <c r="O12" s="84" t="str">
        <f t="shared" si="2"/>
        <v>Argentina_Paraguay</v>
      </c>
      <c r="P12" s="83">
        <f t="shared" si="0"/>
        <v>3</v>
      </c>
      <c r="Q12" s="83">
        <f t="shared" si="3"/>
        <v>0</v>
      </c>
      <c r="R12" s="83" t="str">
        <f t="shared" si="4"/>
        <v>Argentina</v>
      </c>
    </row>
    <row r="13" spans="2:34" x14ac:dyDescent="0.25">
      <c r="I13" s="20">
        <v>15</v>
      </c>
      <c r="J13" s="18">
        <v>44371</v>
      </c>
      <c r="K13" s="19" t="s">
        <v>3</v>
      </c>
      <c r="L13" s="96">
        <v>0</v>
      </c>
      <c r="M13" s="97">
        <v>3</v>
      </c>
      <c r="N13" s="20" t="s">
        <v>28</v>
      </c>
      <c r="O13" s="84" t="str">
        <f t="shared" si="2"/>
        <v>Bolivia_Uruguay</v>
      </c>
      <c r="P13" s="83">
        <f t="shared" si="0"/>
        <v>0</v>
      </c>
      <c r="Q13" s="83">
        <f t="shared" si="3"/>
        <v>3</v>
      </c>
      <c r="R13" s="83" t="str">
        <f t="shared" si="4"/>
        <v>Uruguay</v>
      </c>
    </row>
    <row r="14" spans="2:34" x14ac:dyDescent="0.25">
      <c r="I14" s="23">
        <v>16</v>
      </c>
      <c r="J14" s="21">
        <v>44371</v>
      </c>
      <c r="K14" s="22" t="s">
        <v>26</v>
      </c>
      <c r="L14" s="96">
        <v>2</v>
      </c>
      <c r="M14" s="97">
        <v>1</v>
      </c>
      <c r="N14" s="23" t="s">
        <v>27</v>
      </c>
      <c r="O14" s="84" t="str">
        <f t="shared" si="2"/>
        <v>Chile_Paraguay</v>
      </c>
      <c r="P14" s="83">
        <f t="shared" si="0"/>
        <v>3</v>
      </c>
      <c r="Q14" s="83">
        <f t="shared" si="3"/>
        <v>0</v>
      </c>
      <c r="R14" s="83" t="str">
        <f t="shared" si="4"/>
        <v>Chile</v>
      </c>
    </row>
    <row r="15" spans="2:34" x14ac:dyDescent="0.25">
      <c r="I15" s="20">
        <v>19</v>
      </c>
      <c r="J15" s="18">
        <v>44375</v>
      </c>
      <c r="K15" s="19" t="s">
        <v>28</v>
      </c>
      <c r="L15" s="96">
        <v>1</v>
      </c>
      <c r="M15" s="97">
        <v>0</v>
      </c>
      <c r="N15" s="20" t="s">
        <v>27</v>
      </c>
      <c r="O15" s="84" t="str">
        <f t="shared" si="2"/>
        <v>Uruguay_Paraguay</v>
      </c>
      <c r="P15" s="83">
        <f t="shared" si="0"/>
        <v>3</v>
      </c>
      <c r="Q15" s="83">
        <f t="shared" si="3"/>
        <v>0</v>
      </c>
      <c r="R15" s="83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98">
        <v>3</v>
      </c>
      <c r="M16" s="99">
        <v>1</v>
      </c>
      <c r="N16" s="15" t="s">
        <v>3</v>
      </c>
      <c r="O16" s="84" t="str">
        <f t="shared" si="2"/>
        <v>Argentina_Bolivia</v>
      </c>
      <c r="P16" s="83">
        <f t="shared" si="0"/>
        <v>3</v>
      </c>
      <c r="Q16" s="83">
        <f t="shared" si="3"/>
        <v>0</v>
      </c>
      <c r="R16" s="83" t="str">
        <f t="shared" si="4"/>
        <v>Argentina</v>
      </c>
    </row>
    <row r="21" spans="2:14" ht="15.75" thickBot="1" x14ac:dyDescent="0.3"/>
    <row r="22" spans="2:14" ht="15.75" thickBot="1" x14ac:dyDescent="0.3">
      <c r="B22" s="27" t="s">
        <v>50</v>
      </c>
      <c r="C22" s="28"/>
      <c r="D22" s="28"/>
      <c r="E22" s="28"/>
      <c r="F22" s="28"/>
      <c r="G22" s="28"/>
      <c r="H22" s="29"/>
      <c r="I22" s="83">
        <v>1</v>
      </c>
      <c r="J22" s="102" t="s">
        <v>17</v>
      </c>
      <c r="K22" s="103"/>
      <c r="L22" s="103"/>
      <c r="M22" s="104"/>
      <c r="N22" s="63"/>
    </row>
    <row r="23" spans="2:14" x14ac:dyDescent="0.25">
      <c r="B23" s="30" t="s">
        <v>51</v>
      </c>
      <c r="C23" s="31"/>
      <c r="D23" s="31"/>
      <c r="E23" s="31"/>
      <c r="F23" s="31"/>
      <c r="G23" s="31"/>
      <c r="H23" s="32"/>
      <c r="I23" s="83">
        <f>IF(J23="",0,1)</f>
        <v>1</v>
      </c>
      <c r="J23" s="127" t="s">
        <v>25</v>
      </c>
      <c r="K23" s="128"/>
      <c r="L23" s="129"/>
      <c r="M23" s="39">
        <v>1</v>
      </c>
      <c r="N23" s="1">
        <f>IF(J23="",0,M23)</f>
        <v>1</v>
      </c>
    </row>
    <row r="24" spans="2:14" x14ac:dyDescent="0.25">
      <c r="B24" s="30" t="s">
        <v>53</v>
      </c>
      <c r="C24" s="31"/>
      <c r="D24" s="31"/>
      <c r="E24" s="31"/>
      <c r="F24" s="31"/>
      <c r="G24" s="31"/>
      <c r="H24" s="32"/>
      <c r="I24" s="83">
        <f t="shared" ref="I24:I27" si="10">IF(J24="",0,1)</f>
        <v>1</v>
      </c>
      <c r="J24" s="109" t="s">
        <v>3</v>
      </c>
      <c r="K24" s="110"/>
      <c r="L24" s="111"/>
      <c r="M24" s="40">
        <v>5</v>
      </c>
      <c r="N24" s="1">
        <f>IF(J24="",0,M24)</f>
        <v>5</v>
      </c>
    </row>
    <row r="25" spans="2:14" x14ac:dyDescent="0.25">
      <c r="B25" s="30" t="s">
        <v>52</v>
      </c>
      <c r="C25" s="31"/>
      <c r="D25" s="31"/>
      <c r="E25" s="31"/>
      <c r="F25" s="31"/>
      <c r="G25" s="31"/>
      <c r="H25" s="32"/>
      <c r="I25" s="83">
        <f t="shared" si="10"/>
        <v>1</v>
      </c>
      <c r="J25" s="109" t="s">
        <v>26</v>
      </c>
      <c r="K25" s="110"/>
      <c r="L25" s="111"/>
      <c r="M25" s="40">
        <v>2</v>
      </c>
      <c r="N25" s="1">
        <f>IF(J25="",0,M25)</f>
        <v>2</v>
      </c>
    </row>
    <row r="26" spans="2:14" x14ac:dyDescent="0.25">
      <c r="B26" s="30" t="s">
        <v>54</v>
      </c>
      <c r="C26" s="31"/>
      <c r="D26" s="31"/>
      <c r="E26" s="31"/>
      <c r="F26" s="31"/>
      <c r="G26" s="31"/>
      <c r="H26" s="32"/>
      <c r="I26" s="83">
        <f t="shared" si="10"/>
        <v>1</v>
      </c>
      <c r="J26" s="109" t="s">
        <v>27</v>
      </c>
      <c r="K26" s="110"/>
      <c r="L26" s="111"/>
      <c r="M26" s="40">
        <v>3</v>
      </c>
      <c r="N26" s="1">
        <f>IF(J26="",0,M26)</f>
        <v>3</v>
      </c>
    </row>
    <row r="27" spans="2:14" ht="15.75" thickBot="1" x14ac:dyDescent="0.3">
      <c r="B27" s="30" t="s">
        <v>55</v>
      </c>
      <c r="C27" s="31"/>
      <c r="D27" s="31"/>
      <c r="E27" s="31"/>
      <c r="F27" s="31"/>
      <c r="G27" s="31"/>
      <c r="H27" s="32"/>
      <c r="I27" s="83">
        <f t="shared" si="10"/>
        <v>1</v>
      </c>
      <c r="J27" s="112" t="s">
        <v>28</v>
      </c>
      <c r="K27" s="113"/>
      <c r="L27" s="114"/>
      <c r="M27" s="41">
        <v>4</v>
      </c>
      <c r="N27" s="1">
        <f>IF(J27="",0,M27)</f>
        <v>4</v>
      </c>
    </row>
    <row r="28" spans="2:14" ht="15.75" thickBot="1" x14ac:dyDescent="0.3">
      <c r="B28" s="35"/>
      <c r="C28" s="36"/>
      <c r="D28" s="36"/>
      <c r="E28" s="36"/>
      <c r="F28" s="36"/>
      <c r="G28" s="36"/>
      <c r="H28" s="37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Q24"/>
  <sheetViews>
    <sheetView showGridLines="0" topLeftCell="A3" zoomScale="140" zoomScaleNormal="140" workbookViewId="0">
      <selection activeCell="M25" sqref="M25"/>
    </sheetView>
  </sheetViews>
  <sheetFormatPr baseColWidth="10" defaultColWidth="11.42578125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82">
        <v>24</v>
      </c>
      <c r="C6" s="64" t="s">
        <v>31</v>
      </c>
      <c r="D6" s="65" t="s">
        <v>32</v>
      </c>
    </row>
    <row r="7" spans="2:43" ht="15.75" thickBot="1" x14ac:dyDescent="0.3">
      <c r="B7" s="66" t="str">
        <f>'Grupo B'!C8</f>
        <v>Uruguay</v>
      </c>
      <c r="C7" s="33">
        <v>1</v>
      </c>
      <c r="D7" s="67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68" t="str">
        <f>'Grupo A'!C11</f>
        <v>Peru</v>
      </c>
      <c r="C8" s="34">
        <v>0</v>
      </c>
      <c r="D8" s="69"/>
      <c r="E8" s="70"/>
      <c r="G8" s="82">
        <v>26</v>
      </c>
      <c r="H8" s="64" t="s">
        <v>31</v>
      </c>
      <c r="I8" s="65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1"/>
      <c r="G9" s="66" t="str">
        <f>IF(C8&gt;C7,B8,IF(C7&gt;C8,B7,IF(D8&gt;D7,B8,IF(D7&gt;D8,B7,""))))</f>
        <v>Uruguay</v>
      </c>
      <c r="H9" s="33">
        <v>1</v>
      </c>
      <c r="I9" s="67">
        <v>5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82">
        <v>23</v>
      </c>
      <c r="C10" s="64" t="s">
        <v>31</v>
      </c>
      <c r="D10" s="65" t="s">
        <v>32</v>
      </c>
      <c r="E10" s="72"/>
      <c r="F10" s="73"/>
      <c r="G10" s="68" t="str">
        <f>IF(C12&gt;C11,B12,IF(C11&gt;C12,B11,IF(D12&gt;D11,B12,IF(D11&gt;D12,B11,""))))</f>
        <v>Argentina</v>
      </c>
      <c r="H10" s="34">
        <v>1</v>
      </c>
      <c r="I10" s="69">
        <v>3</v>
      </c>
      <c r="J10" s="70"/>
    </row>
    <row r="11" spans="2:43" ht="15.75" thickBot="1" x14ac:dyDescent="0.3">
      <c r="B11" s="66" t="str">
        <f>'Grupo B'!C9</f>
        <v>Argentina</v>
      </c>
      <c r="C11" s="33">
        <v>2</v>
      </c>
      <c r="D11" s="67"/>
      <c r="E11" s="74"/>
      <c r="J11" s="71"/>
    </row>
    <row r="12" spans="2:43" ht="15.75" thickBot="1" x14ac:dyDescent="0.3">
      <c r="B12" s="68" t="str">
        <f>'Grupo A'!C10</f>
        <v>Colombia</v>
      </c>
      <c r="C12" s="34">
        <v>1</v>
      </c>
      <c r="D12" s="69"/>
      <c r="E12" s="75"/>
      <c r="J12" s="71"/>
      <c r="L12" s="82">
        <v>28</v>
      </c>
      <c r="M12" s="64" t="s">
        <v>31</v>
      </c>
      <c r="N12" s="65" t="s">
        <v>32</v>
      </c>
    </row>
    <row r="13" spans="2:43" ht="15.75" thickBot="1" x14ac:dyDescent="0.3">
      <c r="J13" s="71"/>
      <c r="L13" s="66" t="str">
        <f>IF(H10&gt;H9,G10,IF(H9&gt;H10,G9,IF(I10&gt;I9,G10,IF(I9&gt;I10,G9,""))))</f>
        <v>Uruguay</v>
      </c>
      <c r="M13" s="33">
        <v>0</v>
      </c>
      <c r="N13" s="67"/>
    </row>
    <row r="14" spans="2:43" ht="15.75" thickBot="1" x14ac:dyDescent="0.3">
      <c r="B14" s="82">
        <v>21</v>
      </c>
      <c r="C14" s="64" t="s">
        <v>31</v>
      </c>
      <c r="D14" s="65" t="s">
        <v>32</v>
      </c>
      <c r="J14" s="71"/>
      <c r="K14" s="73"/>
      <c r="L14" s="68" t="str">
        <f>IF(H18&gt;H17,G18,IF(H17&gt;H18,G17,IF(I18&gt;I17,G18,IF(I17&gt;I18,G17,""))))</f>
        <v>Brasil</v>
      </c>
      <c r="M14" s="34">
        <v>2</v>
      </c>
      <c r="N14" s="69"/>
    </row>
    <row r="15" spans="2:43" ht="15.75" thickBot="1" x14ac:dyDescent="0.3">
      <c r="B15" s="66" t="str">
        <f>'Grupo A'!C9</f>
        <v>Ecuador</v>
      </c>
      <c r="C15" s="33">
        <v>2</v>
      </c>
      <c r="D15" s="67"/>
      <c r="J15" s="71"/>
      <c r="U15" s="27" t="s">
        <v>37</v>
      </c>
      <c r="V15" s="28"/>
      <c r="W15" s="28"/>
      <c r="X15" s="28"/>
      <c r="Y15" s="28"/>
      <c r="Z15" s="29"/>
    </row>
    <row r="16" spans="2:43" ht="15.75" thickBot="1" x14ac:dyDescent="0.3">
      <c r="B16" s="68" t="str">
        <f>'Grupo B'!C10</f>
        <v>Chile</v>
      </c>
      <c r="C16" s="34">
        <v>1</v>
      </c>
      <c r="D16" s="69"/>
      <c r="E16" s="70"/>
      <c r="G16" s="82">
        <v>25</v>
      </c>
      <c r="H16" s="64" t="s">
        <v>31</v>
      </c>
      <c r="I16" s="65" t="s">
        <v>32</v>
      </c>
      <c r="J16" s="71"/>
      <c r="Q16" s="138" t="s">
        <v>38</v>
      </c>
      <c r="R16" s="117"/>
      <c r="U16" s="30" t="s">
        <v>39</v>
      </c>
      <c r="V16" s="31"/>
      <c r="W16" s="31"/>
      <c r="X16" s="31"/>
      <c r="Y16" s="31"/>
      <c r="Z16" s="32"/>
    </row>
    <row r="17" spans="2:26" ht="15.75" thickBot="1" x14ac:dyDescent="0.3">
      <c r="E17" s="71"/>
      <c r="G17" s="66" t="str">
        <f>IF(C16&gt;C15,B16,IF(C15&gt;C16,B15,IF(D16&gt;D15,B16,IF(D15&gt;D16,B15,""))))</f>
        <v>Ecuador</v>
      </c>
      <c r="H17" s="33">
        <v>1</v>
      </c>
      <c r="I17" s="67"/>
      <c r="J17" s="74"/>
      <c r="Q17" s="66" t="s">
        <v>40</v>
      </c>
      <c r="R17" s="76" t="str">
        <f>IF(M13&gt;M14,L13,IF(M14&gt;M13,L14,IF(N13&gt;N14,L13,IF(N14&gt;N13,L14,""))))</f>
        <v>Brasil</v>
      </c>
      <c r="U17" s="30" t="s">
        <v>41</v>
      </c>
      <c r="V17" s="31"/>
      <c r="W17" s="31"/>
      <c r="X17" s="31"/>
      <c r="Y17" s="31"/>
      <c r="Z17" s="32"/>
    </row>
    <row r="18" spans="2:26" ht="15.75" thickBot="1" x14ac:dyDescent="0.3">
      <c r="B18" s="82">
        <v>22</v>
      </c>
      <c r="C18" s="64" t="s">
        <v>31</v>
      </c>
      <c r="D18" s="65" t="s">
        <v>32</v>
      </c>
      <c r="E18" s="72"/>
      <c r="F18" s="73"/>
      <c r="G18" s="68" t="str">
        <f>IF(C20&gt;C19,B20,IF(C19&gt;C20,B19,IF(D20&gt;D19,B20,IF(D19&gt;D20,B19,""))))</f>
        <v>Brasil</v>
      </c>
      <c r="H18" s="34">
        <v>2</v>
      </c>
      <c r="I18" s="69"/>
      <c r="L18" s="135" t="s">
        <v>42</v>
      </c>
      <c r="M18" s="136"/>
      <c r="N18" s="137"/>
      <c r="Q18" s="77" t="s">
        <v>43</v>
      </c>
      <c r="R18" s="78" t="str">
        <f>IF(R17=L13,L14,IF(R17=L14,L13,""))</f>
        <v>Uruguay</v>
      </c>
      <c r="U18" s="35" t="s">
        <v>44</v>
      </c>
      <c r="V18" s="36"/>
      <c r="W18" s="36"/>
      <c r="X18" s="36"/>
      <c r="Y18" s="36"/>
      <c r="Z18" s="37"/>
    </row>
    <row r="19" spans="2:26" ht="15.75" thickBot="1" x14ac:dyDescent="0.3">
      <c r="B19" s="66" t="str">
        <f>'Grupo A'!C8</f>
        <v>Brasil</v>
      </c>
      <c r="C19" s="33">
        <v>3</v>
      </c>
      <c r="D19" s="67"/>
      <c r="E19" s="74"/>
      <c r="Q19" s="68" t="s">
        <v>45</v>
      </c>
      <c r="R19" s="79" t="str">
        <f>IF(M22&gt;M23,L22,IF(M23&gt;M22,L23,IF(N22&gt;N23,L22,IF(N23&gt;N22,L23,""))))</f>
        <v>Ecuador</v>
      </c>
    </row>
    <row r="20" spans="2:26" ht="15.75" thickBot="1" x14ac:dyDescent="0.3">
      <c r="B20" s="68" t="str">
        <f>'Grupo B'!C11</f>
        <v>Paraguay</v>
      </c>
      <c r="C20" s="34">
        <v>1</v>
      </c>
      <c r="D20" s="69"/>
      <c r="E20" s="75"/>
      <c r="U20" s="139" t="s">
        <v>46</v>
      </c>
      <c r="V20" s="140"/>
      <c r="W20" s="141"/>
    </row>
    <row r="21" spans="2:26" ht="15.75" thickBot="1" x14ac:dyDescent="0.3">
      <c r="L21" s="82">
        <v>27</v>
      </c>
      <c r="M21" s="64" t="s">
        <v>31</v>
      </c>
      <c r="N21" s="65" t="s">
        <v>32</v>
      </c>
      <c r="U21" s="130" t="s">
        <v>47</v>
      </c>
      <c r="V21" s="131"/>
      <c r="W21" s="132"/>
    </row>
    <row r="22" spans="2:26" x14ac:dyDescent="0.25">
      <c r="L22" s="66" t="str">
        <f>IF(L13=G9,G10,IF(L13=G10,G9,""))</f>
        <v>Argentina</v>
      </c>
      <c r="M22" s="33">
        <v>0</v>
      </c>
      <c r="N22" s="67"/>
      <c r="U22" s="127" t="s">
        <v>49</v>
      </c>
      <c r="V22" s="129"/>
      <c r="W22" s="80">
        <v>1</v>
      </c>
    </row>
    <row r="23" spans="2:26" ht="15.75" thickBot="1" x14ac:dyDescent="0.3">
      <c r="L23" s="68" t="str">
        <f>IF(L14=G17,G18,IF(L14=G18,G17,""))</f>
        <v>Ecuador</v>
      </c>
      <c r="M23" s="34">
        <v>1</v>
      </c>
      <c r="N23" s="69"/>
      <c r="U23" s="133" t="s">
        <v>49</v>
      </c>
      <c r="V23" s="134"/>
      <c r="W23" s="80">
        <v>2</v>
      </c>
    </row>
    <row r="24" spans="2:26" ht="15.75" thickBot="1" x14ac:dyDescent="0.3">
      <c r="U24" s="112" t="s">
        <v>49</v>
      </c>
      <c r="V24" s="114"/>
      <c r="W24" s="38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2021-06-09T17:25:39Z</dcterms:modified>
</cp:coreProperties>
</file>