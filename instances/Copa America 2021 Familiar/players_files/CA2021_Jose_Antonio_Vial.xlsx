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Archivos_De_Jugadores\"/>
    </mc:Choice>
  </mc:AlternateContent>
  <xr:revisionPtr revIDLastSave="0" documentId="13_ncr:1_{612CFE1A-31EE-4308-A50F-4CF9696D4111}" xr6:coauthVersionLast="47" xr6:coauthVersionMax="47" xr10:uidLastSave="{00000000-0000-0000-0000-000000000000}"/>
  <bookViews>
    <workbookView xWindow="-120" yWindow="-120" windowWidth="20730" windowHeight="111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L23" i="3" l="1"/>
  <c r="R17" i="3"/>
  <c r="G9" i="3"/>
  <c r="L13" i="3" s="1"/>
  <c r="L22" i="3" s="1"/>
  <c r="B15" i="3"/>
  <c r="R19" i="3" l="1"/>
  <c r="R18" i="3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<sst xmlns="http://schemas.openxmlformats.org/spreadsheetml/2006/main" count="190" uniqueCount="84">
  <si>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</si>
  <si>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</si>
  <si>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</si>
  <si>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</si>
  <si>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</si>
  <si>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</si>
  <si>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</si>
  <si>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</si>
  <si>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</si>
  <si>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</si>
  <si>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</si>
  <si>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</si>
  <si>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</si>
  <si>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</si>
  <si>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</si>
  <si>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</si>
  <si>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</si>
  <si>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</si>
  <si>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</si>
  <si>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</si>
  <si>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</si>
  <si>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</si>
  <si>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</si>
  <si>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</si>
  <si>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</si>
  <si>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</si>
  <si>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</si>
  <si>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</si>
  <si>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</si>
  <si>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</si>
  <si>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</si>
  <si>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</si>
  <si>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</si>
  <si>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</si>
  <si>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</si>
  <si>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</si>
  <si>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</si>
  <si>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</si>
  <si>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</si>
  <si>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</si>
  <si>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</si>
  <si>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</si>
  <si>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</si>
  <si>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</si>
  <si>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</si>
  <si>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</si>
  <si>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</si>
  <si>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</si>
  <si>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</si>
  <si>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</si>
  <si>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</si>
  <si>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</si>
  <si>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</si>
  <si>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</si>
  <si>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</si>
  <si>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</si>
  <si>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</si>
  <si>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</si>
  <si>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</si>
  <si>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</si>
  <si>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</si>
  <si>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</si>
  <si>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</si>
  <si>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</si>
  <si>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</si>
  <si>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</si>
  <si>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</si>
  <si>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</si>
  <si>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</si>
  <si>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</si>
  <si>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</si>
  <si>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</si>
  <si>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</si>
  <si>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</si>
  <si>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</si>
  <si>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</si>
  <si>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</si>
  <si>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</si>
  <si>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</si>
  <si>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</si>
  <si>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</si>
  <si>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José Antonio Vial</t>
  </si>
  <si>
    <t>javial2@uc.cl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</si>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</sst>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D5" sqref="D5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 x14ac:dyDescent="0.3">
      <c r="B6" s="98" t="s">
        <v>80</v>
      </c>
      <c r="C6" s="100" t="s">
        <v>83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C4" zoomScale="140" zoomScaleNormal="140" workbookViewId="0">
      <selection activeCell="L8" sqref="L8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10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-120091000</v>
      </c>
      <c r="AG7" s="91">
        <f>AF7-AE7*10</f>
        <v>-120091010</v>
      </c>
      <c r="AH7" s="91">
        <f>AG7+N23</f>
        <v>-120091009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10</v>
      </c>
      <c r="F8" s="33">
        <f t="shared" si="1"/>
        <v>1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1</v>
      </c>
      <c r="X8" s="91">
        <f>SUMIF($K$7:$K$16,U8,$L$7:$L$16) + SUMIF($N$7:$N$16,U8,$M$7:$M$16)</f>
        <v>5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>Ecuador</v>
      </c>
      <c r="AD8" s="91" t="str">
        <f>IF(AC8="","",IFERROR(VLOOKUP(CONCATENATE(AB8,"_",AC8),$O$7:$R$16,4,FALSE),VLOOKUP(CONCATENATE(AC8,"_",AB8),$O$7:$R$16,4,FALSE)))</f>
        <v>SIN GANADOR</v>
      </c>
      <c r="AE8" s="91">
        <f t="shared" ref="AE8:AE11" si="6">IF(AD8="",1,IF(AD8=AB8,1,0))</f>
        <v>0</v>
      </c>
      <c r="AF8" s="91">
        <f t="shared" ref="AF8:AF11" si="7">-V8*10000000 - W8*10000 - X8*100</f>
        <v>-70010500</v>
      </c>
      <c r="AG8" s="91">
        <f t="shared" ref="AG8:AG11" si="8">AF8-AE8*10</f>
        <v>-70010500</v>
      </c>
      <c r="AH8" s="91">
        <f>AG8+N24</f>
        <v>-70010498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5</v>
      </c>
      <c r="F9" s="64">
        <f t="shared" si="1"/>
        <v>4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1</v>
      </c>
      <c r="X9" s="91">
        <f>SUMIF($K$7:$K$16,U9,$L$7:$L$16) + SUMIF($N$7:$N$16,U9,$M$7:$M$16)</f>
        <v>5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>Colombia</v>
      </c>
      <c r="AD9" s="91" t="str">
        <f>IF(AC9="","",IFERROR(VLOOKUP(CONCATENATE(AB9,"_",AC9),$O$7:$R$16,4,FALSE),VLOOKUP(CONCATENATE(AC9,"_",AB9),$O$7:$R$16,4,FALSE)))</f>
        <v>SIN GANADOR</v>
      </c>
      <c r="AE9" s="91">
        <f t="shared" si="6"/>
        <v>0</v>
      </c>
      <c r="AF9" s="91">
        <f t="shared" si="7"/>
        <v>-70010500</v>
      </c>
      <c r="AG9" s="91">
        <f t="shared" si="8"/>
        <v>-70010500</v>
      </c>
      <c r="AH9" s="91">
        <f>AG9+N25</f>
        <v>-70010497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7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2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-29970200</v>
      </c>
      <c r="AG10" s="91">
        <f t="shared" si="8"/>
        <v>-29970210</v>
      </c>
      <c r="AH10" s="91">
        <f>AG10+N26</f>
        <v>-29970206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2</v>
      </c>
      <c r="F11" s="68">
        <f t="shared" si="1"/>
        <v>5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-8</v>
      </c>
      <c r="X11" s="91">
        <f>SUMIF($K$7:$K$16,U11,$L$7:$L$16) + SUMIF($N$7:$N$16,U11,$M$7:$M$16)</f>
        <v>1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79900</v>
      </c>
      <c r="AG11" s="91">
        <f t="shared" si="8"/>
        <v>79890</v>
      </c>
      <c r="AH11" s="91">
        <f>AG11+N27</f>
        <v>79895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4" zoomScale="140" zoomScaleNormal="140" workbookViewId="0">
      <selection activeCell="L9" sqref="L9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0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8</v>
      </c>
      <c r="W7" s="91">
        <f>X7-Y7</f>
        <v>4</v>
      </c>
      <c r="X7" s="91">
        <f>SUMIF($K$7:$K$16,U7,$L$7:$L$16) + SUMIF($N$7:$N$16,U7,$M$7:$M$16)</f>
        <v>6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-80040600</v>
      </c>
      <c r="AG7" s="91">
        <f>AF7-AE7*10</f>
        <v>-80040610</v>
      </c>
      <c r="AH7" s="91">
        <f>AG7+N23</f>
        <v>-80040609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8</v>
      </c>
      <c r="E8" s="33">
        <f t="shared" si="1"/>
        <v>6</v>
      </c>
      <c r="F8" s="33">
        <f t="shared" si="1"/>
        <v>2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0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90000</v>
      </c>
      <c r="AG8" s="91">
        <f t="shared" ref="AG8:AG11" si="8">AF8-AE8*10</f>
        <v>89990</v>
      </c>
      <c r="AH8" s="91">
        <f>AG8+N24</f>
        <v>89995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8</v>
      </c>
      <c r="E9" s="64">
        <f t="shared" si="1"/>
        <v>4</v>
      </c>
      <c r="F9" s="64">
        <f t="shared" si="1"/>
        <v>1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3</v>
      </c>
      <c r="X9" s="91">
        <f>SUMIF($K$7:$K$16,U9,$L$7:$L$16) + SUMIF($N$7:$N$16,U9,$M$7:$M$16)</f>
        <v>5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-70030500</v>
      </c>
      <c r="AG9" s="91">
        <f t="shared" si="8"/>
        <v>-70030510</v>
      </c>
      <c r="AH9" s="91">
        <f>AG9+N25</f>
        <v>-70030508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5</v>
      </c>
      <c r="F10" s="60">
        <f t="shared" si="1"/>
        <v>2</v>
      </c>
      <c r="G10" s="61">
        <f t="shared" si="1"/>
        <v>3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3</v>
      </c>
      <c r="Y10" s="91">
        <f>SUMIF($K$7:$K$16,U10,$M$7:$M$16) + SUMIF($N$7:$N$16,U10,$L$7:$L$16)</f>
        <v>4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-39990300</v>
      </c>
      <c r="AG10" s="91">
        <f t="shared" si="8"/>
        <v>-39990310</v>
      </c>
      <c r="AH10" s="91">
        <f>AG10+N26</f>
        <v>-39990306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3</v>
      </c>
      <c r="F11" s="68">
        <f t="shared" si="1"/>
        <v>4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8</v>
      </c>
      <c r="W11" s="91">
        <f t="shared" si="9"/>
        <v>3</v>
      </c>
      <c r="X11" s="91">
        <f>SUMIF($K$7:$K$16,U11,$L$7:$L$16) + SUMIF($N$7:$N$16,U11,$M$7:$M$16)</f>
        <v>4</v>
      </c>
      <c r="Y11" s="91">
        <f>SUMIF($K$7:$K$16,U11,$M$7:$M$16) + SUMIF($N$7:$N$16,U11,$L$7:$L$16)</f>
        <v>1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-80030400</v>
      </c>
      <c r="AG11" s="91">
        <f t="shared" si="8"/>
        <v>-80030410</v>
      </c>
      <c r="AH11" s="91">
        <f>AG11+N27</f>
        <v>-80030407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9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0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40" zoomScaleNormal="140" workbookViewId="0">
      <selection activeCell="C26" sqref="C26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0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/>
      <c r="J10" s="78"/>
    </row>
    <row r="11" spans="2:43" ht="15.75" thickBot="1" x14ac:dyDescent="0.3">
      <c r="B11" s="74" t="str">
        <f>'Grupo B'!C9</f>
        <v>Uruguay</v>
      </c>
      <c r="C11" s="41">
        <v>1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3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1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0</v>
      </c>
      <c r="N22" s="75">
        <v>0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0</v>
      </c>
      <c r="N23" s="77">
        <v>1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2021-06-13T19:28:08Z</dcterms:modified>
</cp:coreProperties>
</file>