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 Antonio\Documents\Copa America 2021\Familiar\Archivos_De_Jugadores\"/>
    </mc:Choice>
  </mc:AlternateContent>
  <xr:revisionPtr revIDLastSave="0" documentId="13_ncr:1_{D75490D9-BE57-427F-BD92-715FCDB535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Q15" i="2"/>
  <c r="R15" i="2" s="1"/>
  <c r="Q16" i="2"/>
  <c r="R16" i="2" s="1"/>
  <c r="AF7" i="2" l="1"/>
  <c r="AF11" i="2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B11" i="3" l="1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C8" i="1" l="1"/>
  <c r="B19" i="3" s="1"/>
  <c r="G18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B15" i="3"/>
  <c r="G17" i="3" s="1"/>
  <c r="L14" i="3" s="1"/>
  <c r="L23" i="3" l="1"/>
  <c r="R19" i="3" s="1"/>
  <c r="R17" i="3"/>
  <c r="R18" i="3" s="1"/>
</calcChain>
</file>

<file path=xl/sharedStrings.xml><?xml version="1.0" encoding="utf-8"?>
<sst xmlns="http://schemas.openxmlformats.org/spreadsheetml/2006/main" count="187" uniqueCount="82">
  <si>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</si>
  <si>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</si>
  <si>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</si>
  <si>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</si>
  <si>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</si>
  <si>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</si>
  <si>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</si>
  <si>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</si>
  <si>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</si>
  <si>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</si>
  <si>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</si>
  <si>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</si>
  <si>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</si>
  <si>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</si>
  <si>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</si>
  <si>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</si>
  <si>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</si>
  <si>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</si>
  <si>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</si>
  <si>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</si>
  <si>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</si>
  <si>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</si>
  <si>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</si>
  <si>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</si>
  <si>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</si>
  <si>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</si>
  <si>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</si>
  <si>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</si>
  <si>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</si>
  <si>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</si>
  <si>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</si>
  <si>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</si>
  <si>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</si>
  <si>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</si>
  <si>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</si>
  <si>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</si>
  <si>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</si>
  <si>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</si>
  <si>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</si>
  <si>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</si>
  <si>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</si>
  <si>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</si>
  <si>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</si>
  <si>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</si>
  <si>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</si>
  <si>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</si>
  <si>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</si>
  <si>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</si>
  <si>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</si>
  <si>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</si>
  <si>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</si>
  <si>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</si>
  <si>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</si>
  <si>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</si>
  <si>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</si>
  <si>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</si>
  <si>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</si>
  <si>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</si>
  <si>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</si>
  <si>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</si>
  <si>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</si>
  <si>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</si>
  <si>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</si>
  <si>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</si>
  <si>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</si>
  <si>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</si>
  <si>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</si>
  <si>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</si>
  <si>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</si>
  <si>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</si>
  <si>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</si>
  <si>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</si>
  <si>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</si>
  <si>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</si>
  <si>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</si>
  <si>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</si>
  <si>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</si>
  <si>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</si>
  <si>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</si>
  <si>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</si>
  <si>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</si>
  <si>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Sonia 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</si>
</sst>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4"/>
  <sheetViews>
    <sheetView showGridLines="0" tabSelected="1" zoomScale="160" zoomScaleNormal="160" workbookViewId="0">
      <selection activeCell="C4" sqref="C4:D4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/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00000000-0002-0000-0000-000000000000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29"/>
  <sheetViews>
    <sheetView showGridLines="0" zoomScale="107" zoomScaleNormal="140" workbookViewId="0">
      <selection activeCell="L7" sqref="L7:M16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7</v>
      </c>
      <c r="X7" s="91">
        <f>SUMIF($K$7:$K$16,U7,$L$7:$L$16) + SUMIF($N$7:$N$16,U7,$M$7:$M$16)</f>
        <v>9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-120070900</v>
      </c>
      <c r="AG7" s="91">
        <f>AF7-AE7*10</f>
        <v>-120070910</v>
      </c>
      <c r="AH7" s="91">
        <f>AG7+N23</f>
        <v>-120070909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9</v>
      </c>
      <c r="F8" s="33">
        <f t="shared" si="1"/>
        <v>2</v>
      </c>
      <c r="G8" s="34">
        <f t="shared" si="1"/>
        <v>7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5</v>
      </c>
      <c r="W8" s="91">
        <f>X8-Y8</f>
        <v>1</v>
      </c>
      <c r="X8" s="91">
        <f>SUMIF($K$7:$K$16,U8,$L$7:$L$16) + SUMIF($N$7:$N$16,U8,$M$7:$M$16)</f>
        <v>4</v>
      </c>
      <c r="Y8" s="91">
        <f>SUMIF($K$7:$K$16,U8,$M$7:$M$16) + SUMIF($N$7:$N$16,U8,$L$7:$L$16)</f>
        <v>3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-50010400</v>
      </c>
      <c r="AG8" s="91">
        <f t="shared" ref="AG8:AG11" si="8">AF8-AE8*10</f>
        <v>-50010410</v>
      </c>
      <c r="AH8" s="91">
        <f>AG8+N24</f>
        <v>-50010407</v>
      </c>
    </row>
    <row r="9" spans="2:35" x14ac:dyDescent="0.25">
      <c r="B9" s="62">
        <v>2</v>
      </c>
      <c r="C9" s="63" t="str">
        <f t="shared" si="1"/>
        <v>Ecuador</v>
      </c>
      <c r="D9" s="64">
        <f t="shared" si="1"/>
        <v>7</v>
      </c>
      <c r="E9" s="64">
        <f t="shared" si="1"/>
        <v>7</v>
      </c>
      <c r="F9" s="64">
        <f t="shared" si="1"/>
        <v>5</v>
      </c>
      <c r="G9" s="65">
        <f t="shared" si="1"/>
        <v>2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7</v>
      </c>
      <c r="W9" s="91">
        <f t="shared" ref="W9:W11" si="9">X9-Y9</f>
        <v>2</v>
      </c>
      <c r="X9" s="91">
        <f>SUMIF($K$7:$K$16,U9,$L$7:$L$16) + SUMIF($N$7:$N$16,U9,$M$7:$M$16)</f>
        <v>7</v>
      </c>
      <c r="Y9" s="91">
        <f>SUMIF($K$7:$K$16,U9,$M$7:$M$16) + SUMIF($N$7:$N$16,U9,$L$7:$L$16)</f>
        <v>5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-70020700</v>
      </c>
      <c r="AG9" s="91">
        <f t="shared" si="8"/>
        <v>-70020710</v>
      </c>
      <c r="AH9" s="91">
        <f>AG9+N25</f>
        <v>-70020708</v>
      </c>
    </row>
    <row r="10" spans="2:35" x14ac:dyDescent="0.25">
      <c r="B10" s="58">
        <v>3</v>
      </c>
      <c r="C10" s="59" t="str">
        <f t="shared" si="1"/>
        <v>Colombia</v>
      </c>
      <c r="D10" s="60">
        <f t="shared" si="1"/>
        <v>5</v>
      </c>
      <c r="E10" s="60">
        <f t="shared" si="1"/>
        <v>4</v>
      </c>
      <c r="F10" s="60">
        <f t="shared" si="1"/>
        <v>3</v>
      </c>
      <c r="G10" s="61">
        <f t="shared" si="1"/>
        <v>1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2</v>
      </c>
      <c r="W10" s="91">
        <f t="shared" si="9"/>
        <v>-4</v>
      </c>
      <c r="X10" s="91">
        <f>SUMIF($K$7:$K$16,U10,$L$7:$L$16) + SUMIF($N$7:$N$16,U10,$M$7:$M$16)</f>
        <v>3</v>
      </c>
      <c r="Y10" s="91">
        <f>SUMIF($K$7:$K$16,U10,$M$7:$M$16) + SUMIF($N$7:$N$16,U10,$L$7:$L$16)</f>
        <v>7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-19960300</v>
      </c>
      <c r="AG10" s="91">
        <f t="shared" si="8"/>
        <v>-19960310</v>
      </c>
      <c r="AH10" s="91">
        <f>AG10+N26</f>
        <v>-19960306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2</v>
      </c>
      <c r="E11" s="68">
        <f t="shared" si="1"/>
        <v>3</v>
      </c>
      <c r="F11" s="68">
        <f t="shared" si="1"/>
        <v>7</v>
      </c>
      <c r="G11" s="69">
        <f t="shared" si="1"/>
        <v>-4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-6</v>
      </c>
      <c r="X11" s="91">
        <f>SUMIF($K$7:$K$16,U11,$L$7:$L$16) + SUMIF($N$7:$N$16,U11,$M$7:$M$16)</f>
        <v>1</v>
      </c>
      <c r="Y11" s="91">
        <f>SUMIF($K$7:$K$16,U11,$M$7:$M$16) + SUMIF($N$7:$N$16,U11,$L$7:$L$16)</f>
        <v>7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-9940100</v>
      </c>
      <c r="AG11" s="91">
        <f t="shared" si="8"/>
        <v>-9940110</v>
      </c>
      <c r="AH11" s="91">
        <f>AG11+N27</f>
        <v>-9940105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1</v>
      </c>
      <c r="F12" s="56">
        <f t="shared" si="1"/>
        <v>7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3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0</v>
      </c>
      <c r="M14" s="27">
        <v>1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0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3</v>
      </c>
      <c r="N24" s="1">
        <f>IF(J24="",0,M24)</f>
        <v>3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2</v>
      </c>
      <c r="N25" s="1">
        <f>IF(J25="",0,M25)</f>
        <v>2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J28"/>
  <sheetViews>
    <sheetView showGridLines="0" topLeftCell="A5" zoomScaleNormal="140" workbookViewId="0">
      <selection activeCell="M17" sqref="M17"/>
    </sheetView>
  </sheetViews>
  <sheetFormatPr baseColWidth="10" defaultColWidth="11.42578125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8</v>
      </c>
      <c r="W7" s="91">
        <f>X7-Y7</f>
        <v>3</v>
      </c>
      <c r="X7" s="91">
        <f>SUMIF($K$7:$K$16,U7,$L$7:$L$16) + SUMIF($N$7:$N$16,U7,$M$7:$M$16)</f>
        <v>5</v>
      </c>
      <c r="Y7" s="91">
        <f>SUMIF($K$7:$K$16,U7,$M$7:$M$16) + SUMIF($N$7:$N$16,U7,$L$7:$L$16)</f>
        <v>2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-80030500</v>
      </c>
      <c r="AG7" s="91">
        <f>AF7-AE7*10</f>
        <v>-80030510</v>
      </c>
      <c r="AH7" s="91">
        <f>AG7+N23</f>
        <v>-80030509</v>
      </c>
    </row>
    <row r="8" spans="2:34" x14ac:dyDescent="0.2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10</v>
      </c>
      <c r="E8" s="33">
        <f t="shared" si="1"/>
        <v>6</v>
      </c>
      <c r="F8" s="33">
        <f t="shared" si="1"/>
        <v>2</v>
      </c>
      <c r="G8" s="34">
        <f t="shared" si="1"/>
        <v>4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-5</v>
      </c>
      <c r="X8" s="91">
        <f>SUMIF($K$7:$K$16,U8,$L$7:$L$16) + SUMIF($N$7:$N$16,U8,$M$7:$M$16)</f>
        <v>2</v>
      </c>
      <c r="Y8" s="91">
        <f>SUMIF($K$7:$K$16,U8,$M$7:$M$16) + SUMIF($N$7:$N$16,U8,$L$7:$L$16)</f>
        <v>7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49800</v>
      </c>
      <c r="AG8" s="91">
        <f t="shared" ref="AG8:AG11" si="8">AF8-AE8*10</f>
        <v>49790</v>
      </c>
      <c r="AH8" s="91">
        <f>AG8+N24</f>
        <v>49795</v>
      </c>
    </row>
    <row r="9" spans="2:34" x14ac:dyDescent="0.25">
      <c r="B9" s="62">
        <v>2</v>
      </c>
      <c r="C9" s="63" t="str">
        <f t="shared" si="1"/>
        <v>Argentina</v>
      </c>
      <c r="D9" s="64">
        <f t="shared" si="1"/>
        <v>8</v>
      </c>
      <c r="E9" s="64">
        <f t="shared" si="1"/>
        <v>5</v>
      </c>
      <c r="F9" s="64">
        <f t="shared" si="1"/>
        <v>2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1</v>
      </c>
      <c r="X9" s="91">
        <f>SUMIF($K$7:$K$16,U9,$L$7:$L$16) + SUMIF($N$7:$N$16,U9,$M$7:$M$16)</f>
        <v>4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-70010400</v>
      </c>
      <c r="AG9" s="91">
        <f t="shared" si="8"/>
        <v>-70010410</v>
      </c>
      <c r="AH9" s="91">
        <f>AG9+N25</f>
        <v>-70010408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7</v>
      </c>
      <c r="E10" s="60">
        <f t="shared" si="1"/>
        <v>4</v>
      </c>
      <c r="F10" s="60">
        <f t="shared" si="1"/>
        <v>3</v>
      </c>
      <c r="G10" s="61">
        <f t="shared" si="1"/>
        <v>1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1</v>
      </c>
      <c r="Y10" s="91">
        <f>SUMIF($K$7:$K$16,U10,$M$7:$M$16) + SUMIF($N$7:$N$16,U10,$L$7:$L$16)</f>
        <v>4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-29970100</v>
      </c>
      <c r="AG10" s="91">
        <f t="shared" si="8"/>
        <v>-29970110</v>
      </c>
      <c r="AH10" s="91">
        <f>AG10+N26</f>
        <v>-29970107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1</v>
      </c>
      <c r="F11" s="68">
        <f t="shared" si="1"/>
        <v>4</v>
      </c>
      <c r="G11" s="69">
        <f t="shared" si="1"/>
        <v>-3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0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4</v>
      </c>
      <c r="X11" s="91">
        <f>SUMIF($K$7:$K$16,U11,$L$7:$L$16) + SUMIF($N$7:$N$16,U11,$M$7:$M$16)</f>
        <v>6</v>
      </c>
      <c r="Y11" s="91">
        <f>SUMIF($K$7:$K$16,U11,$M$7:$M$16) + SUMIF($N$7:$N$16,U11,$L$7:$L$16)</f>
        <v>2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-100040600</v>
      </c>
      <c r="AG11" s="91">
        <f t="shared" si="8"/>
        <v>-100040610</v>
      </c>
      <c r="AH11" s="91">
        <f>AG11+N27</f>
        <v>-100040606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2</v>
      </c>
      <c r="F12" s="56">
        <f t="shared" si="1"/>
        <v>7</v>
      </c>
      <c r="G12" s="57">
        <f t="shared" si="1"/>
        <v>-5</v>
      </c>
      <c r="H12" s="71"/>
      <c r="I12" s="31">
        <v>12</v>
      </c>
      <c r="J12" s="29">
        <v>44368</v>
      </c>
      <c r="K12" s="30" t="s">
        <v>25</v>
      </c>
      <c r="L12" s="26">
        <v>1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1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1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2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3</v>
      </c>
      <c r="N26" s="1">
        <f>IF(J26="",0,M26)</f>
        <v>3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4</v>
      </c>
      <c r="N27" s="1">
        <f>IF(J27="",0,M27)</f>
        <v>4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Q24"/>
  <sheetViews>
    <sheetView showGridLines="0" topLeftCell="H10" zoomScale="140" zoomScaleNormal="140" workbookViewId="0">
      <selection activeCell="M23" sqref="M23"/>
    </sheetView>
  </sheetViews>
  <sheetFormatPr baseColWidth="10" defaultColWidth="11.42578125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Uruguay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Uruguay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0</v>
      </c>
      <c r="I10" s="77"/>
      <c r="J10" s="78"/>
    </row>
    <row r="11" spans="2:43" ht="15.75" thickBot="1" x14ac:dyDescent="0.3">
      <c r="B11" s="74" t="str">
        <f>'Grupo B'!C9</f>
        <v>Argentina</v>
      </c>
      <c r="C11" s="41">
        <v>1</v>
      </c>
      <c r="D11" s="75"/>
      <c r="E11" s="82"/>
      <c r="J11" s="79"/>
    </row>
    <row r="12" spans="2:43" ht="15.75" thickBot="1" x14ac:dyDescent="0.3">
      <c r="B12" s="76" t="str">
        <f>'Grupo A'!C10</f>
        <v>Colombia</v>
      </c>
      <c r="C12" s="42">
        <v>0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Uruguay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.75" thickBot="1" x14ac:dyDescent="0.3">
      <c r="B15" s="74" t="str">
        <f>'Grupo A'!C9</f>
        <v>Ecuador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0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Ecuador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Ecuador</v>
      </c>
    </row>
    <row r="20" spans="2:26" ht="15.75" thickBot="1" x14ac:dyDescent="0.3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Argentina</v>
      </c>
      <c r="M22" s="41">
        <v>1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Ecuador</v>
      </c>
      <c r="M23" s="42">
        <v>3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2021-05-30T22:13:47Z</dcterms:created>
  <dcterms:modified xsi:type="dcterms:W3CDTF">2021-06-09T17:26:02Z</dcterms:modified>
</cp:coreProperties>
</file>