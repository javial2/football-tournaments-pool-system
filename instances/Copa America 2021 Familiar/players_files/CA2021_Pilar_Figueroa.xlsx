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istobal Vial\Desktop\"/>
    </mc:Choice>
  </mc:AlternateContent>
  <bookViews>
    <workbookView xWindow="20370" yWindow="-120" windowWidth="29040" windowHeight="15840"/>
  </bookViews>
  <sheets>
    <sheet name="INFORMACION" sheetId="4" r:id="rId1"/>
    <sheet name="Grupo A" sheetId="1" r:id="rId2"/>
    <sheet name="Grupo B" sheetId="2" r:id="rId3"/>
    <sheet name="Play-Off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AH7" i="2" s="1"/>
  <c r="I25" i="2"/>
  <c r="N27" i="2"/>
  <c r="AH11" i="2" s="1"/>
  <c r="N26" i="2" l="1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G10" i="2" s="1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D10" i="2" l="1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<sst xmlns="http://schemas.openxmlformats.org/spreadsheetml/2006/main" count="187" uniqueCount="82">
  <si>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</si>
  <si>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</si>
  <si>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</si>
  <si>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</si>
  <si>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</si>
  <si>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</si>
  <si>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</si>
  <si>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</si>
  <si>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</si>
  <si>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</si>
  <si>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</si>
  <si>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</si>
  <si>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</si>
  <si>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</si>
  <si>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</si>
  <si>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</si>
  <si>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</si>
  <si>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</si>
  <si>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</si>
  <si>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</si>
  <si>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</si>
  <si>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</si>
  <si>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</si>
  <si>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</si>
  <si>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</si>
  <si>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</si>
  <si>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</si>
  <si>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</si>
  <si>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</si>
  <si>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</si>
  <si>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</si>
  <si>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</si>
  <si>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</si>
  <si>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</si>
  <si>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</si>
  <si>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</si>
  <si>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</si>
  <si>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</si>
  <si>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</si>
  <si>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</si>
  <si>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</si>
  <si>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</si>
  <si>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</si>
  <si>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</si>
  <si>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</si>
  <si>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</si>
  <si>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</si>
  <si>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</si>
  <si>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</si>
  <si>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</si>
  <si>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</si>
  <si>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</si>
  <si>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</si>
  <si>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</si>
  <si>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</si>
  <si>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</si>
  <si>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</si>
  <si>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</si>
  <si>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</si>
  <si>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</si>
  <si>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</si>
  <si>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</si>
  <si>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</si>
  <si>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</si>
  <si>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</si>
  <si>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</si>
  <si>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</si>
  <si>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</si>
  <si>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</si>
  <si>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</si>
  <si>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</si>
  <si>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</si>
  <si>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</si>
  <si>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</si>
  <si>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</si>
  <si>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</si>
  <si>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</si>
  <si>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</si>
  <si>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</si>
  <si>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</si>
  <si>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</si>
  <si>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Pilar Figueroa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</si>
</sst>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tabSelected="1" zoomScale="160" zoomScaleNormal="160" workbookViewId="0">
      <selection activeCell="C9" sqref="C9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/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topLeftCell="A13" zoomScale="120" zoomScaleNormal="120" workbookViewId="0">
      <selection activeCell="M23" sqref="M23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10</v>
      </c>
      <c r="X7" s="91">
        <f>SUMIF($K$7:$K$16,U7,$L$7:$L$16) + SUMIF($N$7:$N$16,U7,$M$7:$M$16)</f>
        <v>13</v>
      </c>
      <c r="Y7" s="91">
        <f>SUMIF($K$7:$K$16,U7,$M$7:$M$16) + SUMIF($N$7:$N$16,U7,$L$7:$L$16)</f>
        <v>3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-120101300</v>
      </c>
      <c r="AG7" s="91">
        <f>AF7-AE7*10</f>
        <v>-120101310</v>
      </c>
      <c r="AH7" s="91">
        <f>AG7+N23</f>
        <v>-120101309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13</v>
      </c>
      <c r="F8" s="33">
        <f t="shared" si="1"/>
        <v>3</v>
      </c>
      <c r="G8" s="34">
        <f t="shared" si="1"/>
        <v>10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0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9</v>
      </c>
      <c r="W8" s="91">
        <f>X8-Y8</f>
        <v>4</v>
      </c>
      <c r="X8" s="91">
        <f>SUMIF($K$7:$K$16,U8,$L$7:$L$16) + SUMIF($N$7:$N$16,U8,$M$7:$M$16)</f>
        <v>9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-90040900</v>
      </c>
      <c r="AG8" s="91">
        <f t="shared" ref="AG8:AG11" si="8">AF8-AE8*10</f>
        <v>-90040910</v>
      </c>
      <c r="AH8" s="91">
        <f>AG8+N24</f>
        <v>-90040908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9</v>
      </c>
      <c r="E9" s="64">
        <f t="shared" si="1"/>
        <v>9</v>
      </c>
      <c r="F9" s="64">
        <f t="shared" si="1"/>
        <v>5</v>
      </c>
      <c r="G9" s="65">
        <f t="shared" si="1"/>
        <v>4</v>
      </c>
      <c r="H9" s="71"/>
      <c r="I9" s="9">
        <v>5</v>
      </c>
      <c r="J9" s="13">
        <v>44364</v>
      </c>
      <c r="K9" s="8" t="s">
        <v>12</v>
      </c>
      <c r="L9" s="20">
        <v>3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4</v>
      </c>
      <c r="W9" s="91">
        <f t="shared" ref="W9:W11" si="9">X9-Y9</f>
        <v>-2</v>
      </c>
      <c r="X9" s="91">
        <f>SUMIF($K$7:$K$16,U9,$L$7:$L$16) + SUMIF($N$7:$N$16,U9,$M$7:$M$16)</f>
        <v>5</v>
      </c>
      <c r="Y9" s="91">
        <f>SUMIF($K$7:$K$16,U9,$M$7:$M$16) + SUMIF($N$7:$N$16,U9,$L$7:$L$16)</f>
        <v>7</v>
      </c>
      <c r="AB9" s="91" t="str">
        <f t="shared" si="5"/>
        <v>Ecuador</v>
      </c>
      <c r="AC9" s="91" t="str">
        <f>IF(AF9=AF10,AB10,IF(AF9=AF11,AB11,IF(AF9=AF7,AB7,IF(AF9=AF8,AB8,""))))</f>
        <v>Peru</v>
      </c>
      <c r="AD9" s="91" t="str">
        <f>IF(AC9="","",IFERROR(VLOOKUP(CONCATENATE(AB9,"_",AC9),$O$7:$R$16,4,FALSE),VLOOKUP(CONCATENATE(AC9,"_",AB9),$O$7:$R$16,4,FALSE)))</f>
        <v>SIN GANADOR</v>
      </c>
      <c r="AE9" s="91">
        <f t="shared" si="6"/>
        <v>0</v>
      </c>
      <c r="AF9" s="91">
        <f t="shared" si="7"/>
        <v>-39980500</v>
      </c>
      <c r="AG9" s="91">
        <f t="shared" si="8"/>
        <v>-39980500</v>
      </c>
      <c r="AH9" s="91">
        <f>AG9+N25</f>
        <v>-39980497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4</v>
      </c>
      <c r="E10" s="60">
        <f t="shared" si="1"/>
        <v>5</v>
      </c>
      <c r="F10" s="60">
        <f t="shared" si="1"/>
        <v>7</v>
      </c>
      <c r="G10" s="61">
        <f t="shared" si="1"/>
        <v>-2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4</v>
      </c>
      <c r="W10" s="91">
        <f t="shared" si="9"/>
        <v>-2</v>
      </c>
      <c r="X10" s="91">
        <f>SUMIF($K$7:$K$16,U10,$L$7:$L$16) + SUMIF($N$7:$N$16,U10,$M$7:$M$16)</f>
        <v>5</v>
      </c>
      <c r="Y10" s="91">
        <f>SUMIF($K$7:$K$16,U10,$M$7:$M$16) + SUMIF($N$7:$N$16,U10,$L$7:$L$16)</f>
        <v>7</v>
      </c>
      <c r="AB10" s="91" t="str">
        <f t="shared" si="5"/>
        <v>Peru</v>
      </c>
      <c r="AC10" s="91" t="str">
        <f>IF(AF10=AF11,AB11,IF(AF10=AF7,AB7,IF(AF10=AF8,AB8,IF(AF10=AF9,AB9,""))))</f>
        <v>Ecuador</v>
      </c>
      <c r="AD10" s="91" t="str">
        <f>IF(AC10="","",IFERROR(VLOOKUP(CONCATENATE(AB10,"_",AC10),$O$7:$R$16,4,FALSE),VLOOKUP(CONCATENATE(AC10,"_",AB10),$O$7:$R$16,4,FALSE)))</f>
        <v>SIN GANADOR</v>
      </c>
      <c r="AE10" s="91">
        <f t="shared" si="6"/>
        <v>0</v>
      </c>
      <c r="AF10" s="91">
        <f t="shared" si="7"/>
        <v>-39980500</v>
      </c>
      <c r="AG10" s="91">
        <f t="shared" si="8"/>
        <v>-39980500</v>
      </c>
      <c r="AH10" s="91">
        <f>AG10+N26</f>
        <v>-39980496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4</v>
      </c>
      <c r="E11" s="68">
        <f t="shared" si="1"/>
        <v>5</v>
      </c>
      <c r="F11" s="68">
        <f t="shared" si="1"/>
        <v>7</v>
      </c>
      <c r="G11" s="69">
        <f t="shared" si="1"/>
        <v>-2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3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-10</v>
      </c>
      <c r="X11" s="91">
        <f>SUMIF($K$7:$K$16,U11,$L$7:$L$16) + SUMIF($N$7:$N$16,U11,$M$7:$M$16)</f>
        <v>1</v>
      </c>
      <c r="Y11" s="91">
        <f>SUMIF($K$7:$K$16,U11,$M$7:$M$16) + SUMIF($N$7:$N$16,U11,$L$7:$L$16)</f>
        <v>11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99900</v>
      </c>
      <c r="AG11" s="91">
        <f t="shared" si="8"/>
        <v>99890</v>
      </c>
      <c r="AH11" s="91">
        <f>AG11+N27</f>
        <v>99895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1</v>
      </c>
      <c r="F12" s="56">
        <f t="shared" si="1"/>
        <v>11</v>
      </c>
      <c r="G12" s="57">
        <f t="shared" si="1"/>
        <v>-10</v>
      </c>
      <c r="H12" s="71"/>
      <c r="I12" s="31">
        <v>10</v>
      </c>
      <c r="J12" s="29">
        <v>44367</v>
      </c>
      <c r="K12" s="30" t="s">
        <v>12</v>
      </c>
      <c r="L12" s="26">
        <v>3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4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zoomScale="120" zoomScaleNormal="120" workbookViewId="0">
      <selection activeCell="N16" sqref="N16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8</v>
      </c>
      <c r="W7" s="91">
        <f>X7-Y7</f>
        <v>3</v>
      </c>
      <c r="X7" s="91">
        <f>SUMIF($K$7:$K$16,U7,$L$7:$L$16) + SUMIF($N$7:$N$16,U7,$M$7:$M$16)</f>
        <v>8</v>
      </c>
      <c r="Y7" s="91">
        <f>SUMIF($K$7:$K$16,U7,$M$7:$M$16) + SUMIF($N$7:$N$16,U7,$L$7:$L$16)</f>
        <v>5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-80030800</v>
      </c>
      <c r="AG7" s="91">
        <f>AF7-AE7*10</f>
        <v>-80030810</v>
      </c>
      <c r="AH7" s="91">
        <f>AG7+N23</f>
        <v>-80030809</v>
      </c>
    </row>
    <row r="8" spans="2:34" x14ac:dyDescent="0.2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10</v>
      </c>
      <c r="E8" s="33">
        <f t="shared" si="1"/>
        <v>8</v>
      </c>
      <c r="F8" s="33">
        <f t="shared" si="1"/>
        <v>3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-8</v>
      </c>
      <c r="X8" s="91">
        <f>SUMIF($K$7:$K$16,U8,$L$7:$L$16) + SUMIF($N$7:$N$16,U8,$M$7:$M$16)</f>
        <v>2</v>
      </c>
      <c r="Y8" s="91">
        <f>SUMIF($K$7:$K$16,U8,$M$7:$M$16) + SUMIF($N$7:$N$16,U8,$L$7:$L$16)</f>
        <v>10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79800</v>
      </c>
      <c r="AG8" s="91">
        <f t="shared" ref="AG8:AG11" si="8">AF8-AE8*10</f>
        <v>79790</v>
      </c>
      <c r="AH8" s="91">
        <f>AG8+N24</f>
        <v>79795</v>
      </c>
    </row>
    <row r="9" spans="2:34" x14ac:dyDescent="0.25">
      <c r="B9" s="62">
        <v>2</v>
      </c>
      <c r="C9" s="63" t="str">
        <f t="shared" si="1"/>
        <v>Argentina</v>
      </c>
      <c r="D9" s="64">
        <f t="shared" si="1"/>
        <v>8</v>
      </c>
      <c r="E9" s="64">
        <f t="shared" si="1"/>
        <v>8</v>
      </c>
      <c r="F9" s="64">
        <f t="shared" si="1"/>
        <v>5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4</v>
      </c>
      <c r="U9" s="91" t="s">
        <v>26</v>
      </c>
      <c r="V9" s="91">
        <f>SUMIF($K$7:$K$16,U9,$P$7:$P$16) + SUMIF($N$7:$N$16,U9,$Q$7:$Q$16)</f>
        <v>4</v>
      </c>
      <c r="W9" s="91">
        <f t="shared" ref="W9:W11" si="9">X9-Y9</f>
        <v>-1</v>
      </c>
      <c r="X9" s="91">
        <f>SUMIF($K$7:$K$16,U9,$L$7:$L$16) + SUMIF($N$7:$N$16,U9,$M$7:$M$16)</f>
        <v>5</v>
      </c>
      <c r="Y9" s="91">
        <f>SUMIF($K$7:$K$16,U9,$M$7:$M$16) + SUMIF($N$7:$N$16,U9,$L$7:$L$16)</f>
        <v>6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-39990500</v>
      </c>
      <c r="AG9" s="91">
        <f t="shared" si="8"/>
        <v>-39990510</v>
      </c>
      <c r="AH9" s="91">
        <f>AG9+N25</f>
        <v>-39990508</v>
      </c>
    </row>
    <row r="10" spans="2:34" x14ac:dyDescent="0.25">
      <c r="B10" s="58">
        <v>3</v>
      </c>
      <c r="C10" s="59" t="str">
        <f t="shared" si="1"/>
        <v>Paraguay</v>
      </c>
      <c r="D10" s="60">
        <f t="shared" si="1"/>
        <v>5</v>
      </c>
      <c r="E10" s="60">
        <f t="shared" si="1"/>
        <v>6</v>
      </c>
      <c r="F10" s="60">
        <f t="shared" si="1"/>
        <v>5</v>
      </c>
      <c r="G10" s="61">
        <f t="shared" si="1"/>
        <v>1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3</v>
      </c>
      <c r="U10" s="91" t="s">
        <v>27</v>
      </c>
      <c r="V10" s="91">
        <f>SUMIF($K$7:$K$16,U10,$P$7:$P$16) + SUMIF($N$7:$N$16,U10,$Q$7:$Q$16)</f>
        <v>5</v>
      </c>
      <c r="W10" s="91">
        <f t="shared" si="9"/>
        <v>1</v>
      </c>
      <c r="X10" s="91">
        <f>SUMIF($K$7:$K$16,U10,$L$7:$L$16) + SUMIF($N$7:$N$16,U10,$M$7:$M$16)</f>
        <v>6</v>
      </c>
      <c r="Y10" s="91">
        <f>SUMIF($K$7:$K$16,U10,$M$7:$M$16) + SUMIF($N$7:$N$16,U10,$L$7:$L$16)</f>
        <v>5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-50010600</v>
      </c>
      <c r="AG10" s="91">
        <f t="shared" si="8"/>
        <v>-50010610</v>
      </c>
      <c r="AH10" s="91">
        <f>AG10+N26</f>
        <v>-50010606</v>
      </c>
    </row>
    <row r="11" spans="2:34" x14ac:dyDescent="0.25">
      <c r="B11" s="66">
        <v>4</v>
      </c>
      <c r="C11" s="67" t="str">
        <f t="shared" si="1"/>
        <v>Chile</v>
      </c>
      <c r="D11" s="68">
        <f t="shared" si="1"/>
        <v>4</v>
      </c>
      <c r="E11" s="68">
        <f t="shared" si="1"/>
        <v>5</v>
      </c>
      <c r="F11" s="68">
        <f t="shared" si="1"/>
        <v>6</v>
      </c>
      <c r="G11" s="69">
        <f t="shared" si="1"/>
        <v>-1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5</v>
      </c>
      <c r="X11" s="91">
        <f>SUMIF($K$7:$K$16,U11,$L$7:$L$16) + SUMIF($N$7:$N$16,U11,$M$7:$M$16)</f>
        <v>8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-100050800</v>
      </c>
      <c r="AG11" s="91">
        <f t="shared" si="8"/>
        <v>-100050810</v>
      </c>
      <c r="AH11" s="91">
        <f>AG11+N27</f>
        <v>-100050807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2</v>
      </c>
      <c r="F12" s="56">
        <f t="shared" si="1"/>
        <v>10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2</v>
      </c>
      <c r="N12" s="31" t="s">
        <v>27</v>
      </c>
      <c r="O12" s="92" t="str">
        <f t="shared" si="2"/>
        <v>Argentina_Paraguay</v>
      </c>
      <c r="P12" s="91">
        <f t="shared" si="0"/>
        <v>1</v>
      </c>
      <c r="Q12" s="91">
        <f t="shared" si="3"/>
        <v>1</v>
      </c>
      <c r="R12" s="91" t="str">
        <f t="shared" si="4"/>
        <v>SIN GANADOR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1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1</v>
      </c>
      <c r="Q14" s="91">
        <f t="shared" si="3"/>
        <v>1</v>
      </c>
      <c r="R14" s="91" t="str">
        <f t="shared" si="4"/>
        <v>SIN GANADOR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1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topLeftCell="D13" zoomScale="140" zoomScaleNormal="140" workbookViewId="0">
      <selection activeCell="J22" sqref="J22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Uruguay</v>
      </c>
      <c r="C7" s="41">
        <v>3</v>
      </c>
      <c r="D7" s="75">
        <v>3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1</v>
      </c>
      <c r="D8" s="77">
        <v>2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Uruguay</v>
      </c>
      <c r="H9" s="41">
        <v>2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1</v>
      </c>
      <c r="I10" s="77"/>
      <c r="J10" s="78"/>
    </row>
    <row r="11" spans="2:43" ht="15.75" thickBot="1" x14ac:dyDescent="0.3">
      <c r="B11" s="74" t="str">
        <f>'Grupo B'!C9</f>
        <v>Argentina</v>
      </c>
      <c r="C11" s="41">
        <v>1</v>
      </c>
      <c r="D11" s="75"/>
      <c r="E11" s="82"/>
      <c r="J11" s="79"/>
    </row>
    <row r="12" spans="2:43" ht="15.75" thickBot="1" x14ac:dyDescent="0.3">
      <c r="B12" s="76" t="str">
        <f>'Grupo A'!C10</f>
        <v>Ecuador</v>
      </c>
      <c r="C12" s="42">
        <v>0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Uruguay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.75" thickBot="1" x14ac:dyDescent="0.3">
      <c r="B15" s="74" t="str">
        <f>'Grupo A'!C9</f>
        <v>Colombia</v>
      </c>
      <c r="C15" s="41">
        <v>0</v>
      </c>
      <c r="D15" s="75">
        <v>4</v>
      </c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Paraguay</v>
      </c>
      <c r="C16" s="42">
        <v>0</v>
      </c>
      <c r="D16" s="77">
        <v>5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Paraguay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Argentina</v>
      </c>
    </row>
    <row r="20" spans="2:26" ht="15.75" thickBot="1" x14ac:dyDescent="0.3">
      <c r="B20" s="76" t="str">
        <f>'Grupo B'!C11</f>
        <v>Chile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Argentina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Paraguay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 Vial</cp:lastModifiedBy>
  <dcterms:created xsi:type="dcterms:W3CDTF">2021-05-30T22:13:47Z</dcterms:created>
  <dcterms:modified xsi:type="dcterms:W3CDTF">2021-06-12T16:24:11Z</dcterms:modified>
</cp:coreProperties>
</file>