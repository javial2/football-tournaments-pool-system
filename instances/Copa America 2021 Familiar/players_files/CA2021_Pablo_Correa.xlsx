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Antonio\Documents\Copa America 2021\Familiar\Archivos_De_Jugadores\"/>
    </mc:Choice>
  </mc:AlternateContent>
  <xr:revisionPtr revIDLastSave="0" documentId="13_ncr:1_{9136EF45-7CB4-47AE-BB1E-750B5BAB5A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l="1"/>
  <c r="C8" i="1"/>
  <c r="B19" i="3" s="1"/>
  <c r="G18" i="3" s="1"/>
  <c r="L14" i="3" s="1"/>
  <c r="L23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B15" i="3"/>
  <c r="L22" i="3" l="1"/>
  <c r="R19" i="3" s="1"/>
  <c r="R17" i="3"/>
  <c r="R18" i="3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<sst xmlns="http://schemas.openxmlformats.org/spreadsheetml/2006/main" count="187" uniqueCount="82">
  <si>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</si>
  <si>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</si>
  <si>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</si>
  <si>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</si>
  <si>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</si>
  <si>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</si>
  <si>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</si>
  <si>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</si>
  <si>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</si>
  <si>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</si>
  <si>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</si>
  <si>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</si>
  <si>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</si>
  <si>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</si>
  <si>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</si>
  <si>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</si>
  <si>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</si>
  <si>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</si>
  <si>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</si>
  <si>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</si>
  <si>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</si>
  <si>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</si>
  <si>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</si>
  <si>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</si>
  <si>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</si>
  <si>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</si>
  <si>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</si>
  <si>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</si>
  <si>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</si>
  <si>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</si>
  <si>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</si>
  <si>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</si>
  <si>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</si>
  <si>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</si>
  <si>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</si>
  <si>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</si>
  <si>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</si>
  <si>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</si>
  <si>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</si>
  <si>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</si>
  <si>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</si>
  <si>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</si>
  <si>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</si>
  <si>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</si>
  <si>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</si>
  <si>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</si>
  <si>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</si>
  <si>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</si>
  <si>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</si>
  <si>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</si>
  <si>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</si>
  <si>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</si>
  <si>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</si>
  <si>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</si>
  <si>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</si>
  <si>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</si>
  <si>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</si>
  <si>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</si>
  <si>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</si>
  <si>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</si>
  <si>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</si>
  <si>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</si>
  <si>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</si>
  <si>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</si>
  <si>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</si>
  <si>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</si>
  <si>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</si>
  <si>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</si>
  <si>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</si>
  <si>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</si>
  <si>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</si>
  <si>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</si>
  <si>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</si>
  <si>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</si>
  <si>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</si>
  <si>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</si>
  <si>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</si>
  <si>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</si>
  <si>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</si>
  <si>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</si>
  <si>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</si>
  <si>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Pablo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</si>
</sst>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4"/>
  <sheetViews>
    <sheetView showGridLines="0" tabSelected="1" zoomScale="160" zoomScaleNormal="160" workbookViewId="0">
      <selection activeCell="C3" sqref="C3:D3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00000000-0002-0000-0000-000000000000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29"/>
  <sheetViews>
    <sheetView showGridLines="0" topLeftCell="B1" zoomScale="140" zoomScaleNormal="140" workbookViewId="0">
      <selection activeCell="L17" sqref="L17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4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11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-120091100</v>
      </c>
      <c r="AG7" s="91">
        <f>AF7-AE7*10</f>
        <v>-120091110</v>
      </c>
      <c r="AH7" s="91">
        <f>AG7+N23</f>
        <v>-120091109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11</v>
      </c>
      <c r="F8" s="33">
        <f t="shared" si="1"/>
        <v>2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3</v>
      </c>
      <c r="X8" s="91">
        <f>SUMIF($K$7:$K$16,U8,$L$7:$L$16) + SUMIF($N$7:$N$16,U8,$M$7:$M$16)</f>
        <v>6</v>
      </c>
      <c r="Y8" s="91">
        <f>SUMIF($K$7:$K$16,U8,$M$7:$M$16) + SUMIF($N$7:$N$16,U8,$L$7:$L$16)</f>
        <v>3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-90030600</v>
      </c>
      <c r="AG8" s="91">
        <f t="shared" ref="AG8:AG11" si="8">AF8-AE8*10</f>
        <v>-90030610</v>
      </c>
      <c r="AH8" s="91">
        <f>AG8+N24</f>
        <v>-90030608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4</v>
      </c>
      <c r="W9" s="91">
        <f t="shared" ref="W9:W11" si="9">X9-Y9</f>
        <v>-1</v>
      </c>
      <c r="X9" s="91">
        <f>SUMIF($K$7:$K$16,U9,$L$7:$L$16) + SUMIF($N$7:$N$16,U9,$M$7:$M$16)</f>
        <v>6</v>
      </c>
      <c r="Y9" s="91">
        <f>SUMIF($K$7:$K$16,U9,$M$7:$M$16) + SUMIF($N$7:$N$16,U9,$L$7:$L$16)</f>
        <v>7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-39990600</v>
      </c>
      <c r="AG9" s="91">
        <f t="shared" si="8"/>
        <v>-39990610</v>
      </c>
      <c r="AH9" s="91">
        <f>AG9+N25</f>
        <v>-39990607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4</v>
      </c>
      <c r="E10" s="60">
        <f t="shared" si="1"/>
        <v>6</v>
      </c>
      <c r="F10" s="60">
        <f t="shared" si="1"/>
        <v>7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3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-39980300</v>
      </c>
      <c r="AG10" s="91">
        <f t="shared" si="8"/>
        <v>-39980310</v>
      </c>
      <c r="AH10" s="91">
        <f>AG10+N26</f>
        <v>-39980306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4</v>
      </c>
      <c r="E11" s="68">
        <f t="shared" si="1"/>
        <v>3</v>
      </c>
      <c r="F11" s="68">
        <f t="shared" si="1"/>
        <v>5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3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-9</v>
      </c>
      <c r="X11" s="91">
        <f>SUMIF($K$7:$K$16,U11,$L$7:$L$16) + SUMIF($N$7:$N$16,U11,$M$7:$M$16)</f>
        <v>2</v>
      </c>
      <c r="Y11" s="91">
        <f>SUMIF($K$7:$K$16,U11,$M$7:$M$16) + SUMIF($N$7:$N$16,U11,$L$7:$L$16)</f>
        <v>11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89800</v>
      </c>
      <c r="AG11" s="91">
        <f t="shared" si="8"/>
        <v>89790</v>
      </c>
      <c r="AH11" s="91">
        <f>AG11+N27</f>
        <v>89795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2</v>
      </c>
      <c r="F12" s="56">
        <f t="shared" si="1"/>
        <v>11</v>
      </c>
      <c r="G12" s="57">
        <f t="shared" si="1"/>
        <v>-9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0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J28"/>
  <sheetViews>
    <sheetView showGridLines="0" topLeftCell="C1" zoomScale="140" zoomScaleNormal="140" workbookViewId="0">
      <selection activeCell="L17" sqref="L17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6</v>
      </c>
      <c r="X7" s="91">
        <f>SUMIF($K$7:$K$16,U7,$L$7:$L$16) + SUMIF($N$7:$N$16,U7,$M$7:$M$16)</f>
        <v>9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-100060900</v>
      </c>
      <c r="AG7" s="91">
        <f>AF7-AE7*10</f>
        <v>-100060910</v>
      </c>
      <c r="AH7" s="91">
        <f>AG7+N23</f>
        <v>-100060909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9</v>
      </c>
      <c r="F8" s="33">
        <f t="shared" si="1"/>
        <v>3</v>
      </c>
      <c r="G8" s="34">
        <f t="shared" si="1"/>
        <v>6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1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79900</v>
      </c>
      <c r="AG8" s="91">
        <f t="shared" ref="AG8:AG11" si="8">AF8-AE8*10</f>
        <v>79890</v>
      </c>
      <c r="AH8" s="91">
        <f>AG8+N24</f>
        <v>79895</v>
      </c>
    </row>
    <row r="9" spans="2:34" x14ac:dyDescent="0.25">
      <c r="B9" s="62">
        <v>2</v>
      </c>
      <c r="C9" s="63" t="str">
        <f t="shared" si="1"/>
        <v>Chile</v>
      </c>
      <c r="D9" s="64">
        <f t="shared" si="1"/>
        <v>8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8</v>
      </c>
      <c r="W9" s="91">
        <f t="shared" ref="W9:W11" si="9">X9-Y9</f>
        <v>3</v>
      </c>
      <c r="X9" s="91">
        <f>SUMIF($K$7:$K$16,U9,$L$7:$L$16) + SUMIF($N$7:$N$16,U9,$M$7:$M$16)</f>
        <v>6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-80030600</v>
      </c>
      <c r="AG9" s="91">
        <f t="shared" si="8"/>
        <v>-80030610</v>
      </c>
      <c r="AH9" s="91">
        <f>AG9+N25</f>
        <v>-80030608</v>
      </c>
    </row>
    <row r="10" spans="2:34" x14ac:dyDescent="0.25">
      <c r="B10" s="58">
        <v>3</v>
      </c>
      <c r="C10" s="59" t="str">
        <f t="shared" si="1"/>
        <v>Uruguay</v>
      </c>
      <c r="D10" s="60">
        <f t="shared" si="1"/>
        <v>5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5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-39980500</v>
      </c>
      <c r="AG10" s="91">
        <f t="shared" si="8"/>
        <v>-39980510</v>
      </c>
      <c r="AH10" s="91">
        <f>AG10+N26</f>
        <v>-39980506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5</v>
      </c>
      <c r="F11" s="68">
        <f t="shared" si="1"/>
        <v>7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5</v>
      </c>
      <c r="W11" s="91">
        <f t="shared" si="9"/>
        <v>1</v>
      </c>
      <c r="X11" s="91">
        <f>SUMIF($K$7:$K$16,U11,$L$7:$L$16) + SUMIF($N$7:$N$16,U11,$M$7:$M$16)</f>
        <v>5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-50010500</v>
      </c>
      <c r="AG11" s="91">
        <f t="shared" si="8"/>
        <v>-50010510</v>
      </c>
      <c r="AH11" s="91">
        <f>AG11+N27</f>
        <v>-50010507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9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Q24"/>
  <sheetViews>
    <sheetView showGridLines="0" topLeftCell="C8" zoomScale="140" zoomScaleNormal="140" workbookViewId="0">
      <selection activeCell="M23" sqref="M23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2</v>
      </c>
      <c r="I10" s="77"/>
      <c r="J10" s="78"/>
    </row>
    <row r="11" spans="2:43" ht="15.75" thickBot="1" x14ac:dyDescent="0.3">
      <c r="B11" s="74" t="str">
        <f>'Grupo B'!C9</f>
        <v>Chile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Ecuador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Chile</v>
      </c>
      <c r="M13" s="41">
        <v>1</v>
      </c>
      <c r="N13" s="75">
        <v>1</v>
      </c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>
        <v>0</v>
      </c>
    </row>
    <row r="15" spans="2:43" ht="15.75" thickBot="1" x14ac:dyDescent="0.3">
      <c r="B15" s="74" t="str">
        <f>'Grupo A'!C9</f>
        <v>Colombia</v>
      </c>
      <c r="C15" s="41">
        <v>1</v>
      </c>
      <c r="D15" s="75">
        <v>0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Uruguay</v>
      </c>
      <c r="C16" s="42">
        <v>1</v>
      </c>
      <c r="D16" s="77">
        <v>1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Uruguay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Chile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Argentina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Uruguay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2021-05-30T22:13:47Z</dcterms:created>
  <dcterms:modified xsi:type="dcterms:W3CDTF">2021-06-13T19:20:46Z</dcterms:modified>
</cp:coreProperties>
</file>