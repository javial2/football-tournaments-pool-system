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cuments\Copa America 2021\Familiar\Archivos_De_Jugadores\"/>
    </mc:Choice>
  </mc:AlternateContent>
  <xr:revisionPtr revIDLastSave="0" documentId="13_ncr:1_{FD4256A7-6CEB-44B1-B106-D81F5F82B6AA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W7" i="1"/>
  <c r="W10" i="1"/>
  <c r="W11" i="1"/>
  <c r="W8" i="1"/>
  <c r="W9" i="1"/>
  <c r="V8" i="1"/>
  <c r="Q11" i="1"/>
  <c r="G10" i="2" l="1"/>
  <c r="V11" i="1"/>
  <c r="AF11" i="1" s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C8" i="1" l="1"/>
  <c r="B19" i="3" s="1"/>
  <c r="G18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B15" i="3"/>
  <c r="G17" i="3" s="1"/>
  <c r="L14" i="3" s="1"/>
  <c r="L23" i="3" l="1"/>
  <c r="R17" i="3"/>
  <c r="R19" i="3"/>
  <c r="R18" i="3"/>
</calcChain>
</file>

<file path=xl/sharedStrings.xml><?xml version="1.0" encoding="utf-8"?>
<sst xmlns="http://schemas.openxmlformats.org/spreadsheetml/2006/main" count="187" uniqueCount="82">
  <si>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</si>
  <si>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</si>
  <si>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</si>
  <si>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</si>
  <si>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</si>
  <si>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</si>
  <si>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</si>
  <si>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</si>
  <si>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</si>
  <si>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</si>
  <si>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</si>
  <si>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</si>
  <si>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</si>
  <si>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</si>
  <si>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</si>
  <si>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</si>
  <si>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</si>
  <si>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</si>
  <si>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</si>
  <si>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</si>
  <si>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</si>
  <si>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</si>
  <si>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</si>
  <si>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</si>
  <si>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</si>
  <si>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</si>
  <si>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</si>
  <si>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</si>
  <si>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</si>
  <si>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</si>
  <si>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</si>
  <si>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</si>
  <si>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</si>
  <si>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</si>
  <si>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</si>
  <si>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</si>
  <si>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</si>
  <si>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</si>
  <si>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</si>
  <si>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</si>
  <si>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</si>
  <si>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</si>
  <si>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</si>
  <si>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</si>
  <si>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</si>
  <si>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</si>
  <si>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</si>
  <si>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</si>
  <si>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</si>
  <si>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</si>
  <si>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</si>
  <si>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</si>
  <si>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</si>
  <si>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</si>
  <si>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</si>
  <si>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</si>
  <si>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</si>
  <si>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</si>
  <si>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</si>
  <si>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</si>
  <si>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</si>
  <si>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</si>
  <si>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</si>
  <si>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</si>
  <si>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</si>
  <si>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</si>
  <si>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</si>
  <si>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</si>
  <si>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</si>
  <si>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</si>
  <si>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</si>
  <si>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</si>
  <si>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</si>
  <si>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</si>
  <si>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</si>
  <si>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</si>
  <si>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</si>
  <si>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</si>
  <si>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</si>
  <si>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</si>
  <si>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</si>
  <si>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Trini 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</si>
</sst>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3" sqref="C3:D3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/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5" zoomScale="140" zoomScaleNormal="140" workbookViewId="0">
      <selection activeCell="F16" sqref="F16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11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-120101100</v>
      </c>
      <c r="AG7" s="91">
        <f>AF7-AE7*10</f>
        <v>-120101110</v>
      </c>
      <c r="AH7" s="91">
        <f>AG7+N23</f>
        <v>-120101109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1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2</v>
      </c>
      <c r="X8" s="91">
        <f>SUMIF($K$7:$K$16,U8,$L$7:$L$16) + SUMIF($N$7:$N$16,U8,$M$7:$M$16)</f>
        <v>7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-90020700</v>
      </c>
      <c r="AG8" s="91">
        <f t="shared" ref="AG8:AG11" si="8">AF8-AE8*10</f>
        <v>-90020710</v>
      </c>
      <c r="AH8" s="91">
        <f>AG8+N24</f>
        <v>-90020707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7</v>
      </c>
      <c r="F9" s="64">
        <f t="shared" si="1"/>
        <v>5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4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-60000400</v>
      </c>
      <c r="AG9" s="91">
        <f t="shared" si="8"/>
        <v>-60000410</v>
      </c>
      <c r="AH9" s="91">
        <f>AG9+N25</f>
        <v>-60000408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6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4</v>
      </c>
      <c r="Y10" s="91">
        <f>SUMIF($K$7:$K$16,U10,$M$7:$M$16) + SUMIF($N$7:$N$16,U10,$L$7:$L$16)</f>
        <v>7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-29970400</v>
      </c>
      <c r="AG10" s="91">
        <f t="shared" si="8"/>
        <v>-29970410</v>
      </c>
      <c r="AH10" s="91">
        <f>AG10+N26</f>
        <v>-29970406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4</v>
      </c>
      <c r="F11" s="68">
        <f t="shared" si="1"/>
        <v>7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-9</v>
      </c>
      <c r="X11" s="91">
        <f>SUMIF($K$7:$K$16,U11,$L$7:$L$16) + SUMIF($N$7:$N$16,U11,$M$7:$M$16)</f>
        <v>0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90000</v>
      </c>
      <c r="AG11" s="91">
        <f t="shared" si="8"/>
        <v>89990</v>
      </c>
      <c r="AH11" s="91">
        <f>AG11+N27</f>
        <v>89995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9</v>
      </c>
      <c r="G12" s="57">
        <f t="shared" si="1"/>
        <v>-9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3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6" zoomScale="140" zoomScaleNormal="140" workbookViewId="0">
      <selection activeCell="M16" sqref="M16"/>
    </sheetView>
  </sheetViews>
  <sheetFormatPr baseColWidth="10" defaultColWidth="11.42578125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10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-100061000</v>
      </c>
      <c r="AG7" s="91">
        <f>AF7-AE7*10</f>
        <v>-100061010</v>
      </c>
      <c r="AH7" s="91">
        <f>AG7+N23</f>
        <v>-100061009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10</v>
      </c>
      <c r="F8" s="33">
        <f t="shared" si="1"/>
        <v>4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0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80000</v>
      </c>
      <c r="AG8" s="91">
        <f t="shared" ref="AG8:AG11" si="8">AF8-AE8*10</f>
        <v>79990</v>
      </c>
      <c r="AH8" s="91">
        <f>AG8+N24</f>
        <v>79995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8</v>
      </c>
      <c r="F9" s="64">
        <f t="shared" si="1"/>
        <v>4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4</v>
      </c>
      <c r="U9" s="91" t="s">
        <v>26</v>
      </c>
      <c r="V9" s="91">
        <f>SUMIF($K$7:$K$16,U9,$P$7:$P$16) + SUMIF($N$7:$N$16,U9,$Q$7:$Q$16)</f>
        <v>4</v>
      </c>
      <c r="W9" s="91">
        <f t="shared" ref="W9:W11" si="9">X9-Y9</f>
        <v>-1</v>
      </c>
      <c r="X9" s="91">
        <f>SUMIF($K$7:$K$16,U9,$L$7:$L$16) + SUMIF($N$7:$N$16,U9,$M$7:$M$16)</f>
        <v>4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-39990400</v>
      </c>
      <c r="AG9" s="91">
        <f t="shared" si="8"/>
        <v>-39990410</v>
      </c>
      <c r="AH9" s="91">
        <f>AG9+N25</f>
        <v>-39990408</v>
      </c>
    </row>
    <row r="10" spans="2:34" x14ac:dyDescent="0.25">
      <c r="B10" s="58">
        <v>3</v>
      </c>
      <c r="C10" s="59" t="str">
        <f t="shared" si="1"/>
        <v>Paraguay</v>
      </c>
      <c r="D10" s="60">
        <f t="shared" si="1"/>
        <v>5</v>
      </c>
      <c r="E10" s="60">
        <f t="shared" si="1"/>
        <v>5</v>
      </c>
      <c r="F10" s="60">
        <f t="shared" si="1"/>
        <v>6</v>
      </c>
      <c r="G10" s="61">
        <f t="shared" si="1"/>
        <v>-1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3</v>
      </c>
      <c r="U10" s="91" t="s">
        <v>27</v>
      </c>
      <c r="V10" s="91">
        <f>SUMIF($K$7:$K$16,U10,$P$7:$P$16) + SUMIF($N$7:$N$16,U10,$Q$7:$Q$16)</f>
        <v>5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-49990500</v>
      </c>
      <c r="AG10" s="91">
        <f t="shared" si="8"/>
        <v>-49990510</v>
      </c>
      <c r="AH10" s="91">
        <f>AG10+N26</f>
        <v>-49990506</v>
      </c>
    </row>
    <row r="11" spans="2:34" x14ac:dyDescent="0.25">
      <c r="B11" s="66">
        <v>4</v>
      </c>
      <c r="C11" s="67" t="str">
        <f t="shared" si="1"/>
        <v>Chile</v>
      </c>
      <c r="D11" s="68">
        <f t="shared" si="1"/>
        <v>4</v>
      </c>
      <c r="E11" s="68">
        <f t="shared" si="1"/>
        <v>4</v>
      </c>
      <c r="F11" s="68">
        <f t="shared" si="1"/>
        <v>5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0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8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-80040800</v>
      </c>
      <c r="AG11" s="91">
        <f t="shared" si="8"/>
        <v>-80040810</v>
      </c>
      <c r="AH11" s="91">
        <f>AG11+N27</f>
        <v>-80040807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J23" sqref="J23"/>
    </sheetView>
  </sheetViews>
  <sheetFormatPr baseColWidth="10" defaultColWidth="11.42578125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2</v>
      </c>
      <c r="I9" s="75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>
        <v>3</v>
      </c>
      <c r="J10" s="78"/>
    </row>
    <row r="11" spans="2:43" ht="15.75" thickBot="1" x14ac:dyDescent="0.3">
      <c r="B11" s="74" t="str">
        <f>'Grupo B'!C9</f>
        <v>Uruguay</v>
      </c>
      <c r="C11" s="41">
        <v>1</v>
      </c>
      <c r="D11" s="75">
        <v>5</v>
      </c>
      <c r="E11" s="82"/>
      <c r="J11" s="79"/>
    </row>
    <row r="12" spans="2:43" ht="15.75" thickBot="1" x14ac:dyDescent="0.3">
      <c r="B12" s="76" t="str">
        <f>'Grupo A'!C10</f>
        <v>Ecuador</v>
      </c>
      <c r="C12" s="42">
        <v>1</v>
      </c>
      <c r="D12" s="77">
        <v>3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Colombia</v>
      </c>
      <c r="C15" s="41">
        <v>3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Paraguay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Colombia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Colombia</v>
      </c>
    </row>
    <row r="20" spans="2:26" ht="15.75" thickBot="1" x14ac:dyDescent="0.3">
      <c r="B20" s="76" t="str">
        <f>'Grupo B'!C11</f>
        <v>Chile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Colombia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2021-06-13T04:17:35Z</dcterms:modified>
</cp:coreProperties>
</file>