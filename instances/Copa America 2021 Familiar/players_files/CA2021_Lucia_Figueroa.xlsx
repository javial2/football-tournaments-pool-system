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da657ceae153a/Escritorio/basura/"/>
    </mc:Choice>
  </mc:AlternateContent>
  <xr:revisionPtr revIDLastSave="67" documentId="8_{4F972B95-C599-48D8-A623-38A6805AAB2F}" xr6:coauthVersionLast="47" xr6:coauthVersionMax="47" xr10:uidLastSave="{07B94366-47B3-4EE9-9718-A7B658A9F724}"/>
  <bookViews>
    <workbookView xWindow="-110" yWindow="-110" windowWidth="19420" windowHeight="1042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<sst xmlns="http://schemas.openxmlformats.org/spreadsheetml/2006/main" count="190" uniqueCount="84">
  <si>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</si>
  <si>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</si>
  <si>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</si>
  <si>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</si>
  <si>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</si>
  <si>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</si>
  <si>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</si>
  <si>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</si>
  <si>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</si>
  <si>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</si>
  <si>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</si>
  <si>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</si>
  <si>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</si>
  <si>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</si>
  <si>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</si>
  <si>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</si>
  <si>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</si>
  <si>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</si>
  <si>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</si>
  <si>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</si>
  <si>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</si>
  <si>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</si>
  <si>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</si>
  <si>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</si>
  <si>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</si>
  <si>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</si>
  <si>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</si>
  <si>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</si>
  <si>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</si>
  <si>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</si>
  <si>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</si>
  <si>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</si>
  <si>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</si>
  <si>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</si>
  <si>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</si>
  <si>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</si>
  <si>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</si>
  <si>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</si>
  <si>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</si>
  <si>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</si>
  <si>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</si>
  <si>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</si>
  <si>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</si>
  <si>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</si>
  <si>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</si>
  <si>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</si>
  <si>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</si>
  <si>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</si>
  <si>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</si>
  <si>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</si>
  <si>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</si>
  <si>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</si>
  <si>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</si>
  <si>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</si>
  <si>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</si>
  <si>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</si>
  <si>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</si>
  <si>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</si>
  <si>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</si>
  <si>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</si>
  <si>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</si>
  <si>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</si>
  <si>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</si>
  <si>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</si>
  <si>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</si>
  <si>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</si>
  <si>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</si>
  <si>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</si>
  <si>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</si>
  <si>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</si>
  <si>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</si>
  <si>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</si>
  <si>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</si>
  <si>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</si>
  <si>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</si>
  <si>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</si>
  <si>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</si>
  <si>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</si>
  <si>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</si>
  <si>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</si>
  <si>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</si>
  <si>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lucia figueroa</t>
  </si>
  <si>
    <t>lucia.figueroa@alumnos.mtn.cl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</si>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</sst>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9" sqref="C9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81</v>
      </c>
      <c r="D3" s="106"/>
    </row>
    <row r="4" spans="2:7" x14ac:dyDescent="0.35">
      <c r="B4" s="94" t="s">
        <v>58</v>
      </c>
      <c r="C4" s="107" t="s">
        <v>82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Real Madrid</v>
      </c>
      <c r="D5" s="99" t="s">
        <v>61</v>
      </c>
      <c r="G5" s="91" t="s">
        <v>60</v>
      </c>
    </row>
    <row r="6" spans="2:7" ht="30.75" customHeight="1" thickBot="1" x14ac:dyDescent="0.4">
      <c r="B6" s="98" t="s">
        <v>80</v>
      </c>
      <c r="C6" s="100" t="s">
        <v>83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E4" zoomScale="140" zoomScaleNormal="140" workbookViewId="0">
      <selection activeCell="I6" sqref="I6:N16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5</v>
      </c>
      <c r="X7" s="91">
        <f>SUMIF($K$7:$K$16,U7,$L$7:$L$16) + SUMIF($N$7:$N$16,U7,$M$7:$M$16)</f>
        <v>7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-120050700</v>
      </c>
      <c r="AG7" s="91">
        <f>AF7-AE7*10</f>
        <v>-120050710</v>
      </c>
      <c r="AH7" s="91">
        <f>AG7+N23</f>
        <v>-120050709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4</v>
      </c>
      <c r="W8" s="91">
        <f>X8-Y8</f>
        <v>-1</v>
      </c>
      <c r="X8" s="91">
        <f>SUMIF($K$7:$K$16,U8,$L$7:$L$16) + SUMIF($N$7:$N$16,U8,$M$7:$M$16)</f>
        <v>3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-39990300</v>
      </c>
      <c r="AG8" s="91">
        <f t="shared" ref="AG8:AG11" si="8">AF8-AE8*10</f>
        <v>-39990310</v>
      </c>
      <c r="AH8" s="91">
        <f>AG8+N24</f>
        <v>-39990308</v>
      </c>
    </row>
    <row r="9" spans="2:35" x14ac:dyDescent="0.35">
      <c r="B9" s="62">
        <v>2</v>
      </c>
      <c r="C9" s="63" t="str">
        <f t="shared" si="1"/>
        <v>Peru</v>
      </c>
      <c r="D9" s="64">
        <f t="shared" si="1"/>
        <v>5</v>
      </c>
      <c r="E9" s="64">
        <f t="shared" si="1"/>
        <v>3</v>
      </c>
      <c r="F9" s="64">
        <f t="shared" si="1"/>
        <v>3</v>
      </c>
      <c r="G9" s="65">
        <f t="shared" si="1"/>
        <v>0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3</v>
      </c>
      <c r="W9" s="91">
        <f t="shared" ref="W9:W11" si="9">X9-Y9</f>
        <v>-1</v>
      </c>
      <c r="X9" s="91">
        <f>SUMIF($K$7:$K$16,U9,$L$7:$L$16) + SUMIF($N$7:$N$16,U9,$M$7:$M$16)</f>
        <v>2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-29990200</v>
      </c>
      <c r="AG9" s="91">
        <f t="shared" si="8"/>
        <v>-29990210</v>
      </c>
      <c r="AH9" s="91">
        <f>AG9+N25</f>
        <v>-29990207</v>
      </c>
    </row>
    <row r="10" spans="2:35" x14ac:dyDescent="0.35">
      <c r="B10" s="58">
        <v>3</v>
      </c>
      <c r="C10" s="59" t="str">
        <f t="shared" si="1"/>
        <v>Colombia</v>
      </c>
      <c r="D10" s="60">
        <f t="shared" si="1"/>
        <v>4</v>
      </c>
      <c r="E10" s="60">
        <f t="shared" si="1"/>
        <v>3</v>
      </c>
      <c r="F10" s="60">
        <f t="shared" si="1"/>
        <v>4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5</v>
      </c>
      <c r="W10" s="91">
        <f t="shared" si="9"/>
        <v>0</v>
      </c>
      <c r="X10" s="91">
        <f>SUMIF($K$7:$K$16,U10,$L$7:$L$16) + SUMIF($N$7:$N$16,U10,$M$7:$M$16)</f>
        <v>3</v>
      </c>
      <c r="Y10" s="91">
        <f>SUMIF($K$7:$K$16,U10,$M$7:$M$16) + SUMIF($N$7:$N$16,U10,$L$7:$L$16)</f>
        <v>3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-50000300</v>
      </c>
      <c r="AG10" s="91">
        <f t="shared" si="8"/>
        <v>-50000310</v>
      </c>
      <c r="AH10" s="91">
        <f>AG10+N26</f>
        <v>-50000306</v>
      </c>
    </row>
    <row r="11" spans="2:35" x14ac:dyDescent="0.35">
      <c r="B11" s="66">
        <v>4</v>
      </c>
      <c r="C11" s="67" t="str">
        <f t="shared" si="1"/>
        <v>Ecuador</v>
      </c>
      <c r="D11" s="68">
        <f t="shared" si="1"/>
        <v>3</v>
      </c>
      <c r="E11" s="68">
        <f t="shared" si="1"/>
        <v>2</v>
      </c>
      <c r="F11" s="68">
        <f t="shared" si="1"/>
        <v>3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0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2</v>
      </c>
      <c r="W11" s="91">
        <f t="shared" si="9"/>
        <v>-3</v>
      </c>
      <c r="X11" s="91">
        <f>SUMIF($K$7:$K$16,U11,$L$7:$L$16) + SUMIF($N$7:$N$16,U11,$M$7:$M$16)</f>
        <v>0</v>
      </c>
      <c r="Y11" s="91">
        <f>SUMIF($K$7:$K$16,U11,$M$7:$M$16) + SUMIF($N$7:$N$16,U11,$L$7:$L$16)</f>
        <v>3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-19970000</v>
      </c>
      <c r="AG11" s="91">
        <f t="shared" si="8"/>
        <v>-19970010</v>
      </c>
      <c r="AH11" s="91">
        <f>AG11+N27</f>
        <v>-19970005</v>
      </c>
    </row>
    <row r="12" spans="2:35" s="1" customFormat="1" ht="15" thickBot="1" x14ac:dyDescent="0.4">
      <c r="B12" s="54">
        <v>5</v>
      </c>
      <c r="C12" s="55" t="str">
        <f t="shared" si="1"/>
        <v>Venezuela</v>
      </c>
      <c r="D12" s="56">
        <f t="shared" si="1"/>
        <v>2</v>
      </c>
      <c r="E12" s="56">
        <f t="shared" si="1"/>
        <v>0</v>
      </c>
      <c r="F12" s="56">
        <f t="shared" si="1"/>
        <v>3</v>
      </c>
      <c r="G12" s="57">
        <f t="shared" si="1"/>
        <v>-3</v>
      </c>
      <c r="H12" s="71"/>
      <c r="I12" s="31">
        <v>10</v>
      </c>
      <c r="J12" s="29">
        <v>44367</v>
      </c>
      <c r="K12" s="30" t="s">
        <v>12</v>
      </c>
      <c r="L12" s="26">
        <v>0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0</v>
      </c>
      <c r="Q12" s="91">
        <f t="shared" ref="Q12:Q15" si="10">IF(P12=3,0,IF(P12=1,1,3))</f>
        <v>3</v>
      </c>
      <c r="R12" s="91" t="str">
        <f t="shared" si="4"/>
        <v>Peru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0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E4" zoomScale="140" zoomScaleNormal="140" workbookViewId="0">
      <selection activeCell="I6" sqref="I6:N16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2</v>
      </c>
      <c r="X7" s="91">
        <f>SUMIF($K$7:$K$16,U7,$L$7:$L$16) + SUMIF($N$7:$N$16,U7,$M$7:$M$16)</f>
        <v>6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-80020600</v>
      </c>
      <c r="AG7" s="91">
        <f>AF7-AE7*10</f>
        <v>-80020610</v>
      </c>
      <c r="AH7" s="91">
        <f>AG7+N23</f>
        <v>-80020609</v>
      </c>
    </row>
    <row r="8" spans="2:34" x14ac:dyDescent="0.3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7</v>
      </c>
      <c r="F8" s="33">
        <f t="shared" si="1"/>
        <v>3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-6</v>
      </c>
      <c r="X8" s="91">
        <f>SUMIF($K$7:$K$16,U8,$L$7:$L$16) + SUMIF($N$7:$N$16,U8,$M$7:$M$16)</f>
        <v>0</v>
      </c>
      <c r="Y8" s="91">
        <f>SUMIF($K$7:$K$16,U8,$M$7:$M$16) + SUMIF($N$7:$N$16,U8,$L$7:$L$16)</f>
        <v>6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60000</v>
      </c>
      <c r="AG8" s="91">
        <f t="shared" ref="AG8:AG11" si="8">AF8-AE8*10</f>
        <v>59990</v>
      </c>
      <c r="AH8" s="91">
        <f>AG8+N24</f>
        <v>59995</v>
      </c>
    </row>
    <row r="9" spans="2:34" x14ac:dyDescent="0.35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5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-70020500</v>
      </c>
      <c r="AG9" s="91">
        <f t="shared" si="8"/>
        <v>-70020510</v>
      </c>
      <c r="AH9" s="91">
        <f>AG9+N25</f>
        <v>-70020508</v>
      </c>
    </row>
    <row r="10" spans="2:34" x14ac:dyDescent="0.3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-2</v>
      </c>
      <c r="X10" s="91">
        <f>SUMIF($K$7:$K$16,U10,$L$7:$L$16) + SUMIF($N$7:$N$16,U10,$M$7:$M$16)</f>
        <v>2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-29980200</v>
      </c>
      <c r="AG10" s="91">
        <f t="shared" si="8"/>
        <v>-29980210</v>
      </c>
      <c r="AH10" s="91">
        <f>AG10+N26</f>
        <v>-29980206</v>
      </c>
    </row>
    <row r="11" spans="2:34" x14ac:dyDescent="0.3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2</v>
      </c>
      <c r="F11" s="68">
        <f t="shared" si="1"/>
        <v>4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4</v>
      </c>
      <c r="X11" s="91">
        <f>SUMIF($K$7:$K$16,U11,$L$7:$L$16) + SUMIF($N$7:$N$16,U11,$M$7:$M$16)</f>
        <v>7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-100040700</v>
      </c>
      <c r="AG11" s="91">
        <f t="shared" si="8"/>
        <v>-100040710</v>
      </c>
      <c r="AH11" s="91">
        <f>AG11+N27</f>
        <v>-100040707</v>
      </c>
    </row>
    <row r="12" spans="2:34" ht="15" thickBot="1" x14ac:dyDescent="0.4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6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1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G12" zoomScale="140" zoomScaleNormal="140" workbookViewId="0">
      <selection activeCell="J20" sqref="J20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Uruguay</v>
      </c>
      <c r="C7" s="41">
        <v>1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Ecuador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Uruguay</v>
      </c>
      <c r="H9" s="41">
        <v>1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1</v>
      </c>
      <c r="I10" s="77">
        <v>2</v>
      </c>
      <c r="J10" s="78"/>
    </row>
    <row r="11" spans="2:43" ht="15" thickBot="1" x14ac:dyDescent="0.4">
      <c r="B11" s="74" t="str">
        <f>'Grupo B'!C9</f>
        <v>Argentina</v>
      </c>
      <c r="C11" s="41">
        <v>1</v>
      </c>
      <c r="D11" s="75">
        <v>5</v>
      </c>
      <c r="E11" s="82"/>
      <c r="J11" s="79"/>
    </row>
    <row r="12" spans="2:43" ht="15" thickBot="1" x14ac:dyDescent="0.4">
      <c r="B12" s="76" t="str">
        <f>'Grupo A'!C10</f>
        <v>Colombia</v>
      </c>
      <c r="C12" s="42">
        <v>1</v>
      </c>
      <c r="D12" s="77">
        <v>4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" thickBot="1" x14ac:dyDescent="0.4">
      <c r="B15" s="74" t="str">
        <f>'Grupo A'!C9</f>
        <v>Peru</v>
      </c>
      <c r="C15" s="41">
        <v>0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Chile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" thickBot="1" x14ac:dyDescent="0.4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Argentina</v>
      </c>
      <c r="M22" s="41">
        <v>1</v>
      </c>
      <c r="N22" s="75">
        <v>5</v>
      </c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Chile</v>
      </c>
      <c r="M23" s="42">
        <v>1</v>
      </c>
      <c r="N23" s="77">
        <v>3</v>
      </c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Pelayo Figueroa</cp:lastModifiedBy>
  <dcterms:created xsi:type="dcterms:W3CDTF">2021-05-30T22:13:47Z</dcterms:created>
  <dcterms:modified xsi:type="dcterms:W3CDTF">2021-06-12T20:35:47Z</dcterms:modified>
</cp:coreProperties>
</file>