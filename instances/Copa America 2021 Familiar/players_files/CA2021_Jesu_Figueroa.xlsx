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3da657ceae153a/Escritorio/basura/basura/"/>
    </mc:Choice>
  </mc:AlternateContent>
  <xr:revisionPtr revIDLastSave="49" documentId="8_{C1F5C57F-D732-464C-A9EA-52A5CD38F1E0}" xr6:coauthVersionLast="47" xr6:coauthVersionMax="47" xr10:uidLastSave="{5DED7F72-D862-4688-89A4-E232A4C00967}"/>
  <bookViews>
    <workbookView xWindow="-110" yWindow="-110" windowWidth="19420" windowHeight="10420" activeTab="1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Q15" i="2"/>
  <c r="R15" i="2" s="1"/>
  <c r="Q16" i="2"/>
  <c r="R16" i="2" s="1"/>
  <c r="AF11" i="2" l="1"/>
  <c r="AF7" i="2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T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7" i="2" l="1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B11" i="3" l="1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C8" i="1" l="1"/>
  <c r="B19" i="3" s="1"/>
  <c r="G18" i="3" s="1"/>
  <c r="L14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G17" i="3" s="1"/>
  <c r="L23" i="3" s="1"/>
  <c r="R17" i="3" l="1"/>
  <c r="R18" i="3" s="1"/>
</calcChain>
</file>

<file path=xl/sharedStrings.xml><?xml version="1.0" encoding="utf-8"?>
<sst xmlns="http://schemas.openxmlformats.org/spreadsheetml/2006/main" count="192" uniqueCount="85">
  <si>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</si>
  <si>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</si>
  <si>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</si>
  <si>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</si>
  <si>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</si>
  <si>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</si>
  <si>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</si>
  <si>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</si>
  <si>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</si>
  <si>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</si>
  <si>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</si>
  <si>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</si>
  <si>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</si>
  <si>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</si>
  <si>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</si>
  <si>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</si>
  <si>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</si>
  <si>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</si>
  <si>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</si>
  <si>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</si>
  <si>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</si>
  <si>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</si>
  <si>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</si>
  <si>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</si>
  <si>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</si>
  <si>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</si>
  <si>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</si>
  <si>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</si>
  <si>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</si>
  <si>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</si>
  <si>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</si>
  <si>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</si>
  <si>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</si>
  <si>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</si>
  <si>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</si>
  <si>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</si>
  <si>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</si>
  <si>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</si>
  <si>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</si>
  <si>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</si>
  <si>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</si>
  <si>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</si>
  <si>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</si>
  <si>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</si>
  <si>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</si>
  <si>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</si>
  <si>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</si>
  <si>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</si>
  <si>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</si>
  <si>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</si>
  <si>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</si>
  <si>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</si>
  <si>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</si>
  <si>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</si>
  <si>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</si>
  <si>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</si>
  <si>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</si>
  <si>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</si>
  <si>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</si>
  <si>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</si>
  <si>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</si>
  <si>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</si>
  <si>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</si>
  <si>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</si>
  <si>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</si>
  <si>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</si>
  <si>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</si>
  <si>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</si>
  <si>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</si>
  <si>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</si>
  <si>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</si>
  <si>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</si>
  <si>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</si>
  <si>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</si>
  <si>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</si>
  <si>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</si>
  <si>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</si>
  <si>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</si>
  <si>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</si>
  <si>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</si>
  <si>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</si>
  <si>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chile</t>
  </si>
  <si>
    <t xml:space="preserve"> </t>
  </si>
  <si>
    <t>Maria Jesus Figueroa</t>
  </si>
  <si>
    <t>maria.figueroa@alumnos.mtn.cl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</si>
</sst>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60" zoomScaleNormal="160" workbookViewId="0">
      <selection activeCell="C9" sqref="C9"/>
    </sheetView>
  </sheetViews>
  <sheetFormatPr baseColWidth="10" defaultRowHeight="14.5" x14ac:dyDescent="0.35"/>
  <cols>
    <col min="1" max="1" width="7" customWidth="1"/>
    <col min="2" max="2" width="33" customWidth="1"/>
    <col min="3" max="3" width="34.7265625" customWidth="1"/>
    <col min="4" max="4" width="3.26953125" customWidth="1"/>
    <col min="7" max="7" width="11.453125" style="91"/>
  </cols>
  <sheetData>
    <row r="1" spans="2:7" ht="15" thickBot="1" x14ac:dyDescent="0.4"/>
    <row r="2" spans="2:7" ht="15" thickBot="1" x14ac:dyDescent="0.4">
      <c r="B2" s="102" t="s">
        <v>56</v>
      </c>
      <c r="C2" s="103"/>
      <c r="D2" s="104"/>
    </row>
    <row r="3" spans="2:7" x14ac:dyDescent="0.35">
      <c r="B3" s="95" t="s">
        <v>57</v>
      </c>
      <c r="C3" s="105" t="s">
        <v>83</v>
      </c>
      <c r="D3" s="106"/>
    </row>
    <row r="4" spans="2:7" x14ac:dyDescent="0.35">
      <c r="B4" s="94" t="s">
        <v>58</v>
      </c>
      <c r="C4" s="107" t="s">
        <v>84</v>
      </c>
      <c r="D4" s="108"/>
    </row>
    <row r="5" spans="2:7" s="1" customFormat="1" x14ac:dyDescent="0.35">
      <c r="B5" s="96" t="s">
        <v>59</v>
      </c>
      <c r="C5" s="97" t="str">
        <f>IF(D5="","Seleccione de la lista -&gt;","Real Madrid")</f>
        <v>Real Madrid</v>
      </c>
      <c r="D5" s="99" t="s">
        <v>62</v>
      </c>
      <c r="G5" s="91" t="s">
        <v>60</v>
      </c>
    </row>
    <row r="6" spans="2:7" ht="30.75" customHeight="1" thickBot="1" x14ac:dyDescent="0.4">
      <c r="B6" s="98" t="s">
        <v>80</v>
      </c>
      <c r="C6" s="100" t="s">
        <v>81</v>
      </c>
      <c r="D6" s="101"/>
      <c r="G6" s="91" t="s">
        <v>61</v>
      </c>
    </row>
    <row r="7" spans="2:7" x14ac:dyDescent="0.35">
      <c r="G7" s="91" t="s">
        <v>62</v>
      </c>
    </row>
    <row r="8" spans="2:7" x14ac:dyDescent="0.35">
      <c r="G8" s="91" t="s">
        <v>74</v>
      </c>
    </row>
    <row r="9" spans="2:7" x14ac:dyDescent="0.35">
      <c r="G9" s="91" t="s">
        <v>63</v>
      </c>
    </row>
    <row r="10" spans="2:7" x14ac:dyDescent="0.35">
      <c r="G10" s="91" t="s">
        <v>64</v>
      </c>
    </row>
    <row r="11" spans="2:7" x14ac:dyDescent="0.35">
      <c r="G11" s="91" t="s">
        <v>65</v>
      </c>
    </row>
    <row r="12" spans="2:7" x14ac:dyDescent="0.35">
      <c r="G12" s="91" t="s">
        <v>66</v>
      </c>
    </row>
    <row r="13" spans="2:7" x14ac:dyDescent="0.35">
      <c r="G13" s="91" t="s">
        <v>68</v>
      </c>
    </row>
    <row r="14" spans="2:7" x14ac:dyDescent="0.35">
      <c r="G14" s="91" t="s">
        <v>69</v>
      </c>
    </row>
    <row r="15" spans="2:7" x14ac:dyDescent="0.35">
      <c r="G15" s="91" t="s">
        <v>70</v>
      </c>
    </row>
    <row r="16" spans="2:7" x14ac:dyDescent="0.35">
      <c r="G16" s="91" t="s">
        <v>71</v>
      </c>
    </row>
    <row r="17" spans="7:7" x14ac:dyDescent="0.35">
      <c r="G17" s="91" t="s">
        <v>72</v>
      </c>
    </row>
    <row r="18" spans="7:7" x14ac:dyDescent="0.35">
      <c r="G18" s="91" t="s">
        <v>67</v>
      </c>
    </row>
    <row r="19" spans="7:7" x14ac:dyDescent="0.35">
      <c r="G19" s="91" t="s">
        <v>73</v>
      </c>
    </row>
    <row r="20" spans="7:7" x14ac:dyDescent="0.35">
      <c r="G20" s="91" t="s">
        <v>75</v>
      </c>
    </row>
    <row r="21" spans="7:7" x14ac:dyDescent="0.35">
      <c r="G21" s="91" t="s">
        <v>76</v>
      </c>
    </row>
    <row r="22" spans="7:7" x14ac:dyDescent="0.35">
      <c r="G22" s="91" t="s">
        <v>77</v>
      </c>
    </row>
    <row r="23" spans="7:7" x14ac:dyDescent="0.35">
      <c r="G23" s="91" t="s">
        <v>78</v>
      </c>
    </row>
    <row r="24" spans="7:7" x14ac:dyDescent="0.3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tabSelected="1" topLeftCell="E4" zoomScale="140" zoomScaleNormal="140" workbookViewId="0">
      <selection activeCell="I6" sqref="I6:N16"/>
    </sheetView>
  </sheetViews>
  <sheetFormatPr baseColWidth="10" defaultRowHeight="14.5" x14ac:dyDescent="0.35"/>
  <cols>
    <col min="8" max="8" width="8.453125" customWidth="1"/>
    <col min="9" max="9" width="5.81640625" customWidth="1"/>
    <col min="11" max="11" width="10.453125" bestFit="1" customWidth="1"/>
    <col min="14" max="14" width="10.453125" style="70" bestFit="1" customWidth="1"/>
    <col min="15" max="15" width="20" style="91" bestFit="1" customWidth="1"/>
    <col min="16" max="26" width="11.453125" style="91"/>
    <col min="27" max="27" width="10.453125" style="91" bestFit="1" customWidth="1"/>
    <col min="28" max="28" width="13.7265625" style="91" bestFit="1" customWidth="1"/>
    <col min="29" max="29" width="10.453125" style="91" bestFit="1" customWidth="1"/>
    <col min="30" max="30" width="9.81640625" style="91" bestFit="1" customWidth="1"/>
    <col min="31" max="31" width="13" style="91" bestFit="1" customWidth="1"/>
    <col min="32" max="32" width="29.81640625" style="91" bestFit="1" customWidth="1"/>
    <col min="33" max="33" width="25.7265625" style="91" bestFit="1" customWidth="1"/>
    <col min="34" max="35" width="11.453125" style="91"/>
  </cols>
  <sheetData>
    <row r="1" spans="2:35" s="1" customFormat="1" x14ac:dyDescent="0.3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" thickBot="1" x14ac:dyDescent="0.4"/>
    <row r="3" spans="2:35" x14ac:dyDescent="0.35">
      <c r="B3" s="118" t="s">
        <v>14</v>
      </c>
      <c r="C3" s="119"/>
      <c r="D3" s="119"/>
      <c r="E3" s="119"/>
      <c r="F3" s="119"/>
      <c r="G3" s="120"/>
    </row>
    <row r="4" spans="2:35" ht="15" thickBot="1" x14ac:dyDescent="0.4">
      <c r="B4" s="121"/>
      <c r="C4" s="122"/>
      <c r="D4" s="122"/>
      <c r="E4" s="122"/>
      <c r="F4" s="122"/>
      <c r="G4" s="123"/>
    </row>
    <row r="5" spans="2:35" ht="15" thickBot="1" x14ac:dyDescent="0.4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" thickBot="1" x14ac:dyDescent="0.4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" thickBot="1" x14ac:dyDescent="0.4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2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10</v>
      </c>
      <c r="W7" s="91">
        <f>X7-Y7</f>
        <v>5</v>
      </c>
      <c r="X7" s="91">
        <f>SUMIF($K$7:$K$16,U7,$L$7:$L$16) + SUMIF($N$7:$N$16,U7,$M$7:$M$16)</f>
        <v>7</v>
      </c>
      <c r="Y7" s="91">
        <f>SUMIF($K$7:$K$16,U7,$M$7:$M$16) + SUMIF($N$7:$N$16,U7,$L$7:$L$16)</f>
        <v>2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-100050700</v>
      </c>
      <c r="AG7" s="91">
        <f>AF7-AE7*10</f>
        <v>-100050710</v>
      </c>
      <c r="AH7" s="91">
        <f>AG7+N23</f>
        <v>-100050709</v>
      </c>
    </row>
    <row r="8" spans="2:35" x14ac:dyDescent="0.3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10</v>
      </c>
      <c r="E8" s="33">
        <f t="shared" si="1"/>
        <v>7</v>
      </c>
      <c r="F8" s="33">
        <f t="shared" si="1"/>
        <v>2</v>
      </c>
      <c r="G8" s="34">
        <f t="shared" si="1"/>
        <v>5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0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Colombia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8</v>
      </c>
      <c r="W8" s="91">
        <f>X8-Y8</f>
        <v>2</v>
      </c>
      <c r="X8" s="91">
        <f>SUMIF($K$7:$K$16,U8,$L$7:$L$16) + SUMIF($N$7:$N$16,U8,$M$7:$M$16)</f>
        <v>5</v>
      </c>
      <c r="Y8" s="91">
        <f>SUMIF($K$7:$K$16,U8,$M$7:$M$16) + SUMIF($N$7:$N$16,U8,$L$7:$L$16)</f>
        <v>3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-80020500</v>
      </c>
      <c r="AG8" s="91">
        <f t="shared" ref="AG8:AG11" si="8">AF8-AE8*10</f>
        <v>-80020510</v>
      </c>
      <c r="AH8" s="91">
        <f>AG8+N24</f>
        <v>-80020508</v>
      </c>
    </row>
    <row r="9" spans="2:35" x14ac:dyDescent="0.35">
      <c r="B9" s="62">
        <v>2</v>
      </c>
      <c r="C9" s="63" t="str">
        <f t="shared" si="1"/>
        <v>Colombia</v>
      </c>
      <c r="D9" s="64">
        <f t="shared" si="1"/>
        <v>8</v>
      </c>
      <c r="E9" s="64">
        <f t="shared" si="1"/>
        <v>5</v>
      </c>
      <c r="F9" s="64">
        <f t="shared" si="1"/>
        <v>3</v>
      </c>
      <c r="G9" s="65">
        <f t="shared" si="1"/>
        <v>2</v>
      </c>
      <c r="H9" s="71"/>
      <c r="I9" s="9">
        <v>5</v>
      </c>
      <c r="J9" s="13">
        <v>44364</v>
      </c>
      <c r="K9" s="8" t="s">
        <v>12</v>
      </c>
      <c r="L9" s="20">
        <v>1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1</v>
      </c>
      <c r="Q9" s="91">
        <f t="shared" si="3"/>
        <v>1</v>
      </c>
      <c r="R9" s="91" t="str">
        <f t="shared" si="4"/>
        <v>SIN GANADOR</v>
      </c>
      <c r="T9" s="91">
        <f>_xlfn.RANK.EQ(AH9,AH$7:AH$11,1)</f>
        <v>5</v>
      </c>
      <c r="U9" s="91" t="s">
        <v>13</v>
      </c>
      <c r="V9" s="91">
        <f>SUMIF($K$7:$K$16,U9,$P$7:$P$16) + SUMIF($N$7:$N$16,U9,$Q$7:$Q$16)</f>
        <v>1</v>
      </c>
      <c r="W9" s="91">
        <f t="shared" ref="W9:W11" si="9">X9-Y9</f>
        <v>-3</v>
      </c>
      <c r="X9" s="91">
        <f>SUMIF($K$7:$K$16,U9,$L$7:$L$16) + SUMIF($N$7:$N$16,U9,$M$7:$M$16)</f>
        <v>3</v>
      </c>
      <c r="Y9" s="91">
        <f>SUMIF($K$7:$K$16,U9,$M$7:$M$16) + SUMIF($N$7:$N$16,U9,$L$7:$L$16)</f>
        <v>6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-9970300</v>
      </c>
      <c r="AG9" s="91">
        <f t="shared" si="8"/>
        <v>-9970310</v>
      </c>
      <c r="AH9" s="91">
        <f>AG9+N25</f>
        <v>-9970307</v>
      </c>
    </row>
    <row r="10" spans="2:35" x14ac:dyDescent="0.35">
      <c r="B10" s="58">
        <v>3</v>
      </c>
      <c r="C10" s="59" t="str">
        <f t="shared" si="1"/>
        <v>Venezuela</v>
      </c>
      <c r="D10" s="60">
        <f t="shared" si="1"/>
        <v>5</v>
      </c>
      <c r="E10" s="60">
        <f t="shared" si="1"/>
        <v>3</v>
      </c>
      <c r="F10" s="60">
        <f t="shared" si="1"/>
        <v>4</v>
      </c>
      <c r="G10" s="61">
        <f t="shared" si="1"/>
        <v>-1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3</v>
      </c>
      <c r="W10" s="91">
        <f t="shared" si="9"/>
        <v>-3</v>
      </c>
      <c r="X10" s="91">
        <f>SUMIF($K$7:$K$16,U10,$L$7:$L$16) + SUMIF($N$7:$N$16,U10,$M$7:$M$16)</f>
        <v>3</v>
      </c>
      <c r="Y10" s="91">
        <f>SUMIF($K$7:$K$16,U10,$M$7:$M$16) + SUMIF($N$7:$N$16,U10,$L$7:$L$16)</f>
        <v>6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-29970300</v>
      </c>
      <c r="AG10" s="91">
        <f t="shared" si="8"/>
        <v>-29970310</v>
      </c>
      <c r="AH10" s="91">
        <f>AG10+N26</f>
        <v>-29970306</v>
      </c>
    </row>
    <row r="11" spans="2:35" x14ac:dyDescent="0.35">
      <c r="B11" s="66">
        <v>4</v>
      </c>
      <c r="C11" s="67" t="str">
        <f t="shared" si="1"/>
        <v>Peru</v>
      </c>
      <c r="D11" s="68">
        <f t="shared" si="1"/>
        <v>3</v>
      </c>
      <c r="E11" s="68">
        <f t="shared" si="1"/>
        <v>3</v>
      </c>
      <c r="F11" s="68">
        <f t="shared" si="1"/>
        <v>6</v>
      </c>
      <c r="G11" s="69">
        <f t="shared" si="1"/>
        <v>-3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3</v>
      </c>
      <c r="U11" s="91" t="s">
        <v>4</v>
      </c>
      <c r="V11" s="91">
        <f>SUMIF($K$7:$K$16,U11,$P$7:$P$16) + SUMIF($N$7:$N$16,U11,$Q$7:$Q$16)</f>
        <v>5</v>
      </c>
      <c r="W11" s="91">
        <f t="shared" si="9"/>
        <v>-1</v>
      </c>
      <c r="X11" s="91">
        <f>SUMIF($K$7:$K$16,U11,$L$7:$L$16) + SUMIF($N$7:$N$16,U11,$M$7:$M$16)</f>
        <v>3</v>
      </c>
      <c r="Y11" s="91">
        <f>SUMIF($K$7:$K$16,U11,$M$7:$M$16) + SUMIF($N$7:$N$16,U11,$L$7:$L$16)</f>
        <v>4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-49990300</v>
      </c>
      <c r="AG11" s="91">
        <f t="shared" si="8"/>
        <v>-49990310</v>
      </c>
      <c r="AH11" s="91">
        <f>AG11+N27</f>
        <v>-49990305</v>
      </c>
    </row>
    <row r="12" spans="2:35" s="1" customFormat="1" ht="15" thickBot="1" x14ac:dyDescent="0.4">
      <c r="B12" s="54">
        <v>5</v>
      </c>
      <c r="C12" s="55" t="str">
        <f t="shared" si="1"/>
        <v>Ecuador</v>
      </c>
      <c r="D12" s="56">
        <f t="shared" si="1"/>
        <v>1</v>
      </c>
      <c r="E12" s="56">
        <f t="shared" si="1"/>
        <v>3</v>
      </c>
      <c r="F12" s="56">
        <f t="shared" si="1"/>
        <v>6</v>
      </c>
      <c r="G12" s="57">
        <f t="shared" si="1"/>
        <v>-3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35">
      <c r="I13" s="28">
        <v>13</v>
      </c>
      <c r="J13" s="24">
        <v>44370</v>
      </c>
      <c r="K13" s="25" t="s">
        <v>13</v>
      </c>
      <c r="L13" s="26">
        <v>1</v>
      </c>
      <c r="M13" s="27">
        <v>2</v>
      </c>
      <c r="N13" s="28" t="s">
        <v>5</v>
      </c>
      <c r="O13" s="92" t="str">
        <f t="shared" si="2"/>
        <v>Ecuador_Peru</v>
      </c>
      <c r="P13" s="91">
        <f t="shared" si="0"/>
        <v>0</v>
      </c>
      <c r="Q13" s="91">
        <f t="shared" si="10"/>
        <v>3</v>
      </c>
      <c r="R13" s="91" t="str">
        <f t="shared" si="4"/>
        <v>Peru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35">
      <c r="I14" s="31">
        <v>14</v>
      </c>
      <c r="J14" s="29">
        <v>44370</v>
      </c>
      <c r="K14" s="30" t="s">
        <v>12</v>
      </c>
      <c r="L14" s="26">
        <v>1</v>
      </c>
      <c r="M14" s="27">
        <v>1</v>
      </c>
      <c r="N14" s="31" t="s">
        <v>2</v>
      </c>
      <c r="O14" s="92" t="str">
        <f t="shared" si="2"/>
        <v>Colombia_Brasil</v>
      </c>
      <c r="P14" s="91">
        <f t="shared" si="0"/>
        <v>1</v>
      </c>
      <c r="Q14" s="91">
        <f t="shared" si="10"/>
        <v>1</v>
      </c>
      <c r="R14" s="91" t="str">
        <f t="shared" si="4"/>
        <v>SIN GANADOR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35">
      <c r="I15" s="28">
        <v>17</v>
      </c>
      <c r="J15" s="24">
        <v>44374</v>
      </c>
      <c r="K15" s="25" t="s">
        <v>13</v>
      </c>
      <c r="L15" s="26">
        <v>1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" thickBot="1" x14ac:dyDescent="0.4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0</v>
      </c>
      <c r="N16" s="15" t="s">
        <v>5</v>
      </c>
      <c r="O16" s="92" t="str">
        <f t="shared" si="2"/>
        <v>Venezuela_Peru</v>
      </c>
      <c r="P16" s="91">
        <f t="shared" si="0"/>
        <v>3</v>
      </c>
      <c r="Q16" s="91">
        <f t="shared" si="3"/>
        <v>0</v>
      </c>
      <c r="R16" s="91" t="str">
        <f t="shared" si="4"/>
        <v>Venezuela</v>
      </c>
    </row>
    <row r="18" spans="2:35" s="1" customFormat="1" x14ac:dyDescent="0.3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3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" thickBot="1" x14ac:dyDescent="0.4"/>
    <row r="22" spans="2:35" ht="15" thickBot="1" x14ac:dyDescent="0.4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3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3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3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3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" thickBot="1" x14ac:dyDescent="0.4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" thickBot="1" x14ac:dyDescent="0.4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3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E4" zoomScale="140" zoomScaleNormal="140" workbookViewId="0">
      <selection activeCell="M16" sqref="M16"/>
    </sheetView>
  </sheetViews>
  <sheetFormatPr baseColWidth="10" defaultColWidth="11.453125" defaultRowHeight="14.5" x14ac:dyDescent="0.35"/>
  <cols>
    <col min="1" max="7" width="11.453125" style="1"/>
    <col min="8" max="8" width="5.81640625" style="1" customWidth="1"/>
    <col min="9" max="9" width="5.26953125" style="1" customWidth="1"/>
    <col min="10" max="10" width="11.453125" style="1"/>
    <col min="11" max="11" width="13.26953125" style="1" customWidth="1"/>
    <col min="12" max="13" width="11.453125" style="1"/>
    <col min="14" max="14" width="14.81640625" style="70" customWidth="1"/>
    <col min="15" max="15" width="18.81640625" style="91" bestFit="1" customWidth="1"/>
    <col min="16" max="26" width="11.453125" style="91"/>
    <col min="27" max="27" width="10.453125" style="91" bestFit="1" customWidth="1"/>
    <col min="28" max="28" width="13.7265625" style="91" bestFit="1" customWidth="1"/>
    <col min="29" max="29" width="10.453125" style="91" bestFit="1" customWidth="1"/>
    <col min="30" max="30" width="9.81640625" style="91" bestFit="1" customWidth="1"/>
    <col min="31" max="31" width="13" style="91" bestFit="1" customWidth="1"/>
    <col min="32" max="32" width="29.81640625" style="91" bestFit="1" customWidth="1"/>
    <col min="33" max="33" width="25.7265625" style="91" bestFit="1" customWidth="1"/>
    <col min="34" max="36" width="11.453125" style="91"/>
    <col min="37" max="16384" width="11.453125" style="1"/>
  </cols>
  <sheetData>
    <row r="2" spans="2:34" ht="15" thickBot="1" x14ac:dyDescent="0.4"/>
    <row r="3" spans="2:34" x14ac:dyDescent="0.35">
      <c r="B3" s="118" t="s">
        <v>24</v>
      </c>
      <c r="C3" s="119"/>
      <c r="D3" s="119"/>
      <c r="E3" s="119"/>
      <c r="F3" s="119"/>
      <c r="G3" s="120"/>
    </row>
    <row r="4" spans="2:34" ht="15" thickBot="1" x14ac:dyDescent="0.4">
      <c r="B4" s="121"/>
      <c r="C4" s="122"/>
      <c r="D4" s="122"/>
      <c r="E4" s="122"/>
      <c r="F4" s="122"/>
      <c r="G4" s="123"/>
    </row>
    <row r="5" spans="2:34" ht="15" thickBot="1" x14ac:dyDescent="0.4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" thickBot="1" x14ac:dyDescent="0.4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" thickBot="1" x14ac:dyDescent="0.4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3</v>
      </c>
      <c r="U7" s="91" t="s">
        <v>25</v>
      </c>
      <c r="V7" s="91">
        <f>SUMIF($K$7:$K$16,U7,$P$7:$P$16) + SUMIF($N$7:$N$16,U7,$Q$7:$Q$16)</f>
        <v>5</v>
      </c>
      <c r="W7" s="91">
        <f>X7-Y7</f>
        <v>0</v>
      </c>
      <c r="X7" s="91">
        <f>SUMIF($K$7:$K$16,U7,$L$7:$L$16) + SUMIF($N$7:$N$16,U7,$M$7:$M$16)</f>
        <v>5</v>
      </c>
      <c r="Y7" s="91">
        <f>SUMIF($K$7:$K$16,U7,$M$7:$M$16) + SUMIF($N$7:$N$16,U7,$L$7:$L$16)</f>
        <v>5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-50000500</v>
      </c>
      <c r="AG7" s="91">
        <f>AF7-AE7*10</f>
        <v>-50000510</v>
      </c>
      <c r="AH7" s="91">
        <f>AG7+N23</f>
        <v>-50000509</v>
      </c>
    </row>
    <row r="8" spans="2:34" x14ac:dyDescent="0.35">
      <c r="B8" s="50">
        <v>1</v>
      </c>
      <c r="C8" s="32" t="str">
        <f t="shared" ref="C8:G12" si="1">IFERROR(VLOOKUP($B8,$T$7:$Y$11,C$5,FALSE),"")</f>
        <v>Uruguay</v>
      </c>
      <c r="D8" s="33">
        <f t="shared" si="1"/>
        <v>10</v>
      </c>
      <c r="E8" s="33">
        <f t="shared" si="1"/>
        <v>7</v>
      </c>
      <c r="F8" s="33">
        <f t="shared" si="1"/>
        <v>3</v>
      </c>
      <c r="G8" s="34">
        <f t="shared" si="1"/>
        <v>4</v>
      </c>
      <c r="H8" s="71"/>
      <c r="I8" s="12">
        <v>4</v>
      </c>
      <c r="J8" s="6">
        <v>44361</v>
      </c>
      <c r="K8" s="11" t="s">
        <v>27</v>
      </c>
      <c r="L8" s="20">
        <v>0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0</v>
      </c>
      <c r="Q8" s="91">
        <f t="shared" ref="Q8:Q16" si="3">IF(P8=3,0,IF(P8=1,1,3))</f>
        <v>3</v>
      </c>
      <c r="R8" s="91" t="str">
        <f t="shared" ref="R8:R16" si="4">IF(P8&gt;Q8,K8,IF(Q8&gt;P8,N8,"SIN GANADOR"))</f>
        <v>Bolivia</v>
      </c>
      <c r="T8" s="91">
        <f>_xlfn.RANK.EQ(AH8,AH$7:AH$11,1)</f>
        <v>4</v>
      </c>
      <c r="U8" s="91" t="s">
        <v>3</v>
      </c>
      <c r="V8" s="91">
        <f>SUMIF($K$7:$K$16,U8,$P$7:$P$16) + SUMIF($N$7:$N$16,U8,$Q$7:$Q$16)</f>
        <v>3</v>
      </c>
      <c r="W8" s="91">
        <f>X8-Y8</f>
        <v>-2</v>
      </c>
      <c r="X8" s="91">
        <f>SUMIF($K$7:$K$16,U8,$L$7:$L$16) + SUMIF($N$7:$N$16,U8,$M$7:$M$16)</f>
        <v>4</v>
      </c>
      <c r="Y8" s="91">
        <f>SUMIF($K$7:$K$16,U8,$M$7:$M$16) + SUMIF($N$7:$N$16,U8,$L$7:$L$16)</f>
        <v>6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-29980400</v>
      </c>
      <c r="AG8" s="91">
        <f t="shared" ref="AG8:AG11" si="8">AF8-AE8*10</f>
        <v>-29980410</v>
      </c>
      <c r="AH8" s="91">
        <f>AG8+N24</f>
        <v>-29980405</v>
      </c>
    </row>
    <row r="9" spans="2:34" x14ac:dyDescent="0.35">
      <c r="B9" s="62">
        <v>2</v>
      </c>
      <c r="C9" s="63" t="str">
        <f t="shared" si="1"/>
        <v>Chile</v>
      </c>
      <c r="D9" s="64">
        <f t="shared" si="1"/>
        <v>8</v>
      </c>
      <c r="E9" s="64">
        <f t="shared" si="1"/>
        <v>6</v>
      </c>
      <c r="F9" s="64">
        <f t="shared" si="1"/>
        <v>3</v>
      </c>
      <c r="G9" s="65">
        <f t="shared" si="1"/>
        <v>3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1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2</v>
      </c>
      <c r="U9" s="91" t="s">
        <v>26</v>
      </c>
      <c r="V9" s="91">
        <f>SUMIF($K$7:$K$16,U9,$P$7:$P$16) + SUMIF($N$7:$N$16,U9,$Q$7:$Q$16)</f>
        <v>8</v>
      </c>
      <c r="W9" s="91">
        <f t="shared" ref="W9:W11" si="9">X9-Y9</f>
        <v>3</v>
      </c>
      <c r="X9" s="91">
        <f>SUMIF($K$7:$K$16,U9,$L$7:$L$16) + SUMIF($N$7:$N$16,U9,$M$7:$M$16)</f>
        <v>6</v>
      </c>
      <c r="Y9" s="91">
        <f>SUMIF($K$7:$K$16,U9,$M$7:$M$16) + SUMIF($N$7:$N$16,U9,$L$7:$L$16)</f>
        <v>3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-80030600</v>
      </c>
      <c r="AG9" s="91">
        <f t="shared" si="8"/>
        <v>-80030610</v>
      </c>
      <c r="AH9" s="91">
        <f>AG9+N25</f>
        <v>-80030608</v>
      </c>
    </row>
    <row r="10" spans="2:34" x14ac:dyDescent="0.35">
      <c r="B10" s="58">
        <v>3</v>
      </c>
      <c r="C10" s="59" t="str">
        <f t="shared" si="1"/>
        <v>Argentina</v>
      </c>
      <c r="D10" s="60">
        <f t="shared" si="1"/>
        <v>5</v>
      </c>
      <c r="E10" s="60">
        <f t="shared" si="1"/>
        <v>5</v>
      </c>
      <c r="F10" s="60">
        <f t="shared" si="1"/>
        <v>5</v>
      </c>
      <c r="G10" s="61">
        <f t="shared" si="1"/>
        <v>0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0</v>
      </c>
      <c r="Q10" s="91">
        <f t="shared" si="3"/>
        <v>3</v>
      </c>
      <c r="R10" s="91" t="str">
        <f t="shared" si="4"/>
        <v>Uruguay</v>
      </c>
      <c r="T10" s="91">
        <f>_xlfn.RANK.EQ(AH10,AH$7:AH$11,1)</f>
        <v>5</v>
      </c>
      <c r="U10" s="91" t="s">
        <v>27</v>
      </c>
      <c r="V10" s="91">
        <f>SUMIF($K$7:$K$16,U10,$P$7:$P$16) + SUMIF($N$7:$N$16,U10,$Q$7:$Q$16)</f>
        <v>1</v>
      </c>
      <c r="W10" s="91">
        <f t="shared" si="9"/>
        <v>-5</v>
      </c>
      <c r="X10" s="91">
        <f>SUMIF($K$7:$K$16,U10,$L$7:$L$16) + SUMIF($N$7:$N$16,U10,$M$7:$M$16)</f>
        <v>1</v>
      </c>
      <c r="Y10" s="91">
        <f>SUMIF($K$7:$K$16,U10,$M$7:$M$16) + SUMIF($N$7:$N$16,U10,$L$7:$L$16)</f>
        <v>6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-9950100</v>
      </c>
      <c r="AG10" s="91">
        <f t="shared" si="8"/>
        <v>-9950110</v>
      </c>
      <c r="AH10" s="91">
        <f>AG10+N26</f>
        <v>-9950106</v>
      </c>
    </row>
    <row r="11" spans="2:34" x14ac:dyDescent="0.35">
      <c r="B11" s="66">
        <v>4</v>
      </c>
      <c r="C11" s="67" t="str">
        <f t="shared" si="1"/>
        <v>Bolivia</v>
      </c>
      <c r="D11" s="68">
        <f t="shared" si="1"/>
        <v>3</v>
      </c>
      <c r="E11" s="68">
        <f t="shared" si="1"/>
        <v>4</v>
      </c>
      <c r="F11" s="68">
        <f t="shared" si="1"/>
        <v>6</v>
      </c>
      <c r="G11" s="69">
        <f t="shared" si="1"/>
        <v>-2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10</v>
      </c>
      <c r="W11" s="91">
        <f t="shared" si="9"/>
        <v>4</v>
      </c>
      <c r="X11" s="91">
        <f>SUMIF($K$7:$K$16,U11,$L$7:$L$16) + SUMIF($N$7:$N$16,U11,$M$7:$M$16)</f>
        <v>7</v>
      </c>
      <c r="Y11" s="91">
        <f>SUMIF($K$7:$K$16,U11,$M$7:$M$16) + SUMIF($N$7:$N$16,U11,$L$7:$L$16)</f>
        <v>3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-100040700</v>
      </c>
      <c r="AG11" s="91">
        <f t="shared" si="8"/>
        <v>-100040710</v>
      </c>
      <c r="AH11" s="91">
        <f>AG11+N27</f>
        <v>-100040707</v>
      </c>
    </row>
    <row r="12" spans="2:34" ht="15" thickBot="1" x14ac:dyDescent="0.4">
      <c r="B12" s="54">
        <v>5</v>
      </c>
      <c r="C12" s="55" t="str">
        <f t="shared" si="1"/>
        <v>Paraguay</v>
      </c>
      <c r="D12" s="56">
        <f t="shared" si="1"/>
        <v>1</v>
      </c>
      <c r="E12" s="56">
        <f t="shared" si="1"/>
        <v>1</v>
      </c>
      <c r="F12" s="56">
        <f t="shared" si="1"/>
        <v>6</v>
      </c>
      <c r="G12" s="57">
        <f t="shared" si="1"/>
        <v>-5</v>
      </c>
      <c r="H12" s="71"/>
      <c r="I12" s="31">
        <v>12</v>
      </c>
      <c r="J12" s="29">
        <v>44368</v>
      </c>
      <c r="K12" s="30" t="s">
        <v>25</v>
      </c>
      <c r="L12" s="26">
        <v>1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1</v>
      </c>
      <c r="Q12" s="91">
        <f t="shared" si="3"/>
        <v>1</v>
      </c>
      <c r="R12" s="91" t="str">
        <f t="shared" si="4"/>
        <v>SIN GANADOR</v>
      </c>
    </row>
    <row r="13" spans="2:34" x14ac:dyDescent="0.35">
      <c r="I13" s="28">
        <v>15</v>
      </c>
      <c r="J13" s="24">
        <v>44371</v>
      </c>
      <c r="K13" s="25" t="s">
        <v>3</v>
      </c>
      <c r="L13" s="26">
        <v>1</v>
      </c>
      <c r="M13" s="27">
        <v>2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35">
      <c r="I14" s="31">
        <v>16</v>
      </c>
      <c r="J14" s="29">
        <v>44371</v>
      </c>
      <c r="K14" s="30" t="s">
        <v>26</v>
      </c>
      <c r="L14" s="26">
        <v>2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35">
      <c r="I15" s="28">
        <v>19</v>
      </c>
      <c r="J15" s="24">
        <v>44375</v>
      </c>
      <c r="K15" s="25" t="s">
        <v>28</v>
      </c>
      <c r="L15" s="26">
        <v>2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" thickBot="1" x14ac:dyDescent="0.4">
      <c r="I16" s="15">
        <v>20</v>
      </c>
      <c r="J16" s="7">
        <v>44375</v>
      </c>
      <c r="K16" s="14" t="s">
        <v>25</v>
      </c>
      <c r="L16" s="22">
        <v>2</v>
      </c>
      <c r="M16" s="23">
        <v>1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" thickBot="1" x14ac:dyDescent="0.4"/>
    <row r="22" spans="2:14" ht="15" thickBot="1" x14ac:dyDescent="0.4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3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3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3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3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" thickBot="1" x14ac:dyDescent="0.4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" thickBot="1" x14ac:dyDescent="0.4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opLeftCell="E13" zoomScale="140" zoomScaleNormal="140" workbookViewId="0">
      <selection activeCell="J23" sqref="J23"/>
    </sheetView>
  </sheetViews>
  <sheetFormatPr baseColWidth="10" defaultColWidth="11.453125" defaultRowHeight="14.5" x14ac:dyDescent="0.35"/>
  <cols>
    <col min="1" max="2" width="11.453125" style="1"/>
    <col min="3" max="3" width="11.26953125" style="1" bestFit="1" customWidth="1"/>
    <col min="4" max="4" width="9.1796875" style="1" bestFit="1" customWidth="1"/>
    <col min="5" max="8" width="11.453125" style="1"/>
    <col min="9" max="9" width="9.1796875" style="1" bestFit="1" customWidth="1"/>
    <col min="10" max="13" width="11.453125" style="1"/>
    <col min="14" max="14" width="9.1796875" style="1" bestFit="1" customWidth="1"/>
    <col min="15" max="16" width="11.453125" style="1"/>
    <col min="17" max="17" width="16.81640625" style="1" bestFit="1" customWidth="1"/>
    <col min="18" max="16384" width="11.453125" style="1"/>
  </cols>
  <sheetData>
    <row r="2" spans="2:43" ht="15" thickBot="1" x14ac:dyDescent="0.4"/>
    <row r="3" spans="2:43" ht="15" thickBot="1" x14ac:dyDescent="0.4">
      <c r="B3" s="135" t="s">
        <v>29</v>
      </c>
      <c r="C3" s="136"/>
      <c r="D3" s="137"/>
    </row>
    <row r="4" spans="2:43" ht="15" thickBot="1" x14ac:dyDescent="0.4"/>
    <row r="5" spans="2:43" ht="15" thickBot="1" x14ac:dyDescent="0.4">
      <c r="G5" s="135" t="s">
        <v>30</v>
      </c>
      <c r="H5" s="136"/>
      <c r="I5" s="137"/>
    </row>
    <row r="6" spans="2:43" ht="15" thickBot="1" x14ac:dyDescent="0.4">
      <c r="B6" s="90">
        <v>24</v>
      </c>
      <c r="C6" s="72" t="s">
        <v>31</v>
      </c>
      <c r="D6" s="73" t="s">
        <v>32</v>
      </c>
    </row>
    <row r="7" spans="2:43" ht="15" thickBot="1" x14ac:dyDescent="0.4">
      <c r="B7" s="74" t="str">
        <f>'Grupo B'!C8</f>
        <v>Uruguay</v>
      </c>
      <c r="C7" s="41">
        <v>1</v>
      </c>
      <c r="D7" s="75">
        <v>4</v>
      </c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" thickBot="1" x14ac:dyDescent="0.4">
      <c r="B8" s="76" t="str">
        <f>'Grupo A'!C11</f>
        <v>Peru</v>
      </c>
      <c r="C8" s="42">
        <v>1</v>
      </c>
      <c r="D8" s="77">
        <v>2</v>
      </c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" thickBot="1" x14ac:dyDescent="0.4">
      <c r="E9" s="79"/>
      <c r="G9" s="74" t="str">
        <f>IF(C8&gt;C7,B8,IF(C7&gt;C8,B7,IF(D8&gt;D7,B8,IF(D7&gt;D8,B7,""))))</f>
        <v>Uruguay</v>
      </c>
      <c r="H9" s="41">
        <v>2</v>
      </c>
      <c r="I9" s="75" t="s">
        <v>82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" thickBot="1" x14ac:dyDescent="0.4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Chile</v>
      </c>
      <c r="H10" s="42">
        <v>1</v>
      </c>
      <c r="I10" s="77" t="s">
        <v>82</v>
      </c>
      <c r="J10" s="78"/>
    </row>
    <row r="11" spans="2:43" ht="15" thickBot="1" x14ac:dyDescent="0.4">
      <c r="B11" s="74" t="str">
        <f>'Grupo B'!C9</f>
        <v>Chile</v>
      </c>
      <c r="C11" s="41">
        <v>1</v>
      </c>
      <c r="D11" s="75">
        <v>4</v>
      </c>
      <c r="E11" s="82"/>
      <c r="J11" s="79"/>
    </row>
    <row r="12" spans="2:43" ht="15" thickBot="1" x14ac:dyDescent="0.4">
      <c r="B12" s="76" t="str">
        <f>'Grupo A'!C10</f>
        <v>Venezuela</v>
      </c>
      <c r="C12" s="42">
        <v>1</v>
      </c>
      <c r="D12" s="77">
        <v>2</v>
      </c>
      <c r="E12" s="83"/>
      <c r="J12" s="79"/>
      <c r="L12" s="90">
        <v>28</v>
      </c>
      <c r="M12" s="72" t="s">
        <v>31</v>
      </c>
      <c r="N12" s="73" t="s">
        <v>32</v>
      </c>
    </row>
    <row r="13" spans="2:43" ht="15" thickBot="1" x14ac:dyDescent="0.4">
      <c r="J13" s="79"/>
      <c r="L13" s="74" t="str">
        <f>IF(H10&gt;H9,G10,IF(H9&gt;H10,G9,IF(I10&gt;I9,G10,IF(I9&gt;I10,G9,""))))</f>
        <v>Uruguay</v>
      </c>
      <c r="M13" s="41">
        <v>2</v>
      </c>
      <c r="N13" s="75">
        <v>4</v>
      </c>
    </row>
    <row r="14" spans="2:43" ht="15" thickBot="1" x14ac:dyDescent="0.4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>
        <v>2</v>
      </c>
    </row>
    <row r="15" spans="2:43" ht="15" thickBot="1" x14ac:dyDescent="0.4">
      <c r="B15" s="74" t="str">
        <f>'Grupo A'!C9</f>
        <v>Colombia</v>
      </c>
      <c r="C15" s="41">
        <v>1</v>
      </c>
      <c r="D15" s="75">
        <v>4</v>
      </c>
      <c r="J15" s="79"/>
      <c r="U15" s="35" t="s">
        <v>37</v>
      </c>
      <c r="V15" s="36"/>
      <c r="W15" s="36"/>
      <c r="X15" s="36"/>
      <c r="Y15" s="36"/>
      <c r="Z15" s="37"/>
    </row>
    <row r="16" spans="2:43" ht="15" thickBot="1" x14ac:dyDescent="0.4">
      <c r="B16" s="76" t="str">
        <f>'Grupo B'!C10</f>
        <v>Argentina</v>
      </c>
      <c r="C16" s="42">
        <v>2</v>
      </c>
      <c r="D16" s="77">
        <v>2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" thickBot="1" x14ac:dyDescent="0.4">
      <c r="E17" s="79"/>
      <c r="G17" s="74" t="str">
        <f>IF(C16&gt;C15,B16,IF(C15&gt;C16,B15,IF(D16&gt;D15,B16,IF(D15&gt;D16,B15,""))))</f>
        <v>Argentina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Uruguay</v>
      </c>
      <c r="U17" s="38" t="s">
        <v>41</v>
      </c>
      <c r="V17" s="39"/>
      <c r="W17" s="39"/>
      <c r="X17" s="39"/>
      <c r="Y17" s="39"/>
      <c r="Z17" s="40"/>
    </row>
    <row r="18" spans="2:26" ht="15" thickBot="1" x14ac:dyDescent="0.4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Brasil</v>
      </c>
      <c r="U18" s="43" t="s">
        <v>44</v>
      </c>
      <c r="V18" s="44"/>
      <c r="W18" s="44"/>
      <c r="X18" s="44"/>
      <c r="Y18" s="44"/>
      <c r="Z18" s="45"/>
    </row>
    <row r="19" spans="2:26" ht="15" thickBot="1" x14ac:dyDescent="0.4">
      <c r="B19" s="74" t="str">
        <f>'Grupo A'!C8</f>
        <v>Brasil</v>
      </c>
      <c r="C19" s="41">
        <v>2</v>
      </c>
      <c r="D19" s="75"/>
      <c r="E19" s="82"/>
      <c r="Q19" s="76" t="s">
        <v>45</v>
      </c>
      <c r="R19" s="87" t="str">
        <f>IF(M22&gt;M23,L22,IF(M23&gt;M22,L23,IF(N22&gt;N23,L22,IF(N23&gt;N22,L23,""))))</f>
        <v>Argentina</v>
      </c>
    </row>
    <row r="20" spans="2:26" ht="15" thickBot="1" x14ac:dyDescent="0.4">
      <c r="B20" s="76" t="str">
        <f>'Grupo B'!C11</f>
        <v>Bolivia</v>
      </c>
      <c r="C20" s="42">
        <v>1</v>
      </c>
      <c r="D20" s="77"/>
      <c r="E20" s="83"/>
      <c r="U20" s="139" t="s">
        <v>46</v>
      </c>
      <c r="V20" s="140"/>
      <c r="W20" s="141"/>
    </row>
    <row r="21" spans="2:26" ht="15" thickBot="1" x14ac:dyDescent="0.4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35">
      <c r="L22" s="74" t="str">
        <f>IF(L13=G9,G10,IF(L13=G10,G9,""))</f>
        <v>Chile</v>
      </c>
      <c r="M22" s="41">
        <v>1</v>
      </c>
      <c r="N22" s="75"/>
      <c r="U22" s="127" t="s">
        <v>49</v>
      </c>
      <c r="V22" s="129"/>
      <c r="W22" s="88">
        <v>1</v>
      </c>
    </row>
    <row r="23" spans="2:26" ht="15" thickBot="1" x14ac:dyDescent="0.4">
      <c r="L23" s="76" t="str">
        <f>IF(L14=G17,G18,IF(L14=G18,G17,""))</f>
        <v>Argentina</v>
      </c>
      <c r="M23" s="42">
        <v>2</v>
      </c>
      <c r="N23" s="77"/>
      <c r="U23" s="133" t="s">
        <v>49</v>
      </c>
      <c r="V23" s="134"/>
      <c r="W23" s="88">
        <v>2</v>
      </c>
    </row>
    <row r="24" spans="2:26" ht="15" thickBot="1" x14ac:dyDescent="0.4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Pelayo Figueroa</cp:lastModifiedBy>
  <dcterms:created xsi:type="dcterms:W3CDTF">2021-05-30T22:13:47Z</dcterms:created>
  <dcterms:modified xsi:type="dcterms:W3CDTF">2021-06-12T20:56:57Z</dcterms:modified>
</cp:coreProperties>
</file>