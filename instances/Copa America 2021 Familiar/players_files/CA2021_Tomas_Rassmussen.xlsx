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asrasmussen/Downloads/"/>
    </mc:Choice>
  </mc:AlternateContent>
  <xr:revisionPtr revIDLastSave="0" documentId="13_ncr:1_{3F4A8702-FC83-0848-A2D7-0DEA412FC1BD}" xr6:coauthVersionLast="46" xr6:coauthVersionMax="47" xr10:uidLastSave="{00000000-0000-0000-0000-000000000000}"/>
  <bookViews>
    <workbookView xWindow="0" yWindow="460" windowWidth="24980" windowHeight="164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<sst xmlns="http://schemas.openxmlformats.org/spreadsheetml/2006/main" count="190" uniqueCount="83">
  <si>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</si>
  <si>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</si>
  <si>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</si>
  <si>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</si>
  <si>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</si>
  <si>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</si>
  <si>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</si>
  <si>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</si>
  <si>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</si>
  <si>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</si>
  <si>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</si>
  <si>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</si>
  <si>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</si>
  <si>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</si>
  <si>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</si>
  <si>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</si>
  <si>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</si>
  <si>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</si>
  <si>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</si>
  <si>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</si>
  <si>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</si>
  <si>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</si>
  <si>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</si>
  <si>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</si>
  <si>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</si>
  <si>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</si>
  <si>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</si>
  <si>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</si>
  <si>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</si>
  <si>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</si>
  <si>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</si>
  <si>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</si>
  <si>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</si>
  <si>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</si>
  <si>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</si>
  <si>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</si>
  <si>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</si>
  <si>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</si>
  <si>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</si>
  <si>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</si>
  <si>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</si>
  <si>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</si>
  <si>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</si>
  <si>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</si>
  <si>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</si>
  <si>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</si>
  <si>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</si>
  <si>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</si>
  <si>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</si>
  <si>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</si>
  <si>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</si>
  <si>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</si>
  <si>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</si>
  <si>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</si>
  <si>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</si>
  <si>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</si>
  <si>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</si>
  <si>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</si>
  <si>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</si>
  <si>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</si>
  <si>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</si>
  <si>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</si>
  <si>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</si>
  <si>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</si>
  <si>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</si>
  <si>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</si>
  <si>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</si>
  <si>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</si>
  <si>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</si>
  <si>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</si>
  <si>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</si>
  <si>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</si>
  <si>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</si>
  <si>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</si>
  <si>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</si>
  <si>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</si>
  <si>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</si>
  <si>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</si>
  <si>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</si>
  <si>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</si>
  <si>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</si>
  <si>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Tomás Rasmussen</t>
  </si>
  <si>
    <t>tomas.rasf@gmail.com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</si>
</sst>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7" sqref="C7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25">
      <c r="B6" s="98" t="s">
        <v>80</v>
      </c>
      <c r="C6" s="100" t="s">
        <v>3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4" zoomScale="135" zoomScaleNormal="140" workbookViewId="0">
      <selection activeCell="L13" sqref="L13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2</v>
      </c>
      <c r="X8" s="91">
        <f>SUMIF($K$7:$K$16,U8,$L$7:$L$16) + SUMIF($N$7:$N$16,U8,$M$7:$M$16)</f>
        <v>5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-70020500</v>
      </c>
      <c r="AG8" s="91">
        <f t="shared" ref="AG8:AG11" si="8">AF8-AE8*10</f>
        <v>-70020510</v>
      </c>
      <c r="AH8" s="91">
        <f>AG8+N24</f>
        <v>-70020508</v>
      </c>
    </row>
    <row r="9" spans="2:35" x14ac:dyDescent="0.2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-70020400</v>
      </c>
      <c r="AG9" s="91">
        <f t="shared" si="8"/>
        <v>-70020410</v>
      </c>
      <c r="AH9" s="91">
        <f>AG9+N25</f>
        <v>-70020407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7</v>
      </c>
      <c r="E10" s="60">
        <f t="shared" si="1"/>
        <v>4</v>
      </c>
      <c r="F10" s="60">
        <f t="shared" si="1"/>
        <v>2</v>
      </c>
      <c r="G10" s="61">
        <f t="shared" si="1"/>
        <v>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1</v>
      </c>
      <c r="W10" s="91">
        <f t="shared" si="9"/>
        <v>-4</v>
      </c>
      <c r="X10" s="91">
        <f>SUMIF($K$7:$K$16,U10,$L$7:$L$16) + SUMIF($N$7:$N$16,U10,$M$7:$M$16)</f>
        <v>0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-9960000</v>
      </c>
      <c r="AG10" s="91">
        <f t="shared" si="8"/>
        <v>-9960010</v>
      </c>
      <c r="AH10" s="91">
        <f>AG10+N26</f>
        <v>-9960006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1</v>
      </c>
      <c r="E11" s="68">
        <f t="shared" si="1"/>
        <v>0</v>
      </c>
      <c r="F11" s="68">
        <f t="shared" si="1"/>
        <v>4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-7</v>
      </c>
      <c r="X11" s="91">
        <f>SUMIF($K$7:$K$16,U11,$L$7:$L$16) + SUMIF($N$7:$N$16,U11,$M$7:$M$16)</f>
        <v>0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-9930000</v>
      </c>
      <c r="AG11" s="91">
        <f t="shared" si="8"/>
        <v>-9930010</v>
      </c>
      <c r="AH11" s="91">
        <f>AG11+N27</f>
        <v>-9930005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0</v>
      </c>
      <c r="F12" s="56">
        <f t="shared" si="1"/>
        <v>7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1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C1" zoomScale="140" zoomScaleNormal="140" workbookViewId="0">
      <selection activeCell="M25" sqref="M25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0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100000</v>
      </c>
      <c r="AG8" s="91">
        <f t="shared" ref="AG8:AG11" si="8">AF8-AE8*10</f>
        <v>99990</v>
      </c>
      <c r="AH8" s="91">
        <f>AG8+N24</f>
        <v>99995</v>
      </c>
    </row>
    <row r="9" spans="2:34" x14ac:dyDescent="0.2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4</v>
      </c>
      <c r="F9" s="64">
        <f t="shared" si="1"/>
        <v>1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4</v>
      </c>
      <c r="Y9" s="91">
        <f>SUMIF($K$7:$K$16,U9,$M$7:$M$16) + SUMIF($N$7:$N$16,U9,$L$7:$L$16)</f>
        <v>1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-90030400</v>
      </c>
      <c r="AG9" s="91">
        <f t="shared" si="8"/>
        <v>-90030410</v>
      </c>
      <c r="AH9" s="91">
        <f>AG9+N25</f>
        <v>-90030408</v>
      </c>
    </row>
    <row r="10" spans="2:34" x14ac:dyDescent="0.2">
      <c r="B10" s="58">
        <v>3</v>
      </c>
      <c r="C10" s="59" t="str">
        <f t="shared" si="1"/>
        <v>Uruguay</v>
      </c>
      <c r="D10" s="60">
        <f t="shared" si="1"/>
        <v>6</v>
      </c>
      <c r="E10" s="60">
        <f t="shared" si="1"/>
        <v>4</v>
      </c>
      <c r="F10" s="60">
        <f t="shared" si="1"/>
        <v>2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0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-29980300</v>
      </c>
      <c r="AG10" s="91">
        <f t="shared" si="8"/>
        <v>-29980310</v>
      </c>
      <c r="AH10" s="91">
        <f>AG10+N26</f>
        <v>-29980306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6</v>
      </c>
      <c r="W11" s="91">
        <f t="shared" si="9"/>
        <v>2</v>
      </c>
      <c r="X11" s="91">
        <f>SUMIF($K$7:$K$16,U11,$L$7:$L$16) + SUMIF($N$7:$N$16,U11,$M$7:$M$16)</f>
        <v>4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-60020400</v>
      </c>
      <c r="AG11" s="91">
        <f t="shared" si="8"/>
        <v>-60020410</v>
      </c>
      <c r="AH11" s="91">
        <f>AG11+N27</f>
        <v>-60020407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10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Normal="140" workbookViewId="0">
      <selection activeCell="D19" sqref="D19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1</v>
      </c>
      <c r="I10" s="77"/>
      <c r="J10" s="78"/>
    </row>
    <row r="11" spans="2:43" ht="16" thickBot="1" x14ac:dyDescent="0.25">
      <c r="B11" s="74" t="str">
        <f>'Grupo B'!C9</f>
        <v>Chile</v>
      </c>
      <c r="C11" s="41">
        <v>1</v>
      </c>
      <c r="D11" s="75"/>
      <c r="E11" s="82"/>
      <c r="J11" s="79"/>
    </row>
    <row r="12" spans="2:43" ht="16" thickBot="1" x14ac:dyDescent="0.25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6" thickBot="1" x14ac:dyDescent="0.25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Uruguay</v>
      </c>
      <c r="C16" s="42">
        <v>1</v>
      </c>
      <c r="D16" s="77">
        <v>2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Colombia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Chile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Colombia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2021-05-30T22:13:47Z</dcterms:created>
  <dcterms:modified xsi:type="dcterms:W3CDTF">2021-06-12T23:25:43Z</dcterms:modified>
</cp:coreProperties>
</file>