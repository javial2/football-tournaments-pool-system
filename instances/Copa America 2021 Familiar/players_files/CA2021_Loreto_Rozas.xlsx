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610" windowHeight="11160"/>
  </bookViews>
  <sheets>
    <sheet name="INFORMACION" sheetId="4" r:id="rId1"/>
    <sheet name="Grupo A" sheetId="1" r:id="rId2"/>
    <sheet name="Grupo B" sheetId="2" r:id="rId3"/>
    <sheet name="Play-Off" sheetId="3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l="1"/>
  <c r="C8" i="1"/>
  <c r="B19" i="3" s="1"/>
  <c r="G18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G17" i="3" s="1"/>
  <c r="L14" i="3" s="1"/>
  <c r="L23" i="3" l="1"/>
  <c r="R17" i="3"/>
  <c r="R18" i="3" s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<sst xmlns="http://schemas.openxmlformats.org/spreadsheetml/2006/main" count="190" uniqueCount="84">
  <si>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</si>
  <si>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</si>
  <si>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</si>
  <si>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</si>
  <si>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</si>
  <si>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</si>
  <si>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</si>
  <si>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</si>
  <si>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</si>
  <si>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</si>
  <si>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</si>
  <si>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</si>
  <si>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</si>
  <si>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</si>
  <si>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</si>
  <si>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</si>
  <si>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</si>
  <si>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</si>
  <si>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</si>
  <si>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</si>
  <si>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</si>
  <si>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</si>
  <si>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</si>
  <si>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</si>
  <si>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</si>
  <si>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</si>
  <si>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</si>
  <si>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</si>
  <si>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</si>
  <si>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</si>
  <si>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</si>
  <si>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</si>
  <si>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</si>
  <si>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</si>
  <si>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</si>
  <si>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</si>
  <si>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</si>
  <si>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</si>
  <si>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</si>
  <si>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</si>
  <si>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</si>
  <si>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</si>
  <si>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</si>
  <si>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</si>
  <si>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</si>
  <si>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</si>
  <si>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</si>
  <si>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</si>
  <si>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</si>
  <si>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</si>
  <si>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</si>
  <si>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</si>
  <si>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</si>
  <si>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</si>
  <si>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</si>
  <si>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</si>
  <si>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</si>
  <si>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</si>
  <si>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</si>
  <si>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</si>
  <si>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</si>
  <si>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</si>
  <si>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</si>
  <si>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</si>
  <si>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</si>
  <si>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</si>
  <si>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</si>
  <si>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</si>
  <si>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</si>
  <si>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</si>
  <si>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</si>
  <si>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</si>
  <si>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</si>
  <si>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</si>
  <si>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</si>
  <si>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</si>
  <si>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</si>
  <si>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</si>
  <si>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</si>
  <si>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</si>
  <si>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</si>
  <si>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Francia</t>
  </si>
  <si>
    <t>jpablofigueroa@yahoo.com</t>
  </si>
  <si>
    <t>María Loreto Rozas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</si>
</sst>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tabSelected="1" zoomScale="160" zoomScaleNormal="160" workbookViewId="0">
      <selection activeCell="F10" sqref="F1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83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69</v>
      </c>
      <c r="G5" s="91" t="s">
        <v>60</v>
      </c>
    </row>
    <row r="6" spans="2:7" ht="30.75" customHeight="1" thickBot="1" x14ac:dyDescent="0.3">
      <c r="B6" s="98" t="s">
        <v>80</v>
      </c>
      <c r="C6" s="100" t="s">
        <v>81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zoomScale="110" zoomScaleNormal="110" workbookViewId="0">
      <selection activeCell="N34" sqref="N33:N34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12</v>
      </c>
      <c r="Y7" s="91">
        <f>SUMIF($K$7:$K$16,U7,$M$7:$M$16) + SUMIF($N$7:$N$16,U7,$L$7:$L$16)</f>
        <v>7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-100051200</v>
      </c>
      <c r="AG7" s="91">
        <f>AF7-AE7*10</f>
        <v>-100051210</v>
      </c>
      <c r="AH7" s="91">
        <f>AG7+N23</f>
        <v>-100051209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12</v>
      </c>
      <c r="F8" s="33">
        <f t="shared" si="1"/>
        <v>7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8</v>
      </c>
      <c r="W8" s="91">
        <f>X8-Y8</f>
        <v>3</v>
      </c>
      <c r="X8" s="91">
        <f>SUMIF($K$7:$K$16,U8,$L$7:$L$16) + SUMIF($N$7:$N$16,U8,$M$7:$M$16)</f>
        <v>8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-80030800</v>
      </c>
      <c r="AG8" s="91">
        <f t="shared" ref="AG8:AG11" si="8">AF8-AE8*10</f>
        <v>-80030810</v>
      </c>
      <c r="AH8" s="91">
        <f>AG8+N24</f>
        <v>-80030808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8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6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-39990600</v>
      </c>
      <c r="AG9" s="91">
        <f t="shared" si="8"/>
        <v>-39990610</v>
      </c>
      <c r="AH9" s="91">
        <f>AG9+N25</f>
        <v>-39990606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6</v>
      </c>
      <c r="E10" s="60">
        <f t="shared" si="1"/>
        <v>8</v>
      </c>
      <c r="F10" s="60">
        <f t="shared" si="1"/>
        <v>9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2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6</v>
      </c>
      <c r="W10" s="91">
        <f t="shared" si="9"/>
        <v>-1</v>
      </c>
      <c r="X10" s="91">
        <f>SUMIF($K$7:$K$16,U10,$L$7:$L$16) + SUMIF($N$7:$N$16,U10,$M$7:$M$16)</f>
        <v>8</v>
      </c>
      <c r="Y10" s="91">
        <f>SUMIF($K$7:$K$16,U10,$M$7:$M$16) + SUMIF($N$7:$N$16,U10,$L$7:$L$16)</f>
        <v>9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-59990800</v>
      </c>
      <c r="AG10" s="91">
        <f t="shared" si="8"/>
        <v>-59990810</v>
      </c>
      <c r="AH10" s="91">
        <f>AG10+N26</f>
        <v>-59990807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4</v>
      </c>
      <c r="E11" s="68">
        <f t="shared" si="1"/>
        <v>6</v>
      </c>
      <c r="F11" s="68">
        <f t="shared" si="1"/>
        <v>7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-6</v>
      </c>
      <c r="X11" s="91">
        <f>SUMIF($K$7:$K$16,U11,$L$7:$L$16) + SUMIF($N$7:$N$16,U11,$M$7:$M$16)</f>
        <v>5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59500</v>
      </c>
      <c r="AG11" s="91">
        <f t="shared" si="8"/>
        <v>59490</v>
      </c>
      <c r="AH11" s="91">
        <f>AG11+N27</f>
        <v>59495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5</v>
      </c>
      <c r="F12" s="56">
        <f t="shared" si="1"/>
        <v>11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3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2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2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2</v>
      </c>
      <c r="M16" s="23">
        <v>3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zoomScale="96" zoomScaleNormal="96" workbookViewId="0">
      <selection activeCell="N28" sqref="N28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3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10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-120071000</v>
      </c>
      <c r="AG7" s="91">
        <f>AF7-AE7*10</f>
        <v>-120071010</v>
      </c>
      <c r="AH7" s="91">
        <f>AG7+N23</f>
        <v>-120071009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10</v>
      </c>
      <c r="F8" s="33">
        <f t="shared" si="1"/>
        <v>3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1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89900</v>
      </c>
      <c r="AG8" s="91">
        <f t="shared" ref="AG8:AG11" si="8">AF8-AE8*10</f>
        <v>89890</v>
      </c>
      <c r="AH8" s="91">
        <f>AG8+N24</f>
        <v>89895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9</v>
      </c>
      <c r="E9" s="64">
        <f t="shared" si="1"/>
        <v>9</v>
      </c>
      <c r="F9" s="64">
        <f t="shared" si="1"/>
        <v>5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1</v>
      </c>
      <c r="X9" s="91">
        <f>SUMIF($K$7:$K$16,U9,$L$7:$L$16) + SUMIF($N$7:$N$16,U9,$M$7:$M$16)</f>
        <v>9</v>
      </c>
      <c r="Y9" s="91">
        <f>SUMIF($K$7:$K$16,U9,$M$7:$M$16) + SUMIF($N$7:$N$16,U9,$L$7:$L$16)</f>
        <v>8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-60010900</v>
      </c>
      <c r="AG9" s="91">
        <f t="shared" si="8"/>
        <v>-60010910</v>
      </c>
      <c r="AH9" s="91">
        <f>AG9+N25</f>
        <v>-60010907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9</v>
      </c>
      <c r="F10" s="60">
        <f t="shared" si="1"/>
        <v>8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4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-29970400</v>
      </c>
      <c r="AG10" s="91">
        <f t="shared" si="8"/>
        <v>-29970410</v>
      </c>
      <c r="AH10" s="91">
        <f>AG10+N26</f>
        <v>-29970406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4</v>
      </c>
      <c r="F11" s="68">
        <f t="shared" si="1"/>
        <v>7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3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9</v>
      </c>
      <c r="W11" s="91">
        <f t="shared" si="9"/>
        <v>4</v>
      </c>
      <c r="X11" s="91">
        <f>SUMIF($K$7:$K$16,U11,$L$7:$L$16) + SUMIF($N$7:$N$16,U11,$M$7:$M$16)</f>
        <v>9</v>
      </c>
      <c r="Y11" s="91">
        <f>SUMIF($K$7:$K$16,U11,$M$7:$M$16) + SUMIF($N$7:$N$16,U11,$L$7:$L$16)</f>
        <v>5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-90040900</v>
      </c>
      <c r="AG11" s="91">
        <f t="shared" si="8"/>
        <v>-90040910</v>
      </c>
      <c r="AH11" s="91">
        <f>AG11+N27</f>
        <v>-90040908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3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zoomScale="140" zoomScaleNormal="140" workbookViewId="0">
      <selection activeCell="F21" sqref="F21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3</v>
      </c>
      <c r="D11" s="75"/>
      <c r="E11" s="82"/>
      <c r="J11" s="79"/>
    </row>
    <row r="12" spans="2:43" ht="15.75" thickBot="1" x14ac:dyDescent="0.3">
      <c r="B12" s="76" t="str">
        <f>'Grupo A'!C10</f>
        <v>Peru</v>
      </c>
      <c r="C12" s="42">
        <v>2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3</v>
      </c>
      <c r="N13" s="75">
        <v>2</v>
      </c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>
        <v>3</v>
      </c>
    </row>
    <row r="15" spans="2:43" ht="15.75" thickBot="1" x14ac:dyDescent="0.3">
      <c r="B15" s="74" t="str">
        <f>'Grupo A'!C9</f>
        <v>Colombia</v>
      </c>
      <c r="C15" s="41">
        <v>2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>
        <v>3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Colombia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Colombia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PCFACIL</cp:lastModifiedBy>
  <dcterms:created xsi:type="dcterms:W3CDTF">2021-05-30T22:13:47Z</dcterms:created>
  <dcterms:modified xsi:type="dcterms:W3CDTF">2021-06-12T17:17:38Z</dcterms:modified>
</cp:coreProperties>
</file>