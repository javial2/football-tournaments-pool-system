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garitalagos/Downloads/"/>
    </mc:Choice>
  </mc:AlternateContent>
  <xr:revisionPtr revIDLastSave="0" documentId="13_ncr:1_{DFBD1696-21F2-2A4D-BE95-548626AC181F}" xr6:coauthVersionLast="46" xr6:coauthVersionMax="47" xr10:uidLastSave="{00000000-0000-0000-0000-000000000000}"/>
  <bookViews>
    <workbookView xWindow="0" yWindow="0" windowWidth="28800" windowHeight="1800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<sst xmlns="http://schemas.openxmlformats.org/spreadsheetml/2006/main" count="190" uniqueCount="83">
  <si>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</si>
  <si>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</si>
  <si>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</si>
  <si>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</si>
  <si>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</si>
  <si>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</si>
  <si>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</si>
  <si>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</si>
  <si>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</si>
  <si>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</si>
  <si>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</si>
  <si>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</si>
  <si>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</si>
  <si>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</si>
  <si>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</si>
  <si>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</si>
  <si>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</si>
  <si>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</si>
  <si>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</si>
  <si>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</si>
  <si>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</si>
  <si>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</si>
  <si>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</si>
  <si>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</si>
  <si>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</si>
  <si>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</si>
  <si>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</si>
  <si>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</si>
  <si>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</si>
  <si>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</si>
  <si>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</si>
  <si>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</si>
  <si>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</si>
  <si>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</si>
  <si>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</si>
  <si>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</si>
  <si>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</si>
  <si>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</si>
  <si>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</si>
  <si>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</si>
  <si>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</si>
  <si>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</si>
  <si>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</si>
  <si>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</si>
  <si>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</si>
  <si>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</si>
  <si>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</si>
  <si>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</si>
  <si>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</si>
  <si>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</si>
  <si>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</si>
  <si>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</si>
  <si>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</si>
  <si>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</si>
  <si>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</si>
  <si>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</si>
  <si>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</si>
  <si>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</si>
  <si>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</si>
  <si>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</si>
  <si>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</si>
  <si>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</si>
  <si>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</si>
  <si>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</si>
  <si>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</si>
  <si>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</si>
  <si>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</si>
  <si>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</si>
  <si>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</si>
  <si>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</si>
  <si>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</si>
  <si>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</si>
  <si>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</si>
  <si>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</si>
  <si>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</si>
  <si>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</si>
  <si>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</si>
  <si>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</si>
  <si>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</si>
  <si>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</si>
  <si>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</si>
  <si>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José Tomás Paúl</t>
  </si>
  <si>
    <t>jtpaul@miuandes.cl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</si>
</sst>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D5" sqref="D5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Real Madrid</v>
      </c>
      <c r="D5" s="99" t="s">
        <v>74</v>
      </c>
      <c r="G5" s="91" t="s">
        <v>60</v>
      </c>
    </row>
    <row r="6" spans="2:7" ht="30.75" customHeight="1" thickBot="1" x14ac:dyDescent="0.25">
      <c r="B6" s="98" t="s">
        <v>80</v>
      </c>
      <c r="C6" s="100" t="s">
        <v>28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140" zoomScaleNormal="140" workbookViewId="0">
      <selection activeCell="L16" sqref="L16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1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-100060900</v>
      </c>
      <c r="AG7" s="91">
        <f>AF7-AE7*10</f>
        <v>-100060910</v>
      </c>
      <c r="AH7" s="91">
        <f>AG7+N23</f>
        <v>-100060909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7</v>
      </c>
      <c r="W8" s="91">
        <f>X8-Y8</f>
        <v>2</v>
      </c>
      <c r="X8" s="91">
        <f>SUMIF($K$7:$K$16,U8,$L$7:$L$16) + SUMIF($N$7:$N$16,U8,$M$7:$M$16)</f>
        <v>5</v>
      </c>
      <c r="Y8" s="91">
        <f>SUMIF($K$7:$K$16,U8,$M$7:$M$16) + SUMIF($N$7:$N$16,U8,$L$7:$L$16)</f>
        <v>3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-70020500</v>
      </c>
      <c r="AG8" s="91">
        <f t="shared" ref="AG8:AG11" si="8">AF8-AE8*10</f>
        <v>-70020510</v>
      </c>
      <c r="AH8" s="91">
        <f>AG8+N24</f>
        <v>-70020508</v>
      </c>
    </row>
    <row r="9" spans="2:35" x14ac:dyDescent="0.2">
      <c r="B9" s="62">
        <v>2</v>
      </c>
      <c r="C9" s="63" t="str">
        <f t="shared" si="1"/>
        <v>Ecuador</v>
      </c>
      <c r="D9" s="64">
        <f t="shared" si="1"/>
        <v>8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8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-80030600</v>
      </c>
      <c r="AG9" s="91">
        <f t="shared" si="8"/>
        <v>-80030610</v>
      </c>
      <c r="AH9" s="91">
        <f>AG9+N25</f>
        <v>-80030607</v>
      </c>
    </row>
    <row r="10" spans="2:35" x14ac:dyDescent="0.2">
      <c r="B10" s="58">
        <v>3</v>
      </c>
      <c r="C10" s="59" t="str">
        <f t="shared" si="1"/>
        <v>Colombia</v>
      </c>
      <c r="D10" s="60">
        <f t="shared" si="1"/>
        <v>7</v>
      </c>
      <c r="E10" s="60">
        <f t="shared" si="1"/>
        <v>5</v>
      </c>
      <c r="F10" s="60">
        <f t="shared" si="1"/>
        <v>3</v>
      </c>
      <c r="G10" s="61">
        <f t="shared" si="1"/>
        <v>2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5</v>
      </c>
      <c r="U10" s="91" t="s">
        <v>5</v>
      </c>
      <c r="V10" s="91">
        <f>SUMIF($K$7:$K$16,U10,$P$7:$P$16) + SUMIF($N$7:$N$16,U10,$Q$7:$Q$16)</f>
        <v>0</v>
      </c>
      <c r="W10" s="91">
        <f t="shared" si="9"/>
        <v>-7</v>
      </c>
      <c r="X10" s="91">
        <f>SUMIF($K$7:$K$16,U10,$L$7:$L$16) + SUMIF($N$7:$N$16,U10,$M$7:$M$16)</f>
        <v>1</v>
      </c>
      <c r="Y10" s="91">
        <f>SUMIF($K$7:$K$16,U10,$M$7:$M$16) + SUMIF($N$7:$N$16,U10,$L$7:$L$16)</f>
        <v>8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69900</v>
      </c>
      <c r="AG10" s="91">
        <f t="shared" si="8"/>
        <v>69890</v>
      </c>
      <c r="AH10" s="91">
        <f>AG10+N26</f>
        <v>69894</v>
      </c>
    </row>
    <row r="11" spans="2:35" x14ac:dyDescent="0.2">
      <c r="B11" s="66">
        <v>4</v>
      </c>
      <c r="C11" s="67" t="str">
        <f t="shared" si="1"/>
        <v>Venezuela</v>
      </c>
      <c r="D11" s="68">
        <f t="shared" si="1"/>
        <v>3</v>
      </c>
      <c r="E11" s="68">
        <f t="shared" si="1"/>
        <v>4</v>
      </c>
      <c r="F11" s="68">
        <f t="shared" si="1"/>
        <v>8</v>
      </c>
      <c r="G11" s="69">
        <f t="shared" si="1"/>
        <v>-4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4</v>
      </c>
      <c r="U11" s="91" t="s">
        <v>4</v>
      </c>
      <c r="V11" s="91">
        <f>SUMIF($K$7:$K$16,U11,$P$7:$P$16) + SUMIF($N$7:$N$16,U11,$Q$7:$Q$16)</f>
        <v>3</v>
      </c>
      <c r="W11" s="91">
        <f t="shared" si="9"/>
        <v>-4</v>
      </c>
      <c r="X11" s="91">
        <f>SUMIF($K$7:$K$16,U11,$L$7:$L$16) + SUMIF($N$7:$N$16,U11,$M$7:$M$16)</f>
        <v>4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-29960400</v>
      </c>
      <c r="AG11" s="91">
        <f t="shared" si="8"/>
        <v>-29960410</v>
      </c>
      <c r="AH11" s="91">
        <f>AG11+N27</f>
        <v>-29960405</v>
      </c>
    </row>
    <row r="12" spans="2:35" s="1" customFormat="1" ht="16" thickBot="1" x14ac:dyDescent="0.25">
      <c r="B12" s="54">
        <v>5</v>
      </c>
      <c r="C12" s="55" t="str">
        <f t="shared" si="1"/>
        <v>Peru</v>
      </c>
      <c r="D12" s="56">
        <f t="shared" si="1"/>
        <v>0</v>
      </c>
      <c r="E12" s="56">
        <f t="shared" si="1"/>
        <v>1</v>
      </c>
      <c r="F12" s="56">
        <f t="shared" si="1"/>
        <v>8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2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1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1</v>
      </c>
      <c r="Q15" s="91">
        <f t="shared" si="10"/>
        <v>1</v>
      </c>
      <c r="R15" s="91" t="str">
        <f t="shared" si="4"/>
        <v>SIN GANADOR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2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3</v>
      </c>
      <c r="Q16" s="91">
        <f t="shared" si="3"/>
        <v>0</v>
      </c>
      <c r="R16" s="91" t="str">
        <f t="shared" si="4"/>
        <v>Venezuela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zoomScale="140" zoomScaleNormal="140" workbookViewId="0">
      <selection activeCell="M16" sqref="M16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8</v>
      </c>
      <c r="X7" s="91">
        <f>SUMIF($K$7:$K$16,U7,$L$7:$L$16) + SUMIF($N$7:$N$16,U7,$M$7:$M$16)</f>
        <v>10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-100081000</v>
      </c>
      <c r="AG7" s="91">
        <f>AF7-AE7*10</f>
        <v>-100081010</v>
      </c>
      <c r="AH7" s="91">
        <f>AG7+N23</f>
        <v>-100081009</v>
      </c>
    </row>
    <row r="8" spans="2:34" x14ac:dyDescent="0.2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10</v>
      </c>
      <c r="F8" s="33">
        <f t="shared" si="1"/>
        <v>2</v>
      </c>
      <c r="G8" s="34">
        <f t="shared" si="1"/>
        <v>8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-10</v>
      </c>
      <c r="X8" s="91">
        <f>SUMIF($K$7:$K$16,U8,$L$7:$L$16) + SUMIF($N$7:$N$16,U8,$M$7:$M$16)</f>
        <v>1</v>
      </c>
      <c r="Y8" s="91">
        <f>SUMIF($K$7:$K$16,U8,$M$7:$M$16) + SUMIF($N$7:$N$16,U8,$L$7:$L$16)</f>
        <v>11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99900</v>
      </c>
      <c r="AG8" s="91">
        <f t="shared" ref="AG8:AG11" si="8">AF8-AE8*10</f>
        <v>99890</v>
      </c>
      <c r="AH8" s="91">
        <f>AG8+N24</f>
        <v>99895</v>
      </c>
    </row>
    <row r="9" spans="2:34" x14ac:dyDescent="0.2">
      <c r="B9" s="62">
        <v>2</v>
      </c>
      <c r="C9" s="63" t="str">
        <f t="shared" si="1"/>
        <v>Uruguay</v>
      </c>
      <c r="D9" s="64">
        <f t="shared" si="1"/>
        <v>10</v>
      </c>
      <c r="E9" s="64">
        <f t="shared" si="1"/>
        <v>8</v>
      </c>
      <c r="F9" s="64">
        <f t="shared" si="1"/>
        <v>3</v>
      </c>
      <c r="G9" s="65">
        <f t="shared" si="1"/>
        <v>5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1</v>
      </c>
      <c r="X9" s="91">
        <f>SUMIF($K$7:$K$16,U9,$L$7:$L$16) + SUMIF($N$7:$N$16,U9,$M$7:$M$16)</f>
        <v>5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-60010500</v>
      </c>
      <c r="AG9" s="91">
        <f t="shared" si="8"/>
        <v>-60010510</v>
      </c>
      <c r="AH9" s="91">
        <f>AG9+N25</f>
        <v>-60010508</v>
      </c>
    </row>
    <row r="10" spans="2:34" x14ac:dyDescent="0.2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-4</v>
      </c>
      <c r="X10" s="91">
        <f>SUMIF($K$7:$K$16,U10,$L$7:$L$16) + SUMIF($N$7:$N$16,U10,$M$7:$M$16)</f>
        <v>4</v>
      </c>
      <c r="Y10" s="91">
        <f>SUMIF($K$7:$K$16,U10,$M$7:$M$16) + SUMIF($N$7:$N$16,U10,$L$7:$L$16)</f>
        <v>8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-29960400</v>
      </c>
      <c r="AG10" s="91">
        <f t="shared" si="8"/>
        <v>-29960410</v>
      </c>
      <c r="AH10" s="91">
        <f>AG10+N26</f>
        <v>-29960406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4</v>
      </c>
      <c r="F11" s="68">
        <f t="shared" si="1"/>
        <v>8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5</v>
      </c>
      <c r="X11" s="91">
        <f>SUMIF($K$7:$K$16,U11,$L$7:$L$16) + SUMIF($N$7:$N$16,U11,$M$7:$M$16)</f>
        <v>8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-100050800</v>
      </c>
      <c r="AG11" s="91">
        <f t="shared" si="8"/>
        <v>-100050810</v>
      </c>
      <c r="AH11" s="91">
        <f>AG11+N27</f>
        <v>-100050807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11</v>
      </c>
      <c r="G12" s="57">
        <f t="shared" si="1"/>
        <v>-10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4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40" zoomScaleNormal="140" workbookViewId="0">
      <selection activeCell="N13" sqref="N13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Venezuela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Argentina</v>
      </c>
      <c r="H9" s="41">
        <v>1</v>
      </c>
      <c r="I9" s="75">
        <v>5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>
        <v>6</v>
      </c>
      <c r="J10" s="78"/>
    </row>
    <row r="11" spans="2:43" ht="16" thickBot="1" x14ac:dyDescent="0.25">
      <c r="B11" s="74" t="str">
        <f>'Grupo B'!C9</f>
        <v>Uruguay</v>
      </c>
      <c r="C11" s="41">
        <v>2</v>
      </c>
      <c r="D11" s="75"/>
      <c r="E11" s="82"/>
      <c r="J11" s="79"/>
    </row>
    <row r="12" spans="2:43" ht="16" thickBot="1" x14ac:dyDescent="0.25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6" thickBot="1" x14ac:dyDescent="0.25">
      <c r="B15" s="74" t="str">
        <f>'Grupo A'!C9</f>
        <v>Ecuador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Chile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6" thickBot="1" x14ac:dyDescent="0.2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Argentina</v>
      </c>
      <c r="M22" s="41">
        <v>1</v>
      </c>
      <c r="N22" s="75">
        <v>4</v>
      </c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Chile</v>
      </c>
      <c r="M23" s="42">
        <v>1</v>
      </c>
      <c r="N23" s="77">
        <v>5</v>
      </c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Microsoft Office User</cp:lastModifiedBy>
  <dcterms:created xsi:type="dcterms:W3CDTF">2021-05-30T22:13:47Z</dcterms:created>
  <dcterms:modified xsi:type="dcterms:W3CDTF">2021-06-07T17:55:25Z</dcterms:modified>
</cp:coreProperties>
</file>