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0" yWindow="0" windowWidth="6615" windowHeight="7590" activeTab="1"/>
  </bookViews>
  <sheets>
    <sheet name="INFORMACION" sheetId="4" r:id="rId1"/>
    <sheet name="Grupo A" sheetId="1" r:id="rId2"/>
    <sheet name="Grupo B" sheetId="2" r:id="rId3"/>
    <sheet name="Play-Off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9" i="2"/>
  <c r="R11" i="2"/>
  <c r="Q12" i="2"/>
  <c r="R12" i="2" s="1"/>
  <c r="Q13" i="2"/>
  <c r="V11" i="2" s="1"/>
  <c r="Q14" i="2"/>
  <c r="V7" i="2" s="1"/>
  <c r="AF7" i="2" s="1"/>
  <c r="Q15" i="2"/>
  <c r="R15" i="2" s="1"/>
  <c r="Q16" i="2"/>
  <c r="R16" i="2" s="1"/>
  <c r="AF11" i="2" l="1"/>
  <c r="V8" i="2"/>
  <c r="AF8" i="2" s="1"/>
  <c r="V10" i="2"/>
  <c r="AF10" i="2" s="1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l="1"/>
  <c r="C8" i="1"/>
  <c r="B19" i="3" s="1"/>
  <c r="G18" i="3" s="1"/>
  <c r="L14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L23" i="3" l="1"/>
  <c r="R17" i="3"/>
  <c r="G9" i="3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<sst xmlns="http://schemas.openxmlformats.org/spreadsheetml/2006/main" count="190" uniqueCount="83">
  <si>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</si>
  <si>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</si>
  <si>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</si>
  <si>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</si>
  <si>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</si>
  <si>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</si>
  <si>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</si>
  <si>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</si>
  <si>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</si>
  <si>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</si>
  <si>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</si>
  <si>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</si>
  <si>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</si>
  <si>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</si>
  <si>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</si>
  <si>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</si>
  <si>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</si>
  <si>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</si>
  <si>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</si>
  <si>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</si>
  <si>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</si>
  <si>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</si>
  <si>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</si>
  <si>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</si>
  <si>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</si>
  <si>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</si>
  <si>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</si>
  <si>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</si>
  <si>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</si>
  <si>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</si>
  <si>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</si>
  <si>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</si>
  <si>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</si>
  <si>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</si>
  <si>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</si>
  <si>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</si>
  <si>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</si>
  <si>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</si>
  <si>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</si>
  <si>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</si>
  <si>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</si>
  <si>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</si>
  <si>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</si>
  <si>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</si>
  <si>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</si>
  <si>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</si>
  <si>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</si>
  <si>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</si>
  <si>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</si>
  <si>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</si>
  <si>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</si>
  <si>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</si>
  <si>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</si>
  <si>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</si>
  <si>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</si>
  <si>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</si>
  <si>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</si>
  <si>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</si>
  <si>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</si>
  <si>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</si>
  <si>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</si>
  <si>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</si>
  <si>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</si>
  <si>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</si>
  <si>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</si>
  <si>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</si>
  <si>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</si>
  <si>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</si>
  <si>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</si>
  <si>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</si>
  <si>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</si>
  <si>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</si>
  <si>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</si>
  <si>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</si>
  <si>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</si>
  <si>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</si>
  <si>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</si>
  <si>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</si>
  <si>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</si>
  <si>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</si>
  <si>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</si>
  <si>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Cristóbal Vial</t>
  </si>
  <si>
    <t>cvial1@miuandes.cl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</si>
</sst>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zoomScale="120" zoomScaleNormal="120" workbookViewId="0">
      <selection activeCell="C7" sqref="C7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 t="s">
        <v>82</v>
      </c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Real Madrid</v>
      </c>
      <c r="D5" s="99" t="s">
        <v>75</v>
      </c>
      <c r="G5" s="91" t="s">
        <v>60</v>
      </c>
    </row>
    <row r="6" spans="2:7" ht="30.75" customHeight="1" thickBot="1" x14ac:dyDescent="0.3">
      <c r="B6" s="98" t="s">
        <v>80</v>
      </c>
      <c r="C6" s="100" t="s">
        <v>25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abSelected="1" topLeftCell="A2" zoomScale="110" zoomScaleNormal="110" workbookViewId="0">
      <selection activeCell="L7" sqref="L7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4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10</v>
      </c>
      <c r="X7" s="91">
        <f>SUMIF($K$7:$K$16,U7,$L$7:$L$16) + SUMIF($N$7:$N$16,U7,$M$7:$M$16)</f>
        <v>12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-120101200</v>
      </c>
      <c r="AG7" s="91">
        <f>AF7-AE7*10</f>
        <v>-120101210</v>
      </c>
      <c r="AH7" s="91">
        <f>AG7+N23</f>
        <v>-120101209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12</v>
      </c>
      <c r="F8" s="33">
        <f t="shared" si="1"/>
        <v>2</v>
      </c>
      <c r="G8" s="34">
        <f t="shared" si="1"/>
        <v>10</v>
      </c>
      <c r="H8" s="71"/>
      <c r="I8" s="12">
        <v>2</v>
      </c>
      <c r="J8" s="6">
        <v>44360</v>
      </c>
      <c r="K8" s="11" t="s">
        <v>12</v>
      </c>
      <c r="L8" s="20">
        <v>2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Colombia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9</v>
      </c>
      <c r="W8" s="91">
        <f>X8-Y8</f>
        <v>1</v>
      </c>
      <c r="X8" s="91">
        <f>SUMIF($K$7:$K$16,U8,$L$7:$L$16) + SUMIF($N$7:$N$16,U8,$M$7:$M$16)</f>
        <v>5</v>
      </c>
      <c r="Y8" s="91">
        <f>SUMIF($K$7:$K$16,U8,$M$7:$M$16) + SUMIF($N$7:$N$16,U8,$L$7:$L$16)</f>
        <v>4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-90010500</v>
      </c>
      <c r="AG8" s="91">
        <f t="shared" ref="AG8:AG11" si="8">AF8-AE8*10</f>
        <v>-90010510</v>
      </c>
      <c r="AH8" s="91">
        <f>AG8+N24</f>
        <v>-90010508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9</v>
      </c>
      <c r="E9" s="64">
        <f t="shared" si="1"/>
        <v>5</v>
      </c>
      <c r="F9" s="64">
        <f t="shared" si="1"/>
        <v>4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1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4</v>
      </c>
      <c r="W9" s="91">
        <f t="shared" ref="W9:W11" si="9">X9-Y9</f>
        <v>-1</v>
      </c>
      <c r="X9" s="91">
        <f>SUMIF($K$7:$K$16,U9,$L$7:$L$16) + SUMIF($N$7:$N$16,U9,$M$7:$M$16)</f>
        <v>5</v>
      </c>
      <c r="Y9" s="91">
        <f>SUMIF($K$7:$K$16,U9,$M$7:$M$16) + SUMIF($N$7:$N$16,U9,$L$7:$L$16)</f>
        <v>6</v>
      </c>
      <c r="AB9" s="91" t="str">
        <f t="shared" si="5"/>
        <v>Ecuador</v>
      </c>
      <c r="AC9" s="91" t="str">
        <f>IF(AF9=AF10,AB10,IF(AF9=AF11,AB11,IF(AF9=AF7,AB7,IF(AF9=AF8,AB8,""))))</f>
        <v>Peru</v>
      </c>
      <c r="AD9" s="91" t="str">
        <f>IF(AC9="","",IFERROR(VLOOKUP(CONCATENATE(AB9,"_",AC9),$O$7:$R$16,4,FALSE),VLOOKUP(CONCATENATE(AC9,"_",AB9),$O$7:$R$16,4,FALSE)))</f>
        <v>SIN GANADOR</v>
      </c>
      <c r="AE9" s="91">
        <f t="shared" si="6"/>
        <v>0</v>
      </c>
      <c r="AF9" s="91">
        <f t="shared" si="7"/>
        <v>-39990500</v>
      </c>
      <c r="AG9" s="91">
        <f t="shared" si="8"/>
        <v>-39990500</v>
      </c>
      <c r="AH9" s="91">
        <f>AG9+N25</f>
        <v>-39990497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4</v>
      </c>
      <c r="E10" s="60">
        <f t="shared" si="1"/>
        <v>5</v>
      </c>
      <c r="F10" s="60">
        <f t="shared" si="1"/>
        <v>6</v>
      </c>
      <c r="G10" s="61">
        <f t="shared" si="1"/>
        <v>-1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4</v>
      </c>
      <c r="W10" s="91">
        <f t="shared" si="9"/>
        <v>-1</v>
      </c>
      <c r="X10" s="91">
        <f>SUMIF($K$7:$K$16,U10,$L$7:$L$16) + SUMIF($N$7:$N$16,U10,$M$7:$M$16)</f>
        <v>5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>Ecuador</v>
      </c>
      <c r="AD10" s="91" t="str">
        <f>IF(AC10="","",IFERROR(VLOOKUP(CONCATENATE(AB10,"_",AC10),$O$7:$R$16,4,FALSE),VLOOKUP(CONCATENATE(AC10,"_",AB10),$O$7:$R$16,4,FALSE)))</f>
        <v>SIN GANADOR</v>
      </c>
      <c r="AE10" s="91">
        <f t="shared" si="6"/>
        <v>0</v>
      </c>
      <c r="AF10" s="91">
        <f t="shared" si="7"/>
        <v>-39990500</v>
      </c>
      <c r="AG10" s="91">
        <f t="shared" si="8"/>
        <v>-39990500</v>
      </c>
      <c r="AH10" s="91">
        <f>AG10+N26</f>
        <v>-39990496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4</v>
      </c>
      <c r="E11" s="68">
        <f t="shared" si="1"/>
        <v>5</v>
      </c>
      <c r="F11" s="68">
        <f t="shared" si="1"/>
        <v>6</v>
      </c>
      <c r="G11" s="69">
        <f t="shared" si="1"/>
        <v>-1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-9</v>
      </c>
      <c r="X11" s="91">
        <f>SUMIF($K$7:$K$16,U11,$L$7:$L$16) + SUMIF($N$7:$N$16,U11,$M$7:$M$16)</f>
        <v>0</v>
      </c>
      <c r="Y11" s="91">
        <f>SUMIF($K$7:$K$16,U11,$M$7:$M$16) + SUMIF($N$7:$N$16,U11,$L$7:$L$16)</f>
        <v>9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90000</v>
      </c>
      <c r="AG11" s="91">
        <f t="shared" si="8"/>
        <v>89990</v>
      </c>
      <c r="AH11" s="91">
        <f>AG11+N27</f>
        <v>89995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0</v>
      </c>
      <c r="F12" s="56">
        <f t="shared" si="1"/>
        <v>9</v>
      </c>
      <c r="G12" s="57">
        <f t="shared" si="1"/>
        <v>-9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1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1</v>
      </c>
      <c r="Q13" s="91">
        <f t="shared" si="10"/>
        <v>1</v>
      </c>
      <c r="R13" s="91" t="str">
        <f t="shared" si="4"/>
        <v>SIN GANADOR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0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topLeftCell="D16" zoomScale="110" zoomScaleNormal="110" workbookViewId="0">
      <selection activeCell="N19" sqref="N19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6</v>
      </c>
      <c r="X7" s="91">
        <f>SUMIF($K$7:$K$16,U7,$L$7:$L$16) + SUMIF($N$7:$N$16,U7,$M$7:$M$16)</f>
        <v>9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-100060900</v>
      </c>
      <c r="AG7" s="91">
        <f>AF7-AE7*10</f>
        <v>-100060910</v>
      </c>
      <c r="AH7" s="91">
        <f>AG7+N23</f>
        <v>-100060909</v>
      </c>
    </row>
    <row r="8" spans="2:34" x14ac:dyDescent="0.25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9</v>
      </c>
      <c r="F8" s="33">
        <f t="shared" si="1"/>
        <v>3</v>
      </c>
      <c r="G8" s="34">
        <f t="shared" si="1"/>
        <v>6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1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-10</v>
      </c>
      <c r="X8" s="91">
        <f>SUMIF($K$7:$K$16,U8,$L$7:$L$16) + SUMIF($N$7:$N$16,U8,$M$7:$M$16)</f>
        <v>1</v>
      </c>
      <c r="Y8" s="91">
        <f>SUMIF($K$7:$K$16,U8,$M$7:$M$16) + SUMIF($N$7:$N$16,U8,$L$7:$L$16)</f>
        <v>11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99900</v>
      </c>
      <c r="AG8" s="91">
        <f t="shared" ref="AG8:AG11" si="8">AF8-AE8*10</f>
        <v>99890</v>
      </c>
      <c r="AH8" s="91">
        <f>AG8+N24</f>
        <v>99895</v>
      </c>
    </row>
    <row r="9" spans="2:34" x14ac:dyDescent="0.25">
      <c r="B9" s="62">
        <v>2</v>
      </c>
      <c r="C9" s="63" t="str">
        <f t="shared" si="1"/>
        <v>Chile</v>
      </c>
      <c r="D9" s="64">
        <f t="shared" si="1"/>
        <v>9</v>
      </c>
      <c r="E9" s="64">
        <f t="shared" si="1"/>
        <v>6</v>
      </c>
      <c r="F9" s="64">
        <f t="shared" si="1"/>
        <v>3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2</v>
      </c>
      <c r="U9" s="91" t="s">
        <v>26</v>
      </c>
      <c r="V9" s="91">
        <f>SUMIF($K$7:$K$16,U9,$P$7:$P$16) + SUMIF($N$7:$N$16,U9,$Q$7:$Q$16)</f>
        <v>9</v>
      </c>
      <c r="W9" s="91">
        <f t="shared" ref="W9:W11" si="9">X9-Y9</f>
        <v>3</v>
      </c>
      <c r="X9" s="91">
        <f>SUMIF($K$7:$K$16,U9,$L$7:$L$16) + SUMIF($N$7:$N$16,U9,$M$7:$M$16)</f>
        <v>6</v>
      </c>
      <c r="Y9" s="91">
        <f>SUMIF($K$7:$K$16,U9,$M$7:$M$16) + SUMIF($N$7:$N$16,U9,$L$7:$L$16)</f>
        <v>3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-90030600</v>
      </c>
      <c r="AG9" s="91">
        <f t="shared" si="8"/>
        <v>-90030610</v>
      </c>
      <c r="AH9" s="91">
        <f>AG9+N25</f>
        <v>-90030608</v>
      </c>
    </row>
    <row r="10" spans="2:34" x14ac:dyDescent="0.25">
      <c r="B10" s="58">
        <v>3</v>
      </c>
      <c r="C10" s="59" t="str">
        <f t="shared" si="1"/>
        <v>Uruguay</v>
      </c>
      <c r="D10" s="60">
        <f t="shared" si="1"/>
        <v>7</v>
      </c>
      <c r="E10" s="60">
        <f t="shared" si="1"/>
        <v>7</v>
      </c>
      <c r="F10" s="60">
        <f t="shared" si="1"/>
        <v>3</v>
      </c>
      <c r="G10" s="61">
        <f t="shared" si="1"/>
        <v>4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3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-29970300</v>
      </c>
      <c r="AG10" s="91">
        <f t="shared" si="8"/>
        <v>-29970310</v>
      </c>
      <c r="AH10" s="91">
        <f>AG10+N26</f>
        <v>-29970306</v>
      </c>
    </row>
    <row r="11" spans="2:34" x14ac:dyDescent="0.25">
      <c r="B11" s="66">
        <v>4</v>
      </c>
      <c r="C11" s="67" t="str">
        <f t="shared" si="1"/>
        <v>Paraguay</v>
      </c>
      <c r="D11" s="68">
        <f t="shared" si="1"/>
        <v>3</v>
      </c>
      <c r="E11" s="68">
        <f t="shared" si="1"/>
        <v>3</v>
      </c>
      <c r="F11" s="68">
        <f t="shared" si="1"/>
        <v>6</v>
      </c>
      <c r="G11" s="69">
        <f t="shared" si="1"/>
        <v>-3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2</v>
      </c>
      <c r="N11" s="9" t="s">
        <v>26</v>
      </c>
      <c r="O11" s="92" t="str">
        <f t="shared" si="2"/>
        <v>Uruguay_Chile</v>
      </c>
      <c r="P11" s="91">
        <f t="shared" si="0"/>
        <v>0</v>
      </c>
      <c r="Q11" s="91">
        <f t="shared" si="3"/>
        <v>3</v>
      </c>
      <c r="R11" s="91" t="str">
        <f t="shared" si="4"/>
        <v>Chile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7</v>
      </c>
      <c r="W11" s="91">
        <f t="shared" si="9"/>
        <v>4</v>
      </c>
      <c r="X11" s="91">
        <f>SUMIF($K$7:$K$16,U11,$L$7:$L$16) + SUMIF($N$7:$N$16,U11,$M$7:$M$16)</f>
        <v>7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-70040700</v>
      </c>
      <c r="AG11" s="91">
        <f t="shared" si="8"/>
        <v>-70040710</v>
      </c>
      <c r="AH11" s="91">
        <f>AG11+N27</f>
        <v>-70040707</v>
      </c>
    </row>
    <row r="12" spans="2:34" ht="15.75" thickBot="1" x14ac:dyDescent="0.3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1</v>
      </c>
      <c r="F12" s="56">
        <f t="shared" si="1"/>
        <v>11</v>
      </c>
      <c r="G12" s="57">
        <f t="shared" si="1"/>
        <v>-10</v>
      </c>
      <c r="H12" s="71"/>
      <c r="I12" s="31">
        <v>12</v>
      </c>
      <c r="J12" s="29">
        <v>44368</v>
      </c>
      <c r="K12" s="30" t="s">
        <v>25</v>
      </c>
      <c r="L12" s="26">
        <v>2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2</v>
      </c>
      <c r="M15" s="27">
        <v>0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4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zoomScale="140" zoomScaleNormal="140" workbookViewId="0">
      <selection activeCell="N23" sqref="N23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Argentina</v>
      </c>
      <c r="C7" s="41">
        <v>3</v>
      </c>
      <c r="D7" s="75">
        <v>0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>
        <v>0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Argentina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Chile</v>
      </c>
      <c r="H10" s="42">
        <v>2</v>
      </c>
      <c r="I10" s="77"/>
      <c r="J10" s="78"/>
    </row>
    <row r="11" spans="2:43" ht="15.75" thickBot="1" x14ac:dyDescent="0.3">
      <c r="B11" s="74" t="str">
        <f>'Grupo B'!C9</f>
        <v>Chile</v>
      </c>
      <c r="C11" s="41">
        <v>2</v>
      </c>
      <c r="D11" s="75"/>
      <c r="E11" s="82"/>
      <c r="J11" s="79"/>
    </row>
    <row r="12" spans="2:43" ht="15.75" thickBot="1" x14ac:dyDescent="0.3">
      <c r="B12" s="76" t="str">
        <f>'Grupo A'!C10</f>
        <v>Ecuador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Chile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/>
    </row>
    <row r="15" spans="2:43" ht="15.75" thickBot="1" x14ac:dyDescent="0.3">
      <c r="B15" s="74" t="str">
        <f>'Grupo A'!C9</f>
        <v>Colombia</v>
      </c>
      <c r="C15" s="41">
        <v>1</v>
      </c>
      <c r="D15" s="75">
        <v>3</v>
      </c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Uruguay</v>
      </c>
      <c r="C16" s="42">
        <v>1</v>
      </c>
      <c r="D16" s="77">
        <v>4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Uruguay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Chile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Uruguay</v>
      </c>
    </row>
    <row r="20" spans="2:26" ht="15.75" thickBot="1" x14ac:dyDescent="0.3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Argentina</v>
      </c>
      <c r="M22" s="41">
        <v>1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Uruguay</v>
      </c>
      <c r="M23" s="42">
        <v>2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2021-05-30T22:13:47Z</dcterms:created>
  <dcterms:modified xsi:type="dcterms:W3CDTF">2021-06-12T16:36:33Z</dcterms:modified>
</cp:coreProperties>
</file>