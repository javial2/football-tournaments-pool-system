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garretonmorales/Downloads/"/>
    </mc:Choice>
  </mc:AlternateContent>
  <xr:revisionPtr revIDLastSave="0" documentId="8_{4CDBBA54-0B10-8444-A005-3932707F8723}" xr6:coauthVersionLast="45" xr6:coauthVersionMax="45" xr10:uidLastSave="{00000000-0000-0000-0000-000000000000}"/>
  <bookViews>
    <workbookView xWindow="0" yWindow="460" windowWidth="28160" windowHeight="1652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<sst xmlns="http://schemas.openxmlformats.org/spreadsheetml/2006/main" count="190" uniqueCount="84">
  <si>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</si>
  <si>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</si>
  <si>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</si>
  <si>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</si>
  <si>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</si>
  <si>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</si>
  <si>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</si>
  <si>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</si>
  <si>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</si>
  <si>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</si>
  <si>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</si>
  <si>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</si>
  <si>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</si>
  <si>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</si>
  <si>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</si>
  <si>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</si>
  <si>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</si>
  <si>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</si>
  <si>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</si>
  <si>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</si>
  <si>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</si>
  <si>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</si>
  <si>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</si>
  <si>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</si>
  <si>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</si>
  <si>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</si>
  <si>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</si>
  <si>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</si>
  <si>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</si>
  <si>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</si>
  <si>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</si>
  <si>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</si>
  <si>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</si>
  <si>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</si>
  <si>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</si>
  <si>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</si>
  <si>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</si>
  <si>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</si>
  <si>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</si>
  <si>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</si>
  <si>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</si>
  <si>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</si>
  <si>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</si>
  <si>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</si>
  <si>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</si>
  <si>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</si>
  <si>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</si>
  <si>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</si>
  <si>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</si>
  <si>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</si>
  <si>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</si>
  <si>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</si>
  <si>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</si>
  <si>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</si>
  <si>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</si>
  <si>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</si>
  <si>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</si>
  <si>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</si>
  <si>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</si>
  <si>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</si>
  <si>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</si>
  <si>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</si>
  <si>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</si>
  <si>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</si>
  <si>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</si>
  <si>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</si>
  <si>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</si>
  <si>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</si>
  <si>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</si>
  <si>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</si>
  <si>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</si>
  <si>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</si>
  <si>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</si>
  <si>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</si>
  <si>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</si>
  <si>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</si>
  <si>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</si>
  <si>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</si>
  <si>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</si>
  <si>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</si>
  <si>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</si>
  <si>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javiera garreton</t>
  </si>
  <si>
    <t>javigarreton@uc.cl</t>
  </si>
  <si>
    <t>CHILEEEEEE &lt;3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</si>
</sst>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C10" sqref="C10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Real Madrid</v>
      </c>
      <c r="D5" s="99" t="s">
        <v>61</v>
      </c>
      <c r="G5" s="91" t="s">
        <v>60</v>
      </c>
    </row>
    <row r="6" spans="2:7" ht="30.75" customHeight="1" thickBot="1" x14ac:dyDescent="0.25">
      <c r="B6" s="98" t="s">
        <v>80</v>
      </c>
      <c r="C6" s="100" t="s">
        <v>83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B5" zoomScale="135" zoomScaleNormal="135" workbookViewId="0">
      <selection activeCell="F19" sqref="F19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1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8</v>
      </c>
      <c r="X7" s="91">
        <f>SUMIF($K$7:$K$16,U7,$L$7:$L$16) + SUMIF($N$7:$N$16,U7,$M$7:$M$16)</f>
        <v>10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-120081000</v>
      </c>
      <c r="AG7" s="91">
        <f>AF7-AE7*10</f>
        <v>-120081010</v>
      </c>
      <c r="AH7" s="91">
        <f>AG7+N23</f>
        <v>-120081009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10</v>
      </c>
      <c r="F8" s="33">
        <f t="shared" si="1"/>
        <v>2</v>
      </c>
      <c r="G8" s="34">
        <f t="shared" si="1"/>
        <v>8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4</v>
      </c>
      <c r="W8" s="91">
        <f>X8-Y8</f>
        <v>-1</v>
      </c>
      <c r="X8" s="91">
        <f>SUMIF($K$7:$K$16,U8,$L$7:$L$16) + SUMIF($N$7:$N$16,U8,$M$7:$M$16)</f>
        <v>4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-39990400</v>
      </c>
      <c r="AG8" s="91">
        <f t="shared" ref="AG8:AG11" si="8">AF8-AE8*10</f>
        <v>-39990410</v>
      </c>
      <c r="AH8" s="91">
        <f>AG8+N24</f>
        <v>-39990408</v>
      </c>
    </row>
    <row r="9" spans="2:35" x14ac:dyDescent="0.2">
      <c r="B9" s="62">
        <v>2</v>
      </c>
      <c r="C9" s="63" t="str">
        <f t="shared" si="1"/>
        <v>Ecuador</v>
      </c>
      <c r="D9" s="64">
        <f t="shared" si="1"/>
        <v>9</v>
      </c>
      <c r="E9" s="64">
        <f t="shared" si="1"/>
        <v>5</v>
      </c>
      <c r="F9" s="64">
        <f t="shared" si="1"/>
        <v>3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9</v>
      </c>
      <c r="W9" s="91">
        <f t="shared" ref="W9:W11" si="9">X9-Y9</f>
        <v>2</v>
      </c>
      <c r="X9" s="91">
        <f>SUMIF($K$7:$K$16,U9,$L$7:$L$16) + SUMIF($N$7:$N$16,U9,$M$7:$M$16)</f>
        <v>5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-90020500</v>
      </c>
      <c r="AG9" s="91">
        <f t="shared" si="8"/>
        <v>-90020510</v>
      </c>
      <c r="AH9" s="91">
        <f>AG9+N25</f>
        <v>-90020507</v>
      </c>
    </row>
    <row r="10" spans="2:35" x14ac:dyDescent="0.2">
      <c r="B10" s="58">
        <v>3</v>
      </c>
      <c r="C10" s="59" t="str">
        <f t="shared" si="1"/>
        <v>Colombia</v>
      </c>
      <c r="D10" s="60">
        <f t="shared" si="1"/>
        <v>4</v>
      </c>
      <c r="E10" s="60">
        <f t="shared" si="1"/>
        <v>4</v>
      </c>
      <c r="F10" s="60">
        <f t="shared" si="1"/>
        <v>5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2</v>
      </c>
      <c r="W10" s="91">
        <f t="shared" si="9"/>
        <v>-3</v>
      </c>
      <c r="X10" s="91">
        <f>SUMIF($K$7:$K$16,U10,$L$7:$L$16) + SUMIF($N$7:$N$16,U10,$M$7:$M$16)</f>
        <v>2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-19970200</v>
      </c>
      <c r="AG10" s="91">
        <f t="shared" si="8"/>
        <v>-19970210</v>
      </c>
      <c r="AH10" s="91">
        <f>AG10+N26</f>
        <v>-19970206</v>
      </c>
    </row>
    <row r="11" spans="2:35" x14ac:dyDescent="0.2">
      <c r="B11" s="66">
        <v>4</v>
      </c>
      <c r="C11" s="67" t="str">
        <f t="shared" si="1"/>
        <v>Peru</v>
      </c>
      <c r="D11" s="68">
        <f t="shared" si="1"/>
        <v>2</v>
      </c>
      <c r="E11" s="68">
        <f t="shared" si="1"/>
        <v>2</v>
      </c>
      <c r="F11" s="68">
        <f t="shared" si="1"/>
        <v>5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-6</v>
      </c>
      <c r="X11" s="91">
        <f>SUMIF($K$7:$K$16,U11,$L$7:$L$16) + SUMIF($N$7:$N$16,U11,$M$7:$M$16)</f>
        <v>2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-9940200</v>
      </c>
      <c r="AG11" s="91">
        <f t="shared" si="8"/>
        <v>-9940210</v>
      </c>
      <c r="AH11" s="91">
        <f>AG11+N27</f>
        <v>-9940205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2</v>
      </c>
      <c r="F12" s="56">
        <f t="shared" si="1"/>
        <v>8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1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B4" zoomScale="140" zoomScaleNormal="140" workbookViewId="0">
      <selection activeCell="M29" sqref="M29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9</v>
      </c>
      <c r="W7" s="91">
        <f>X7-Y7</f>
        <v>5</v>
      </c>
      <c r="X7" s="91">
        <f>SUMIF($K$7:$K$16,U7,$L$7:$L$16) + SUMIF($N$7:$N$16,U7,$M$7:$M$16)</f>
        <v>9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-90050900</v>
      </c>
      <c r="AG7" s="91">
        <f>AF7-AE7*10</f>
        <v>-90050910</v>
      </c>
      <c r="AH7" s="91">
        <f>AG7+N23</f>
        <v>-90050909</v>
      </c>
    </row>
    <row r="8" spans="2:34" x14ac:dyDescent="0.2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9</v>
      </c>
      <c r="E8" s="33">
        <f t="shared" si="1"/>
        <v>9</v>
      </c>
      <c r="F8" s="33">
        <f t="shared" si="1"/>
        <v>4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0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90000</v>
      </c>
      <c r="AG8" s="91">
        <f t="shared" ref="AG8:AG11" si="8">AF8-AE8*10</f>
        <v>89990</v>
      </c>
      <c r="AH8" s="91">
        <f>AG8+N24</f>
        <v>89995</v>
      </c>
    </row>
    <row r="9" spans="2:34" x14ac:dyDescent="0.2">
      <c r="B9" s="62">
        <v>2</v>
      </c>
      <c r="C9" s="63" t="str">
        <f t="shared" si="1"/>
        <v>Uruguay</v>
      </c>
      <c r="D9" s="64">
        <f t="shared" si="1"/>
        <v>9</v>
      </c>
      <c r="E9" s="64">
        <f t="shared" si="1"/>
        <v>8</v>
      </c>
      <c r="F9" s="64">
        <f t="shared" si="1"/>
        <v>4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9</v>
      </c>
      <c r="W9" s="91">
        <f t="shared" ref="W9:W11" si="9">X9-Y9</f>
        <v>4</v>
      </c>
      <c r="X9" s="91">
        <f>SUMIF($K$7:$K$16,U9,$L$7:$L$16) + SUMIF($N$7:$N$16,U9,$M$7:$M$16)</f>
        <v>7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-90040700</v>
      </c>
      <c r="AG9" s="91">
        <f t="shared" si="8"/>
        <v>-90040710</v>
      </c>
      <c r="AH9" s="91">
        <f>AG9+N25</f>
        <v>-90040707</v>
      </c>
    </row>
    <row r="10" spans="2:34" x14ac:dyDescent="0.2">
      <c r="B10" s="58">
        <v>3</v>
      </c>
      <c r="C10" s="59" t="str">
        <f t="shared" si="1"/>
        <v>Chile</v>
      </c>
      <c r="D10" s="60">
        <f t="shared" si="1"/>
        <v>9</v>
      </c>
      <c r="E10" s="60">
        <f t="shared" si="1"/>
        <v>7</v>
      </c>
      <c r="F10" s="60">
        <f t="shared" si="1"/>
        <v>3</v>
      </c>
      <c r="G10" s="61">
        <f t="shared" si="1"/>
        <v>4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3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-4</v>
      </c>
      <c r="X10" s="91">
        <f>SUMIF($K$7:$K$16,U10,$L$7:$L$16) + SUMIF($N$7:$N$16,U10,$M$7:$M$16)</f>
        <v>2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-29960200</v>
      </c>
      <c r="AG10" s="91">
        <f t="shared" si="8"/>
        <v>-29960210</v>
      </c>
      <c r="AH10" s="91">
        <f>AG10+N26</f>
        <v>-29960206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2</v>
      </c>
      <c r="F11" s="68">
        <f t="shared" si="1"/>
        <v>6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0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9</v>
      </c>
      <c r="W11" s="91">
        <f t="shared" si="9"/>
        <v>4</v>
      </c>
      <c r="X11" s="91">
        <f>SUMIF($K$7:$K$16,U11,$L$7:$L$16) + SUMIF($N$7:$N$16,U11,$M$7:$M$16)</f>
        <v>8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-90040800</v>
      </c>
      <c r="AG11" s="91">
        <f t="shared" si="8"/>
        <v>-90040810</v>
      </c>
      <c r="AH11" s="91">
        <f>AG11+N27</f>
        <v>-90040808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9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3</v>
      </c>
      <c r="N25" s="1">
        <f>IF(J25="",0,M25)</f>
        <v>3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2</v>
      </c>
      <c r="N27" s="1">
        <f>IF(J27="",0,M27)</f>
        <v>2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140" zoomScaleNormal="140" workbookViewId="0">
      <selection activeCell="L25" sqref="L25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Argentina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2</v>
      </c>
      <c r="I10" s="77"/>
      <c r="J10" s="78"/>
    </row>
    <row r="11" spans="2:43" ht="16" thickBot="1" x14ac:dyDescent="0.25">
      <c r="B11" s="74" t="str">
        <f>'Grupo B'!C9</f>
        <v>Uruguay</v>
      </c>
      <c r="C11" s="41">
        <v>2</v>
      </c>
      <c r="D11" s="75"/>
      <c r="E11" s="82"/>
      <c r="J11" s="79"/>
    </row>
    <row r="12" spans="2:43" ht="16" thickBot="1" x14ac:dyDescent="0.25">
      <c r="B12" s="76" t="str">
        <f>'Grupo A'!C10</f>
        <v>Colombia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Uruguay</v>
      </c>
      <c r="M13" s="41">
        <v>0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6" thickBot="1" x14ac:dyDescent="0.25">
      <c r="B15" s="74" t="str">
        <f>'Grupo A'!C9</f>
        <v>Ecuador</v>
      </c>
      <c r="C15" s="41">
        <v>1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Chile</v>
      </c>
      <c r="C16" s="42">
        <v>1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4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6" thickBot="1" x14ac:dyDescent="0.2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Argentina</v>
      </c>
      <c r="M22" s="41">
        <v>0</v>
      </c>
      <c r="N22" s="75">
        <v>4</v>
      </c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Chile</v>
      </c>
      <c r="M23" s="42">
        <v>0</v>
      </c>
      <c r="N23" s="77">
        <v>5</v>
      </c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Camila</cp:lastModifiedBy>
  <dcterms:created xsi:type="dcterms:W3CDTF">2021-05-30T22:13:47Z</dcterms:created>
  <dcterms:modified xsi:type="dcterms:W3CDTF">2021-06-13T01:38:09Z</dcterms:modified>
</cp:coreProperties>
</file>