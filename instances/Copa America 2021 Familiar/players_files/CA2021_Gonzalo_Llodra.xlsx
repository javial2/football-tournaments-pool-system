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20370" yWindow="-120" windowWidth="29040" windowHeight="1584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<sst xmlns="http://schemas.openxmlformats.org/spreadsheetml/2006/main" count="187" uniqueCount="82">
  <si>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</si>
  <si>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</si>
  <si>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</si>
  <si>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</si>
  <si>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</si>
  <si>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</si>
  <si>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</si>
  <si>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</si>
  <si>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</si>
  <si>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</si>
  <si>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</si>
  <si>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</si>
  <si>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</si>
  <si>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</si>
  <si>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</si>
  <si>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</si>
  <si>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</si>
  <si>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</si>
  <si>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</si>
  <si>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</si>
  <si>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</si>
  <si>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</si>
  <si>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</si>
  <si>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</si>
  <si>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</si>
  <si>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</si>
  <si>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</si>
  <si>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</si>
  <si>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</si>
  <si>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</si>
  <si>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</si>
  <si>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</si>
  <si>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</si>
  <si>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</si>
  <si>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</si>
  <si>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</si>
  <si>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</si>
  <si>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</si>
  <si>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</si>
  <si>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</si>
  <si>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</si>
  <si>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</si>
  <si>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</si>
  <si>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</si>
  <si>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</si>
  <si>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</si>
  <si>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</si>
  <si>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</si>
  <si>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</si>
  <si>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</si>
  <si>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</si>
  <si>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</si>
  <si>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</si>
  <si>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</si>
  <si>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</si>
  <si>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</si>
  <si>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</si>
  <si>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</si>
  <si>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</si>
  <si>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</si>
  <si>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</si>
  <si>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</si>
  <si>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</si>
  <si>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</si>
  <si>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</si>
  <si>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</si>
  <si>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</si>
  <si>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</si>
  <si>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</si>
  <si>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</si>
  <si>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</si>
  <si>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</si>
  <si>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</si>
  <si>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</si>
  <si>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</si>
  <si>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</si>
  <si>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</si>
  <si>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</si>
  <si>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</si>
  <si>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</si>
  <si>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</si>
  <si>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Gonzalo Llodrá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</si>
</sst>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A4" zoomScale="140" zoomScaleNormal="140" workbookViewId="0">
      <selection activeCell="G17" sqref="G1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5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10</v>
      </c>
      <c r="X7" s="91">
        <f>SUMIF($K$7:$K$16,U7,$L$7:$L$16) + SUMIF($N$7:$N$16,U7,$M$7:$M$16)</f>
        <v>13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-100101300</v>
      </c>
      <c r="AG7" s="91">
        <f>AF7-AE7*10</f>
        <v>-100101310</v>
      </c>
      <c r="AH7" s="91">
        <f>AG7+N23</f>
        <v>-100101309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13</v>
      </c>
      <c r="F8" s="33">
        <f t="shared" si="1"/>
        <v>3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7</v>
      </c>
      <c r="W8" s="91">
        <f>X8-Y8</f>
        <v>3</v>
      </c>
      <c r="X8" s="91">
        <f>SUMIF($K$7:$K$16,U8,$L$7:$L$16) + SUMIF($N$7:$N$16,U8,$M$7:$M$16)</f>
        <v>8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-70030800</v>
      </c>
      <c r="AG8" s="91">
        <f t="shared" ref="AG8:AG11" si="8">AF8-AE8*10</f>
        <v>-70030810</v>
      </c>
      <c r="AH8" s="91">
        <f>AG8+N24</f>
        <v>-70030808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8</v>
      </c>
      <c r="E9" s="64">
        <f t="shared" si="1"/>
        <v>8</v>
      </c>
      <c r="F9" s="64">
        <f t="shared" si="1"/>
        <v>3</v>
      </c>
      <c r="G9" s="65">
        <f t="shared" si="1"/>
        <v>5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8</v>
      </c>
      <c r="W9" s="91">
        <f t="shared" ref="W9:W11" si="9">X9-Y9</f>
        <v>5</v>
      </c>
      <c r="X9" s="91">
        <f>SUMIF($K$7:$K$16,U9,$L$7:$L$16) + SUMIF($N$7:$N$16,U9,$M$7:$M$16)</f>
        <v>8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-80050800</v>
      </c>
      <c r="AG9" s="91">
        <f t="shared" si="8"/>
        <v>-80050810</v>
      </c>
      <c r="AH9" s="91">
        <f>AG9+N25</f>
        <v>-80050807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7</v>
      </c>
      <c r="E10" s="60">
        <f t="shared" si="1"/>
        <v>8</v>
      </c>
      <c r="F10" s="60">
        <f t="shared" si="1"/>
        <v>5</v>
      </c>
      <c r="G10" s="61">
        <f t="shared" si="1"/>
        <v>3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-6</v>
      </c>
      <c r="X10" s="91">
        <f>SUMIF($K$7:$K$16,U10,$L$7:$L$16) + SUMIF($N$7:$N$16,U10,$M$7:$M$16)</f>
        <v>3</v>
      </c>
      <c r="Y10" s="91">
        <f>SUMIF($K$7:$K$16,U10,$M$7:$M$16) + SUMIF($N$7:$N$16,U10,$L$7:$L$16)</f>
        <v>9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-29940300</v>
      </c>
      <c r="AG10" s="91">
        <f t="shared" si="8"/>
        <v>-29940310</v>
      </c>
      <c r="AH10" s="91">
        <f>AG10+N26</f>
        <v>-29940306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3</v>
      </c>
      <c r="F11" s="68">
        <f t="shared" si="1"/>
        <v>9</v>
      </c>
      <c r="G11" s="69">
        <f t="shared" si="1"/>
        <v>-6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-12</v>
      </c>
      <c r="X11" s="91">
        <f>SUMIF($K$7:$K$16,U11,$L$7:$L$16) + SUMIF($N$7:$N$16,U11,$M$7:$M$16)</f>
        <v>0</v>
      </c>
      <c r="Y11" s="91">
        <f>SUMIF($K$7:$K$16,U11,$M$7:$M$16) + SUMIF($N$7:$N$16,U11,$L$7:$L$16)</f>
        <v>12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120000</v>
      </c>
      <c r="AG11" s="91">
        <f t="shared" si="8"/>
        <v>119990</v>
      </c>
      <c r="AH11" s="91">
        <f>AG11+N27</f>
        <v>119995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12</v>
      </c>
      <c r="G12" s="57">
        <f t="shared" si="1"/>
        <v>-12</v>
      </c>
      <c r="H12" s="71"/>
      <c r="I12" s="31">
        <v>10</v>
      </c>
      <c r="J12" s="29">
        <v>44367</v>
      </c>
      <c r="K12" s="30" t="s">
        <v>12</v>
      </c>
      <c r="L12" s="26">
        <v>3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3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2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1</v>
      </c>
      <c r="Q15" s="91">
        <f t="shared" si="10"/>
        <v>1</v>
      </c>
      <c r="R15" s="91" t="str">
        <f t="shared" si="4"/>
        <v>SIN GANADOR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A2" zoomScale="140" zoomScaleNormal="140" workbookViewId="0">
      <selection activeCell="M16" sqref="M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8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-100050800</v>
      </c>
      <c r="AG7" s="91">
        <f>AF7-AE7*10</f>
        <v>-100050810</v>
      </c>
      <c r="AH7" s="91">
        <f>AG7+N23</f>
        <v>-100050809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8</v>
      </c>
      <c r="F8" s="33">
        <f t="shared" si="1"/>
        <v>3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0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90000</v>
      </c>
      <c r="AG8" s="91">
        <f t="shared" ref="AG8:AG11" si="8">AF8-AE8*10</f>
        <v>89990</v>
      </c>
      <c r="AH8" s="91">
        <f>AG8+N24</f>
        <v>89995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7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-70020600</v>
      </c>
      <c r="AG9" s="91">
        <f t="shared" si="8"/>
        <v>-70020610</v>
      </c>
      <c r="AH9" s="91">
        <f>AG9+N25</f>
        <v>-70020608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6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0</v>
      </c>
      <c r="X10" s="91">
        <f>SUMIF($K$7:$K$16,U10,$L$7:$L$16) + SUMIF($N$7:$N$16,U10,$M$7:$M$16)</f>
        <v>5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-40000500</v>
      </c>
      <c r="AG10" s="91">
        <f t="shared" si="8"/>
        <v>-40000510</v>
      </c>
      <c r="AH10" s="91">
        <f>AG10+N26</f>
        <v>-40000506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5</v>
      </c>
      <c r="G11" s="69">
        <f t="shared" si="1"/>
        <v>0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6</v>
      </c>
      <c r="W11" s="91">
        <f t="shared" si="9"/>
        <v>2</v>
      </c>
      <c r="X11" s="91">
        <f>SUMIF($K$7:$K$16,U11,$L$7:$L$16) + SUMIF($N$7:$N$16,U11,$M$7:$M$16)</f>
        <v>5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-60020500</v>
      </c>
      <c r="AG11" s="91">
        <f t="shared" si="8"/>
        <v>-60020510</v>
      </c>
      <c r="AH11" s="91">
        <f>AG11+N27</f>
        <v>-60020507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9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I10" zoomScale="140" zoomScaleNormal="140" workbookViewId="0">
      <selection activeCell="S24" sqref="S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0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0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Ecuador</v>
      </c>
      <c r="C15" s="41">
        <v>2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Ecuador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Ecuador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Chile</v>
      </c>
      <c r="M22" s="41">
        <v>0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Ecuador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2021-06-12T19:53:43Z</dcterms:modified>
</cp:coreProperties>
</file>