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L23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 s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<sst xmlns="http://schemas.openxmlformats.org/spreadsheetml/2006/main" count="187" uniqueCount="82">
  <si>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</si>
  <si>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</si>
  <si>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</si>
  <si>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</si>
  <si>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</si>
  <si>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</si>
  <si>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</si>
  <si>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</si>
  <si>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</si>
  <si>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</si>
  <si>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</si>
  <si>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</si>
  <si>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</si>
  <si>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</si>
  <si>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</si>
  <si>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</si>
  <si>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</si>
  <si>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</si>
  <si>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</si>
  <si>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</si>
  <si>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</si>
  <si>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</si>
  <si>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</si>
  <si>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</si>
  <si>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</si>
  <si>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</si>
  <si>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</si>
  <si>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</si>
  <si>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</si>
  <si>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</si>
  <si>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</si>
  <si>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</si>
  <si>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</si>
  <si>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</si>
  <si>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</si>
  <si>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</si>
  <si>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</si>
  <si>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</si>
  <si>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</si>
  <si>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</si>
  <si>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</si>
  <si>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</si>
  <si>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</si>
  <si>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</si>
  <si>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</si>
  <si>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</si>
  <si>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</si>
  <si>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</si>
  <si>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</si>
  <si>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</si>
  <si>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</si>
  <si>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</si>
  <si>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</si>
  <si>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</si>
  <si>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</si>
  <si>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</si>
  <si>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</si>
  <si>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</si>
  <si>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</si>
  <si>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</si>
  <si>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</si>
  <si>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</si>
  <si>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</si>
  <si>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</si>
  <si>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</si>
  <si>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</si>
  <si>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</si>
  <si>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</si>
  <si>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</si>
  <si>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</si>
  <si>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</si>
  <si>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</si>
  <si>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</si>
  <si>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</si>
  <si>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</si>
  <si>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</si>
  <si>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</si>
  <si>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</si>
  <si>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</si>
  <si>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</si>
  <si>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</si>
  <si>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Tomás 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</si>
</sst>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H6" zoomScale="140" zoomScaleNormal="140" workbookViewId="0">
      <selection activeCell="M16" sqref="M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12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-120091200</v>
      </c>
      <c r="AG7" s="91">
        <f>AF7-AE7*10</f>
        <v>-120091210</v>
      </c>
      <c r="AH7" s="91">
        <f>AG7+N23</f>
        <v>-120091209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12</v>
      </c>
      <c r="F8" s="33">
        <f t="shared" si="1"/>
        <v>3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3</v>
      </c>
      <c r="X8" s="91">
        <f>SUMIF($K$7:$K$16,U8,$L$7:$L$16) + SUMIF($N$7:$N$16,U8,$M$7:$M$16)</f>
        <v>7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-90030700</v>
      </c>
      <c r="AG8" s="91">
        <f t="shared" ref="AG8:AG11" si="8">AF8-AE8*10</f>
        <v>-90030710</v>
      </c>
      <c r="AH8" s="91">
        <f>AG8+N24</f>
        <v>-90030708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4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2</v>
      </c>
      <c r="W9" s="91">
        <f t="shared" ref="W9:W11" si="9">X9-Y9</f>
        <v>-2</v>
      </c>
      <c r="X9" s="91">
        <f>SUMIF($K$7:$K$16,U9,$L$7:$L$16) + SUMIF($N$7:$N$16,U9,$M$7:$M$16)</f>
        <v>5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-19980500</v>
      </c>
      <c r="AG9" s="91">
        <f t="shared" si="8"/>
        <v>-19980510</v>
      </c>
      <c r="AH9" s="91">
        <f>AG9+N25</f>
        <v>-19980507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4</v>
      </c>
      <c r="E10" s="60">
        <f t="shared" si="1"/>
        <v>3</v>
      </c>
      <c r="F10" s="60">
        <f t="shared" si="1"/>
        <v>6</v>
      </c>
      <c r="G10" s="61">
        <f t="shared" si="1"/>
        <v>-3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4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4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-39970300</v>
      </c>
      <c r="AG10" s="91">
        <f t="shared" si="8"/>
        <v>-39970310</v>
      </c>
      <c r="AH10" s="91">
        <f>AG10+N26</f>
        <v>-39970306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2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-7</v>
      </c>
      <c r="X11" s="91">
        <f>SUMIF($K$7:$K$16,U11,$L$7:$L$16) + SUMIF($N$7:$N$16,U11,$M$7:$M$16)</f>
        <v>2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-9930200</v>
      </c>
      <c r="AG11" s="91">
        <f t="shared" si="8"/>
        <v>-9930210</v>
      </c>
      <c r="AH11" s="91">
        <f>AG11+N27</f>
        <v>-9930205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2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I2" zoomScale="140" zoomScaleNormal="140" workbookViewId="0">
      <selection activeCell="L10" sqref="L10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0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6</v>
      </c>
      <c r="W7" s="91">
        <f>X7-Y7</f>
        <v>4</v>
      </c>
      <c r="X7" s="91">
        <f>SUMIF($K$7:$K$16,U7,$L$7:$L$16) + SUMIF($N$7:$N$16,U7,$M$7:$M$16)</f>
        <v>7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-60040700</v>
      </c>
      <c r="AG7" s="91">
        <f>AF7-AE7*10</f>
        <v>-60040710</v>
      </c>
      <c r="AH7" s="91">
        <f>AG7+N23</f>
        <v>-60040709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8</v>
      </c>
      <c r="E8" s="33">
        <f t="shared" si="1"/>
        <v>8</v>
      </c>
      <c r="F8" s="33">
        <f t="shared" si="1"/>
        <v>4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3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-10</v>
      </c>
      <c r="X8" s="91">
        <f>SUMIF($K$7:$K$16,U8,$L$7:$L$16) + SUMIF($N$7:$N$16,U8,$M$7:$M$16)</f>
        <v>2</v>
      </c>
      <c r="Y8" s="91">
        <f>SUMIF($K$7:$K$16,U8,$M$7:$M$16) + SUMIF($N$7:$N$16,U8,$L$7:$L$16)</f>
        <v>12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-9900200</v>
      </c>
      <c r="AG8" s="91">
        <f t="shared" ref="AG8:AG11" si="8">AF8-AE8*10</f>
        <v>-9900210</v>
      </c>
      <c r="AH8" s="91">
        <f>AG8+N24</f>
        <v>-9900205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6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2</v>
      </c>
      <c r="X9" s="91">
        <f>SUMIF($K$7:$K$16,U9,$L$7:$L$16) + SUMIF($N$7:$N$16,U9,$M$7:$M$16)</f>
        <v>7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-60020700</v>
      </c>
      <c r="AG9" s="91">
        <f t="shared" si="8"/>
        <v>-60020710</v>
      </c>
      <c r="AH9" s="91">
        <f>AG9+N25</f>
        <v>-60020708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7</v>
      </c>
      <c r="F10" s="60">
        <f t="shared" si="1"/>
        <v>5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0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5</v>
      </c>
      <c r="W10" s="91">
        <f t="shared" si="9"/>
        <v>0</v>
      </c>
      <c r="X10" s="91">
        <f>SUMIF($K$7:$K$16,U10,$L$7:$L$16) + SUMIF($N$7:$N$16,U10,$M$7:$M$16)</f>
        <v>7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-50000700</v>
      </c>
      <c r="AG10" s="91">
        <f t="shared" si="8"/>
        <v>-50000710</v>
      </c>
      <c r="AH10" s="91">
        <f>AG10+N26</f>
        <v>-50000706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5</v>
      </c>
      <c r="E11" s="68">
        <f t="shared" si="1"/>
        <v>7</v>
      </c>
      <c r="F11" s="68">
        <f t="shared" si="1"/>
        <v>7</v>
      </c>
      <c r="G11" s="69">
        <f t="shared" si="1"/>
        <v>0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-80040800</v>
      </c>
      <c r="AG11" s="91">
        <f t="shared" si="8"/>
        <v>-80040810</v>
      </c>
      <c r="AH11" s="91">
        <f>AG11+N27</f>
        <v>-80040807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2</v>
      </c>
      <c r="F12" s="56">
        <f t="shared" si="1"/>
        <v>12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2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5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K11" zoomScale="140" zoomScaleNormal="140" workbookViewId="0">
      <selection activeCell="C12" sqref="C12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4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2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1</v>
      </c>
      <c r="D11" s="75">
        <v>4</v>
      </c>
      <c r="E11" s="82"/>
      <c r="J11" s="79"/>
    </row>
    <row r="12" spans="2:43" ht="15.75" thickBot="1" x14ac:dyDescent="0.3">
      <c r="B12" s="76" t="str">
        <f>'Grupo A'!C10</f>
        <v>Peru</v>
      </c>
      <c r="C12" s="42">
        <v>0</v>
      </c>
      <c r="D12" s="77">
        <v>3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3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Argentina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2021-06-13T15:31:28Z</dcterms:modified>
</cp:coreProperties>
</file>