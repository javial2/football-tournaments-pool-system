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cuments\Copa America 2021\Familiar\Archivos_De_Jugadores\"/>
    </mc:Choice>
  </mc:AlternateContent>
  <xr:revisionPtr revIDLastSave="0" documentId="13_ncr:1_{4335474C-3BD0-4EBF-B9A9-0AB596ED0FF1}" xr6:coauthVersionLast="47" xr6:coauthVersionMax="47" xr10:uidLastSave="{00000000-0000-0000-0000-000000000000}"/>
  <bookViews>
    <workbookView xWindow="-120" yWindow="-120" windowWidth="20730" windowHeight="1116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G18" i="3"/>
  <c r="B7" i="3"/>
  <c r="AC7" i="1"/>
  <c r="AC9" i="1"/>
  <c r="L14" i="3" l="1"/>
  <c r="L23" i="3" s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B15" i="3"/>
  <c r="L22" i="3" l="1"/>
  <c r="R19" i="3" s="1"/>
  <c r="R17" i="3"/>
  <c r="R18" i="3" s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<sst xmlns="http://schemas.openxmlformats.org/spreadsheetml/2006/main" count="190" uniqueCount="84">
  <si>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</si>
  <si>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</si>
  <si>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</si>
  <si>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</si>
  <si>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</si>
  <si>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</si>
  <si>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</si>
  <si>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</si>
  <si>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</si>
  <si>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</si>
  <si>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</si>
  <si>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</si>
  <si>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</si>
  <si>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</si>
  <si>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</si>
  <si>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</si>
  <si>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</si>
  <si>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</si>
  <si>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</si>
  <si>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</si>
  <si>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</si>
  <si>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</si>
  <si>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</si>
  <si>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</si>
  <si>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</si>
  <si>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</si>
  <si>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</si>
  <si>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</si>
  <si>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</si>
  <si>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</si>
  <si>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</si>
  <si>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</si>
  <si>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</si>
  <si>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</si>
  <si>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</si>
  <si>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</si>
  <si>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</si>
  <si>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</si>
  <si>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</si>
  <si>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</si>
  <si>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</si>
  <si>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</si>
  <si>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</si>
  <si>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</si>
  <si>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</si>
  <si>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</si>
  <si>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</si>
  <si>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</si>
  <si>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</si>
  <si>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</si>
  <si>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</si>
  <si>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</si>
  <si>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</si>
  <si>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</si>
  <si>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</si>
  <si>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</si>
  <si>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</si>
  <si>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</si>
  <si>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</si>
  <si>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</si>
  <si>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</si>
  <si>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</si>
  <si>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</si>
  <si>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</si>
  <si>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</si>
  <si>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</si>
  <si>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</si>
  <si>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</si>
  <si>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</si>
  <si>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</si>
  <si>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</si>
  <si>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</si>
  <si>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</si>
  <si>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</si>
  <si>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</si>
  <si>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</si>
  <si>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</si>
  <si>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</si>
  <si>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</si>
  <si>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</si>
  <si>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</si>
  <si>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Clemente Vial F</t>
  </si>
  <si>
    <t>cvialfigueroa@gmail.com</t>
  </si>
  <si>
    <t>Republica Independiente de Río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</si>
</sst>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9" sqref="C9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79</v>
      </c>
      <c r="G5" s="91" t="s">
        <v>60</v>
      </c>
    </row>
    <row r="6" spans="2:7" ht="30.75" customHeight="1" thickBot="1" x14ac:dyDescent="0.3">
      <c r="B6" s="98" t="s">
        <v>80</v>
      </c>
      <c r="C6" s="100" t="s">
        <v>83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99" zoomScaleNormal="99" workbookViewId="0">
      <selection activeCell="K33" sqref="K33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1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8</v>
      </c>
      <c r="X7" s="91">
        <f>SUMIF($K$7:$K$16,U7,$L$7:$L$16) + SUMIF($N$7:$N$16,U7,$M$7:$M$16)</f>
        <v>12</v>
      </c>
      <c r="Y7" s="91">
        <f>SUMIF($K$7:$K$16,U7,$M$7:$M$16) + SUMIF($N$7:$N$16,U7,$L$7:$L$16)</f>
        <v>4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-100081200</v>
      </c>
      <c r="AG7" s="91">
        <f>AF7-AE7*10</f>
        <v>-100081210</v>
      </c>
      <c r="AH7" s="91">
        <f>AG7+N23</f>
        <v>-100081205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12</v>
      </c>
      <c r="F8" s="33">
        <f t="shared" si="1"/>
        <v>4</v>
      </c>
      <c r="G8" s="34">
        <f t="shared" si="1"/>
        <v>8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3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6</v>
      </c>
      <c r="W8" s="91">
        <f>X8-Y8</f>
        <v>1</v>
      </c>
      <c r="X8" s="91">
        <f>SUMIF($K$7:$K$16,U8,$L$7:$L$16) + SUMIF($N$7:$N$16,U8,$M$7:$M$16)</f>
        <v>7</v>
      </c>
      <c r="Y8" s="91">
        <f>SUMIF($K$7:$K$16,U8,$M$7:$M$16) + SUMIF($N$7:$N$16,U8,$L$7:$L$16)</f>
        <v>6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-60010700</v>
      </c>
      <c r="AG8" s="91">
        <f t="shared" ref="AG8:AG11" si="8">AF8-AE8*10</f>
        <v>-60010710</v>
      </c>
      <c r="AH8" s="91">
        <f>AG8+N24</f>
        <v>-60010708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8</v>
      </c>
      <c r="E9" s="64">
        <f t="shared" si="1"/>
        <v>8</v>
      </c>
      <c r="F9" s="64">
        <f t="shared" si="1"/>
        <v>4</v>
      </c>
      <c r="G9" s="65">
        <f t="shared" si="1"/>
        <v>4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8</v>
      </c>
      <c r="W9" s="91">
        <f t="shared" ref="W9:W11" si="9">X9-Y9</f>
        <v>4</v>
      </c>
      <c r="X9" s="91">
        <f>SUMIF($K$7:$K$16,U9,$L$7:$L$16) + SUMIF($N$7:$N$16,U9,$M$7:$M$16)</f>
        <v>8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-80040800</v>
      </c>
      <c r="AG9" s="91">
        <f t="shared" si="8"/>
        <v>-80040810</v>
      </c>
      <c r="AH9" s="91">
        <f>AG9+N25</f>
        <v>-80040809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6</v>
      </c>
      <c r="E10" s="60">
        <f t="shared" si="1"/>
        <v>7</v>
      </c>
      <c r="F10" s="60">
        <f t="shared" si="1"/>
        <v>6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5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-7</v>
      </c>
      <c r="X10" s="91">
        <f>SUMIF($K$7:$K$16,U10,$L$7:$L$16) + SUMIF($N$7:$N$16,U10,$M$7:$M$16)</f>
        <v>4</v>
      </c>
      <c r="Y10" s="91">
        <f>SUMIF($K$7:$K$16,U10,$M$7:$M$16) + SUMIF($N$7:$N$16,U10,$L$7:$L$16)</f>
        <v>11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-29930400</v>
      </c>
      <c r="AG10" s="91">
        <f t="shared" si="8"/>
        <v>-29930410</v>
      </c>
      <c r="AH10" s="91">
        <f>AG10+N26</f>
        <v>-29930407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4</v>
      </c>
      <c r="F11" s="68">
        <f t="shared" si="1"/>
        <v>11</v>
      </c>
      <c r="G11" s="69">
        <f t="shared" si="1"/>
        <v>-7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-6</v>
      </c>
      <c r="X11" s="91">
        <f>SUMIF($K$7:$K$16,U11,$L$7:$L$16) + SUMIF($N$7:$N$16,U11,$M$7:$M$16)</f>
        <v>3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-9940300</v>
      </c>
      <c r="AG11" s="91">
        <f t="shared" si="8"/>
        <v>-9940310</v>
      </c>
      <c r="AH11" s="91">
        <f>AG11+N27</f>
        <v>-9940306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3</v>
      </c>
      <c r="F12" s="56">
        <f t="shared" si="1"/>
        <v>9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3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1</v>
      </c>
      <c r="Q15" s="91">
        <f t="shared" si="10"/>
        <v>1</v>
      </c>
      <c r="R15" s="91" t="str">
        <f t="shared" si="4"/>
        <v>SIN GANADOR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5</v>
      </c>
      <c r="N23">
        <f>IF(J23="",0,M23)</f>
        <v>5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1</v>
      </c>
      <c r="N25" s="1">
        <f>IF(J25="",0,M25)</f>
        <v>1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3</v>
      </c>
      <c r="N26" s="1">
        <f>IF(J26="",0,M26)</f>
        <v>3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4</v>
      </c>
      <c r="N27" s="1">
        <f>IF(J27="",0,M27)</f>
        <v>4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5" zoomScale="85" zoomScaleNormal="85" workbookViewId="0">
      <selection activeCell="M10" sqref="M10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8</v>
      </c>
      <c r="W7" s="91">
        <f>X7-Y7</f>
        <v>5</v>
      </c>
      <c r="X7" s="91">
        <f>SUMIF($K$7:$K$16,U7,$L$7:$L$16) + SUMIF($N$7:$N$16,U7,$M$7:$M$16)</f>
        <v>8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>Uruguay</v>
      </c>
      <c r="AD7" s="91" t="str">
        <f>IF(AC7="","",IFERROR(VLOOKUP(CONCATENATE(AB7,"_",AC7),$O$7:$R$16,4,FALSE),VLOOKUP(CONCATENATE(AC7,"_",AB7),$O$7:$R$16,4,FALSE)))</f>
        <v>SIN GANADOR</v>
      </c>
      <c r="AE7" s="91">
        <f>IF(AD7="",1,IF(AD7=AB7,1,0))</f>
        <v>0</v>
      </c>
      <c r="AF7" s="91">
        <f>-V7*10000000 - W7*10000 - X7*100</f>
        <v>-80050800</v>
      </c>
      <c r="AG7" s="91">
        <f>AF7-AE7*10</f>
        <v>-80050800</v>
      </c>
      <c r="AH7" s="91">
        <f>AG7+N23</f>
        <v>-80050795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8</v>
      </c>
      <c r="E8" s="33">
        <f t="shared" si="1"/>
        <v>8</v>
      </c>
      <c r="F8" s="33">
        <f t="shared" si="1"/>
        <v>3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-8</v>
      </c>
      <c r="X8" s="91">
        <f>SUMIF($K$7:$K$16,U8,$L$7:$L$16) + SUMIF($N$7:$N$16,U8,$M$7:$M$16)</f>
        <v>1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-9920100</v>
      </c>
      <c r="AG8" s="91">
        <f t="shared" ref="AG8:AG11" si="8">AF8-AE8*10</f>
        <v>-9920110</v>
      </c>
      <c r="AH8" s="91">
        <f>AG8+N24</f>
        <v>-9920108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8</v>
      </c>
      <c r="E9" s="64">
        <f t="shared" si="1"/>
        <v>8</v>
      </c>
      <c r="F9" s="64">
        <f t="shared" si="1"/>
        <v>3</v>
      </c>
      <c r="G9" s="65">
        <f t="shared" si="1"/>
        <v>5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-1</v>
      </c>
      <c r="X9" s="91">
        <f>SUMIF($K$7:$K$16,U9,$L$7:$L$16) + SUMIF($N$7:$N$16,U9,$M$7:$M$16)</f>
        <v>4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-59990400</v>
      </c>
      <c r="AG9" s="91">
        <f t="shared" si="8"/>
        <v>-59990410</v>
      </c>
      <c r="AH9" s="91">
        <f>AG9+N25</f>
        <v>-59990409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4</v>
      </c>
      <c r="F10" s="60">
        <f t="shared" si="1"/>
        <v>5</v>
      </c>
      <c r="G10" s="61">
        <f t="shared" si="1"/>
        <v>-1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-1</v>
      </c>
      <c r="X10" s="91">
        <f>SUMIF($K$7:$K$16,U10,$L$7:$L$16) + SUMIF($N$7:$N$16,U10,$M$7:$M$16)</f>
        <v>6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-29990600</v>
      </c>
      <c r="AG10" s="91">
        <f t="shared" si="8"/>
        <v>-29990610</v>
      </c>
      <c r="AH10" s="91">
        <f>AG10+N26</f>
        <v>-29990607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6</v>
      </c>
      <c r="F11" s="68">
        <f t="shared" si="1"/>
        <v>7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8</v>
      </c>
      <c r="W11" s="91">
        <f t="shared" si="9"/>
        <v>5</v>
      </c>
      <c r="X11" s="91">
        <f>SUMIF($K$7:$K$16,U11,$L$7:$L$16) + SUMIF($N$7:$N$16,U11,$M$7:$M$16)</f>
        <v>8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>Argentina</v>
      </c>
      <c r="AD11" s="91" t="str">
        <f>IF(AC11="","",IFERROR(VLOOKUP(CONCATENATE(AB11,"_",AC11),$O$7:$R$16,4,FALSE),VLOOKUP(CONCATENATE(AC11,"_",AB11),$O$7:$R$16,4,FALSE)))</f>
        <v>SIN GANADOR</v>
      </c>
      <c r="AE11" s="91">
        <f t="shared" si="6"/>
        <v>0</v>
      </c>
      <c r="AF11" s="91">
        <f t="shared" si="7"/>
        <v>-80050800</v>
      </c>
      <c r="AG11" s="91">
        <f t="shared" si="8"/>
        <v>-80050800</v>
      </c>
      <c r="AH11" s="91">
        <f>AG11+N27</f>
        <v>-80050796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2</v>
      </c>
      <c r="N12" s="31" t="s">
        <v>27</v>
      </c>
      <c r="O12" s="92" t="str">
        <f t="shared" si="2"/>
        <v>Argentina_Paraguay</v>
      </c>
      <c r="P12" s="91">
        <f t="shared" si="0"/>
        <v>1</v>
      </c>
      <c r="Q12" s="91">
        <f t="shared" si="3"/>
        <v>1</v>
      </c>
      <c r="R12" s="91" t="str">
        <f t="shared" si="4"/>
        <v>SIN GANADOR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2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5</v>
      </c>
      <c r="N23" s="1">
        <f>IF(J23="",0,M23)</f>
        <v>5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2</v>
      </c>
      <c r="N24" s="1">
        <f>IF(J24="",0,M24)</f>
        <v>2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1</v>
      </c>
      <c r="N25" s="1">
        <f>IF(J25="",0,M25)</f>
        <v>1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3</v>
      </c>
      <c r="N26" s="1">
        <f>IF(J26="",0,M26)</f>
        <v>3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4</v>
      </c>
      <c r="N27" s="1">
        <f>IF(J27="",0,M27)</f>
        <v>4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zoomScale="70" zoomScaleNormal="70" workbookViewId="0">
      <selection activeCell="M24" sqref="M24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3</v>
      </c>
      <c r="D7" s="75">
        <v>4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1</v>
      </c>
      <c r="I9" s="75">
        <v>4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2</v>
      </c>
      <c r="I10" s="77">
        <v>2</v>
      </c>
      <c r="J10" s="78"/>
    </row>
    <row r="11" spans="2:43" ht="15.75" thickBot="1" x14ac:dyDescent="0.3">
      <c r="B11" s="74" t="str">
        <f>'Grupo B'!C9</f>
        <v>Argentina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Colombia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5.75" thickBot="1" x14ac:dyDescent="0.3">
      <c r="B15" s="74" t="str">
        <f>'Grupo A'!C9</f>
        <v>Ecuador</v>
      </c>
      <c r="C15" s="41">
        <v>2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1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Ecuador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.75" thickBot="1" x14ac:dyDescent="0.3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Ecuador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2021-06-12T16:41:15Z</dcterms:modified>
</cp:coreProperties>
</file>