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_\Downloads\"/>
    </mc:Choice>
  </mc:AlternateContent>
  <xr:revisionPtr revIDLastSave="0" documentId="13_ncr:1_{ED2428C8-86F1-403C-AAA7-5F2B641A00E4}" xr6:coauthVersionLast="47" xr6:coauthVersionMax="47" xr10:uidLastSave="{00000000-0000-0000-0000-000000000000}"/>
  <bookViews>
    <workbookView xWindow="-120" yWindow="-120" windowWidth="20730" windowHeight="11160" activeTab="3" xr2:uid="{D5B88426-5F8B-45F6-B342-885D68911C41}"/>
  </bookViews>
  <sheets>
    <sheet name="INFORMACION" sheetId="4" r:id="rId1"/>
    <sheet name="Grupo A" sheetId="1" r:id="rId2"/>
    <sheet name="Grupo B" sheetId="2" r:id="rId3"/>
    <sheet name="Play-Off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Q14" i="2"/>
  <c r="V7" i="2" s="1"/>
  <c r="AF7" i="2" s="1"/>
  <c r="Q15" i="2"/>
  <c r="R15" i="2" s="1"/>
  <c r="Q16" i="2"/>
  <c r="R16" i="2" s="1"/>
  <c r="AF11" i="2" l="1"/>
  <c r="V10" i="2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9" i="2" l="1"/>
  <c r="T7" i="2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G10" i="2" l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L14" i="3" s="1"/>
  <c r="B11" i="3"/>
  <c r="G18" i="3"/>
  <c r="B7" i="3"/>
  <c r="AC7" i="1"/>
  <c r="AC9" i="1"/>
  <c r="L23" i="3" l="1"/>
  <c r="AD9" i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/>
  <c r="T8" i="1" l="1"/>
  <c r="T11" i="1"/>
  <c r="T9" i="1"/>
  <c r="D8" i="1" s="1"/>
  <c r="R17" i="3"/>
  <c r="C8" i="1" l="1"/>
  <c r="B19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L22" i="3" s="1"/>
  <c r="R19" i="3" s="1"/>
  <c r="B15" i="3"/>
  <c r="R18" i="3" l="1"/>
</calcChain>
</file>

<file path=xl/sharedStrings.xml><?xml version="1.0" encoding="utf-8"?>
<sst xmlns="http://schemas.openxmlformats.org/spreadsheetml/2006/main" count="189" uniqueCount="83">
  <si>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</si>
  <si>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</si>
  <si>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</si>
  <si>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</si>
  <si>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</si>
  <si>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</si>
  <si>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</si>
  <si>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</si>
  <si>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</si>
  <si>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</si>
  <si>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</si>
  <si>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</si>
  <si>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</si>
  <si>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</si>
  <si>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</si>
  <si>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</si>
  <si>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</si>
  <si>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</si>
  <si>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</si>
  <si>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</si>
  <si>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</si>
  <si>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</si>
  <si>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</si>
  <si>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</si>
  <si>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</si>
  <si>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</si>
  <si>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</si>
  <si>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</si>
  <si>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</si>
  <si>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</si>
  <si>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</si>
  <si>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</si>
  <si>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</si>
  <si>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</si>
  <si>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</si>
  <si>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</si>
  <si>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</si>
  <si>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</si>
  <si>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</si>
  <si>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</si>
  <si>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</si>
  <si>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</si>
  <si>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</si>
  <si>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</si>
  <si>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</si>
  <si>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</si>
  <si>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</si>
  <si>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</si>
  <si>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</si>
  <si>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</si>
  <si>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</si>
  <si>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</si>
  <si>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</si>
  <si>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</si>
  <si>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</si>
  <si>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</si>
  <si>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</si>
  <si>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</si>
  <si>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</si>
  <si>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</si>
  <si>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</si>
  <si>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</si>
  <si>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</si>
  <si>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</si>
  <si>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</si>
  <si>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</si>
  <si>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</si>
  <si>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</si>
  <si>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</si>
  <si>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</si>
  <si>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</si>
  <si>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</si>
  <si>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</si>
  <si>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</si>
  <si>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</si>
  <si>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</si>
  <si>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</si>
  <si>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</si>
  <si>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</si>
  <si>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</si>
  <si>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</si>
  <si>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Ángela Vial</t>
  </si>
  <si>
    <t>avial6@miuandes.cl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</si>
</sst>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ECF1C004-9E72-4EBB-9CED-A47380948D4F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514B-B108-45AE-8B06-C71BFD1EC16F}">
  <dimension ref="B1:G24"/>
  <sheetViews>
    <sheetView showGridLines="0" zoomScale="160" zoomScaleNormal="160" workbookViewId="0">
      <selection activeCell="C10" sqref="C10"/>
    </sheetView>
  </sheetViews>
  <sheetFormatPr baseColWidth="10" defaultRowHeight="15" x14ac:dyDescent="0.25"/>
  <cols>
    <col min="1" max="1" width="7" customWidth="1"/>
    <col min="2" max="2" width="33" customWidth="1"/>
    <col min="3" max="3" width="34.7109375" customWidth="1"/>
    <col min="4" max="4" width="3.28515625" customWidth="1"/>
    <col min="7" max="7" width="11.42578125" style="91"/>
  </cols>
  <sheetData>
    <row r="1" spans="2:7" ht="15.75" thickBot="1" x14ac:dyDescent="0.3"/>
    <row r="2" spans="2:7" ht="15.75" thickBot="1" x14ac:dyDescent="0.3">
      <c r="B2" s="102" t="s">
        <v>56</v>
      </c>
      <c r="C2" s="103"/>
      <c r="D2" s="104"/>
    </row>
    <row r="3" spans="2:7" x14ac:dyDescent="0.25">
      <c r="B3" s="95" t="s">
        <v>57</v>
      </c>
      <c r="C3" s="105" t="s">
        <v>81</v>
      </c>
      <c r="D3" s="106"/>
    </row>
    <row r="4" spans="2:7" x14ac:dyDescent="0.25">
      <c r="B4" s="94" t="s">
        <v>58</v>
      </c>
      <c r="C4" s="107" t="s">
        <v>82</v>
      </c>
      <c r="D4" s="108"/>
    </row>
    <row r="5" spans="2:7" s="1" customFormat="1" x14ac:dyDescent="0.25">
      <c r="B5" s="96" t="s">
        <v>59</v>
      </c>
      <c r="C5" s="97" t="str">
        <f>IF(D5="","Seleccione de la lista -&gt;","Real Madrid")</f>
        <v>Seleccione de la lista -&gt;</v>
      </c>
      <c r="D5" s="99"/>
      <c r="G5" s="91" t="s">
        <v>60</v>
      </c>
    </row>
    <row r="6" spans="2:7" ht="30.75" customHeight="1" thickBot="1" x14ac:dyDescent="0.3">
      <c r="B6" s="98" t="s">
        <v>80</v>
      </c>
      <c r="C6" s="100" t="s">
        <v>26</v>
      </c>
      <c r="D6" s="101"/>
      <c r="G6" s="91" t="s">
        <v>61</v>
      </c>
    </row>
    <row r="7" spans="2:7" x14ac:dyDescent="0.25">
      <c r="G7" s="91" t="s">
        <v>62</v>
      </c>
    </row>
    <row r="8" spans="2:7" x14ac:dyDescent="0.25">
      <c r="G8" s="91" t="s">
        <v>74</v>
      </c>
    </row>
    <row r="9" spans="2:7" x14ac:dyDescent="0.25">
      <c r="G9" s="91" t="s">
        <v>63</v>
      </c>
    </row>
    <row r="10" spans="2:7" x14ac:dyDescent="0.25">
      <c r="G10" s="91" t="s">
        <v>64</v>
      </c>
    </row>
    <row r="11" spans="2:7" x14ac:dyDescent="0.25">
      <c r="G11" s="91" t="s">
        <v>65</v>
      </c>
    </row>
    <row r="12" spans="2:7" x14ac:dyDescent="0.25">
      <c r="G12" s="91" t="s">
        <v>66</v>
      </c>
    </row>
    <row r="13" spans="2:7" x14ac:dyDescent="0.25">
      <c r="G13" s="91" t="s">
        <v>68</v>
      </c>
    </row>
    <row r="14" spans="2:7" x14ac:dyDescent="0.25">
      <c r="G14" s="91" t="s">
        <v>69</v>
      </c>
    </row>
    <row r="15" spans="2:7" x14ac:dyDescent="0.25">
      <c r="G15" s="91" t="s">
        <v>70</v>
      </c>
    </row>
    <row r="16" spans="2:7" x14ac:dyDescent="0.25">
      <c r="G16" s="91" t="s">
        <v>71</v>
      </c>
    </row>
    <row r="17" spans="7:7" x14ac:dyDescent="0.25">
      <c r="G17" s="91" t="s">
        <v>72</v>
      </c>
    </row>
    <row r="18" spans="7:7" x14ac:dyDescent="0.25">
      <c r="G18" s="91" t="s">
        <v>67</v>
      </c>
    </row>
    <row r="19" spans="7:7" x14ac:dyDescent="0.25">
      <c r="G19" s="91" t="s">
        <v>73</v>
      </c>
    </row>
    <row r="20" spans="7:7" x14ac:dyDescent="0.25">
      <c r="G20" s="91" t="s">
        <v>75</v>
      </c>
    </row>
    <row r="21" spans="7:7" x14ac:dyDescent="0.25">
      <c r="G21" s="91" t="s">
        <v>76</v>
      </c>
    </row>
    <row r="22" spans="7:7" x14ac:dyDescent="0.25">
      <c r="G22" s="91" t="s">
        <v>77</v>
      </c>
    </row>
    <row r="23" spans="7:7" x14ac:dyDescent="0.25">
      <c r="G23" s="91" t="s">
        <v>78</v>
      </c>
    </row>
    <row r="24" spans="7:7" x14ac:dyDescent="0.25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 xr:uid="{59EF8BA4-1513-4CEF-A13C-DAA40464F918}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8821-0816-436A-ACB4-A13F0F1B3E0E}">
  <dimension ref="B1:AI29"/>
  <sheetViews>
    <sheetView showGridLines="0" zoomScale="84" zoomScaleNormal="140" workbookViewId="0">
      <selection activeCell="O21" sqref="O21"/>
    </sheetView>
  </sheetViews>
  <sheetFormatPr baseColWidth="10" defaultRowHeight="15" x14ac:dyDescent="0.25"/>
  <cols>
    <col min="8" max="8" width="8.42578125" customWidth="1"/>
    <col min="9" max="9" width="5.85546875" customWidth="1"/>
    <col min="11" max="11" width="10.42578125" bestFit="1" customWidth="1"/>
    <col min="14" max="14" width="10.42578125" style="70" bestFit="1" customWidth="1"/>
    <col min="15" max="15" width="20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5" width="11.42578125" style="91"/>
  </cols>
  <sheetData>
    <row r="1" spans="2:35" s="1" customFormat="1" x14ac:dyDescent="0.25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.75" thickBot="1" x14ac:dyDescent="0.3"/>
    <row r="3" spans="2:35" x14ac:dyDescent="0.25">
      <c r="B3" s="118" t="s">
        <v>14</v>
      </c>
      <c r="C3" s="119"/>
      <c r="D3" s="119"/>
      <c r="E3" s="119"/>
      <c r="F3" s="119"/>
      <c r="G3" s="120"/>
    </row>
    <row r="4" spans="2:35" ht="15.75" thickBot="1" x14ac:dyDescent="0.3">
      <c r="B4" s="121"/>
      <c r="C4" s="122"/>
      <c r="D4" s="122"/>
      <c r="E4" s="122"/>
      <c r="F4" s="122"/>
      <c r="G4" s="123"/>
    </row>
    <row r="5" spans="2:35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3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12</v>
      </c>
      <c r="W7" s="91">
        <f>X7-Y7</f>
        <v>10</v>
      </c>
      <c r="X7" s="91">
        <f>SUMIF($K$7:$K$16,U7,$L$7:$L$16) + SUMIF($N$7:$N$16,U7,$M$7:$M$16)</f>
        <v>13</v>
      </c>
      <c r="Y7" s="91">
        <f>SUMIF($K$7:$K$16,U7,$M$7:$M$16) + SUMIF($N$7:$N$16,U7,$L$7:$L$16)</f>
        <v>3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-120101300</v>
      </c>
      <c r="AG7" s="91">
        <f>AF7-AE7*10</f>
        <v>-120101310</v>
      </c>
      <c r="AH7" s="91">
        <f>AG7+N23</f>
        <v>-120101309</v>
      </c>
    </row>
    <row r="8" spans="2:35" x14ac:dyDescent="0.25">
      <c r="B8" s="50">
        <v>1</v>
      </c>
      <c r="C8" s="32" t="str">
        <f t="shared" ref="C8:G12" si="1">IFERROR(VLOOKUP($B8,$T$7:$Y$11,C$5,FALSE),"")</f>
        <v>Brasil</v>
      </c>
      <c r="D8" s="33">
        <f t="shared" si="1"/>
        <v>12</v>
      </c>
      <c r="E8" s="33">
        <f t="shared" si="1"/>
        <v>13</v>
      </c>
      <c r="F8" s="33">
        <f t="shared" si="1"/>
        <v>3</v>
      </c>
      <c r="G8" s="34">
        <f t="shared" si="1"/>
        <v>10</v>
      </c>
      <c r="H8" s="71"/>
      <c r="I8" s="12">
        <v>2</v>
      </c>
      <c r="J8" s="6">
        <v>44360</v>
      </c>
      <c r="K8" s="11" t="s">
        <v>12</v>
      </c>
      <c r="L8" s="20">
        <v>1</v>
      </c>
      <c r="M8" s="21">
        <v>1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1</v>
      </c>
      <c r="Q8" s="91">
        <f t="shared" ref="Q8:Q16" si="3">IF(P8=3,0,IF(P8=1,1,3))</f>
        <v>1</v>
      </c>
      <c r="R8" s="91" t="str">
        <f t="shared" ref="R8:R16" si="4">IF(P8&gt;Q8,K8,IF(Q8&gt;P8,N8,"SIN GANADOR"))</f>
        <v>SIN GANADOR</v>
      </c>
      <c r="T8" s="91">
        <f>_xlfn.RANK.EQ(AH8,AH$7:AH$11,1)</f>
        <v>2</v>
      </c>
      <c r="U8" s="91" t="s">
        <v>12</v>
      </c>
      <c r="V8" s="91">
        <f>SUMIF($K$7:$K$16,U8,$P$7:$P$16) + SUMIF($N$7:$N$16,U8,$Q$7:$Q$16)</f>
        <v>7</v>
      </c>
      <c r="W8" s="91">
        <f>X8-Y8</f>
        <v>1</v>
      </c>
      <c r="X8" s="91">
        <f>SUMIF($K$7:$K$16,U8,$L$7:$L$16) + SUMIF($N$7:$N$16,U8,$M$7:$M$16)</f>
        <v>6</v>
      </c>
      <c r="Y8" s="91">
        <f>SUMIF($K$7:$K$16,U8,$M$7:$M$16) + SUMIF($N$7:$N$16,U8,$L$7:$L$16)</f>
        <v>5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-70010600</v>
      </c>
      <c r="AG8" s="91">
        <f t="shared" ref="AG8:AG11" si="8">AF8-AE8*10</f>
        <v>-70010610</v>
      </c>
      <c r="AH8" s="91">
        <f>AG8+N24</f>
        <v>-70010608</v>
      </c>
    </row>
    <row r="9" spans="2:35" x14ac:dyDescent="0.25">
      <c r="B9" s="62">
        <v>2</v>
      </c>
      <c r="C9" s="63" t="str">
        <f t="shared" si="1"/>
        <v>Colombia</v>
      </c>
      <c r="D9" s="64">
        <f t="shared" si="1"/>
        <v>7</v>
      </c>
      <c r="E9" s="64">
        <f t="shared" si="1"/>
        <v>6</v>
      </c>
      <c r="F9" s="64">
        <f t="shared" si="1"/>
        <v>5</v>
      </c>
      <c r="G9" s="65">
        <f t="shared" si="1"/>
        <v>1</v>
      </c>
      <c r="H9" s="71"/>
      <c r="I9" s="9">
        <v>5</v>
      </c>
      <c r="J9" s="13">
        <v>44364</v>
      </c>
      <c r="K9" s="8" t="s">
        <v>12</v>
      </c>
      <c r="L9" s="20">
        <v>2</v>
      </c>
      <c r="M9" s="21">
        <v>1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3</v>
      </c>
      <c r="U9" s="91" t="s">
        <v>13</v>
      </c>
      <c r="V9" s="91">
        <f>SUMIF($K$7:$K$16,U9,$P$7:$P$16) + SUMIF($N$7:$N$16,U9,$Q$7:$Q$16)</f>
        <v>5</v>
      </c>
      <c r="W9" s="91">
        <f t="shared" ref="W9:W11" si="9">X9-Y9</f>
        <v>0</v>
      </c>
      <c r="X9" s="91">
        <f>SUMIF($K$7:$K$16,U9,$L$7:$L$16) + SUMIF($N$7:$N$16,U9,$M$7:$M$16)</f>
        <v>6</v>
      </c>
      <c r="Y9" s="91">
        <f>SUMIF($K$7:$K$16,U9,$M$7:$M$16) + SUMIF($N$7:$N$16,U9,$L$7:$L$16)</f>
        <v>6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-50000600</v>
      </c>
      <c r="AG9" s="91">
        <f t="shared" si="8"/>
        <v>-50000610</v>
      </c>
      <c r="AH9" s="91">
        <f>AG9+N25</f>
        <v>-50000607</v>
      </c>
    </row>
    <row r="10" spans="2:35" x14ac:dyDescent="0.25">
      <c r="B10" s="58">
        <v>3</v>
      </c>
      <c r="C10" s="59" t="str">
        <f t="shared" si="1"/>
        <v>Ecuador</v>
      </c>
      <c r="D10" s="60">
        <f t="shared" si="1"/>
        <v>5</v>
      </c>
      <c r="E10" s="60">
        <f t="shared" si="1"/>
        <v>6</v>
      </c>
      <c r="F10" s="60">
        <f t="shared" si="1"/>
        <v>6</v>
      </c>
      <c r="G10" s="61">
        <f t="shared" si="1"/>
        <v>0</v>
      </c>
      <c r="H10" s="71"/>
      <c r="I10" s="12">
        <v>6</v>
      </c>
      <c r="J10" s="6">
        <v>44364</v>
      </c>
      <c r="K10" s="11" t="s">
        <v>5</v>
      </c>
      <c r="L10" s="20">
        <v>0</v>
      </c>
      <c r="M10" s="21">
        <v>4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5</v>
      </c>
      <c r="U10" s="91" t="s">
        <v>5</v>
      </c>
      <c r="V10" s="91">
        <f>SUMIF($K$7:$K$16,U10,$P$7:$P$16) + SUMIF($N$7:$N$16,U10,$Q$7:$Q$16)</f>
        <v>1</v>
      </c>
      <c r="W10" s="91">
        <f t="shared" si="9"/>
        <v>-7</v>
      </c>
      <c r="X10" s="91">
        <f>SUMIF($K$7:$K$16,U10,$L$7:$L$16) + SUMIF($N$7:$N$16,U10,$M$7:$M$16)</f>
        <v>2</v>
      </c>
      <c r="Y10" s="91">
        <f>SUMIF($K$7:$K$16,U10,$M$7:$M$16) + SUMIF($N$7:$N$16,U10,$L$7:$L$16)</f>
        <v>9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-9930200</v>
      </c>
      <c r="AG10" s="91">
        <f t="shared" si="8"/>
        <v>-9930210</v>
      </c>
      <c r="AH10" s="91">
        <f>AG10+N26</f>
        <v>-9930206</v>
      </c>
    </row>
    <row r="11" spans="2:35" x14ac:dyDescent="0.25">
      <c r="B11" s="66">
        <v>4</v>
      </c>
      <c r="C11" s="67" t="str">
        <f t="shared" si="1"/>
        <v>Venezuela</v>
      </c>
      <c r="D11" s="68">
        <f t="shared" si="1"/>
        <v>2</v>
      </c>
      <c r="E11" s="68">
        <f t="shared" si="1"/>
        <v>3</v>
      </c>
      <c r="F11" s="68">
        <f t="shared" si="1"/>
        <v>7</v>
      </c>
      <c r="G11" s="69">
        <f t="shared" si="1"/>
        <v>-4</v>
      </c>
      <c r="H11" s="71"/>
      <c r="I11" s="9">
        <v>9</v>
      </c>
      <c r="J11" s="13">
        <v>44367</v>
      </c>
      <c r="K11" s="8" t="s">
        <v>4</v>
      </c>
      <c r="L11" s="20">
        <v>1</v>
      </c>
      <c r="M11" s="21">
        <v>1</v>
      </c>
      <c r="N11" s="9" t="s">
        <v>13</v>
      </c>
      <c r="O11" s="92" t="str">
        <f t="shared" si="2"/>
        <v>Venezuela_Ecuador</v>
      </c>
      <c r="P11" s="91">
        <f t="shared" si="0"/>
        <v>1</v>
      </c>
      <c r="Q11" s="91">
        <f t="shared" si="3"/>
        <v>1</v>
      </c>
      <c r="R11" s="91" t="str">
        <f t="shared" si="4"/>
        <v>SIN GANADOR</v>
      </c>
      <c r="T11" s="91">
        <f>_xlfn.RANK.EQ(AH11,AH$7:AH$11,1)</f>
        <v>4</v>
      </c>
      <c r="U11" s="91" t="s">
        <v>4</v>
      </c>
      <c r="V11" s="91">
        <f>SUMIF($K$7:$K$16,U11,$P$7:$P$16) + SUMIF($N$7:$N$16,U11,$Q$7:$Q$16)</f>
        <v>2</v>
      </c>
      <c r="W11" s="91">
        <f t="shared" si="9"/>
        <v>-4</v>
      </c>
      <c r="X11" s="91">
        <f>SUMIF($K$7:$K$16,U11,$L$7:$L$16) + SUMIF($N$7:$N$16,U11,$M$7:$M$16)</f>
        <v>3</v>
      </c>
      <c r="Y11" s="91">
        <f>SUMIF($K$7:$K$16,U11,$M$7:$M$16) + SUMIF($N$7:$N$16,U11,$L$7:$L$16)</f>
        <v>7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-19960300</v>
      </c>
      <c r="AG11" s="91">
        <f t="shared" si="8"/>
        <v>-19960310</v>
      </c>
      <c r="AH11" s="91">
        <f>AG11+N27</f>
        <v>-19960305</v>
      </c>
    </row>
    <row r="12" spans="2:35" s="1" customFormat="1" ht="15.75" thickBot="1" x14ac:dyDescent="0.3">
      <c r="B12" s="54">
        <v>5</v>
      </c>
      <c r="C12" s="55" t="str">
        <f t="shared" si="1"/>
        <v>Peru</v>
      </c>
      <c r="D12" s="56">
        <f t="shared" si="1"/>
        <v>1</v>
      </c>
      <c r="E12" s="56">
        <f t="shared" si="1"/>
        <v>2</v>
      </c>
      <c r="F12" s="56">
        <f t="shared" si="1"/>
        <v>9</v>
      </c>
      <c r="G12" s="57">
        <f t="shared" si="1"/>
        <v>-7</v>
      </c>
      <c r="H12" s="71"/>
      <c r="I12" s="31">
        <v>10</v>
      </c>
      <c r="J12" s="29">
        <v>44367</v>
      </c>
      <c r="K12" s="30" t="s">
        <v>12</v>
      </c>
      <c r="L12" s="26">
        <v>2</v>
      </c>
      <c r="M12" s="27">
        <v>0</v>
      </c>
      <c r="N12" s="31" t="s">
        <v>5</v>
      </c>
      <c r="O12" s="92" t="str">
        <f t="shared" si="2"/>
        <v>Colombia_Peru</v>
      </c>
      <c r="P12" s="91">
        <f t="shared" si="0"/>
        <v>3</v>
      </c>
      <c r="Q12" s="91">
        <f t="shared" ref="Q12:Q15" si="10">IF(P12=3,0,IF(P12=1,1,3))</f>
        <v>0</v>
      </c>
      <c r="R12" s="91" t="str">
        <f t="shared" si="4"/>
        <v>Colombia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5">
      <c r="I13" s="28">
        <v>13</v>
      </c>
      <c r="J13" s="24">
        <v>44370</v>
      </c>
      <c r="K13" s="25" t="s">
        <v>13</v>
      </c>
      <c r="L13" s="26">
        <v>2</v>
      </c>
      <c r="M13" s="27">
        <v>1</v>
      </c>
      <c r="N13" s="28" t="s">
        <v>5</v>
      </c>
      <c r="O13" s="92" t="str">
        <f t="shared" si="2"/>
        <v>Ecuador_Peru</v>
      </c>
      <c r="P13" s="91">
        <f t="shared" si="0"/>
        <v>3</v>
      </c>
      <c r="Q13" s="91">
        <f t="shared" si="10"/>
        <v>0</v>
      </c>
      <c r="R13" s="91" t="str">
        <f t="shared" si="4"/>
        <v>Ecuador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5">
      <c r="I14" s="31">
        <v>14</v>
      </c>
      <c r="J14" s="29">
        <v>44370</v>
      </c>
      <c r="K14" s="30" t="s">
        <v>12</v>
      </c>
      <c r="L14" s="26">
        <v>1</v>
      </c>
      <c r="M14" s="27">
        <v>3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5">
      <c r="I15" s="28">
        <v>17</v>
      </c>
      <c r="J15" s="24">
        <v>44374</v>
      </c>
      <c r="K15" s="25" t="s">
        <v>13</v>
      </c>
      <c r="L15" s="26">
        <v>2</v>
      </c>
      <c r="M15" s="27">
        <v>3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.75" thickBot="1" x14ac:dyDescent="0.3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1</v>
      </c>
      <c r="M16" s="23">
        <v>1</v>
      </c>
      <c r="N16" s="15" t="s">
        <v>5</v>
      </c>
      <c r="O16" s="92" t="str">
        <f t="shared" si="2"/>
        <v>Venezuela_Peru</v>
      </c>
      <c r="P16" s="91">
        <f t="shared" si="0"/>
        <v>1</v>
      </c>
      <c r="Q16" s="91">
        <f t="shared" si="3"/>
        <v>1</v>
      </c>
      <c r="R16" s="91" t="str">
        <f t="shared" si="4"/>
        <v>SIN GANADOR</v>
      </c>
    </row>
    <row r="18" spans="2:35" s="1" customFormat="1" x14ac:dyDescent="0.25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5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.75" thickBot="1" x14ac:dyDescent="0.3"/>
    <row r="22" spans="2:35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3</v>
      </c>
      <c r="N25" s="1">
        <f>IF(J25="",0,M25)</f>
        <v>3</v>
      </c>
    </row>
    <row r="26" spans="2:35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.75" thickBot="1" x14ac:dyDescent="0.3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5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C51A-39EF-457C-B234-5A638D5B71B9}">
  <dimension ref="B2:AJ28"/>
  <sheetViews>
    <sheetView showGridLines="0" zoomScale="61" zoomScaleNormal="140" workbookViewId="0">
      <selection activeCell="O10" sqref="O10"/>
    </sheetView>
  </sheetViews>
  <sheetFormatPr baseColWidth="10" defaultRowHeight="15" x14ac:dyDescent="0.25"/>
  <cols>
    <col min="1" max="7" width="11.42578125" style="1"/>
    <col min="8" max="8" width="5.85546875" style="1" customWidth="1"/>
    <col min="9" max="9" width="5.28515625" style="1" customWidth="1"/>
    <col min="10" max="10" width="11.42578125" style="1"/>
    <col min="11" max="11" width="13.28515625" style="1" customWidth="1"/>
    <col min="12" max="13" width="11.42578125" style="1"/>
    <col min="14" max="14" width="14.85546875" style="70" customWidth="1"/>
    <col min="15" max="15" width="18.85546875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6" width="11.42578125" style="91"/>
    <col min="37" max="16384" width="11.42578125" style="1"/>
  </cols>
  <sheetData>
    <row r="2" spans="2:34" ht="15.75" thickBot="1" x14ac:dyDescent="0.3"/>
    <row r="3" spans="2:34" x14ac:dyDescent="0.25">
      <c r="B3" s="118" t="s">
        <v>24</v>
      </c>
      <c r="C3" s="119"/>
      <c r="D3" s="119"/>
      <c r="E3" s="119"/>
      <c r="F3" s="119"/>
      <c r="G3" s="120"/>
    </row>
    <row r="4" spans="2:34" ht="15.75" thickBot="1" x14ac:dyDescent="0.3">
      <c r="B4" s="121"/>
      <c r="C4" s="122"/>
      <c r="D4" s="122"/>
      <c r="E4" s="122"/>
      <c r="F4" s="122"/>
      <c r="G4" s="123"/>
    </row>
    <row r="5" spans="2:34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1</v>
      </c>
      <c r="M7" s="19">
        <v>0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Argentina</v>
      </c>
      <c r="T7" s="91">
        <f>_xlfn.RANK.EQ(AH7,AH$7:AH$11,1)</f>
        <v>1</v>
      </c>
      <c r="U7" s="91" t="s">
        <v>25</v>
      </c>
      <c r="V7" s="91">
        <f>SUMIF($K$7:$K$16,U7,$P$7:$P$16) + SUMIF($N$7:$N$16,U7,$Q$7:$Q$16)</f>
        <v>10</v>
      </c>
      <c r="W7" s="91">
        <f>X7-Y7</f>
        <v>5</v>
      </c>
      <c r="X7" s="91">
        <f>SUMIF($K$7:$K$16,U7,$L$7:$L$16) + SUMIF($N$7:$N$16,U7,$M$7:$M$16)</f>
        <v>9</v>
      </c>
      <c r="Y7" s="91">
        <f>SUMIF($K$7:$K$16,U7,$M$7:$M$16) + SUMIF($N$7:$N$16,U7,$L$7:$L$16)</f>
        <v>4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-100050900</v>
      </c>
      <c r="AG7" s="91">
        <f>AF7-AE7*10</f>
        <v>-100050910</v>
      </c>
      <c r="AH7" s="91">
        <f>AG7+N23</f>
        <v>-100050909</v>
      </c>
    </row>
    <row r="8" spans="2:34" x14ac:dyDescent="0.25">
      <c r="B8" s="50">
        <v>1</v>
      </c>
      <c r="C8" s="32" t="str">
        <f t="shared" ref="C8:G12" si="1">IFERROR(VLOOKUP($B8,$T$7:$Y$11,C$5,FALSE),"")</f>
        <v>Argentina</v>
      </c>
      <c r="D8" s="33">
        <f t="shared" si="1"/>
        <v>10</v>
      </c>
      <c r="E8" s="33">
        <f t="shared" si="1"/>
        <v>9</v>
      </c>
      <c r="F8" s="33">
        <f t="shared" si="1"/>
        <v>4</v>
      </c>
      <c r="G8" s="34">
        <f t="shared" si="1"/>
        <v>5</v>
      </c>
      <c r="H8" s="71"/>
      <c r="I8" s="12">
        <v>4</v>
      </c>
      <c r="J8" s="6">
        <v>44361</v>
      </c>
      <c r="K8" s="11" t="s">
        <v>27</v>
      </c>
      <c r="L8" s="20">
        <v>2</v>
      </c>
      <c r="M8" s="21">
        <v>1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Paraguay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0</v>
      </c>
      <c r="W8" s="91">
        <f>X8-Y8</f>
        <v>-6</v>
      </c>
      <c r="X8" s="91">
        <f>SUMIF($K$7:$K$16,U8,$L$7:$L$16) + SUMIF($N$7:$N$16,U8,$M$7:$M$16)</f>
        <v>3</v>
      </c>
      <c r="Y8" s="91">
        <f>SUMIF($K$7:$K$16,U8,$M$7:$M$16) + SUMIF($N$7:$N$16,U8,$L$7:$L$16)</f>
        <v>9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59700</v>
      </c>
      <c r="AG8" s="91">
        <f t="shared" ref="AG8:AG11" si="8">AF8-AE8*10</f>
        <v>59690</v>
      </c>
      <c r="AH8" s="91">
        <f>AG8+N24</f>
        <v>59695</v>
      </c>
    </row>
    <row r="9" spans="2:34" x14ac:dyDescent="0.25">
      <c r="B9" s="62">
        <v>2</v>
      </c>
      <c r="C9" s="63" t="str">
        <f t="shared" si="1"/>
        <v>Chile</v>
      </c>
      <c r="D9" s="64">
        <f t="shared" si="1"/>
        <v>9</v>
      </c>
      <c r="E9" s="64">
        <f t="shared" si="1"/>
        <v>5</v>
      </c>
      <c r="F9" s="64">
        <f t="shared" si="1"/>
        <v>3</v>
      </c>
      <c r="G9" s="65">
        <f t="shared" si="1"/>
        <v>2</v>
      </c>
      <c r="H9" s="71"/>
      <c r="I9" s="9">
        <v>7</v>
      </c>
      <c r="J9" s="13">
        <v>44365</v>
      </c>
      <c r="K9" s="8" t="s">
        <v>26</v>
      </c>
      <c r="L9" s="20">
        <v>1</v>
      </c>
      <c r="M9" s="21">
        <v>0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2</v>
      </c>
      <c r="U9" s="91" t="s">
        <v>26</v>
      </c>
      <c r="V9" s="91">
        <f>SUMIF($K$7:$K$16,U9,$P$7:$P$16) + SUMIF($N$7:$N$16,U9,$Q$7:$Q$16)</f>
        <v>9</v>
      </c>
      <c r="W9" s="91">
        <f t="shared" ref="W9:W11" si="9">X9-Y9</f>
        <v>2</v>
      </c>
      <c r="X9" s="91">
        <f>SUMIF($K$7:$K$16,U9,$L$7:$L$16) + SUMIF($N$7:$N$16,U9,$M$7:$M$16)</f>
        <v>5</v>
      </c>
      <c r="Y9" s="91">
        <f>SUMIF($K$7:$K$16,U9,$M$7:$M$16) + SUMIF($N$7:$N$16,U9,$L$7:$L$16)</f>
        <v>3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-90020500</v>
      </c>
      <c r="AG9" s="91">
        <f t="shared" si="8"/>
        <v>-90020510</v>
      </c>
      <c r="AH9" s="91">
        <f>AG9+N25</f>
        <v>-90020508</v>
      </c>
    </row>
    <row r="10" spans="2:34" x14ac:dyDescent="0.25">
      <c r="B10" s="58">
        <v>3</v>
      </c>
      <c r="C10" s="59" t="str">
        <f t="shared" si="1"/>
        <v>Paraguay</v>
      </c>
      <c r="D10" s="60">
        <f t="shared" si="1"/>
        <v>5</v>
      </c>
      <c r="E10" s="60">
        <f t="shared" si="1"/>
        <v>7</v>
      </c>
      <c r="F10" s="60">
        <f t="shared" si="1"/>
        <v>7</v>
      </c>
      <c r="G10" s="61">
        <f t="shared" si="1"/>
        <v>0</v>
      </c>
      <c r="H10" s="71"/>
      <c r="I10" s="12">
        <v>8</v>
      </c>
      <c r="J10" s="6">
        <v>44365</v>
      </c>
      <c r="K10" s="11" t="s">
        <v>25</v>
      </c>
      <c r="L10" s="20">
        <v>3</v>
      </c>
      <c r="M10" s="21">
        <v>1</v>
      </c>
      <c r="N10" s="12" t="s">
        <v>28</v>
      </c>
      <c r="O10" s="92" t="str">
        <f t="shared" si="2"/>
        <v>Argentina_Uruguay</v>
      </c>
      <c r="P10" s="91">
        <f t="shared" si="0"/>
        <v>3</v>
      </c>
      <c r="Q10" s="91">
        <f t="shared" si="3"/>
        <v>0</v>
      </c>
      <c r="R10" s="91" t="str">
        <f t="shared" si="4"/>
        <v>Argentina</v>
      </c>
      <c r="T10" s="91">
        <f>_xlfn.RANK.EQ(AH10,AH$7:AH$11,1)</f>
        <v>3</v>
      </c>
      <c r="U10" s="91" t="s">
        <v>27</v>
      </c>
      <c r="V10" s="91">
        <f>SUMIF($K$7:$K$16,U10,$P$7:$P$16) + SUMIF($N$7:$N$16,U10,$Q$7:$Q$16)</f>
        <v>5</v>
      </c>
      <c r="W10" s="91">
        <f t="shared" si="9"/>
        <v>0</v>
      </c>
      <c r="X10" s="91">
        <f>SUMIF($K$7:$K$16,U10,$L$7:$L$16) + SUMIF($N$7:$N$16,U10,$M$7:$M$16)</f>
        <v>7</v>
      </c>
      <c r="Y10" s="91">
        <f>SUMIF($K$7:$K$16,U10,$M$7:$M$16) + SUMIF($N$7:$N$16,U10,$L$7:$L$16)</f>
        <v>7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-50000700</v>
      </c>
      <c r="AG10" s="91">
        <f t="shared" si="8"/>
        <v>-50000710</v>
      </c>
      <c r="AH10" s="91">
        <f>AG10+N26</f>
        <v>-50000706</v>
      </c>
    </row>
    <row r="11" spans="2:34" x14ac:dyDescent="0.25">
      <c r="B11" s="66">
        <v>4</v>
      </c>
      <c r="C11" s="67" t="str">
        <f t="shared" si="1"/>
        <v>Uruguay</v>
      </c>
      <c r="D11" s="68">
        <f t="shared" si="1"/>
        <v>4</v>
      </c>
      <c r="E11" s="68">
        <f t="shared" si="1"/>
        <v>7</v>
      </c>
      <c r="F11" s="68">
        <f t="shared" si="1"/>
        <v>8</v>
      </c>
      <c r="G11" s="69">
        <f t="shared" si="1"/>
        <v>-1</v>
      </c>
      <c r="H11" s="71"/>
      <c r="I11" s="9">
        <v>11</v>
      </c>
      <c r="J11" s="13">
        <v>44368</v>
      </c>
      <c r="K11" s="8" t="s">
        <v>28</v>
      </c>
      <c r="L11" s="20">
        <v>1</v>
      </c>
      <c r="M11" s="21">
        <v>2</v>
      </c>
      <c r="N11" s="9" t="s">
        <v>26</v>
      </c>
      <c r="O11" s="92" t="str">
        <f t="shared" si="2"/>
        <v>Uruguay_Chile</v>
      </c>
      <c r="P11" s="91">
        <f t="shared" si="0"/>
        <v>0</v>
      </c>
      <c r="Q11" s="91">
        <f t="shared" si="3"/>
        <v>3</v>
      </c>
      <c r="R11" s="91" t="str">
        <f t="shared" si="4"/>
        <v>Chile</v>
      </c>
      <c r="T11" s="91">
        <f>_xlfn.RANK.EQ(AH11,AH$7:AH$11,1)</f>
        <v>4</v>
      </c>
      <c r="U11" s="91" t="s">
        <v>28</v>
      </c>
      <c r="V11" s="91">
        <f>SUMIF($K$7:$K$16,U11,$P$7:$P$16) + SUMIF($N$7:$N$16,U11,$Q$7:$Q$16)</f>
        <v>4</v>
      </c>
      <c r="W11" s="91">
        <f t="shared" si="9"/>
        <v>-1</v>
      </c>
      <c r="X11" s="91">
        <f>SUMIF($K$7:$K$16,U11,$L$7:$L$16) + SUMIF($N$7:$N$16,U11,$M$7:$M$16)</f>
        <v>7</v>
      </c>
      <c r="Y11" s="91">
        <f>SUMIF($K$7:$K$16,U11,$M$7:$M$16) + SUMIF($N$7:$N$16,U11,$L$7:$L$16)</f>
        <v>8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-39990700</v>
      </c>
      <c r="AG11" s="91">
        <f t="shared" si="8"/>
        <v>-39990710</v>
      </c>
      <c r="AH11" s="91">
        <f>AG11+N27</f>
        <v>-39990707</v>
      </c>
    </row>
    <row r="12" spans="2:34" ht="15.75" thickBot="1" x14ac:dyDescent="0.3">
      <c r="B12" s="54">
        <v>5</v>
      </c>
      <c r="C12" s="55" t="str">
        <f t="shared" si="1"/>
        <v>Bolivia</v>
      </c>
      <c r="D12" s="56">
        <f t="shared" si="1"/>
        <v>0</v>
      </c>
      <c r="E12" s="56">
        <f t="shared" si="1"/>
        <v>3</v>
      </c>
      <c r="F12" s="56">
        <f t="shared" si="1"/>
        <v>9</v>
      </c>
      <c r="G12" s="57">
        <f t="shared" si="1"/>
        <v>-6</v>
      </c>
      <c r="H12" s="71"/>
      <c r="I12" s="31">
        <v>12</v>
      </c>
      <c r="J12" s="29">
        <v>44368</v>
      </c>
      <c r="K12" s="30" t="s">
        <v>25</v>
      </c>
      <c r="L12" s="26">
        <v>2</v>
      </c>
      <c r="M12" s="27">
        <v>2</v>
      </c>
      <c r="N12" s="31" t="s">
        <v>27</v>
      </c>
      <c r="O12" s="92" t="str">
        <f t="shared" si="2"/>
        <v>Argentina_Paraguay</v>
      </c>
      <c r="P12" s="91">
        <f t="shared" si="0"/>
        <v>1</v>
      </c>
      <c r="Q12" s="91">
        <f t="shared" si="3"/>
        <v>1</v>
      </c>
      <c r="R12" s="91" t="str">
        <f t="shared" si="4"/>
        <v>SIN GANADOR</v>
      </c>
    </row>
    <row r="13" spans="2:34" x14ac:dyDescent="0.25">
      <c r="I13" s="28">
        <v>15</v>
      </c>
      <c r="J13" s="24">
        <v>44371</v>
      </c>
      <c r="K13" s="25" t="s">
        <v>3</v>
      </c>
      <c r="L13" s="26">
        <v>1</v>
      </c>
      <c r="M13" s="27">
        <v>3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5">
      <c r="I14" s="31">
        <v>16</v>
      </c>
      <c r="J14" s="29">
        <v>44371</v>
      </c>
      <c r="K14" s="30" t="s">
        <v>26</v>
      </c>
      <c r="L14" s="26">
        <v>2</v>
      </c>
      <c r="M14" s="27">
        <v>1</v>
      </c>
      <c r="N14" s="31" t="s">
        <v>27</v>
      </c>
      <c r="O14" s="92" t="str">
        <f t="shared" si="2"/>
        <v>Chile_Paraguay</v>
      </c>
      <c r="P14" s="91">
        <f t="shared" si="0"/>
        <v>3</v>
      </c>
      <c r="Q14" s="91">
        <f t="shared" si="3"/>
        <v>0</v>
      </c>
      <c r="R14" s="91" t="str">
        <f t="shared" si="4"/>
        <v>Chile</v>
      </c>
    </row>
    <row r="15" spans="2:34" x14ac:dyDescent="0.25">
      <c r="I15" s="28">
        <v>19</v>
      </c>
      <c r="J15" s="24">
        <v>44375</v>
      </c>
      <c r="K15" s="25" t="s">
        <v>28</v>
      </c>
      <c r="L15" s="26">
        <v>2</v>
      </c>
      <c r="M15" s="27">
        <v>2</v>
      </c>
      <c r="N15" s="28" t="s">
        <v>27</v>
      </c>
      <c r="O15" s="92" t="str">
        <f t="shared" si="2"/>
        <v>Uruguay_Paraguay</v>
      </c>
      <c r="P15" s="91">
        <f t="shared" si="0"/>
        <v>1</v>
      </c>
      <c r="Q15" s="91">
        <f t="shared" si="3"/>
        <v>1</v>
      </c>
      <c r="R15" s="91" t="str">
        <f t="shared" si="4"/>
        <v>SIN GANADOR</v>
      </c>
    </row>
    <row r="16" spans="2:34" ht="15.75" thickBot="1" x14ac:dyDescent="0.3">
      <c r="I16" s="15">
        <v>20</v>
      </c>
      <c r="J16" s="7">
        <v>44375</v>
      </c>
      <c r="K16" s="14" t="s">
        <v>25</v>
      </c>
      <c r="L16" s="22">
        <v>3</v>
      </c>
      <c r="M16" s="23">
        <v>1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.75" thickBot="1" x14ac:dyDescent="0.3"/>
    <row r="22" spans="2:14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5.75" thickBot="1" x14ac:dyDescent="0.3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AD3D-A886-4CBE-82C8-E6726EE41E93}">
  <dimension ref="B2:AQ24"/>
  <sheetViews>
    <sheetView showGridLines="0" tabSelected="1" topLeftCell="A3" zoomScale="140" zoomScaleNormal="140" workbookViewId="0">
      <selection activeCell="O15" sqref="O15"/>
    </sheetView>
  </sheetViews>
  <sheetFormatPr baseColWidth="10" defaultRowHeight="15" x14ac:dyDescent="0.25"/>
  <cols>
    <col min="1" max="2" width="11.42578125" style="1"/>
    <col min="3" max="3" width="11.28515625" style="1" bestFit="1" customWidth="1"/>
    <col min="4" max="4" width="9.140625" style="1" bestFit="1" customWidth="1"/>
    <col min="5" max="8" width="11.42578125" style="1"/>
    <col min="9" max="9" width="9.140625" style="1" bestFit="1" customWidth="1"/>
    <col min="10" max="13" width="11.42578125" style="1"/>
    <col min="14" max="14" width="9.140625" style="1" bestFit="1" customWidth="1"/>
    <col min="15" max="16" width="11.42578125" style="1"/>
    <col min="17" max="17" width="16.85546875" style="1" bestFit="1" customWidth="1"/>
    <col min="18" max="16384" width="11.42578125" style="1"/>
  </cols>
  <sheetData>
    <row r="2" spans="2:43" ht="15.75" thickBot="1" x14ac:dyDescent="0.3"/>
    <row r="3" spans="2:43" ht="15.75" thickBot="1" x14ac:dyDescent="0.3">
      <c r="B3" s="135" t="s">
        <v>29</v>
      </c>
      <c r="C3" s="136"/>
      <c r="D3" s="137"/>
    </row>
    <row r="4" spans="2:43" ht="15.75" thickBot="1" x14ac:dyDescent="0.3"/>
    <row r="5" spans="2:43" ht="15.75" thickBot="1" x14ac:dyDescent="0.3">
      <c r="G5" s="135" t="s">
        <v>30</v>
      </c>
      <c r="H5" s="136"/>
      <c r="I5" s="137"/>
    </row>
    <row r="6" spans="2:43" ht="15.75" thickBot="1" x14ac:dyDescent="0.3">
      <c r="B6" s="90">
        <v>24</v>
      </c>
      <c r="C6" s="72" t="s">
        <v>31</v>
      </c>
      <c r="D6" s="73" t="s">
        <v>32</v>
      </c>
    </row>
    <row r="7" spans="2:43" ht="15.75" thickBot="1" x14ac:dyDescent="0.3">
      <c r="B7" s="74" t="str">
        <f>'Grupo B'!C8</f>
        <v>Argentina</v>
      </c>
      <c r="C7" s="41">
        <v>2</v>
      </c>
      <c r="D7" s="75"/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.75" thickBot="1" x14ac:dyDescent="0.3">
      <c r="B8" s="76" t="str">
        <f>'Grupo A'!C11</f>
        <v>Venezuela</v>
      </c>
      <c r="C8" s="42">
        <v>0</v>
      </c>
      <c r="D8" s="77"/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.75" thickBot="1" x14ac:dyDescent="0.3">
      <c r="E9" s="79"/>
      <c r="G9" s="74" t="str">
        <f>IF(C8&gt;C7,B8,IF(C7&gt;C8,B7,IF(D8&gt;D7,B8,IF(D7&gt;D8,B7,""))))</f>
        <v>Argentina</v>
      </c>
      <c r="H9" s="41">
        <v>1</v>
      </c>
      <c r="I9" s="75">
        <v>3</v>
      </c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.75" thickBot="1" x14ac:dyDescent="0.3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Chile</v>
      </c>
      <c r="H10" s="42">
        <v>1</v>
      </c>
      <c r="I10" s="77">
        <v>4</v>
      </c>
      <c r="J10" s="78"/>
    </row>
    <row r="11" spans="2:43" ht="15.75" thickBot="1" x14ac:dyDescent="0.3">
      <c r="B11" s="74" t="str">
        <f>'Grupo B'!C9</f>
        <v>Chile</v>
      </c>
      <c r="C11" s="41">
        <v>2</v>
      </c>
      <c r="D11" s="75"/>
      <c r="E11" s="82"/>
      <c r="J11" s="79"/>
    </row>
    <row r="12" spans="2:43" ht="15.75" thickBot="1" x14ac:dyDescent="0.3">
      <c r="B12" s="76" t="str">
        <f>'Grupo A'!C10</f>
        <v>Ecuador</v>
      </c>
      <c r="C12" s="42">
        <v>1</v>
      </c>
      <c r="D12" s="77"/>
      <c r="E12" s="83"/>
      <c r="J12" s="79"/>
      <c r="L12" s="90">
        <v>28</v>
      </c>
      <c r="M12" s="72" t="s">
        <v>31</v>
      </c>
      <c r="N12" s="73" t="s">
        <v>32</v>
      </c>
    </row>
    <row r="13" spans="2:43" ht="15.75" thickBot="1" x14ac:dyDescent="0.3">
      <c r="J13" s="79"/>
      <c r="L13" s="74" t="str">
        <f>IF(H10&gt;H9,G10,IF(H9&gt;H10,G9,IF(I10&gt;I9,G10,IF(I9&gt;I10,G9,""))))</f>
        <v>Chile</v>
      </c>
      <c r="M13" s="41">
        <v>1</v>
      </c>
      <c r="N13" s="75"/>
    </row>
    <row r="14" spans="2:43" ht="15.75" thickBot="1" x14ac:dyDescent="0.3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2</v>
      </c>
      <c r="N14" s="77"/>
    </row>
    <row r="15" spans="2:43" ht="15.75" thickBot="1" x14ac:dyDescent="0.3">
      <c r="B15" s="74" t="str">
        <f>'Grupo A'!C9</f>
        <v>Colombia</v>
      </c>
      <c r="C15" s="41">
        <v>1</v>
      </c>
      <c r="D15" s="75">
        <v>3</v>
      </c>
      <c r="J15" s="79"/>
      <c r="U15" s="35" t="s">
        <v>37</v>
      </c>
      <c r="V15" s="36"/>
      <c r="W15" s="36"/>
      <c r="X15" s="36"/>
      <c r="Y15" s="36"/>
      <c r="Z15" s="37"/>
    </row>
    <row r="16" spans="2:43" ht="15.75" thickBot="1" x14ac:dyDescent="0.3">
      <c r="B16" s="76" t="str">
        <f>'Grupo B'!C10</f>
        <v>Paraguay</v>
      </c>
      <c r="C16" s="42">
        <v>1</v>
      </c>
      <c r="D16" s="77">
        <v>2</v>
      </c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.75" thickBot="1" x14ac:dyDescent="0.3">
      <c r="E17" s="79"/>
      <c r="G17" s="74" t="str">
        <f>IF(C16&gt;C15,B16,IF(C15&gt;C16,B15,IF(D16&gt;D15,B16,IF(D15&gt;D16,B15,""))))</f>
        <v>Colombia</v>
      </c>
      <c r="H17" s="41">
        <v>1</v>
      </c>
      <c r="I17" s="75"/>
      <c r="J17" s="82"/>
      <c r="Q17" s="74" t="s">
        <v>40</v>
      </c>
      <c r="R17" s="84" t="str">
        <f>IF(M13&gt;M14,L13,IF(M14&gt;M13,L14,IF(N13&gt;N14,L13,IF(N14&gt;N13,L14,""))))</f>
        <v>Brasil</v>
      </c>
      <c r="U17" s="38" t="s">
        <v>41</v>
      </c>
      <c r="V17" s="39"/>
      <c r="W17" s="39"/>
      <c r="X17" s="39"/>
      <c r="Y17" s="39"/>
      <c r="Z17" s="40"/>
    </row>
    <row r="18" spans="2:26" ht="15.75" thickBot="1" x14ac:dyDescent="0.3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3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Chile</v>
      </c>
      <c r="U18" s="43" t="s">
        <v>44</v>
      </c>
      <c r="V18" s="44"/>
      <c r="W18" s="44"/>
      <c r="X18" s="44"/>
      <c r="Y18" s="44"/>
      <c r="Z18" s="45"/>
    </row>
    <row r="19" spans="2:26" ht="15.75" thickBot="1" x14ac:dyDescent="0.3">
      <c r="B19" s="74" t="str">
        <f>'Grupo A'!C8</f>
        <v>Brasil</v>
      </c>
      <c r="C19" s="41">
        <v>3</v>
      </c>
      <c r="D19" s="75"/>
      <c r="E19" s="82"/>
      <c r="Q19" s="76" t="s">
        <v>45</v>
      </c>
      <c r="R19" s="87" t="str">
        <f>IF(M22&gt;M23,L22,IF(M23&gt;M22,L23,IF(N22&gt;N23,L22,IF(N23&gt;N22,L23,""))))</f>
        <v>Argentina</v>
      </c>
    </row>
    <row r="20" spans="2:26" ht="15.75" thickBot="1" x14ac:dyDescent="0.3">
      <c r="B20" s="76" t="str">
        <f>'Grupo B'!C11</f>
        <v>Uruguay</v>
      </c>
      <c r="C20" s="42">
        <v>1</v>
      </c>
      <c r="D20" s="77"/>
      <c r="E20" s="83"/>
      <c r="U20" s="139" t="s">
        <v>46</v>
      </c>
      <c r="V20" s="140"/>
      <c r="W20" s="141"/>
    </row>
    <row r="21" spans="2:26" ht="15.75" thickBot="1" x14ac:dyDescent="0.3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5">
      <c r="L22" s="74" t="str">
        <f>IF(L13=G9,G10,IF(L13=G10,G9,""))</f>
        <v>Argentina</v>
      </c>
      <c r="M22" s="41">
        <v>2</v>
      </c>
      <c r="N22" s="75"/>
      <c r="U22" s="127" t="s">
        <v>49</v>
      </c>
      <c r="V22" s="129"/>
      <c r="W22" s="88">
        <v>1</v>
      </c>
    </row>
    <row r="23" spans="2:26" ht="15.75" thickBot="1" x14ac:dyDescent="0.3">
      <c r="L23" s="76" t="str">
        <f>IF(L14=G17,G18,IF(L14=G18,G17,""))</f>
        <v>Colombia</v>
      </c>
      <c r="M23" s="42">
        <v>1</v>
      </c>
      <c r="N23" s="77"/>
      <c r="U23" s="133" t="s">
        <v>49</v>
      </c>
      <c r="V23" s="134"/>
      <c r="W23" s="88">
        <v>2</v>
      </c>
    </row>
    <row r="24" spans="2:26" ht="15.75" thickBot="1" x14ac:dyDescent="0.3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angela vial</cp:lastModifiedBy>
  <dcterms:created xsi:type="dcterms:W3CDTF">2021-05-30T22:13:47Z</dcterms:created>
  <dcterms:modified xsi:type="dcterms:W3CDTF">2021-06-12T16:50:06Z</dcterms:modified>
</cp:coreProperties>
</file>