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31e15205ac6002/Documentos/Google Drive/Segundo Año/Polla/"/>
    </mc:Choice>
  </mc:AlternateContent>
  <xr:revisionPtr revIDLastSave="0" documentId="8_{57734703-FBBA-4AD4-B9BB-64A2C95975C8}" xr6:coauthVersionLast="47" xr6:coauthVersionMax="47" xr10:uidLastSave="{00000000-0000-0000-0000-000000000000}"/>
  <bookViews>
    <workbookView xWindow="-110" yWindow="-110" windowWidth="21820" windowHeight="1402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<sst xmlns="http://schemas.openxmlformats.org/spreadsheetml/2006/main" count="189" uniqueCount="83">
  <si>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</si>
  <si>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</si>
  <si>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</si>
  <si>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</si>
  <si>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</si>
  <si>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</si>
  <si>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</si>
  <si>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</si>
  <si>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</si>
  <si>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</si>
  <si>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</si>
  <si>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</si>
  <si>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</si>
  <si>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</si>
  <si>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</si>
  <si>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</si>
  <si>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</si>
  <si>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</si>
  <si>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</si>
  <si>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</si>
  <si>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</si>
  <si>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</si>
  <si>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</si>
  <si>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</si>
  <si>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</si>
  <si>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</si>
  <si>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</si>
  <si>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</si>
  <si>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</si>
  <si>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</si>
  <si>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</si>
  <si>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</si>
  <si>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</si>
  <si>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</si>
  <si>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</si>
  <si>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</si>
  <si>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</si>
  <si>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</si>
  <si>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</si>
  <si>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</si>
  <si>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</si>
  <si>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</si>
  <si>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</si>
  <si>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</si>
  <si>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</si>
  <si>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</si>
  <si>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</si>
  <si>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</si>
  <si>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</si>
  <si>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</si>
  <si>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</si>
  <si>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</si>
  <si>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</si>
  <si>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</si>
  <si>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</si>
  <si>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</si>
  <si>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</si>
  <si>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</si>
  <si>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</si>
  <si>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</si>
  <si>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</si>
  <si>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</si>
  <si>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</si>
  <si>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</si>
  <si>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</si>
  <si>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</si>
  <si>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</si>
  <si>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</si>
  <si>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</si>
  <si>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</si>
  <si>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</si>
  <si>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</si>
  <si>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</si>
  <si>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</si>
  <si>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</si>
  <si>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</si>
  <si>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</si>
  <si>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</si>
  <si>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</si>
  <si>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</si>
  <si>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</si>
  <si>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Martín Pesce</t>
  </si>
  <si>
    <t>mpesce1@miuandes.cl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</si>
</sst>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10" sqref="C10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81</v>
      </c>
      <c r="D3" s="106"/>
    </row>
    <row r="4" spans="2:7" x14ac:dyDescent="0.35">
      <c r="B4" s="94" t="s">
        <v>58</v>
      </c>
      <c r="C4" s="107" t="s">
        <v>82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4">
      <c r="B6" s="98" t="s">
        <v>80</v>
      </c>
      <c r="C6" s="100" t="s">
        <v>25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3" zoomScale="140" zoomScaleNormal="140" workbookViewId="0">
      <selection activeCell="M25" sqref="M25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9</v>
      </c>
      <c r="W7" s="91">
        <f>X7-Y7</f>
        <v>5</v>
      </c>
      <c r="X7" s="91">
        <f>SUMIF($K$7:$K$16,U7,$L$7:$L$16) + SUMIF($N$7:$N$16,U7,$M$7:$M$16)</f>
        <v>8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-90050800</v>
      </c>
      <c r="AG7" s="91">
        <f>AF7-AE7*10</f>
        <v>-90050810</v>
      </c>
      <c r="AH7" s="91">
        <f>AG7+N23</f>
        <v>-90050809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9</v>
      </c>
      <c r="E8" s="33">
        <f t="shared" si="1"/>
        <v>8</v>
      </c>
      <c r="F8" s="33">
        <f t="shared" si="1"/>
        <v>3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0</v>
      </c>
      <c r="M8" s="21">
        <v>0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7</v>
      </c>
      <c r="W8" s="91">
        <f>X8-Y8</f>
        <v>0</v>
      </c>
      <c r="X8" s="91">
        <f>SUMIF($K$7:$K$16,U8,$L$7:$L$16) + SUMIF($N$7:$N$16,U8,$M$7:$M$16)</f>
        <v>5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-70000500</v>
      </c>
      <c r="AG8" s="91">
        <f t="shared" ref="AG8:AG11" si="8">AF8-AE8*10</f>
        <v>-70000510</v>
      </c>
      <c r="AH8" s="91">
        <f>AG8+N24</f>
        <v>-70000507</v>
      </c>
    </row>
    <row r="9" spans="2:35" x14ac:dyDescent="0.35">
      <c r="B9" s="62">
        <v>2</v>
      </c>
      <c r="C9" s="63" t="str">
        <f t="shared" si="1"/>
        <v>Ecuador</v>
      </c>
      <c r="D9" s="64">
        <f t="shared" si="1"/>
        <v>8</v>
      </c>
      <c r="E9" s="64">
        <f t="shared" si="1"/>
        <v>5</v>
      </c>
      <c r="F9" s="64">
        <f t="shared" si="1"/>
        <v>2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5</v>
      </c>
      <c r="Y9" s="91">
        <f>SUMIF($K$7:$K$16,U9,$M$7:$M$16) + SUMIF($N$7:$N$16,U9,$L$7:$L$16)</f>
        <v>2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-80030500</v>
      </c>
      <c r="AG9" s="91">
        <f t="shared" si="8"/>
        <v>-80030510</v>
      </c>
      <c r="AH9" s="91">
        <f>AG9+N25</f>
        <v>-80030508</v>
      </c>
    </row>
    <row r="10" spans="2:35" x14ac:dyDescent="0.35">
      <c r="B10" s="58">
        <v>3</v>
      </c>
      <c r="C10" s="59" t="str">
        <f t="shared" si="1"/>
        <v>Colombia</v>
      </c>
      <c r="D10" s="60">
        <f t="shared" si="1"/>
        <v>7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1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-2</v>
      </c>
      <c r="X10" s="91">
        <f>SUMIF($K$7:$K$16,U10,$L$7:$L$16) + SUMIF($N$7:$N$16,U10,$M$7:$M$16)</f>
        <v>4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-19980400</v>
      </c>
      <c r="AG10" s="91">
        <f t="shared" si="8"/>
        <v>-19980410</v>
      </c>
      <c r="AH10" s="91">
        <f>AG10+N26</f>
        <v>-19980406</v>
      </c>
    </row>
    <row r="11" spans="2:35" x14ac:dyDescent="0.35">
      <c r="B11" s="66">
        <v>4</v>
      </c>
      <c r="C11" s="67" t="str">
        <f t="shared" si="1"/>
        <v>Peru</v>
      </c>
      <c r="D11" s="68">
        <f t="shared" si="1"/>
        <v>2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3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-9940300</v>
      </c>
      <c r="AG11" s="91">
        <f t="shared" si="8"/>
        <v>-9940310</v>
      </c>
      <c r="AH11" s="91">
        <f>AG11+N27</f>
        <v>-9940305</v>
      </c>
    </row>
    <row r="12" spans="2:35" s="1" customFormat="1" ht="15" thickBot="1" x14ac:dyDescent="0.4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3</v>
      </c>
      <c r="F12" s="56">
        <f t="shared" si="1"/>
        <v>9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2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3</v>
      </c>
      <c r="Q15" s="91">
        <f t="shared" si="10"/>
        <v>0</v>
      </c>
      <c r="R15" s="91" t="str">
        <f t="shared" si="4"/>
        <v>Ecuador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2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C16" zoomScale="140" zoomScaleNormal="140" workbookViewId="0">
      <selection activeCell="M25" sqref="M25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10</v>
      </c>
      <c r="W7" s="91">
        <f>X7-Y7</f>
        <v>7</v>
      </c>
      <c r="X7" s="91">
        <f>SUMIF($K$7:$K$16,U7,$L$7:$L$16) + SUMIF($N$7:$N$16,U7,$M$7:$M$16)</f>
        <v>10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-100071000</v>
      </c>
      <c r="AG7" s="91">
        <f>AF7-AE7*10</f>
        <v>-100071010</v>
      </c>
      <c r="AH7" s="91">
        <f>AG7+N23</f>
        <v>-100071008</v>
      </c>
    </row>
    <row r="8" spans="2:34" x14ac:dyDescent="0.3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11</v>
      </c>
      <c r="F8" s="33">
        <f t="shared" si="1"/>
        <v>4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2</v>
      </c>
      <c r="Y8" s="91">
        <f>SUMIF($K$7:$K$16,U8,$M$7:$M$16) + SUMIF($N$7:$N$16,U8,$L$7:$L$16)</f>
        <v>12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99800</v>
      </c>
      <c r="AG8" s="91">
        <f t="shared" ref="AG8:AG11" si="8">AF8-AE8*10</f>
        <v>99790</v>
      </c>
      <c r="AH8" s="91">
        <f>AG8+N24</f>
        <v>99795</v>
      </c>
    </row>
    <row r="9" spans="2:34" x14ac:dyDescent="0.35">
      <c r="B9" s="62">
        <v>2</v>
      </c>
      <c r="C9" s="63" t="str">
        <f t="shared" si="1"/>
        <v>Argentina</v>
      </c>
      <c r="D9" s="64">
        <f t="shared" si="1"/>
        <v>10</v>
      </c>
      <c r="E9" s="64">
        <f t="shared" si="1"/>
        <v>10</v>
      </c>
      <c r="F9" s="64">
        <f t="shared" si="1"/>
        <v>3</v>
      </c>
      <c r="G9" s="65">
        <f t="shared" si="1"/>
        <v>7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4</v>
      </c>
      <c r="W9" s="91">
        <f t="shared" ref="W9:W11" si="9">X9-Y9</f>
        <v>-2</v>
      </c>
      <c r="X9" s="91">
        <f>SUMIF($K$7:$K$16,U9,$L$7:$L$16) + SUMIF($N$7:$N$16,U9,$M$7:$M$16)</f>
        <v>5</v>
      </c>
      <c r="Y9" s="91">
        <f>SUMIF($K$7:$K$16,U9,$M$7:$M$16) + SUMIF($N$7:$N$16,U9,$L$7:$L$16)</f>
        <v>7</v>
      </c>
      <c r="AB9" s="91" t="str">
        <f t="shared" si="5"/>
        <v>Chile</v>
      </c>
      <c r="AC9" s="91" t="str">
        <f>IF(AF9=AF10,AB10,IF(AF9=AF11,AB11,IF(AF9=AF7,AB7,IF(AF9=AF8,AB8,""))))</f>
        <v>Paraguay</v>
      </c>
      <c r="AD9" s="91" t="str">
        <f>IF(AC9="","",IFERROR(VLOOKUP(CONCATENATE(AB9,"_",AC9),$O$7:$R$16,4,FALSE),VLOOKUP(CONCATENATE(AC9,"_",AB9),$O$7:$R$16,4,FALSE)))</f>
        <v>SIN GANADOR</v>
      </c>
      <c r="AE9" s="91">
        <f t="shared" si="6"/>
        <v>0</v>
      </c>
      <c r="AF9" s="91">
        <f t="shared" si="7"/>
        <v>-39980500</v>
      </c>
      <c r="AG9" s="91">
        <f t="shared" si="8"/>
        <v>-39980500</v>
      </c>
      <c r="AH9" s="91">
        <f>AG9+N25</f>
        <v>-39980497</v>
      </c>
    </row>
    <row r="10" spans="2:34" x14ac:dyDescent="0.35">
      <c r="B10" s="58">
        <v>3</v>
      </c>
      <c r="C10" s="59" t="str">
        <f t="shared" si="1"/>
        <v>Chile</v>
      </c>
      <c r="D10" s="60">
        <f t="shared" si="1"/>
        <v>4</v>
      </c>
      <c r="E10" s="60">
        <f t="shared" si="1"/>
        <v>5</v>
      </c>
      <c r="F10" s="60">
        <f t="shared" si="1"/>
        <v>7</v>
      </c>
      <c r="G10" s="61">
        <f t="shared" si="1"/>
        <v>-2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>Chile</v>
      </c>
      <c r="AD10" s="91" t="str">
        <f>IF(AC10="","",IFERROR(VLOOKUP(CONCATENATE(AB10,"_",AC10),$O$7:$R$16,4,FALSE),VLOOKUP(CONCATENATE(AC10,"_",AB10),$O$7:$R$16,4,FALSE)))</f>
        <v>SIN GANADOR</v>
      </c>
      <c r="AE10" s="91">
        <f t="shared" si="6"/>
        <v>0</v>
      </c>
      <c r="AF10" s="91">
        <f t="shared" si="7"/>
        <v>-39980500</v>
      </c>
      <c r="AG10" s="91">
        <f t="shared" si="8"/>
        <v>-39980500</v>
      </c>
      <c r="AH10" s="91">
        <f>AG10+N26</f>
        <v>-39980496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3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7</v>
      </c>
      <c r="X11" s="91">
        <f>SUMIF($K$7:$K$16,U11,$L$7:$L$16) + SUMIF($N$7:$N$16,U11,$M$7:$M$16)</f>
        <v>11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-100071100</v>
      </c>
      <c r="AG11" s="91">
        <f t="shared" si="8"/>
        <v>-100071110</v>
      </c>
      <c r="AH11" s="91">
        <f>AG11+N27</f>
        <v>-100071109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12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4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2</v>
      </c>
      <c r="N23" s="1">
        <f>IF(J23="",0,M23)</f>
        <v>2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1</v>
      </c>
      <c r="N27" s="1">
        <f>IF(J27="",0,M27)</f>
        <v>1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E3" zoomScale="140" zoomScaleNormal="140" workbookViewId="0">
      <selection activeCell="M14" sqref="M14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Uruguay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2</v>
      </c>
      <c r="I10" s="77"/>
      <c r="J10" s="78"/>
    </row>
    <row r="11" spans="2:43" ht="15" thickBot="1" x14ac:dyDescent="0.4">
      <c r="B11" s="74" t="str">
        <f>'Grupo B'!C9</f>
        <v>Argentina</v>
      </c>
      <c r="C11" s="41">
        <v>2</v>
      </c>
      <c r="D11" s="75"/>
      <c r="E11" s="82"/>
      <c r="J11" s="79"/>
    </row>
    <row r="12" spans="2:43" ht="15" thickBot="1" x14ac:dyDescent="0.4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0</v>
      </c>
      <c r="N14" s="77"/>
    </row>
    <row r="15" spans="2:43" ht="15" thickBot="1" x14ac:dyDescent="0.4">
      <c r="B15" s="74" t="str">
        <f>'Grupo A'!C9</f>
        <v>Ecuador</v>
      </c>
      <c r="C15" s="41">
        <v>0</v>
      </c>
      <c r="D15" s="75">
        <v>2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Chile</v>
      </c>
      <c r="C16" s="42">
        <v>0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Argentina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" thickBot="1" x14ac:dyDescent="0.4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Uruguay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Chile</v>
      </c>
      <c r="M23" s="42">
        <v>1</v>
      </c>
      <c r="N23" s="77">
        <v>2</v>
      </c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mpesc</cp:lastModifiedBy>
  <dcterms:created xsi:type="dcterms:W3CDTF">2021-05-30T22:13:47Z</dcterms:created>
  <dcterms:modified xsi:type="dcterms:W3CDTF">2021-06-06T20:30:04Z</dcterms:modified>
</cp:coreProperties>
</file>