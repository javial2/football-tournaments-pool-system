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489de9de5d439/Escritorio/"/>
    </mc:Choice>
  </mc:AlternateContent>
  <xr:revisionPtr revIDLastSave="0" documentId="8_{6627AF73-F96C-4509-AE91-DE22987A6B97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<sst xmlns="http://schemas.openxmlformats.org/spreadsheetml/2006/main" count="189" uniqueCount="83">
  <si>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</si>
  <si>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</si>
  <si>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</si>
  <si>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</si>
  <si>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</si>
  <si>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</si>
  <si>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</si>
  <si>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</si>
  <si>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</si>
  <si>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</si>
  <si>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</si>
  <si>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</si>
  <si>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</si>
  <si>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</si>
  <si>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</si>
  <si>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</si>
  <si>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</si>
  <si>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</si>
  <si>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</si>
  <si>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</si>
  <si>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</si>
  <si>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</si>
  <si>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</si>
  <si>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</si>
  <si>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</si>
  <si>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</si>
  <si>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</si>
  <si>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</si>
  <si>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</si>
  <si>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</si>
  <si>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</si>
  <si>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</si>
  <si>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</si>
  <si>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</si>
  <si>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</si>
  <si>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</si>
  <si>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</si>
  <si>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</si>
  <si>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</si>
  <si>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</si>
  <si>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</si>
  <si>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</si>
  <si>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</si>
  <si>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</si>
  <si>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</si>
  <si>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</si>
  <si>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</si>
  <si>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</si>
  <si>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</si>
  <si>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</si>
  <si>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</si>
  <si>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</si>
  <si>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</si>
  <si>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</si>
  <si>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</si>
  <si>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</si>
  <si>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</si>
  <si>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</si>
  <si>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</si>
  <si>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</si>
  <si>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</si>
  <si>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</si>
  <si>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</si>
  <si>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</si>
  <si>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</si>
  <si>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</si>
  <si>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</si>
  <si>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</si>
  <si>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</si>
  <si>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</si>
  <si>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</si>
  <si>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</si>
  <si>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</si>
  <si>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</si>
  <si>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</si>
  <si>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</si>
  <si>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</si>
  <si>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</si>
  <si>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</si>
  <si>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</si>
  <si>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</si>
  <si>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Martín Ossandón</t>
  </si>
  <si>
    <t>martinosscruz@miuandes.cl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</si>
</sst>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45" zoomScaleNormal="145" workbookViewId="0">
      <selection activeCell="C10" sqref="C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4" zoomScaleNormal="140" workbookViewId="0">
      <selection activeCell="I7" sqref="I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6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-100050600</v>
      </c>
      <c r="AG7" s="91">
        <f>AF7-AE7*10</f>
        <v>-100050610</v>
      </c>
      <c r="AH7" s="91">
        <f>AG7+N23</f>
        <v>-100050609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6</v>
      </c>
      <c r="F8" s="33">
        <f t="shared" si="1"/>
        <v>1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4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-50000400</v>
      </c>
      <c r="AG8" s="91">
        <f t="shared" ref="AG8:AG11" si="8">AF8-AE8*10</f>
        <v>-50000410</v>
      </c>
      <c r="AH8" s="91">
        <f>AG8+N24</f>
        <v>-50000408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6</v>
      </c>
      <c r="E9" s="64">
        <f t="shared" si="1"/>
        <v>3</v>
      </c>
      <c r="F9" s="64">
        <f t="shared" si="1"/>
        <v>3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3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-60000300</v>
      </c>
      <c r="AG9" s="91">
        <f t="shared" si="8"/>
        <v>-60000310</v>
      </c>
      <c r="AH9" s="91">
        <f>AG9+N25</f>
        <v>-60000307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1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3</v>
      </c>
      <c r="Y10" s="91">
        <f>SUMIF($K$7:$K$16,U10,$M$7:$M$16) + SUMIF($N$7:$N$16,U10,$L$7:$L$16)</f>
        <v>3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-50000300</v>
      </c>
      <c r="AG10" s="91">
        <f t="shared" si="8"/>
        <v>-50000310</v>
      </c>
      <c r="AH10" s="91">
        <f>AG10+N26</f>
        <v>-50000306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5</v>
      </c>
      <c r="E11" s="68">
        <f t="shared" si="1"/>
        <v>3</v>
      </c>
      <c r="F11" s="68">
        <f t="shared" si="1"/>
        <v>3</v>
      </c>
      <c r="G11" s="69">
        <f t="shared" si="1"/>
        <v>0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1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-9950100</v>
      </c>
      <c r="AG11" s="91">
        <f t="shared" si="8"/>
        <v>-9950110</v>
      </c>
      <c r="AH11" s="91">
        <f>AG11+N27</f>
        <v>-9950105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6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0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3" zoomScale="98" zoomScaleNormal="140" workbookViewId="0">
      <selection activeCell="M19" sqref="M19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4</v>
      </c>
      <c r="X7" s="91">
        <f>SUMIF($K$7:$K$16,U7,$L$7:$L$16) + SUMIF($N$7:$N$16,U7,$M$7:$M$16)</f>
        <v>8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-80040800</v>
      </c>
      <c r="AG7" s="91">
        <f>AF7-AE7*10</f>
        <v>-80040810</v>
      </c>
      <c r="AH7" s="91">
        <f>AG7+N23</f>
        <v>-80040808</v>
      </c>
    </row>
    <row r="8" spans="2:34" x14ac:dyDescent="0.25">
      <c r="B8" s="50">
        <v>1</v>
      </c>
      <c r="C8" s="32" t="str">
        <f t="shared" ref="C8:G12" si="1">IFERROR(VLOOKUP($B8,$T$7:$Y$11,C$5,FALSE),"")</f>
        <v>Chile</v>
      </c>
      <c r="D8" s="33">
        <f t="shared" si="1"/>
        <v>10</v>
      </c>
      <c r="E8" s="33">
        <f t="shared" si="1"/>
        <v>6</v>
      </c>
      <c r="F8" s="33">
        <f t="shared" si="1"/>
        <v>2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-7</v>
      </c>
      <c r="X8" s="91">
        <f>SUMIF($K$7:$K$16,U8,$L$7:$L$16) + SUMIF($N$7:$N$16,U8,$M$7:$M$16)</f>
        <v>1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-9930100</v>
      </c>
      <c r="AG8" s="91">
        <f t="shared" ref="AG8:AG11" si="8">AF8-AE8*10</f>
        <v>-9930110</v>
      </c>
      <c r="AH8" s="91">
        <f>AG8+N24</f>
        <v>-9930105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10</v>
      </c>
      <c r="W9" s="91">
        <f t="shared" ref="W9:W11" si="9">X9-Y9</f>
        <v>4</v>
      </c>
      <c r="X9" s="91">
        <f>SUMIF($K$7:$K$16,U9,$L$7:$L$16) + SUMIF($N$7:$N$16,U9,$M$7:$M$16)</f>
        <v>6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-100040600</v>
      </c>
      <c r="AG9" s="91">
        <f t="shared" si="8"/>
        <v>-100040610</v>
      </c>
      <c r="AH9" s="91">
        <f>AG9+N25</f>
        <v>-100040609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5</v>
      </c>
      <c r="E10" s="60">
        <f t="shared" si="1"/>
        <v>7</v>
      </c>
      <c r="F10" s="60">
        <f t="shared" si="1"/>
        <v>5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-19970300</v>
      </c>
      <c r="AG10" s="91">
        <f t="shared" si="8"/>
        <v>-19970310</v>
      </c>
      <c r="AH10" s="91">
        <f>AG10+N26</f>
        <v>-19970306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2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5</v>
      </c>
      <c r="W11" s="91">
        <f t="shared" si="9"/>
        <v>2</v>
      </c>
      <c r="X11" s="91">
        <f>SUMIF($K$7:$K$16,U11,$L$7:$L$16) + SUMIF($N$7:$N$16,U11,$M$7:$M$16)</f>
        <v>7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-50020700</v>
      </c>
      <c r="AG11" s="91">
        <f t="shared" si="8"/>
        <v>-50020710</v>
      </c>
      <c r="AH11" s="91">
        <f>AG11+N27</f>
        <v>-50020707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81" zoomScaleNormal="140" workbookViewId="0">
      <selection activeCell="O13" sqref="O1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Chile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Chile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1</v>
      </c>
      <c r="N13" s="75">
        <v>5</v>
      </c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>
        <v>4</v>
      </c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0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Martin Ossandon</cp:lastModifiedBy>
  <dcterms:created xsi:type="dcterms:W3CDTF">2021-05-30T22:13:47Z</dcterms:created>
  <dcterms:modified xsi:type="dcterms:W3CDTF">2021-06-12T03:39:52Z</dcterms:modified>
</cp:coreProperties>
</file>