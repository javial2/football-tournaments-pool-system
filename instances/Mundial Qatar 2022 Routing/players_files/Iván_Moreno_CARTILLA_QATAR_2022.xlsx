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urnaments\instances\Mundial Qatar 2022 Routing\players_files\"/>
    </mc:Choice>
  </mc:AlternateContent>
  <xr:revisionPtr revIDLastSave="0" documentId="13_ncr:1_{F88084D2-7F8A-473C-9678-BB4588370474}" xr6:coauthVersionLast="47" xr6:coauthVersionMax="47" xr10:uidLastSave="{00000000-0000-0000-0000-000000000000}"/>
  <bookViews>
    <workbookView xWindow="20370" yWindow="-120" windowWidth="29040" windowHeight="15840" firstSheet="1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W24" i="16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P7" i="14" s="1"/>
  <c r="AZ7" i="14" s="1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K12" i="12"/>
  <c r="AQ10" i="11"/>
  <c r="AQ8" i="11"/>
  <c r="AQ9" i="11"/>
  <c r="AQ7" i="11"/>
  <c r="AK7" i="11"/>
  <c r="AL7" i="11" s="1"/>
  <c r="AK11" i="11"/>
  <c r="AP7" i="11" s="1"/>
  <c r="AK12" i="11"/>
  <c r="AP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P10" i="13"/>
  <c r="AZ10" i="13" s="1"/>
  <c r="AZ10" i="12"/>
  <c r="AZ7" i="12"/>
  <c r="AP8" i="12"/>
  <c r="AZ8" i="12" s="1"/>
  <c r="AW8" i="12" s="1"/>
  <c r="AX8" i="12" s="1"/>
  <c r="AY8" i="12" s="1"/>
  <c r="BA8" i="12" s="1"/>
  <c r="BB8" i="12" s="1"/>
  <c r="AZ10" i="11"/>
  <c r="AZ8" i="13"/>
  <c r="AZ9" i="11"/>
  <c r="AZ8" i="11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2" l="1"/>
  <c r="AX9" i="12" s="1"/>
  <c r="AY9" i="12" s="1"/>
  <c r="BA9" i="12" s="1"/>
  <c r="BB9" i="12" s="1"/>
  <c r="AW7" i="12"/>
  <c r="AX7" i="12" s="1"/>
  <c r="AY7" i="12" s="1"/>
  <c r="BA7" i="12" s="1"/>
  <c r="BB7" i="12" s="1"/>
  <c r="AW10" i="12"/>
  <c r="AX10" i="12" s="1"/>
  <c r="AY10" i="12" s="1"/>
  <c r="BA10" i="12" s="1"/>
  <c r="BB10" i="12" s="1"/>
  <c r="AW8" i="11"/>
  <c r="AX8" i="11" s="1"/>
  <c r="AY8" i="11" s="1"/>
  <c r="BA8" i="11" s="1"/>
  <c r="BB8" i="11" s="1"/>
  <c r="AW9" i="13"/>
  <c r="AX9" i="13" s="1"/>
  <c r="AY9" i="13" s="1"/>
  <c r="BA9" i="13" s="1"/>
  <c r="BB9" i="13" s="1"/>
  <c r="AW10" i="11"/>
  <c r="AX10" i="11" s="1"/>
  <c r="AY10" i="11" s="1"/>
  <c r="BA10" i="11" s="1"/>
  <c r="BB10" i="11" s="1"/>
  <c r="AW9" i="11"/>
  <c r="AX9" i="11" s="1"/>
  <c r="AY9" i="11" s="1"/>
  <c r="BA9" i="11" s="1"/>
  <c r="BB9" i="11" s="1"/>
  <c r="AW7" i="11"/>
  <c r="AX7" i="11" s="1"/>
  <c r="AY7" i="11" s="1"/>
  <c r="BA7" i="11" s="1"/>
  <c r="BB7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G10" i="11" s="1"/>
  <c r="AN9" i="10"/>
  <c r="AN7" i="10"/>
  <c r="AN8" i="10"/>
  <c r="AN10" i="10"/>
  <c r="AN8" i="2"/>
  <c r="AN7" i="2"/>
  <c r="AN9" i="2"/>
  <c r="AN10" i="2"/>
  <c r="BA7" i="1"/>
  <c r="BB7" i="1" s="1"/>
  <c r="AN7" i="1" s="1"/>
  <c r="F8" i="12" l="1"/>
  <c r="D8" i="12"/>
  <c r="G8" i="12"/>
  <c r="G11" i="11"/>
  <c r="E10" i="11"/>
  <c r="E8" i="11"/>
  <c r="G8" i="11"/>
  <c r="D8" i="11"/>
  <c r="F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<sst xmlns="http://schemas.openxmlformats.org/spreadsheetml/2006/main" count="453" uniqueCount="78">
  <si>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</si>
  <si>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</si>
  <si>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</si>
  <si>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</si>
  <si>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</si>
  <si>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</si>
  <si>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</si>
  <si>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</si>
  <si>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</si>
  <si>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</si>
  <si>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</si>
  <si>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</si>
  <si>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</si>
  <si>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</si>
  <si>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</si>
  <si>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</si>
  <si>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</si>
  <si>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</si>
  <si>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</si>
  <si>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</si>
  <si>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</si>
  <si>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</si>
  <si>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</si>
  <si>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</si>
  <si>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</si>
  <si>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</si>
  <si>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</si>
  <si>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</si>
  <si>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</si>
  <si>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</si>
  <si>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</si>
  <si>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</si>
  <si>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</si>
  <si>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</si>
  <si>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</si>
  <si>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</si>
  <si>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</si>
  <si>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</si>
  <si>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</si>
  <si>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</si>
  <si>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</si>
  <si>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</si>
  <si>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</si>
  <si>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</si>
  <si>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</si>
  <si>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</si>
  <si>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</si>
  <si>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</si>
  <si>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</si>
  <si>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</si>
  <si>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</si>
  <si>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</si>
  <si>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</si>
  <si>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</si>
  <si>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</si>
  <si>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</si>
  <si>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</si>
  <si>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</si>
  <si>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</si>
  <si>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</si>
  <si>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</si>
  <si>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</si>
  <si>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</si>
  <si>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</si>
  <si>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</si>
  <si>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</si>
  <si>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</si>
  <si>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</si>
  <si>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</si>
  <si>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</si>
  <si>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</si>
  <si>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</si>
  <si>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</si>
  <si>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</si>
  <si>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</si>
  <si>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</si>
  <si>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</si>
  <si>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Iván 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</si>
</sst>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tabSelected="1" workbookViewId="0">
      <selection activeCell="C4" sqref="C4:D4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/>
      <c r="D4" s="89"/>
    </row>
  </sheetData>
  <protectedRanges>
    <protectedRange sqref="C3:C4" name="Info"/>
  </protectedRanges>
  <mergeCells count="3">
    <mergeCell ref="B2:D2"/>
    <mergeCell ref="C3:D3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M26" sqref="M26"/>
    </sheetView>
  </sheetViews>
  <sheetFormatPr baseColWidth="10" defaultColWidth="11.42578125" defaultRowHeight="15" x14ac:dyDescent="0.25"/>
  <cols>
    <col min="1" max="14" width="11.5703125" customWidth="1"/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1</v>
      </c>
      <c r="AQ7" s="34">
        <f>AR7-AS7</f>
        <v>-2</v>
      </c>
      <c r="AR7" s="34">
        <f>SUMIF($K$7:$K$12,AO7,$L$7:$L$12) + SUMIF($N$7:$N$12,AO7,$M$7:$M$12)</f>
        <v>1</v>
      </c>
      <c r="AS7" s="34">
        <f>SUMIF($K$7:$K$12,AO7,$M$7:$M$12) + SUMIF($N$7:$N$12,AO7,$L$7:$L$12)</f>
        <v>3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-9980100</v>
      </c>
      <c r="BA7" s="34">
        <f>AZ7-AY7*10</f>
        <v>-9980110</v>
      </c>
      <c r="BB7" s="34">
        <f>BA7+N23</f>
        <v>-9980106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7</v>
      </c>
      <c r="E8" s="9">
        <f t="shared" si="3"/>
        <v>4</v>
      </c>
      <c r="F8" s="9">
        <f t="shared" si="3"/>
        <v>2</v>
      </c>
      <c r="G8" s="10">
        <f t="shared" si="3"/>
        <v>2</v>
      </c>
      <c r="I8" s="18">
        <v>2</v>
      </c>
      <c r="J8" s="19">
        <v>44886</v>
      </c>
      <c r="K8" s="20" t="s">
        <v>14</v>
      </c>
      <c r="L8" s="21">
        <v>0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-70020400</v>
      </c>
      <c r="BA8" s="34">
        <f t="shared" ref="BA8:BA10" si="10">AZ8-AY8*10</f>
        <v>-70020410</v>
      </c>
      <c r="BB8" s="34">
        <f>BA8+N24</f>
        <v>-70020409</v>
      </c>
    </row>
    <row r="9" spans="2:54" x14ac:dyDescent="0.25">
      <c r="B9" s="11">
        <v>2</v>
      </c>
      <c r="C9" s="12" t="str">
        <f t="shared" si="3"/>
        <v>Ecuador</v>
      </c>
      <c r="D9" s="13">
        <f t="shared" si="3"/>
        <v>5</v>
      </c>
      <c r="E9" s="13">
        <f t="shared" si="3"/>
        <v>3</v>
      </c>
      <c r="F9" s="13">
        <f t="shared" si="3"/>
        <v>2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1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1</v>
      </c>
      <c r="AK9" s="34">
        <f t="shared" si="4"/>
        <v>1</v>
      </c>
      <c r="AL9" s="34" t="str">
        <f t="shared" si="2"/>
        <v>SIN GANADOR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-19990300</v>
      </c>
      <c r="BA9" s="34">
        <f t="shared" si="10"/>
        <v>-19990310</v>
      </c>
      <c r="BB9" s="34">
        <f>BA9+N25</f>
        <v>-19990307</v>
      </c>
    </row>
    <row r="10" spans="2:54" x14ac:dyDescent="0.25">
      <c r="B10" s="48">
        <v>3</v>
      </c>
      <c r="C10" s="49" t="str">
        <f t="shared" si="3"/>
        <v>Senegal</v>
      </c>
      <c r="D10" s="50">
        <f t="shared" si="3"/>
        <v>2</v>
      </c>
      <c r="E10" s="50">
        <f t="shared" si="3"/>
        <v>3</v>
      </c>
      <c r="F10" s="50">
        <f t="shared" si="3"/>
        <v>4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1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1</v>
      </c>
      <c r="AK10" s="34">
        <f t="shared" si="4"/>
        <v>1</v>
      </c>
      <c r="AL10" s="34" t="str">
        <f t="shared" si="2"/>
        <v>SIN GANADOR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5</v>
      </c>
      <c r="AQ10" s="34">
        <f t="shared" si="11"/>
        <v>1</v>
      </c>
      <c r="AR10" s="34">
        <f>SUMIF($K$7:$K$12,AO10,$L$7:$L$12) + SUMIF($N$7:$N$12,AO10,$M$7:$M$12)</f>
        <v>3</v>
      </c>
      <c r="AS10" s="34">
        <f>SUMIF($K$7:$K$12,AO10,$M$7:$M$12) + SUMIF($N$7:$N$12,AO10,$L$7:$L$12)</f>
        <v>2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-50010300</v>
      </c>
      <c r="BA10" s="34">
        <f t="shared" si="10"/>
        <v>-50010310</v>
      </c>
      <c r="BB10" s="34">
        <f>BA10+N26</f>
        <v>-50010308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1</v>
      </c>
      <c r="E11" s="54">
        <f t="shared" si="3"/>
        <v>1</v>
      </c>
      <c r="F11" s="54">
        <f t="shared" si="3"/>
        <v>3</v>
      </c>
      <c r="G11" s="55">
        <f t="shared" si="3"/>
        <v>-2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1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1</v>
      </c>
      <c r="N24" s="35">
        <f>IF(J24="",0,M24)</f>
        <v>1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2</v>
      </c>
      <c r="N26" s="35">
        <f>IF(J26="",0,M26)</f>
        <v>2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M28" sqref="M28"/>
    </sheetView>
  </sheetViews>
  <sheetFormatPr baseColWidth="10" defaultColWidth="11.42578125" defaultRowHeight="15" x14ac:dyDescent="0.25"/>
  <cols>
    <col min="1" max="14" width="11.5703125" customWidth="1"/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-90050600</v>
      </c>
      <c r="BA7" s="34">
        <f>AZ7-AY7*10</f>
        <v>-90050610</v>
      </c>
      <c r="BB7" s="34">
        <f>BA7+N23</f>
        <v>-90050609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4</v>
      </c>
      <c r="J8" s="19">
        <v>44886</v>
      </c>
      <c r="K8" s="20" t="s">
        <v>31</v>
      </c>
      <c r="L8" s="21">
        <v>1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-39990300</v>
      </c>
      <c r="BA8" s="34">
        <f t="shared" ref="BA8:BA10" si="10">AZ8-AY8*10</f>
        <v>-39990310</v>
      </c>
      <c r="BB8" s="34">
        <f>BA8+N24</f>
        <v>-39990308</v>
      </c>
    </row>
    <row r="9" spans="2:54" x14ac:dyDescent="0.25">
      <c r="B9" s="11">
        <v>2</v>
      </c>
      <c r="C9" s="12" t="str">
        <f t="shared" si="0"/>
        <v>USA</v>
      </c>
      <c r="D9" s="13">
        <f t="shared" si="0"/>
        <v>4</v>
      </c>
      <c r="E9" s="13">
        <f t="shared" si="0"/>
        <v>3</v>
      </c>
      <c r="F9" s="13">
        <f t="shared" si="0"/>
        <v>4</v>
      </c>
      <c r="G9" s="14">
        <f t="shared" si="0"/>
        <v>-1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1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-9970200</v>
      </c>
      <c r="BA9" s="34">
        <f t="shared" si="10"/>
        <v>-9970210</v>
      </c>
      <c r="BB9" s="34">
        <f>BA9+N25</f>
        <v>-9970206</v>
      </c>
    </row>
    <row r="10" spans="2:54" x14ac:dyDescent="0.25">
      <c r="B10" s="48">
        <v>3</v>
      </c>
      <c r="C10" s="49" t="str">
        <f t="shared" si="0"/>
        <v>Gales</v>
      </c>
      <c r="D10" s="50">
        <f t="shared" si="0"/>
        <v>2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0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2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-19990300</v>
      </c>
      <c r="BA10" s="34">
        <f t="shared" si="10"/>
        <v>-19990310</v>
      </c>
      <c r="BB10" s="34">
        <f>BA10+N26</f>
        <v>-19990307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2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M25" sqref="M25"/>
    </sheetView>
  </sheetViews>
  <sheetFormatPr baseColWidth="10" defaultColWidth="11.42578125" defaultRowHeight="15" x14ac:dyDescent="0.25"/>
  <cols>
    <col min="1" max="2" width="11.5703125" customWidth="1"/>
    <col min="3" max="3" width="13.7109375" bestFit="1" customWidth="1"/>
    <col min="4" max="10" width="11.5703125"/>
    <col min="11" max="11" width="13.7109375" bestFit="1" customWidth="1"/>
    <col min="12" max="13" width="11.5703125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1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5</v>
      </c>
      <c r="AS7" s="34">
        <f>SUMIF($K$7:$K$12,AO7,$M$7:$M$12) + SUMIF($N$7:$N$12,AO7,$L$7:$L$12)</f>
        <v>1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-90040500</v>
      </c>
      <c r="BA7" s="34">
        <f>AZ7-AY7*10</f>
        <v>-90040510</v>
      </c>
      <c r="BB7" s="34">
        <f>BA7+N23</f>
        <v>-90040509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5</v>
      </c>
      <c r="F8" s="9">
        <f t="shared" si="0"/>
        <v>1</v>
      </c>
      <c r="G8" s="10">
        <f t="shared" si="0"/>
        <v>4</v>
      </c>
      <c r="I8" s="18">
        <v>6</v>
      </c>
      <c r="J8" s="19">
        <v>44887</v>
      </c>
      <c r="K8" s="20" t="s">
        <v>35</v>
      </c>
      <c r="L8" s="21">
        <v>2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2</v>
      </c>
      <c r="AQ8" s="34">
        <f>AR8-AS8</f>
        <v>-1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-19990300</v>
      </c>
      <c r="BA8" s="34">
        <f t="shared" ref="BA8:BA10" si="10">AZ8-AY8*10</f>
        <v>-19990310</v>
      </c>
      <c r="BB8" s="34">
        <f>BA8+N24</f>
        <v>-19990307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4</v>
      </c>
      <c r="E9" s="13">
        <f t="shared" si="0"/>
        <v>2</v>
      </c>
      <c r="F9" s="13">
        <f t="shared" si="0"/>
        <v>2</v>
      </c>
      <c r="G9" s="14">
        <f t="shared" si="0"/>
        <v>0</v>
      </c>
      <c r="I9" s="23">
        <f>I7+16</f>
        <v>21</v>
      </c>
      <c r="J9" s="24">
        <v>44891</v>
      </c>
      <c r="K9" s="25" t="s">
        <v>37</v>
      </c>
      <c r="L9" s="21">
        <v>1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2</v>
      </c>
      <c r="AS9" s="34">
        <f t="shared" si="6"/>
        <v>2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-40000200</v>
      </c>
      <c r="BA9" s="34">
        <f t="shared" si="10"/>
        <v>-40000210</v>
      </c>
      <c r="BB9" s="34">
        <f>BA9+N25</f>
        <v>-40000208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2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1</v>
      </c>
      <c r="AS10" s="34">
        <f>SUMIF($K$7:$K$12,AO10,$M$7:$M$12) + SUMIF($N$7:$N$12,AO10,$L$7:$L$12)</f>
        <v>4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-9970100</v>
      </c>
      <c r="BA10" s="34">
        <f t="shared" si="10"/>
        <v>-9970110</v>
      </c>
      <c r="BB10" s="34">
        <f>BA10+N26</f>
        <v>-9970106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1</v>
      </c>
      <c r="E11" s="54">
        <f t="shared" si="0"/>
        <v>1</v>
      </c>
      <c r="F11" s="54">
        <f t="shared" si="0"/>
        <v>4</v>
      </c>
      <c r="G11" s="55">
        <f t="shared" si="0"/>
        <v>-3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1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1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M25" sqref="M25"/>
    </sheetView>
  </sheetViews>
  <sheetFormatPr baseColWidth="10" defaultColWidth="11.42578125" defaultRowHeight="15" x14ac:dyDescent="0.25"/>
  <cols>
    <col min="1" max="2" width="11.5703125" customWidth="1"/>
    <col min="3" max="3" width="13.7109375" bestFit="1" customWidth="1"/>
    <col min="4" max="10" width="11.5703125"/>
    <col min="11" max="11" width="13.7109375" bestFit="1" customWidth="1"/>
    <col min="12" max="13" width="11.5703125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1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5</v>
      </c>
      <c r="AS7" s="34">
        <f>SUMIF($K$7:$K$12,AO7,$M$7:$M$12) + SUMIF($N$7:$N$12,AO7,$L$7:$L$12)</f>
        <v>0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-90050500</v>
      </c>
      <c r="BA7" s="34">
        <f>AZ7-AY7*10</f>
        <v>-90050510</v>
      </c>
      <c r="BB7" s="34">
        <f>BA7+N23</f>
        <v>-90050509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5</v>
      </c>
      <c r="F8" s="9">
        <f t="shared" si="0"/>
        <v>0</v>
      </c>
      <c r="G8" s="10">
        <f t="shared" si="0"/>
        <v>5</v>
      </c>
      <c r="I8" s="18">
        <v>8</v>
      </c>
      <c r="J8" s="19">
        <v>44887</v>
      </c>
      <c r="K8" s="20" t="s">
        <v>40</v>
      </c>
      <c r="L8" s="21">
        <v>2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-60020300</v>
      </c>
      <c r="BA8" s="34">
        <f t="shared" ref="BA8:BA10" si="10">AZ8-AY8*10</f>
        <v>-60020310</v>
      </c>
      <c r="BB8" s="34">
        <f>BA8+N24</f>
        <v>-60020308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3</v>
      </c>
      <c r="F9" s="13">
        <f t="shared" si="0"/>
        <v>1</v>
      </c>
      <c r="G9" s="14">
        <f t="shared" si="0"/>
        <v>2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1</v>
      </c>
      <c r="AS9" s="34">
        <f t="shared" si="6"/>
        <v>4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-9970100</v>
      </c>
      <c r="BA9" s="34">
        <f t="shared" si="10"/>
        <v>-9970110</v>
      </c>
      <c r="BB9" s="34">
        <f>BA9+N25</f>
        <v>-9970107</v>
      </c>
    </row>
    <row r="10" spans="2:54" x14ac:dyDescent="0.25">
      <c r="B10" s="48">
        <v>3</v>
      </c>
      <c r="C10" s="49" t="str">
        <f t="shared" si="0"/>
        <v>Tunez</v>
      </c>
      <c r="D10" s="50">
        <f t="shared" si="0"/>
        <v>1</v>
      </c>
      <c r="E10" s="50">
        <f t="shared" si="0"/>
        <v>1</v>
      </c>
      <c r="F10" s="50">
        <f t="shared" si="0"/>
        <v>4</v>
      </c>
      <c r="G10" s="51">
        <f t="shared" si="0"/>
        <v>-3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0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4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-9960100</v>
      </c>
      <c r="BA10" s="34">
        <f t="shared" si="10"/>
        <v>-9960110</v>
      </c>
      <c r="BB10" s="34">
        <f>BA10+N26</f>
        <v>-9960106</v>
      </c>
    </row>
    <row r="11" spans="2:54" ht="15.75" thickBot="1" x14ac:dyDescent="0.3">
      <c r="B11" s="52">
        <v>4</v>
      </c>
      <c r="C11" s="53" t="str">
        <f t="shared" si="0"/>
        <v>Australia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K9" sqref="K9"/>
    </sheetView>
  </sheetViews>
  <sheetFormatPr baseColWidth="10" defaultColWidth="11.42578125" defaultRowHeight="15" x14ac:dyDescent="0.25"/>
  <cols>
    <col min="1" max="2" width="11.5703125" customWidth="1"/>
    <col min="3" max="3" width="13.7109375" bestFit="1" customWidth="1"/>
    <col min="4" max="10" width="11.5703125"/>
    <col min="11" max="11" width="13.7109375" bestFit="1" customWidth="1"/>
    <col min="12" max="13" width="11.5703125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1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1</v>
      </c>
      <c r="AO7" s="34" t="s">
        <v>44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3</v>
      </c>
      <c r="AS7" s="34">
        <f>SUMIF($K$7:$K$12,AO7,$M$7:$M$12) + SUMIF($N$7:$N$12,AO7,$L$7:$L$12)</f>
        <v>1</v>
      </c>
      <c r="AV7" s="34" t="str">
        <f>AO7</f>
        <v>España</v>
      </c>
      <c r="AW7" s="34" t="str">
        <f>IF(AZ7=AZ8,AV8,IF(AZ7=AZ9,AV9,IF(AZ7=AZ10,AV10,"")))</f>
        <v>Alemania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-70020300</v>
      </c>
      <c r="BA7" s="34">
        <f>AZ7-AY7*10</f>
        <v>-70020300</v>
      </c>
      <c r="BB7" s="34">
        <f>BA7+N23</f>
        <v>-70020299</v>
      </c>
    </row>
    <row r="8" spans="2:54" x14ac:dyDescent="0.25">
      <c r="B8" s="7">
        <v>1</v>
      </c>
      <c r="C8" s="8" t="str">
        <f t="shared" ref="C8:G11" si="0">IFERROR(VLOOKUP($B8,$AN$7:$AS$11,C$5,FALSE),"")</f>
        <v>España</v>
      </c>
      <c r="D8" s="9">
        <f t="shared" si="0"/>
        <v>7</v>
      </c>
      <c r="E8" s="9">
        <f t="shared" si="0"/>
        <v>3</v>
      </c>
      <c r="F8" s="9">
        <f t="shared" si="0"/>
        <v>1</v>
      </c>
      <c r="G8" s="10">
        <f t="shared" si="0"/>
        <v>2</v>
      </c>
      <c r="I8" s="18">
        <v>10</v>
      </c>
      <c r="J8" s="19">
        <v>44888</v>
      </c>
      <c r="K8" s="20" t="s">
        <v>44</v>
      </c>
      <c r="L8" s="21">
        <v>1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2</v>
      </c>
      <c r="AO8" s="34" t="s">
        <v>45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Alemania</v>
      </c>
      <c r="AW8" s="34" t="str">
        <f>IF(AZ8=AZ9,AV9,IF(AZ8=AZ10,AV10,IF(AZ8=AZ7,AV7,"")))</f>
        <v>España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-70020300</v>
      </c>
      <c r="BA8" s="34">
        <f t="shared" ref="BA8:BA10" si="10">AZ8-AY8*10</f>
        <v>-70020300</v>
      </c>
      <c r="BB8" s="34">
        <f>BA8+N24</f>
        <v>-70020298</v>
      </c>
    </row>
    <row r="9" spans="2:54" x14ac:dyDescent="0.25">
      <c r="B9" s="11">
        <v>2</v>
      </c>
      <c r="C9" s="12" t="str">
        <f t="shared" si="0"/>
        <v>Alemania</v>
      </c>
      <c r="D9" s="13">
        <f t="shared" si="0"/>
        <v>7</v>
      </c>
      <c r="E9" s="13">
        <f t="shared" si="0"/>
        <v>3</v>
      </c>
      <c r="F9" s="13">
        <f t="shared" si="0"/>
        <v>1</v>
      </c>
      <c r="G9" s="14">
        <f t="shared" si="0"/>
        <v>2</v>
      </c>
      <c r="I9" s="23">
        <f>I7+16</f>
        <v>25</v>
      </c>
      <c r="J9" s="24">
        <v>44892</v>
      </c>
      <c r="K9" s="25" t="s">
        <v>46</v>
      </c>
      <c r="L9" s="21">
        <v>0</v>
      </c>
      <c r="M9" s="22">
        <v>0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1</v>
      </c>
      <c r="AS9" s="34">
        <f t="shared" si="6"/>
        <v>3</v>
      </c>
      <c r="AV9" s="34" t="str">
        <f t="shared" si="7"/>
        <v>Japon</v>
      </c>
      <c r="AW9" s="34" t="str">
        <f>IF(AZ9=AZ10,AV10,IF(AZ9=AZ7,AV7,IF(AZ9=AZ8,AV8,"")))</f>
        <v>Costa Rica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-9980100</v>
      </c>
      <c r="BA9" s="34">
        <f t="shared" si="10"/>
        <v>-9980100</v>
      </c>
      <c r="BB9" s="34">
        <f>BA9+N25</f>
        <v>-9980097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1</v>
      </c>
      <c r="E10" s="50">
        <f t="shared" si="0"/>
        <v>1</v>
      </c>
      <c r="F10" s="50">
        <f t="shared" si="0"/>
        <v>3</v>
      </c>
      <c r="G10" s="51">
        <f t="shared" si="0"/>
        <v>-2</v>
      </c>
      <c r="I10" s="18">
        <f>I8+16</f>
        <v>26</v>
      </c>
      <c r="J10" s="19">
        <v>44892</v>
      </c>
      <c r="K10" s="20" t="s">
        <v>44</v>
      </c>
      <c r="L10" s="21">
        <v>0</v>
      </c>
      <c r="M10" s="22">
        <v>0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1</v>
      </c>
      <c r="AS10" s="34">
        <f>SUMIF($K$7:$K$12,AO10,$M$7:$M$12) + SUMIF($N$7:$N$12,AO10,$L$7:$L$12)</f>
        <v>3</v>
      </c>
      <c r="AV10" s="34" t="str">
        <f t="shared" si="7"/>
        <v>Costa Rica</v>
      </c>
      <c r="AW10" s="34" t="str">
        <f>IF(AZ10=AZ7,AV7,IF(AZ10=AZ8,AV8,IF(AZ10=AZ9,AV9,"")))</f>
        <v>Japon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-9980100</v>
      </c>
      <c r="BA10" s="34">
        <f t="shared" si="10"/>
        <v>-9980100</v>
      </c>
      <c r="BB10" s="34">
        <f>BA10+N26</f>
        <v>-9980096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1</v>
      </c>
      <c r="E11" s="54">
        <f t="shared" si="0"/>
        <v>1</v>
      </c>
      <c r="F11" s="54">
        <f t="shared" si="0"/>
        <v>3</v>
      </c>
      <c r="G11" s="55">
        <f t="shared" si="0"/>
        <v>-2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1</v>
      </c>
      <c r="M12" s="33">
        <v>2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M26" sqref="M26"/>
    </sheetView>
  </sheetViews>
  <sheetFormatPr baseColWidth="10" defaultColWidth="11.42578125" defaultRowHeight="15" x14ac:dyDescent="0.25"/>
  <cols>
    <col min="1" max="2" width="11.5703125" customWidth="1"/>
    <col min="3" max="3" width="13.7109375" bestFit="1" customWidth="1"/>
    <col min="4" max="10" width="11.5703125"/>
    <col min="11" max="11" width="13.7109375" bestFit="1" customWidth="1"/>
    <col min="12" max="13" width="11.5703125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1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2</v>
      </c>
      <c r="AO7" s="34" t="s">
        <v>48</v>
      </c>
      <c r="AP7" s="34">
        <f>SUMIF($K$7:$K$12,AO7,$AJ$7:$AJ$12) + SUMIF($N$7:$N$12,AO7,$AK$7:$AK$12)</f>
        <v>6</v>
      </c>
      <c r="AQ7" s="34">
        <f>AR7-AS7</f>
        <v>1</v>
      </c>
      <c r="AR7" s="34">
        <f>SUMIF($K$7:$K$12,AO7,$L$7:$L$12) + SUMIF($N$7:$N$12,AO7,$M$7:$M$12)</f>
        <v>2</v>
      </c>
      <c r="AS7" s="34">
        <f>SUMIF($K$7:$K$12,AO7,$M$7:$M$12) + SUMIF($N$7:$N$12,AO7,$L$7:$L$12)</f>
        <v>1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-60010200</v>
      </c>
      <c r="BA7" s="34">
        <f>AZ7-AY7*10</f>
        <v>-60010210</v>
      </c>
      <c r="BB7" s="34">
        <f>BA7+N23</f>
        <v>-60010208</v>
      </c>
    </row>
    <row r="8" spans="2:54" x14ac:dyDescent="0.25">
      <c r="B8" s="7">
        <v>1</v>
      </c>
      <c r="C8" s="8" t="str">
        <f t="shared" ref="C8:G11" si="0">IFERROR(VLOOKUP($B8,$AN$7:$AS$11,C$5,FALSE),"")</f>
        <v>Canada</v>
      </c>
      <c r="D8" s="9">
        <f t="shared" si="0"/>
        <v>7</v>
      </c>
      <c r="E8" s="9">
        <f t="shared" si="0"/>
        <v>4</v>
      </c>
      <c r="F8" s="9">
        <f t="shared" si="0"/>
        <v>2</v>
      </c>
      <c r="G8" s="10">
        <f t="shared" si="0"/>
        <v>2</v>
      </c>
      <c r="I8" s="18">
        <v>12</v>
      </c>
      <c r="J8" s="19">
        <v>44888</v>
      </c>
      <c r="K8" s="20" t="s">
        <v>48</v>
      </c>
      <c r="L8" s="21">
        <v>0</v>
      </c>
      <c r="M8" s="22">
        <v>1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Canada</v>
      </c>
      <c r="AN8" s="34">
        <f>_xlfn.RANK.EQ(BB8,BB$7:BB$11,1)</f>
        <v>4</v>
      </c>
      <c r="AO8" s="34" t="s">
        <v>49</v>
      </c>
      <c r="AP8" s="34">
        <f>SUMIF($K$7:$K$12,AO8,$AJ$7:$AJ$12) + SUMIF($N$7:$N$12,AO8,$AK$7:$AK$12)</f>
        <v>1</v>
      </c>
      <c r="AQ8" s="34">
        <f>AR8-AS8</f>
        <v>-2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-9980200</v>
      </c>
      <c r="BA8" s="34">
        <f t="shared" ref="BA8:BA10" si="10">AZ8-AY8*10</f>
        <v>-9980210</v>
      </c>
      <c r="BB8" s="34">
        <f>BA8+N24</f>
        <v>-9980207</v>
      </c>
    </row>
    <row r="9" spans="2:54" x14ac:dyDescent="0.25">
      <c r="B9" s="11">
        <v>2</v>
      </c>
      <c r="C9" s="12" t="str">
        <f t="shared" si="0"/>
        <v>Belgica</v>
      </c>
      <c r="D9" s="13">
        <f t="shared" si="0"/>
        <v>6</v>
      </c>
      <c r="E9" s="13">
        <f t="shared" si="0"/>
        <v>2</v>
      </c>
      <c r="F9" s="13">
        <f t="shared" si="0"/>
        <v>1</v>
      </c>
      <c r="G9" s="14">
        <f t="shared" si="0"/>
        <v>1</v>
      </c>
      <c r="I9" s="23">
        <f>I7+16</f>
        <v>27</v>
      </c>
      <c r="J9" s="24">
        <v>44892</v>
      </c>
      <c r="K9" s="25" t="s">
        <v>48</v>
      </c>
      <c r="L9" s="21">
        <v>1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-19990200</v>
      </c>
      <c r="BA9" s="34">
        <f t="shared" si="10"/>
        <v>-19990210</v>
      </c>
      <c r="BB9" s="34">
        <f>BA9+N25</f>
        <v>-19990206</v>
      </c>
    </row>
    <row r="10" spans="2:54" x14ac:dyDescent="0.25">
      <c r="B10" s="48">
        <v>3</v>
      </c>
      <c r="C10" s="49" t="str">
        <f t="shared" si="0"/>
        <v>Marruecos</v>
      </c>
      <c r="D10" s="50">
        <f t="shared" si="0"/>
        <v>2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28</v>
      </c>
      <c r="J10" s="19">
        <v>44892</v>
      </c>
      <c r="K10" s="20" t="s">
        <v>49</v>
      </c>
      <c r="L10" s="21">
        <v>1</v>
      </c>
      <c r="M10" s="22">
        <v>2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0</v>
      </c>
      <c r="AK10" s="34">
        <f t="shared" si="3"/>
        <v>3</v>
      </c>
      <c r="AL10" s="34" t="str">
        <f t="shared" si="4"/>
        <v>Canada</v>
      </c>
      <c r="AN10" s="34">
        <f>_xlfn.RANK.EQ(BB10,BB$7:BB$11,1)</f>
        <v>1</v>
      </c>
      <c r="AO10" s="34" t="s">
        <v>51</v>
      </c>
      <c r="AP10" s="34">
        <f>SUMIF($K$7:$K$12,AO10,$AJ$7:$AJ$12) + SUMIF($N$7:$N$12,AO10,$AK$7:$AK$12)</f>
        <v>7</v>
      </c>
      <c r="AQ10" s="34">
        <f t="shared" si="11"/>
        <v>2</v>
      </c>
      <c r="AR10" s="34">
        <f>SUMIF($K$7:$K$12,AO10,$L$7:$L$12) + SUMIF($N$7:$N$12,AO10,$M$7:$M$12)</f>
        <v>4</v>
      </c>
      <c r="AS10" s="34">
        <f>SUMIF($K$7:$K$12,AO10,$M$7:$M$12) + SUMIF($N$7:$N$12,AO10,$L$7:$L$12)</f>
        <v>2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-70020400</v>
      </c>
      <c r="BA10" s="34">
        <f t="shared" si="10"/>
        <v>-70020410</v>
      </c>
      <c r="BB10" s="34">
        <f>BA10+N26</f>
        <v>-70020409</v>
      </c>
    </row>
    <row r="11" spans="2:54" ht="15.75" thickBot="1" x14ac:dyDescent="0.3">
      <c r="B11" s="52">
        <v>4</v>
      </c>
      <c r="C11" s="53" t="str">
        <f t="shared" si="0"/>
        <v>Croacia</v>
      </c>
      <c r="D11" s="54">
        <f t="shared" si="0"/>
        <v>1</v>
      </c>
      <c r="E11" s="54">
        <f t="shared" si="0"/>
        <v>2</v>
      </c>
      <c r="F11" s="54">
        <f t="shared" si="0"/>
        <v>4</v>
      </c>
      <c r="G11" s="55">
        <f t="shared" si="0"/>
        <v>-2</v>
      </c>
      <c r="I11" s="23">
        <f>I9+16</f>
        <v>43</v>
      </c>
      <c r="J11" s="24">
        <v>44896</v>
      </c>
      <c r="K11" s="25" t="s">
        <v>49</v>
      </c>
      <c r="L11" s="21">
        <v>0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1</v>
      </c>
      <c r="N26" s="35">
        <f>IF(J26="",0,M26)</f>
        <v>1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M25" sqref="M25"/>
    </sheetView>
  </sheetViews>
  <sheetFormatPr baseColWidth="10" defaultColWidth="11.42578125" defaultRowHeight="15" x14ac:dyDescent="0.25"/>
  <cols>
    <col min="1" max="2" width="11.5703125" customWidth="1"/>
    <col min="3" max="3" width="13.7109375" bestFit="1" customWidth="1"/>
    <col min="4" max="10" width="11.5703125"/>
    <col min="11" max="11" width="13.7109375" bestFit="1" customWidth="1"/>
    <col min="12" max="13" width="11.5703125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0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3</v>
      </c>
      <c r="AR7" s="34">
        <f>SUMIF($K$7:$K$12,AO7,$L$7:$L$12) + SUMIF($N$7:$N$12,AO7,$M$7:$M$12)</f>
        <v>4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-90030400</v>
      </c>
      <c r="BA7" s="34">
        <f>AZ7-AY7*10</f>
        <v>-90030410</v>
      </c>
      <c r="BB7" s="34">
        <f>BA7+N23</f>
        <v>-90030409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4</v>
      </c>
      <c r="F8" s="9">
        <f t="shared" si="0"/>
        <v>1</v>
      </c>
      <c r="G8" s="10">
        <f t="shared" si="0"/>
        <v>3</v>
      </c>
      <c r="I8" s="18">
        <v>14</v>
      </c>
      <c r="J8" s="19">
        <v>44889</v>
      </c>
      <c r="K8" s="20" t="s">
        <v>10</v>
      </c>
      <c r="L8" s="21">
        <v>1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-40000200</v>
      </c>
      <c r="BA8" s="34">
        <f t="shared" ref="BA8:BA10" si="10">AZ8-AY8*10</f>
        <v>-40000210</v>
      </c>
      <c r="BB8" s="34">
        <f>BA8+N24</f>
        <v>-40000208</v>
      </c>
    </row>
    <row r="9" spans="2:54" x14ac:dyDescent="0.25">
      <c r="B9" s="11">
        <v>2</v>
      </c>
      <c r="C9" s="12" t="str">
        <f t="shared" si="0"/>
        <v>Suiza</v>
      </c>
      <c r="D9" s="13">
        <f t="shared" si="0"/>
        <v>4</v>
      </c>
      <c r="E9" s="13">
        <f t="shared" si="0"/>
        <v>2</v>
      </c>
      <c r="F9" s="13">
        <f t="shared" si="0"/>
        <v>2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-19990200</v>
      </c>
      <c r="BA9" s="34">
        <f t="shared" si="10"/>
        <v>-19990210</v>
      </c>
      <c r="BB9" s="34">
        <f>BA9+N25</f>
        <v>-19990207</v>
      </c>
    </row>
    <row r="10" spans="2:54" x14ac:dyDescent="0.25">
      <c r="B10" s="48">
        <v>3</v>
      </c>
      <c r="C10" s="49" t="str">
        <f t="shared" si="0"/>
        <v>Serbia</v>
      </c>
      <c r="D10" s="50">
        <f t="shared" si="0"/>
        <v>2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30</v>
      </c>
      <c r="J10" s="19">
        <v>44893</v>
      </c>
      <c r="K10" s="20" t="s">
        <v>10</v>
      </c>
      <c r="L10" s="21">
        <v>1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-9980200</v>
      </c>
      <c r="BA10" s="34">
        <f t="shared" si="10"/>
        <v>-9980210</v>
      </c>
      <c r="BB10" s="34">
        <f>BA10+N26</f>
        <v>-9980206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1</v>
      </c>
      <c r="E11" s="54">
        <f t="shared" si="0"/>
        <v>2</v>
      </c>
      <c r="F11" s="54">
        <f t="shared" si="0"/>
        <v>4</v>
      </c>
      <c r="G11" s="55">
        <f t="shared" si="0"/>
        <v>-2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2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M25" sqref="M25"/>
    </sheetView>
  </sheetViews>
  <sheetFormatPr baseColWidth="10" defaultColWidth="11.42578125" defaultRowHeight="15" x14ac:dyDescent="0.25"/>
  <cols>
    <col min="1" max="2" width="11.5703125" customWidth="1"/>
    <col min="3" max="3" width="13.7109375" bestFit="1" customWidth="1"/>
    <col min="4" max="10" width="11.5703125"/>
    <col min="11" max="11" width="13.7109375" bestFit="1" customWidth="1"/>
    <col min="12" max="13" width="11.5703125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1</v>
      </c>
      <c r="M7" s="31">
        <v>1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6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-60030500</v>
      </c>
      <c r="BA7" s="34">
        <f>AZ7-AY7*10</f>
        <v>-60030510</v>
      </c>
      <c r="BB7" s="34">
        <f>BA7+N23</f>
        <v>-60030508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7</v>
      </c>
      <c r="E8" s="9">
        <f t="shared" si="0"/>
        <v>5</v>
      </c>
      <c r="F8" s="9">
        <f t="shared" si="0"/>
        <v>3</v>
      </c>
      <c r="G8" s="10">
        <f t="shared" si="0"/>
        <v>2</v>
      </c>
      <c r="I8" s="18">
        <v>16</v>
      </c>
      <c r="J8" s="19">
        <v>44889</v>
      </c>
      <c r="K8" s="20" t="s">
        <v>57</v>
      </c>
      <c r="L8" s="21">
        <v>2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-70020500</v>
      </c>
      <c r="BA8" s="34">
        <f t="shared" ref="BA8:BA10" si="10">AZ8-AY8*10</f>
        <v>-70020510</v>
      </c>
      <c r="BB8" s="34">
        <f>BA8+N24</f>
        <v>-70020509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6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2</v>
      </c>
      <c r="AQ9" s="34">
        <f t="shared" ref="AQ9:AQ10" si="11">AR9-AS9</f>
        <v>-2</v>
      </c>
      <c r="AR9" s="34">
        <f t="shared" si="5"/>
        <v>2</v>
      </c>
      <c r="AS9" s="34">
        <f t="shared" si="6"/>
        <v>4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-19980200</v>
      </c>
      <c r="BA9" s="34">
        <f t="shared" si="10"/>
        <v>-19980210</v>
      </c>
      <c r="BB9" s="34">
        <f>BA9+N25</f>
        <v>-19980207</v>
      </c>
    </row>
    <row r="10" spans="2:54" x14ac:dyDescent="0.25">
      <c r="B10" s="48">
        <v>3</v>
      </c>
      <c r="C10" s="49" t="str">
        <f t="shared" si="0"/>
        <v>Corea</v>
      </c>
      <c r="D10" s="50">
        <f t="shared" si="0"/>
        <v>2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-9970200</v>
      </c>
      <c r="BA10" s="34">
        <f t="shared" si="10"/>
        <v>-9970210</v>
      </c>
      <c r="BB10" s="34">
        <f>BA10+N26</f>
        <v>-9970206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workbookViewId="0">
      <selection activeCell="R30" sqref="R30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USA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0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1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1</v>
      </c>
      <c r="D10" s="61"/>
      <c r="E10" s="69"/>
      <c r="J10" s="66"/>
    </row>
    <row r="11" spans="2:19" ht="15.75" thickBot="1" x14ac:dyDescent="0.3">
      <c r="B11" s="62" t="str">
        <f>'GRUPO D'!C9</f>
        <v>Dinamarca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0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1</v>
      </c>
      <c r="N13" s="64"/>
      <c r="O13" s="65"/>
    </row>
    <row r="14" spans="2:19" ht="15.75" thickBot="1" x14ac:dyDescent="0.3">
      <c r="B14" s="59" t="str">
        <f>'GRUPO E'!C8</f>
        <v>España</v>
      </c>
      <c r="C14" s="60">
        <v>1</v>
      </c>
      <c r="D14" s="61"/>
      <c r="J14" s="66"/>
      <c r="O14" s="66"/>
    </row>
    <row r="15" spans="2:19" ht="15.75" thickBot="1" x14ac:dyDescent="0.3">
      <c r="B15" s="62" t="str">
        <f>'GRUPO F'!C9</f>
        <v>Belgica</v>
      </c>
      <c r="C15" s="63">
        <v>0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España</v>
      </c>
      <c r="H16" s="60">
        <v>0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1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1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0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Brasil</v>
      </c>
      <c r="R20" s="60">
        <v>0</v>
      </c>
      <c r="S20" s="61">
        <v>5</v>
      </c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Inglaterra</v>
      </c>
      <c r="R21" s="63">
        <v>0</v>
      </c>
      <c r="S21" s="64">
        <v>3</v>
      </c>
    </row>
    <row r="22" spans="2:23" ht="15.75" thickBot="1" x14ac:dyDescent="0.3">
      <c r="B22" s="59" t="str">
        <f>'GRUPO B'!C8</f>
        <v>Inglaterra</v>
      </c>
      <c r="C22" s="60">
        <v>2</v>
      </c>
      <c r="D22" s="61"/>
      <c r="O22" s="66"/>
    </row>
    <row r="23" spans="2:23" ht="15.75" thickBot="1" x14ac:dyDescent="0.3">
      <c r="B23" s="62" t="str">
        <f>'GRUPO A'!C9</f>
        <v>Ecuador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0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Inglaterra</v>
      </c>
    </row>
    <row r="26" spans="2:23" ht="15.75" thickBot="1" x14ac:dyDescent="0.3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Alemania</v>
      </c>
    </row>
    <row r="27" spans="2:23" ht="15.75" thickBot="1" x14ac:dyDescent="0.3">
      <c r="B27" s="62" t="str">
        <f>'GRUPO C'!C9</f>
        <v>Polonia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Inglaterra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Alemania</v>
      </c>
      <c r="M29" s="63">
        <v>0</v>
      </c>
      <c r="N29" s="64"/>
      <c r="Q29" s="59" t="str">
        <f>IF(Q20=L12,L13,IF(Q20=L13,L12,""))</f>
        <v>Argentina</v>
      </c>
      <c r="R29" s="60">
        <v>0</v>
      </c>
      <c r="S29" s="61"/>
    </row>
    <row r="30" spans="2:23" ht="15.75" thickBot="1" x14ac:dyDescent="0.3">
      <c r="B30" s="59" t="str">
        <f>'GRUPO F'!C8</f>
        <v>Canada</v>
      </c>
      <c r="C30" s="60">
        <v>0</v>
      </c>
      <c r="D30" s="61"/>
      <c r="J30" s="66"/>
      <c r="Q30" s="62" t="str">
        <f>IF(Q21=L28,L29,IF(Q21=L29,L28,""))</f>
        <v>Alemania</v>
      </c>
      <c r="R30" s="63">
        <v>1</v>
      </c>
      <c r="S30" s="64"/>
    </row>
    <row r="31" spans="2:23" ht="15.75" thickBot="1" x14ac:dyDescent="0.3">
      <c r="B31" s="62" t="str">
        <f>'GRUPO E'!C9</f>
        <v>Alemania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Alemania</v>
      </c>
      <c r="H32" s="60">
        <v>1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0</v>
      </c>
      <c r="I33" s="64"/>
    </row>
    <row r="34" spans="2:9" x14ac:dyDescent="0.25">
      <c r="B34" s="59" t="str">
        <f>'GRUPO H'!C8</f>
        <v>Uruguay</v>
      </c>
      <c r="C34" s="60">
        <v>1</v>
      </c>
      <c r="D34" s="61"/>
      <c r="E34" s="69"/>
    </row>
    <row r="35" spans="2:9" ht="15.75" thickBot="1" x14ac:dyDescent="0.3">
      <c r="B35" s="62" t="str">
        <f>'GRUPO G'!C9</f>
        <v>Suiza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2022-11-02T00:22:23Z</dcterms:created>
  <dcterms:modified xsi:type="dcterms:W3CDTF">2022-11-19T20:09:24Z</dcterms:modified>
</cp:coreProperties>
</file>