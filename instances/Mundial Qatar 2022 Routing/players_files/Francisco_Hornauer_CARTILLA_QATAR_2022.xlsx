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76858155-DF0C-47E6-A7BF-14B3400D004D}" xr6:coauthVersionLast="47" xr6:coauthVersionMax="47" xr10:uidLastSave="{00000000-0000-0000-0000-000000000000}"/>
  <bookViews>
    <workbookView xWindow="-120" yWindow="-120" windowWidth="29040" windowHeight="1572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K10" i="10"/>
  <c r="AL10" i="10" s="1"/>
  <c r="AJ10" i="10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10" i="12" l="1"/>
  <c r="AP10" i="11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8" i="14" l="1"/>
  <c r="AZ7" i="12"/>
  <c r="AZ10" i="12"/>
  <c r="AZ10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G11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8" i="11"/>
  <c r="E8" i="11"/>
  <c r="F10" i="11"/>
  <c r="G10" i="11"/>
  <c r="E10" i="11"/>
  <c r="D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<sst xmlns="http://schemas.openxmlformats.org/spreadsheetml/2006/main" count="454" uniqueCount="79">
  <si>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</si>
  <si>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</si>
  <si>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</si>
  <si>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</si>
  <si>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</si>
  <si>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</si>
  <si>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</si>
  <si>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</si>
  <si>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</si>
  <si>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</si>
  <si>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</si>
  <si>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</si>
  <si>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</si>
  <si>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</si>
  <si>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</si>
  <si>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</si>
  <si>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</si>
  <si>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</si>
  <si>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</si>
  <si>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</si>
  <si>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</si>
  <si>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</si>
  <si>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</si>
  <si>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</si>
  <si>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</si>
  <si>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</si>
  <si>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</si>
  <si>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</si>
  <si>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</si>
  <si>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</si>
  <si>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</si>
  <si>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</si>
  <si>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</si>
  <si>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</si>
  <si>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</si>
  <si>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</si>
  <si>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</si>
  <si>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</si>
  <si>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</si>
  <si>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</si>
  <si>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</si>
  <si>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</si>
  <si>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</si>
  <si>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</si>
  <si>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</si>
  <si>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</si>
  <si>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</si>
  <si>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</si>
  <si>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</si>
  <si>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</si>
  <si>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</si>
  <si>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</si>
  <si>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</si>
  <si>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</si>
  <si>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</si>
  <si>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</si>
  <si>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</si>
  <si>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</si>
  <si>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</si>
  <si>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</si>
  <si>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</si>
  <si>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</si>
  <si>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</si>
  <si>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</si>
  <si>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</si>
  <si>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</si>
  <si>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</si>
  <si>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</si>
  <si>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</si>
  <si>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</si>
  <si>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</si>
  <si>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</si>
  <si>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</si>
  <si>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</si>
  <si>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</si>
  <si>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</si>
  <si>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</si>
  <si>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Francisco Hornauer</t>
  </si>
  <si>
    <t>francisco@routinguc.com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</si>
</sst>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ancisco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5" sqref="C5"/>
    </sheetView>
  </sheetViews>
  <sheetFormatPr baseColWidth="10" defaultRowHeight="14.4" x14ac:dyDescent="0.3"/>
  <sheetData>
    <row r="1" spans="2:4" ht="15" thickBot="1" x14ac:dyDescent="0.35"/>
    <row r="2" spans="2:4" ht="15" thickBot="1" x14ac:dyDescent="0.35">
      <c r="B2" s="78" t="s">
        <v>74</v>
      </c>
      <c r="C2" s="79"/>
      <c r="D2" s="80"/>
    </row>
    <row r="3" spans="2:4" x14ac:dyDescent="0.3">
      <c r="B3" s="76" t="s">
        <v>75</v>
      </c>
      <c r="C3" s="81" t="s">
        <v>77</v>
      </c>
      <c r="D3" s="82"/>
    </row>
    <row r="4" spans="2:4" ht="15" thickBot="1" x14ac:dyDescent="0.35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08D02EDC-07FF-4B01-8F29-1321BFA54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M28" sqref="M28"/>
    </sheetView>
  </sheetViews>
  <sheetFormatPr baseColWidth="10" defaultColWidth="11.44140625" defaultRowHeight="14.4" x14ac:dyDescent="0.3"/>
  <cols>
    <col min="1" max="14" width="11.5546875" customWidth="1"/>
    <col min="15" max="34" width="11.44140625" style="34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0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-9970200</v>
      </c>
      <c r="BA7" s="34">
        <f>AZ7-AY7*10</f>
        <v>-9970210</v>
      </c>
      <c r="BB7" s="34">
        <f>BA7+N23</f>
        <v>-9970208</v>
      </c>
    </row>
    <row r="8" spans="2:54" x14ac:dyDescent="0.3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4</v>
      </c>
      <c r="F8" s="9">
        <f t="shared" si="3"/>
        <v>2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-70020409</v>
      </c>
    </row>
    <row r="9" spans="2:54" x14ac:dyDescent="0.3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4</v>
      </c>
      <c r="F9" s="13">
        <f t="shared" si="3"/>
        <v>3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2</v>
      </c>
      <c r="M9" s="22">
        <v>2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-40000506</v>
      </c>
    </row>
    <row r="10" spans="2:54" x14ac:dyDescent="0.3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5</v>
      </c>
      <c r="F10" s="50">
        <f t="shared" si="3"/>
        <v>5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-40010407</v>
      </c>
    </row>
    <row r="11" spans="2:54" ht="15" thickBot="1" x14ac:dyDescent="0.35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2</v>
      </c>
      <c r="F11" s="54">
        <f t="shared" si="3"/>
        <v>5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2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5" thickBot="1" x14ac:dyDescent="0.35">
      <c r="I12" s="26">
        <f>I10+16</f>
        <v>34</v>
      </c>
      <c r="J12" s="27">
        <v>44894</v>
      </c>
      <c r="K12" s="28" t="s">
        <v>13</v>
      </c>
      <c r="L12" s="32">
        <v>1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14" ht="15" thickBot="1" x14ac:dyDescent="0.35"/>
    <row r="22" spans="2:1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2</v>
      </c>
      <c r="N23" s="35">
        <f>IF(J23="",0,M23)</f>
        <v>2</v>
      </c>
    </row>
    <row r="24" spans="2:1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1</v>
      </c>
      <c r="N24" s="35">
        <f>IF(J24="",0,M24)</f>
        <v>1</v>
      </c>
    </row>
    <row r="25" spans="2:1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4</v>
      </c>
      <c r="N25" s="35">
        <f>IF(J25="",0,M25)</f>
        <v>4</v>
      </c>
    </row>
    <row r="26" spans="2:1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3</v>
      </c>
      <c r="N26" s="35">
        <f>IF(J26="",0,M26)</f>
        <v>3</v>
      </c>
    </row>
    <row r="27" spans="2:1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29" sqref="M29"/>
    </sheetView>
  </sheetViews>
  <sheetFormatPr baseColWidth="10" defaultColWidth="11.44140625" defaultRowHeight="14.4" x14ac:dyDescent="0.3"/>
  <cols>
    <col min="1" max="14" width="11.554687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29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1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Inglaterra</v>
      </c>
      <c r="AW7" s="34" t="str">
        <f>IF(AZ7=AZ8,AV8,IF(AZ7=AZ9,AV9,IF(AZ7=AZ10,AV10,"")))</f>
        <v>Gales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-50020600</v>
      </c>
      <c r="BA7" s="34">
        <f>AZ7-AY7*10</f>
        <v>-50020600</v>
      </c>
      <c r="BB7" s="34">
        <f>BA7+N23</f>
        <v>-50020599</v>
      </c>
    </row>
    <row r="8" spans="2:54" x14ac:dyDescent="0.3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5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2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0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-30000500</v>
      </c>
      <c r="BA8" s="34">
        <f t="shared" ref="BA8:BA10" si="10">AZ8-AY8*10</f>
        <v>-30000510</v>
      </c>
      <c r="BB8" s="34">
        <f>BA8+N24</f>
        <v>-30000508</v>
      </c>
    </row>
    <row r="9" spans="2:54" x14ac:dyDescent="0.3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3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-9960300</v>
      </c>
      <c r="BA9" s="34">
        <f t="shared" si="10"/>
        <v>-9960310</v>
      </c>
      <c r="BB9" s="34">
        <f>BA9+N25</f>
        <v>-9960306</v>
      </c>
    </row>
    <row r="10" spans="2:54" x14ac:dyDescent="0.3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2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2</v>
      </c>
      <c r="AR10" s="34">
        <f>SUMIF($K$7:$K$12,AO10,$L$7:$L$12) + SUMIF($N$7:$N$12,AO10,$M$7:$M$12)</f>
        <v>6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>Inglaterra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-50020600</v>
      </c>
      <c r="BA10" s="34">
        <f t="shared" si="10"/>
        <v>-50020600</v>
      </c>
      <c r="BB10" s="34">
        <f>BA10+N26</f>
        <v>-50020597</v>
      </c>
    </row>
    <row r="11" spans="2:54" ht="15" thickBot="1" x14ac:dyDescent="0.35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4</v>
      </c>
      <c r="N25" s="35">
        <f>IF(J25="",0,M25)</f>
        <v>4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3</v>
      </c>
      <c r="N26" s="35">
        <f>IF(J26="",0,M26)</f>
        <v>3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13" sqref="M13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34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1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-29990300</v>
      </c>
      <c r="BA8" s="34">
        <f t="shared" ref="BA8:BA10" si="10">AZ8-AY8*10</f>
        <v>-29990310</v>
      </c>
      <c r="BB8" s="34">
        <f>BA8+N24</f>
        <v>-29990308</v>
      </c>
    </row>
    <row r="9" spans="2:54" x14ac:dyDescent="0.3">
      <c r="B9" s="11">
        <v>2</v>
      </c>
      <c r="C9" s="12" t="str">
        <f t="shared" si="0"/>
        <v>Arabia Saudita</v>
      </c>
      <c r="D9" s="13">
        <f t="shared" si="0"/>
        <v>4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2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37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4</v>
      </c>
      <c r="AS9" s="34">
        <f t="shared" si="6"/>
        <v>7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-9970400</v>
      </c>
      <c r="BA9" s="34">
        <f t="shared" si="10"/>
        <v>-9970410</v>
      </c>
      <c r="BB9" s="34">
        <f>BA9+N25</f>
        <v>-9970407</v>
      </c>
    </row>
    <row r="10" spans="2:54" x14ac:dyDescent="0.3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0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2</v>
      </c>
      <c r="AO10" s="34" t="s">
        <v>38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5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-39990500</v>
      </c>
      <c r="BA10" s="34">
        <f t="shared" si="10"/>
        <v>-39990510</v>
      </c>
      <c r="BB10" s="34">
        <f>BA10+N26</f>
        <v>-39990506</v>
      </c>
    </row>
    <row r="11" spans="2:54" ht="15" thickBot="1" x14ac:dyDescent="0.35">
      <c r="B11" s="52">
        <v>4</v>
      </c>
      <c r="C11" s="53" t="str">
        <f t="shared" si="0"/>
        <v>Polonia</v>
      </c>
      <c r="D11" s="54">
        <f t="shared" si="0"/>
        <v>1</v>
      </c>
      <c r="E11" s="54">
        <f t="shared" si="0"/>
        <v>4</v>
      </c>
      <c r="F11" s="54">
        <f t="shared" si="0"/>
        <v>7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35">
      <c r="I12" s="26">
        <f>I10+16</f>
        <v>38</v>
      </c>
      <c r="J12" s="27">
        <v>44895</v>
      </c>
      <c r="K12" s="28" t="s">
        <v>38</v>
      </c>
      <c r="L12" s="32">
        <v>2</v>
      </c>
      <c r="M12" s="33">
        <v>1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3</v>
      </c>
      <c r="AK12" s="34">
        <f t="shared" si="3"/>
        <v>0</v>
      </c>
      <c r="AL12" s="34" t="str">
        <f t="shared" si="4"/>
        <v>Arabia Saudita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39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4</v>
      </c>
      <c r="AO8" s="34" t="s">
        <v>41</v>
      </c>
      <c r="AP8" s="34">
        <f>SUMIF($K$7:$K$12,AO8,$AJ$7:$AJ$12) + SUMIF($N$7:$N$12,AO8,$AK$7:$AK$12)</f>
        <v>1</v>
      </c>
      <c r="AQ8" s="34">
        <f>AR8-AS8</f>
        <v>-2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-9980300</v>
      </c>
      <c r="BA8" s="34">
        <f t="shared" ref="BA8:BA10" si="10">AZ8-AY8*10</f>
        <v>-9980310</v>
      </c>
      <c r="BB8" s="34">
        <f>BA8+N24</f>
        <v>-9980308</v>
      </c>
    </row>
    <row r="9" spans="2:54" x14ac:dyDescent="0.3">
      <c r="B9" s="11">
        <v>2</v>
      </c>
      <c r="C9" s="12" t="str">
        <f t="shared" si="0"/>
        <v>Tunez</v>
      </c>
      <c r="D9" s="13">
        <f t="shared" si="0"/>
        <v>4</v>
      </c>
      <c r="E9" s="13">
        <f t="shared" si="0"/>
        <v>3</v>
      </c>
      <c r="F9" s="13">
        <f t="shared" si="0"/>
        <v>5</v>
      </c>
      <c r="G9" s="14">
        <f t="shared" si="0"/>
        <v>-2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2</v>
      </c>
      <c r="AO9" s="34" t="s">
        <v>42</v>
      </c>
      <c r="AP9" s="34">
        <f>SUMIF($K$7:$K$12,AO9,$AJ$7:$AJ$12) + SUMIF($N$7:$N$12,AO9,$AK$7:$AK$12)</f>
        <v>4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-39980300</v>
      </c>
      <c r="BA9" s="34">
        <f t="shared" si="10"/>
        <v>-39980310</v>
      </c>
      <c r="BB9" s="34">
        <f>BA9+N25</f>
        <v>-39980307</v>
      </c>
    </row>
    <row r="10" spans="2:54" x14ac:dyDescent="0.3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4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-29990400</v>
      </c>
      <c r="BA10" s="34">
        <f t="shared" si="10"/>
        <v>-29990410</v>
      </c>
      <c r="BB10" s="34">
        <f>BA10+N26</f>
        <v>-29990406</v>
      </c>
    </row>
    <row r="11" spans="2:54" ht="15" thickBot="1" x14ac:dyDescent="0.35">
      <c r="B11" s="52">
        <v>4</v>
      </c>
      <c r="C11" s="53" t="str">
        <f t="shared" si="0"/>
        <v>Dinamarca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35">
      <c r="I12" s="26">
        <f>I10+16</f>
        <v>40</v>
      </c>
      <c r="J12" s="27">
        <v>44895</v>
      </c>
      <c r="K12" s="28" t="s">
        <v>43</v>
      </c>
      <c r="L12" s="32">
        <v>2</v>
      </c>
      <c r="M12" s="33">
        <v>1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3</v>
      </c>
      <c r="AK12" s="34">
        <f t="shared" si="3"/>
        <v>0</v>
      </c>
      <c r="AL12" s="34" t="str">
        <f t="shared" si="4"/>
        <v>Australia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3" sqref="M13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70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1</v>
      </c>
      <c r="AR7" s="34">
        <f>SUMIF($K$7:$K$12,AO7,$L$7:$L$12) + SUMIF($N$7:$N$12,AO7,$M$7:$M$12)</f>
        <v>6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-40010600</v>
      </c>
      <c r="BA7" s="34">
        <f>AZ7-AY7*10</f>
        <v>-40010610</v>
      </c>
      <c r="BB7" s="34">
        <f>BA7+N23</f>
        <v>-40010609</v>
      </c>
    </row>
    <row r="8" spans="2:54" x14ac:dyDescent="0.3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3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-90030700</v>
      </c>
      <c r="BA8" s="34">
        <f t="shared" ref="BA8:BA10" si="10">AZ8-AY8*10</f>
        <v>-90030710</v>
      </c>
      <c r="BB8" s="34">
        <f>BA8+N24</f>
        <v>-90030708</v>
      </c>
    </row>
    <row r="9" spans="2:54" x14ac:dyDescent="0.3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-19990300</v>
      </c>
      <c r="BA9" s="34">
        <f t="shared" si="10"/>
        <v>-19990310</v>
      </c>
      <c r="BB9" s="34">
        <f>BA9+N25</f>
        <v>-19990307</v>
      </c>
    </row>
    <row r="10" spans="2:54" x14ac:dyDescent="0.3">
      <c r="B10" s="48">
        <v>3</v>
      </c>
      <c r="C10" s="49" t="str">
        <f t="shared" si="0"/>
        <v>Japon</v>
      </c>
      <c r="D10" s="50">
        <f t="shared" si="0"/>
        <v>2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" thickBot="1" x14ac:dyDescent="0.35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35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23" sqref="M23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71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>Marruecos</v>
      </c>
      <c r="AX7" s="34" t="str">
        <f>IF(AW7="","",IFERROR(VLOOKUP(CONCATENATE(AV7,"_",AW7),$AI$7:$AL$16,4,FALSE),VLOOKUP(CONCATENATE(AW7,"_",AV7),$AI$7:$AL$16,4,FALSE)))</f>
        <v>Belgica</v>
      </c>
      <c r="AY7" s="34">
        <f>IF(AX7="",1,IF(AX7=AV7,1,0))</f>
        <v>1</v>
      </c>
      <c r="AZ7" s="34">
        <f>-AP7*10000000 - AQ7*10000 - AR7*100</f>
        <v>-60010400</v>
      </c>
      <c r="BA7" s="34">
        <f>AZ7-AY7*10</f>
        <v>-60010410</v>
      </c>
      <c r="BB7" s="34">
        <f>BA7+N23</f>
        <v>-60010409</v>
      </c>
    </row>
    <row r="8" spans="2:54" x14ac:dyDescent="0.3">
      <c r="B8" s="7">
        <v>1</v>
      </c>
      <c r="C8" s="8" t="str">
        <f t="shared" ref="C8:G11" si="0">IFERROR(VLOOKUP($B8,$AN$7:$AS$11,C$5,FALSE),"")</f>
        <v>Croacia</v>
      </c>
      <c r="D8" s="9">
        <f t="shared" si="0"/>
        <v>6</v>
      </c>
      <c r="E8" s="9">
        <f t="shared" si="0"/>
        <v>6</v>
      </c>
      <c r="F8" s="9">
        <f t="shared" si="0"/>
        <v>4</v>
      </c>
      <c r="G8" s="10">
        <f t="shared" si="0"/>
        <v>2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3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0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>Belgica</v>
      </c>
      <c r="AX9" s="34" t="str">
        <f>IF(AW9="","",IFERROR(VLOOKUP(CONCATENATE(AV9,"_",AW9),$AI$7:$AL$16,4,FALSE),VLOOKUP(CONCATENATE(AW9,"_",AV9),$AI$7:$AL$16,4,FALSE)))</f>
        <v>Belgica</v>
      </c>
      <c r="AY9" s="34">
        <f t="shared" si="8"/>
        <v>0</v>
      </c>
      <c r="AZ9" s="34">
        <f t="shared" si="9"/>
        <v>-60010400</v>
      </c>
      <c r="BA9" s="34">
        <f t="shared" si="10"/>
        <v>-60010400</v>
      </c>
      <c r="BB9" s="34">
        <f>BA9+N25</f>
        <v>-60010397</v>
      </c>
    </row>
    <row r="10" spans="2:54" x14ac:dyDescent="0.3">
      <c r="B10" s="48">
        <v>3</v>
      </c>
      <c r="C10" s="49" t="str">
        <f t="shared" si="0"/>
        <v>Marruecos</v>
      </c>
      <c r="D10" s="50">
        <f t="shared" si="0"/>
        <v>6</v>
      </c>
      <c r="E10" s="50">
        <f t="shared" si="0"/>
        <v>4</v>
      </c>
      <c r="F10" s="50">
        <f t="shared" si="0"/>
        <v>3</v>
      </c>
      <c r="G10" s="51">
        <f t="shared" si="0"/>
        <v>1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3</v>
      </c>
      <c r="AS10" s="34">
        <f>SUMIF($K$7:$K$12,AO10,$M$7:$M$12) + SUMIF($N$7:$N$12,AO10,$L$7:$L$12)</f>
        <v>7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39700</v>
      </c>
      <c r="BA10" s="34">
        <f t="shared" si="10"/>
        <v>39690</v>
      </c>
      <c r="BB10" s="34">
        <f>BA10+N26</f>
        <v>39694</v>
      </c>
    </row>
    <row r="11" spans="2:54" ht="15" thickBot="1" x14ac:dyDescent="0.3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5" thickBot="1" x14ac:dyDescent="0.35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2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7" sqref="M17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72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3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9</v>
      </c>
      <c r="AS7" s="34">
        <f>SUMIF($K$7:$K$12,AO7,$M$7:$M$12) + SUMIF($N$7:$N$12,AO7,$L$7:$L$12)</f>
        <v>4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-90050900</v>
      </c>
      <c r="BA7" s="34">
        <f>AZ7-AY7*10</f>
        <v>-90050910</v>
      </c>
      <c r="BB7" s="34">
        <f>BA7+N23</f>
        <v>-90050909</v>
      </c>
    </row>
    <row r="8" spans="2:54" x14ac:dyDescent="0.3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4</v>
      </c>
      <c r="G8" s="10">
        <f t="shared" si="0"/>
        <v>5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-29980500</v>
      </c>
      <c r="BA8" s="34">
        <f t="shared" ref="BA8:BA10" si="10">AZ8-AY8*10</f>
        <v>-29980510</v>
      </c>
      <c r="BB8" s="34">
        <f>BA8+N24</f>
        <v>-29980508</v>
      </c>
    </row>
    <row r="9" spans="2:54" x14ac:dyDescent="0.3">
      <c r="B9" s="11">
        <v>2</v>
      </c>
      <c r="C9" s="12" t="str">
        <f t="shared" si="0"/>
        <v>Camerun</v>
      </c>
      <c r="D9" s="13">
        <f t="shared" si="0"/>
        <v>6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3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5</v>
      </c>
      <c r="F10" s="50">
        <f t="shared" si="0"/>
        <v>7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2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2</v>
      </c>
      <c r="AO10" s="34" t="s">
        <v>54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6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-60010600</v>
      </c>
      <c r="BA10" s="34">
        <f t="shared" si="10"/>
        <v>-60010610</v>
      </c>
      <c r="BB10" s="34">
        <f>BA10+N26</f>
        <v>-60010606</v>
      </c>
    </row>
    <row r="11" spans="2:54" ht="15" thickBot="1" x14ac:dyDescent="0.35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2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" thickBot="1" x14ac:dyDescent="0.3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topLeftCell="A10" workbookViewId="0">
      <selection activeCell="L14" sqref="L14"/>
    </sheetView>
  </sheetViews>
  <sheetFormatPr baseColWidth="10" defaultColWidth="11.44140625" defaultRowHeight="14.4" x14ac:dyDescent="0.3"/>
  <cols>
    <col min="1" max="2" width="11.5546875" customWidth="1"/>
    <col min="3" max="3" width="13.6640625" bestFit="1" customWidth="1"/>
    <col min="4" max="10" width="11.5546875"/>
    <col min="11" max="11" width="13.6640625" bestFit="1" customWidth="1"/>
    <col min="12" max="13" width="11.5546875"/>
    <col min="14" max="14" width="13.6640625" bestFit="1" customWidth="1"/>
    <col min="15" max="34" width="13.6640625" customWidth="1"/>
    <col min="35" max="35" width="20" style="34" bestFit="1" customWidth="1"/>
    <col min="36" max="46" width="11.44140625" style="34"/>
    <col min="47" max="47" width="10.44140625" style="34" bestFit="1" customWidth="1"/>
    <col min="48" max="48" width="13.6640625" style="34" bestFit="1" customWidth="1"/>
    <col min="49" max="49" width="10.44140625" style="34" bestFit="1" customWidth="1"/>
    <col min="50" max="50" width="9.88671875" style="34" bestFit="1" customWidth="1"/>
    <col min="51" max="51" width="13" style="34" bestFit="1" customWidth="1"/>
    <col min="52" max="52" width="29.88671875" style="34" bestFit="1" customWidth="1"/>
    <col min="53" max="53" width="25.6640625" style="34" bestFit="1" customWidth="1"/>
    <col min="54" max="54" width="11.44140625" style="34"/>
    <col min="55" max="16384" width="11.44140625" style="35"/>
  </cols>
  <sheetData>
    <row r="2" spans="2:54" ht="15" thickBot="1" x14ac:dyDescent="0.35"/>
    <row r="3" spans="2:54" x14ac:dyDescent="0.3">
      <c r="B3" s="91" t="s">
        <v>73</v>
      </c>
      <c r="C3" s="92"/>
      <c r="D3" s="92"/>
      <c r="E3" s="92"/>
      <c r="F3" s="92"/>
      <c r="G3" s="93"/>
    </row>
    <row r="4" spans="2:54" ht="15" thickBot="1" x14ac:dyDescent="0.35">
      <c r="B4" s="94"/>
      <c r="C4" s="95"/>
      <c r="D4" s="95"/>
      <c r="E4" s="95"/>
      <c r="F4" s="95"/>
      <c r="G4" s="96"/>
    </row>
    <row r="5" spans="2:54" ht="15" thickBot="1" x14ac:dyDescent="0.3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35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3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2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-40000400</v>
      </c>
      <c r="BA7" s="34">
        <f>AZ7-AY7*10</f>
        <v>-40000410</v>
      </c>
      <c r="BB7" s="34">
        <f>BA7+N23</f>
        <v>-40000409</v>
      </c>
    </row>
    <row r="8" spans="2:54" x14ac:dyDescent="0.3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8</v>
      </c>
      <c r="F8" s="9">
        <f t="shared" si="0"/>
        <v>5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-90030800</v>
      </c>
      <c r="BA8" s="34">
        <f t="shared" ref="BA8:BA10" si="10">AZ8-AY8*10</f>
        <v>-90030810</v>
      </c>
      <c r="BB8" s="34">
        <f>BA8+N24</f>
        <v>-90030808</v>
      </c>
    </row>
    <row r="9" spans="2:54" x14ac:dyDescent="0.3">
      <c r="B9" s="11">
        <v>2</v>
      </c>
      <c r="C9" s="12" t="str">
        <f t="shared" si="0"/>
        <v>Portugal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2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5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-19990500</v>
      </c>
      <c r="BA9" s="34">
        <f t="shared" si="10"/>
        <v>-19990510</v>
      </c>
      <c r="BB9" s="34">
        <f>BA9+N25</f>
        <v>-19990507</v>
      </c>
    </row>
    <row r="10" spans="2:54" x14ac:dyDescent="0.3">
      <c r="B10" s="48">
        <v>3</v>
      </c>
      <c r="C10" s="49" t="str">
        <f t="shared" si="0"/>
        <v>Corea</v>
      </c>
      <c r="D10" s="50">
        <f t="shared" si="0"/>
        <v>2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5</v>
      </c>
      <c r="AS10" s="34">
        <f>SUMIF($K$7:$K$12,AO10,$M$7:$M$12) + SUMIF($N$7:$N$12,AO10,$L$7:$L$12)</f>
        <v>7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-9980500</v>
      </c>
      <c r="BA10" s="34">
        <f t="shared" si="10"/>
        <v>-9980510</v>
      </c>
      <c r="BB10" s="34">
        <f>BA10+N26</f>
        <v>-9980506</v>
      </c>
    </row>
    <row r="11" spans="2:54" ht="15" thickBot="1" x14ac:dyDescent="0.35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5</v>
      </c>
      <c r="F11" s="54">
        <f t="shared" si="0"/>
        <v>7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3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3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">
      <c r="AI13" s="2"/>
    </row>
    <row r="14" spans="2:54" x14ac:dyDescent="0.3">
      <c r="AI14" s="2"/>
    </row>
    <row r="15" spans="2:54" x14ac:dyDescent="0.3">
      <c r="AI15" s="2"/>
    </row>
    <row r="16" spans="2:54" x14ac:dyDescent="0.3">
      <c r="AI16" s="2"/>
    </row>
    <row r="21" spans="2:34" ht="15" thickBot="1" x14ac:dyDescent="0.35"/>
    <row r="22" spans="2:34" ht="15" thickBot="1" x14ac:dyDescent="0.3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3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3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B1" workbookViewId="0">
      <selection activeCell="T29" sqref="T28:T29"/>
    </sheetView>
  </sheetViews>
  <sheetFormatPr baseColWidth="10" defaultRowHeight="14.4" x14ac:dyDescent="0.3"/>
  <cols>
    <col min="3" max="3" width="11.33203125" bestFit="1" customWidth="1"/>
    <col min="4" max="4" width="9.109375" bestFit="1" customWidth="1"/>
    <col min="9" max="9" width="9.109375" bestFit="1" customWidth="1"/>
    <col min="14" max="14" width="9.109375" bestFit="1" customWidth="1"/>
  </cols>
  <sheetData>
    <row r="1" spans="2:19" ht="15" thickBot="1" x14ac:dyDescent="0.35"/>
    <row r="2" spans="2:19" ht="15" thickBot="1" x14ac:dyDescent="0.35">
      <c r="B2" s="106" t="s">
        <v>69</v>
      </c>
      <c r="C2" s="107"/>
      <c r="D2" s="108"/>
    </row>
    <row r="3" spans="2:19" ht="15" thickBot="1" x14ac:dyDescent="0.35"/>
    <row r="4" spans="2:19" ht="15" thickBot="1" x14ac:dyDescent="0.35">
      <c r="G4" s="106" t="s">
        <v>59</v>
      </c>
      <c r="H4" s="107"/>
      <c r="I4" s="108"/>
    </row>
    <row r="5" spans="2:19" ht="15" thickBot="1" x14ac:dyDescent="0.35">
      <c r="B5" s="56">
        <v>49</v>
      </c>
      <c r="C5" s="57" t="s">
        <v>61</v>
      </c>
      <c r="D5" s="58" t="s">
        <v>62</v>
      </c>
    </row>
    <row r="6" spans="2:19" ht="15" thickBot="1" x14ac:dyDescent="0.35">
      <c r="B6" s="59" t="str">
        <f>'GRUPO A'!C8</f>
        <v>Holanda</v>
      </c>
      <c r="C6" s="60">
        <v>2</v>
      </c>
      <c r="D6" s="61"/>
    </row>
    <row r="7" spans="2:19" ht="15" thickBot="1" x14ac:dyDescent="0.35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35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" thickBot="1" x14ac:dyDescent="0.3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" thickBot="1" x14ac:dyDescent="0.35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35">
      <c r="B11" s="62" t="str">
        <f>'GRUPO D'!C9</f>
        <v>Tunez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35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5" thickBot="1" x14ac:dyDescent="0.3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1</v>
      </c>
      <c r="N13" s="64"/>
      <c r="O13" s="65"/>
    </row>
    <row r="14" spans="2:19" ht="15" thickBot="1" x14ac:dyDescent="0.35">
      <c r="B14" s="59" t="str">
        <f>'GRUPO E'!C8</f>
        <v>Alemania</v>
      </c>
      <c r="C14" s="60">
        <v>3</v>
      </c>
      <c r="D14" s="61"/>
      <c r="J14" s="66"/>
      <c r="O14" s="66"/>
    </row>
    <row r="15" spans="2:19" ht="15" thickBot="1" x14ac:dyDescent="0.35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35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06" t="s">
        <v>63</v>
      </c>
      <c r="R16" s="107"/>
      <c r="S16" s="108"/>
    </row>
    <row r="17" spans="2:23" ht="15" thickBot="1" x14ac:dyDescent="0.3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1</v>
      </c>
      <c r="I17" s="64"/>
      <c r="O17" s="66"/>
    </row>
    <row r="18" spans="2:23" ht="15" thickBot="1" x14ac:dyDescent="0.35">
      <c r="B18" s="59" t="str">
        <f>'GRUPO G'!C8</f>
        <v>Brasil</v>
      </c>
      <c r="C18" s="60">
        <v>3</v>
      </c>
      <c r="D18" s="61"/>
      <c r="E18" s="69"/>
      <c r="O18" s="66"/>
    </row>
    <row r="19" spans="2:23" ht="15" thickBot="1" x14ac:dyDescent="0.35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35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" thickBot="1" x14ac:dyDescent="0.3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5" thickBot="1" x14ac:dyDescent="0.35">
      <c r="B22" s="59" t="str">
        <f>'GRUPO B'!C8</f>
        <v>Inglaterra</v>
      </c>
      <c r="C22" s="60">
        <v>3</v>
      </c>
      <c r="D22" s="61"/>
      <c r="O22" s="66"/>
    </row>
    <row r="23" spans="2:23" ht="15" thickBot="1" x14ac:dyDescent="0.35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" thickBot="1" x14ac:dyDescent="0.35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" thickBot="1" x14ac:dyDescent="0.3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Inglaterra</v>
      </c>
    </row>
    <row r="26" spans="2:23" ht="15" thickBot="1" x14ac:dyDescent="0.35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5" thickBot="1" x14ac:dyDescent="0.35">
      <c r="B27" s="62" t="str">
        <f>'GRUPO C'!C9</f>
        <v>Arabia Saudita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35">
      <c r="J28" s="66"/>
      <c r="L28" s="59" t="str">
        <f>IF(H25&gt;H24,G25,IF(H24&gt;H25,G24,IF(I25&gt;I24,G25,IF(I24&gt;I25,G24,""))))</f>
        <v>Inglaterra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3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España</v>
      </c>
      <c r="M29" s="63">
        <v>1</v>
      </c>
      <c r="N29" s="64"/>
      <c r="Q29" s="59" t="str">
        <f>IF(Q20=L12,L13,IF(Q20=L13,L12,""))</f>
        <v>Alemania</v>
      </c>
      <c r="R29" s="60">
        <v>1</v>
      </c>
      <c r="S29" s="61"/>
    </row>
    <row r="30" spans="2:23" ht="15" thickBot="1" x14ac:dyDescent="0.35">
      <c r="B30" s="59" t="str">
        <f>'GRUPO F'!C8</f>
        <v>Croacia</v>
      </c>
      <c r="C30" s="60">
        <v>1</v>
      </c>
      <c r="D30" s="61"/>
      <c r="J30" s="66"/>
      <c r="Q30" s="62" t="str">
        <f>IF(Q21=L28,L29,IF(Q21=L29,L28,""))</f>
        <v>España</v>
      </c>
      <c r="R30" s="63">
        <v>0</v>
      </c>
      <c r="S30" s="64"/>
    </row>
    <row r="31" spans="2:23" ht="15" thickBot="1" x14ac:dyDescent="0.35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35">
      <c r="E32" s="66"/>
      <c r="G32" s="59" t="str">
        <f>IF(C31&gt;C30,B31,IF(C30&gt;C31,B30,IF(D31&gt;D30,B31,IF(D30&gt;D31,B30,""))))</f>
        <v>España</v>
      </c>
      <c r="H32" s="60">
        <v>2</v>
      </c>
      <c r="I32" s="61"/>
      <c r="J32" s="69"/>
    </row>
    <row r="33" spans="2:9" ht="15" thickBot="1" x14ac:dyDescent="0.3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3">
      <c r="B34" s="59" t="str">
        <f>'GRUPO H'!C8</f>
        <v>Uruguay</v>
      </c>
      <c r="C34" s="60">
        <v>2</v>
      </c>
      <c r="D34" s="61"/>
      <c r="E34" s="69"/>
    </row>
    <row r="35" spans="2:9" ht="15" thickBot="1" x14ac:dyDescent="0.35">
      <c r="B35" s="62" t="str">
        <f>'GRUPO G'!C9</f>
        <v>Camerun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Francisco Hornauer</cp:lastModifiedBy>
  <dcterms:created xsi:type="dcterms:W3CDTF">2022-11-02T00:22:23Z</dcterms:created>
  <dcterms:modified xsi:type="dcterms:W3CDTF">2022-11-18T18:18:41Z</dcterms:modified>
</cp:coreProperties>
</file>