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1 Personal Routing\"/>
    </mc:Choice>
  </mc:AlternateContent>
  <xr:revisionPtr revIDLastSave="0" documentId="8_{825A2140-9110-47C6-8B9F-7EC5251AC0FF}" xr6:coauthVersionLast="47" xr6:coauthVersionMax="47" xr10:uidLastSave="{00000000-0000-0000-0000-000000000000}"/>
  <bookViews>
    <workbookView xWindow="-120" yWindow="-120" windowWidth="20730" windowHeight="1116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definedNames>
    <definedName name="_xlnm._FilterDatabase" localSheetId="1" hidden="1">'GRUPO B'!$H$32:$H$80</definedName>
    <definedName name="_xlnm._FilterDatabase" localSheetId="2" hidden="1">'GRUPO B'!$H$32:$H$80</definedName>
    <definedName name="_xlnm._FilterDatabase" localSheetId="3" hidden="1">'GRUPO H'!$I$77:$Q$82</definedName>
    <definedName name="_xlnm._FilterDatabase" localSheetId="4" hidden="1">'GRUPO H'!$I$77:$Q$82</definedName>
    <definedName name="_xlnm._FilterDatabase" localSheetId="5" hidden="1">'GRUPO H'!$I$77:$Q$82</definedName>
    <definedName name="_xlnm._FilterDatabase" localSheetId="6" hidden="1">'GRUPO H'!$I$77:$Q$82</definedName>
    <definedName name="_xlnm._FilterDatabase" localSheetId="7" hidden="1">'GRUPO H'!$I$34:$Q$82</definedName>
    <definedName name="_xlnm._FilterDatabase" localSheetId="8" hidden="1">'GRUPO H'!$I$34:$Q$82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4" l="1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L12" i="15"/>
  <c r="AM12" i="15" s="1"/>
  <c r="AL11" i="15"/>
  <c r="AX10" i="15"/>
  <c r="AU10" i="15"/>
  <c r="AT10" i="15"/>
  <c r="AL10" i="15"/>
  <c r="AM10" i="15" s="1"/>
  <c r="AN10" i="15" s="1"/>
  <c r="AX9" i="15"/>
  <c r="AU9" i="15"/>
  <c r="AT9" i="15"/>
  <c r="AL9" i="15"/>
  <c r="AX8" i="15"/>
  <c r="AU8" i="15"/>
  <c r="AT8" i="15"/>
  <c r="AL8" i="15"/>
  <c r="AX7" i="15"/>
  <c r="AU7" i="15"/>
  <c r="AT7" i="15"/>
  <c r="AL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R7" i="15" l="1"/>
  <c r="AQ10" i="14"/>
  <c r="AP10" i="12"/>
  <c r="AP10" i="11"/>
  <c r="AP9" i="2"/>
  <c r="AS8" i="15"/>
  <c r="AS7" i="15"/>
  <c r="AS9" i="15"/>
  <c r="AS10" i="15"/>
  <c r="AM11" i="15"/>
  <c r="AR8" i="15" s="1"/>
  <c r="BB8" i="15" s="1"/>
  <c r="AM8" i="15"/>
  <c r="AN8" i="15" s="1"/>
  <c r="AN12" i="15"/>
  <c r="AM7" i="15"/>
  <c r="AM9" i="15"/>
  <c r="AN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BB7" i="15" l="1"/>
  <c r="AZ8" i="14"/>
  <c r="AZ8" i="13"/>
  <c r="AP10" i="13"/>
  <c r="AZ10" i="13" s="1"/>
  <c r="AZ7" i="12"/>
  <c r="AZ9" i="12"/>
  <c r="AZ10" i="12"/>
  <c r="AZ8" i="11"/>
  <c r="AZ10" i="11"/>
  <c r="AZ9" i="11"/>
  <c r="AZ9" i="2"/>
  <c r="AR10" i="15"/>
  <c r="BB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R9" i="15"/>
  <c r="BB9" i="15" s="1"/>
  <c r="AN11" i="15"/>
  <c r="AN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10" i="12"/>
  <c r="AX10" i="12" s="1"/>
  <c r="AY10" i="12" s="1"/>
  <c r="BA10" i="12" s="1"/>
  <c r="BB10" i="12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Y10" i="15"/>
  <c r="AZ10" i="15" s="1"/>
  <c r="BA10" i="15" s="1"/>
  <c r="BC10" i="15" s="1"/>
  <c r="BD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Y7" i="15"/>
  <c r="AZ7" i="15" s="1"/>
  <c r="BA7" i="15" s="1"/>
  <c r="BC7" i="15" s="1"/>
  <c r="BD7" i="15" s="1"/>
  <c r="AY9" i="15"/>
  <c r="AZ9" i="15" s="1"/>
  <c r="BA9" i="15" s="1"/>
  <c r="BC9" i="15" s="1"/>
  <c r="BD9" i="15" s="1"/>
  <c r="AY8" i="15"/>
  <c r="AZ8" i="15" s="1"/>
  <c r="BA8" i="15" s="1"/>
  <c r="BC8" i="15" s="1"/>
  <c r="BD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P9" i="15"/>
  <c r="AP8" i="15"/>
  <c r="AP7" i="15"/>
  <c r="AP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E8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G8" i="12"/>
  <c r="F8" i="12"/>
  <c r="D8" i="12"/>
  <c r="G8" i="11"/>
  <c r="G11" i="11"/>
  <c r="G10" i="11"/>
  <c r="E10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<sst xmlns="http://schemas.openxmlformats.org/spreadsheetml/2006/main" count="454" uniqueCount="79">
  <si>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</si>
  <si>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</si>
  <si>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</si>
  <si>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</si>
  <si>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</si>
  <si>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</si>
  <si>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</si>
  <si>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</si>
  <si>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</si>
  <si>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</si>
  <si>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</si>
  <si>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</si>
  <si>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</si>
  <si>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</si>
  <si>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</si>
  <si>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</si>
  <si>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</si>
  <si>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</si>
  <si>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</si>
  <si>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</si>
  <si>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</si>
  <si>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</si>
  <si>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</si>
  <si>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</si>
  <si>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</si>
  <si>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</si>
  <si>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</si>
  <si>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</si>
  <si>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</si>
  <si>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</si>
  <si>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</si>
  <si>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</si>
  <si>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</si>
  <si>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</si>
  <si>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</si>
  <si>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</si>
  <si>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</si>
  <si>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</si>
  <si>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</si>
  <si>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</si>
  <si>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</si>
  <si>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</si>
  <si>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</si>
  <si>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</si>
  <si>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</si>
  <si>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</si>
  <si>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</si>
  <si>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</si>
  <si>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</si>
  <si>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</si>
  <si>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</si>
  <si>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</si>
  <si>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</si>
  <si>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</si>
  <si>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</si>
  <si>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</si>
  <si>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</si>
  <si>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</si>
  <si>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</si>
  <si>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</si>
  <si>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</si>
  <si>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</si>
  <si>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</si>
  <si>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</si>
  <si>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</si>
  <si>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</si>
  <si>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</si>
  <si>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</si>
  <si>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</si>
  <si>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</si>
  <si>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</si>
  <si>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</si>
  <si>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</si>
  <si>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</si>
  <si>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</si>
  <si>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</si>
  <si>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</si>
  <si>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Guillermo Soto</t>
  </si>
  <si>
    <t>guillermo.soto@routinguc.com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</si>
</sst>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/>
  </cellXfs>
  <cellStyles count="3">
    <cellStyle name="Hyperlink" xfId="2" builtinId="8"/>
    <cellStyle name="Normal" xfId="0" builtinId="0"/>
    <cellStyle name="Normal 2" xfId="1" xr:uid="{A1D0E579-F3D7-41A9-9D71-43C99C008133}"/>
  </cellStyles>
  <dxfs count="100"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illermo.soto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B9" sqref="B9"/>
    </sheetView>
  </sheetViews>
  <sheetFormatPr defaultColWidth="11.42578125" defaultRowHeight="15" x14ac:dyDescent="0.25"/>
  <cols>
    <col min="3" max="3" width="15.28515625" customWidth="1"/>
    <col min="4" max="4" width="14.28515625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C5FE6BF6-6C61-4F99-B25E-6154B9029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C19" workbookViewId="0">
      <selection activeCell="I30" sqref="I30:Q78"/>
    </sheetView>
  </sheetViews>
  <sheetFormatPr defaultColWidth="11.42578125" defaultRowHeight="15" x14ac:dyDescent="0.25"/>
  <cols>
    <col min="15" max="15" width="28.28515625" style="81" bestFit="1" customWidth="1"/>
    <col min="16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2</v>
      </c>
      <c r="M7" s="31">
        <v>0</v>
      </c>
      <c r="N7" s="16" t="s">
        <v>13</v>
      </c>
      <c r="O7" s="82"/>
      <c r="P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3</v>
      </c>
      <c r="AK7" s="34">
        <f>IF(AJ7=3,0,IF(AJ7=1,1,3))</f>
        <v>0</v>
      </c>
      <c r="AL7" s="34" t="str">
        <f t="shared" ref="AL7:AL12" si="2">IF(AJ7&gt;AK7,K7,IF(AK7&gt;AJ7,N7,"SIN GANADOR"))</f>
        <v>Senegal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29900</v>
      </c>
      <c r="BA7" s="34">
        <f>AZ7-AY7*10</f>
        <v>29890</v>
      </c>
      <c r="BB7" s="34">
        <f>BA7+N23</f>
        <v>29894</v>
      </c>
    </row>
    <row r="8" spans="2:54" x14ac:dyDescent="0.25">
      <c r="B8" s="7">
        <v>1</v>
      </c>
      <c r="C8" s="8" t="str">
        <f t="shared" ref="C8:G11" si="3">IFERROR(VLOOKUP($B8,$AN$7:$AS$11,C$5,FALSE),"")</f>
        <v>Senegal</v>
      </c>
      <c r="D8" s="9">
        <f t="shared" si="3"/>
        <v>6</v>
      </c>
      <c r="E8" s="9">
        <f t="shared" si="3"/>
        <v>5</v>
      </c>
      <c r="F8" s="9">
        <f t="shared" si="3"/>
        <v>3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1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-60020509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6</v>
      </c>
      <c r="E10" s="50">
        <f t="shared" si="3"/>
        <v>4</v>
      </c>
      <c r="F10" s="50">
        <f t="shared" si="3"/>
        <v>4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-60000400</v>
      </c>
      <c r="BA10" s="34">
        <f t="shared" si="10"/>
        <v>-60000410</v>
      </c>
      <c r="BB10" s="34">
        <f>BA10+N26</f>
        <v>-60000407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1</v>
      </c>
      <c r="N25" s="35">
        <f>IF(J25="",0,M25)</f>
        <v>1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 N23:P27">
    <cfRule type="expression" dxfId="99" priority="9">
      <formula>J23=""</formula>
    </cfRule>
  </conditionalFormatting>
  <conditionalFormatting sqref="M24:M26">
    <cfRule type="expression" dxfId="98" priority="8">
      <formula>J24=""</formula>
    </cfRule>
  </conditionalFormatting>
  <conditionalFormatting sqref="M25">
    <cfRule type="expression" dxfId="97" priority="7">
      <formula>J25=""</formula>
    </cfRule>
  </conditionalFormatting>
  <conditionalFormatting sqref="B22:H28 J22:M26 N23:P27 Z23:AH27">
    <cfRule type="expression" dxfId="96" priority="10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100-000009000000}">
            <xm:f>'GRUPO H'!O44=""</xm:f>
            <x14:dxf>
              <font>
                <color theme="0"/>
              </font>
            </x14:dxf>
          </x14:cfRule>
          <xm:sqref>Z23:AH27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C1" workbookViewId="0">
      <selection activeCell="I32" sqref="I32:Q80"/>
    </sheetView>
  </sheetViews>
  <sheetFormatPr defaultColWidth="11.42578125" defaultRowHeight="15" x14ac:dyDescent="0.25"/>
  <cols>
    <col min="15" max="15" width="28.28515625" style="78" bestFit="1" customWidth="1"/>
    <col min="16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1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2</v>
      </c>
      <c r="AO7" s="34" t="s">
        <v>30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-60020400</v>
      </c>
      <c r="BA7" s="34">
        <f>AZ7-AY7*10</f>
        <v>-60020410</v>
      </c>
      <c r="BB7" s="34">
        <f>BA7+N23</f>
        <v>-60020409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6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2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1</v>
      </c>
      <c r="AO8" s="34" t="s">
        <v>31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5">
      <c r="B9" s="11">
        <v>2</v>
      </c>
      <c r="C9" s="12" t="str">
        <f t="shared" si="0"/>
        <v>Inglaterra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2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2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2">
        <v>1</v>
      </c>
      <c r="M11" s="22">
        <v>0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3</v>
      </c>
      <c r="AK11" s="34">
        <f t="shared" si="3"/>
        <v>0</v>
      </c>
      <c r="AL11" s="34" t="str">
        <f t="shared" si="4"/>
        <v>Gales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3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M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10">
      <formula>J23=""</formula>
    </cfRule>
  </conditionalFormatting>
  <conditionalFormatting sqref="M24:M26">
    <cfRule type="expression" dxfId="93" priority="9">
      <formula>J24=""</formula>
    </cfRule>
  </conditionalFormatting>
  <conditionalFormatting sqref="M25">
    <cfRule type="expression" dxfId="92" priority="8">
      <formula>J25=""</formula>
    </cfRule>
  </conditionalFormatting>
  <conditionalFormatting sqref="B22:H28 J22:M26">
    <cfRule type="expression" dxfId="91" priority="11">
      <formula>OR($I$22=0,AND($J$20="",$J$21="",$J$22="",$J$23=""))</formula>
    </cfRule>
  </conditionalFormatting>
  <conditionalFormatting sqref="N23:AH27">
    <cfRule type="expression" dxfId="90" priority="6">
      <formula>K23=""</formula>
    </cfRule>
  </conditionalFormatting>
  <conditionalFormatting sqref="N24:AH26">
    <cfRule type="expression" dxfId="89" priority="5">
      <formula>K24=""</formula>
    </cfRule>
  </conditionalFormatting>
  <conditionalFormatting sqref="N25:AH25">
    <cfRule type="expression" dxfId="88" priority="4">
      <formula>K25=""</formula>
    </cfRule>
  </conditionalFormatting>
  <conditionalFormatting sqref="N27:AH27">
    <cfRule type="expression" dxfId="87" priority="3">
      <formula>K27=""</formula>
    </cfRule>
  </conditionalFormatting>
  <conditionalFormatting sqref="N23:AH27">
    <cfRule type="expression" dxfId="86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I32" sqref="I32:Q80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15" width="28.28515625" style="78" bestFit="1" customWidth="1"/>
    <col min="16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-60030600</v>
      </c>
      <c r="BA7" s="34">
        <f>AZ7-AY7*10</f>
        <v>-60030610</v>
      </c>
      <c r="BB7" s="34">
        <f>BA7+N23</f>
        <v>-60030609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6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0</v>
      </c>
      <c r="AK10" s="34">
        <f t="shared" si="3"/>
        <v>3</v>
      </c>
      <c r="AL10" s="34" t="str">
        <f t="shared" si="4"/>
        <v>Mexico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10">
      <formula>J23=""</formula>
    </cfRule>
  </conditionalFormatting>
  <conditionalFormatting sqref="M24:M26">
    <cfRule type="expression" dxfId="84" priority="9">
      <formula>J24=""</formula>
    </cfRule>
  </conditionalFormatting>
  <conditionalFormatting sqref="M25">
    <cfRule type="expression" dxfId="83" priority="8">
      <formula>J25=""</formula>
    </cfRule>
  </conditionalFormatting>
  <conditionalFormatting sqref="B22:H28 J22:M26">
    <cfRule type="expression" dxfId="82" priority="11">
      <formula>OR($I$22=0,AND($J$20="",$J$21="",$J$22="",$J$23=""))</formula>
    </cfRule>
  </conditionalFormatting>
  <conditionalFormatting sqref="N23:AH27">
    <cfRule type="expression" dxfId="81" priority="6">
      <formula>K23=""</formula>
    </cfRule>
  </conditionalFormatting>
  <conditionalFormatting sqref="N24:AH26">
    <cfRule type="expression" dxfId="80" priority="5">
      <formula>K24=""</formula>
    </cfRule>
  </conditionalFormatting>
  <conditionalFormatting sqref="N25:AH25">
    <cfRule type="expression" dxfId="79" priority="4">
      <formula>K25=""</formula>
    </cfRule>
  </conditionalFormatting>
  <conditionalFormatting sqref="N27:AH27">
    <cfRule type="expression" dxfId="78" priority="3">
      <formula>K27=""</formula>
    </cfRule>
  </conditionalFormatting>
  <conditionalFormatting sqref="N23:AH27">
    <cfRule type="expression" dxfId="77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I31" sqref="I31:Q79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5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-90050500</v>
      </c>
      <c r="BA7" s="34">
        <f>AZ7-AY7*10</f>
        <v>-90050510</v>
      </c>
      <c r="BB7" s="34">
        <f>BA7+N23</f>
        <v>-90050509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3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3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10">
      <formula>J23=""</formula>
    </cfRule>
  </conditionalFormatting>
  <conditionalFormatting sqref="M24:M26">
    <cfRule type="expression" dxfId="75" priority="9">
      <formula>J24=""</formula>
    </cfRule>
  </conditionalFormatting>
  <conditionalFormatting sqref="M25">
    <cfRule type="expression" dxfId="74" priority="8">
      <formula>J25=""</formula>
    </cfRule>
  </conditionalFormatting>
  <conditionalFormatting sqref="B22:H28 J22:M26">
    <cfRule type="expression" dxfId="73" priority="11">
      <formula>OR($I$22=0,AND($J$20="",$J$21="",$J$22="",$J$23=""))</formula>
    </cfRule>
  </conditionalFormatting>
  <conditionalFormatting sqref="N23:AH27">
    <cfRule type="expression" dxfId="72" priority="6">
      <formula>K23=""</formula>
    </cfRule>
  </conditionalFormatting>
  <conditionalFormatting sqref="N24:AH26">
    <cfRule type="expression" dxfId="71" priority="5">
      <formula>K24=""</formula>
    </cfRule>
  </conditionalFormatting>
  <conditionalFormatting sqref="N25:AH25">
    <cfRule type="expression" dxfId="70" priority="4">
      <formula>K25=""</formula>
    </cfRule>
  </conditionalFormatting>
  <conditionalFormatting sqref="N27:AH27">
    <cfRule type="expression" dxfId="69" priority="3">
      <formula>K27=""</formula>
    </cfRule>
  </conditionalFormatting>
  <conditionalFormatting sqref="N23:AH27">
    <cfRule type="expression" dxfId="68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D21" workbookViewId="0">
      <selection activeCell="I32" sqref="I32:Q80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15" width="28.28515625" style="78" bestFit="1" customWidth="1"/>
    <col min="16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5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-60010500</v>
      </c>
      <c r="BA7" s="34">
        <f>AZ7-AY7*10</f>
        <v>-60010510</v>
      </c>
      <c r="BB7" s="34">
        <f>BA7+N23</f>
        <v>-60010509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29793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1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10">
      <formula>J23=""</formula>
    </cfRule>
  </conditionalFormatting>
  <conditionalFormatting sqref="M24:M26">
    <cfRule type="expression" dxfId="66" priority="9">
      <formula>J24=""</formula>
    </cfRule>
  </conditionalFormatting>
  <conditionalFormatting sqref="M25">
    <cfRule type="expression" dxfId="65" priority="8">
      <formula>J25=""</formula>
    </cfRule>
  </conditionalFormatting>
  <conditionalFormatting sqref="B22:H28 J22:M26">
    <cfRule type="expression" dxfId="64" priority="11">
      <formula>OR($I$22=0,AND($J$20="",$J$21="",$J$22="",$J$23=""))</formula>
    </cfRule>
  </conditionalFormatting>
  <conditionalFormatting sqref="N23:AH27">
    <cfRule type="expression" dxfId="63" priority="6">
      <formula>K23=""</formula>
    </cfRule>
  </conditionalFormatting>
  <conditionalFormatting sqref="N24:AH26">
    <cfRule type="expression" dxfId="62" priority="5">
      <formula>K24=""</formula>
    </cfRule>
  </conditionalFormatting>
  <conditionalFormatting sqref="N25:AH25">
    <cfRule type="expression" dxfId="61" priority="4">
      <formula>K25=""</formula>
    </cfRule>
  </conditionalFormatting>
  <conditionalFormatting sqref="N27:AH27">
    <cfRule type="expression" dxfId="60" priority="3">
      <formula>K27=""</formula>
    </cfRule>
  </conditionalFormatting>
  <conditionalFormatting sqref="N23:AH27">
    <cfRule type="expression" dxfId="59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D63" workbookViewId="0">
      <selection activeCell="I74" sqref="I74:Q79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15" width="28.28515625" style="78" bestFit="1" customWidth="1"/>
    <col min="16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0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-60020300</v>
      </c>
      <c r="BA7" s="34">
        <f>AZ7-AY7*10</f>
        <v>-60020310</v>
      </c>
      <c r="BB7" s="34">
        <f>BA7+N23</f>
        <v>-60020309</v>
      </c>
    </row>
    <row r="8" spans="2:54" x14ac:dyDescent="0.25">
      <c r="B8" s="7">
        <v>1</v>
      </c>
      <c r="C8" s="8" t="str">
        <f t="shared" ref="C8:G11" si="0">IFERROR(VLOOKUP($B8,$AN$7:$AS$11,C$5,FALSE),"")</f>
        <v>Canada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0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Canada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-9980100</v>
      </c>
      <c r="BA8" s="34">
        <f t="shared" ref="BA8:BA10" si="10">AZ8-AY8*10</f>
        <v>-9980110</v>
      </c>
      <c r="BB8" s="34">
        <f>BA8+N24</f>
        <v>-9980108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-29980100</v>
      </c>
      <c r="BA9" s="34">
        <f t="shared" si="10"/>
        <v>-29980110</v>
      </c>
      <c r="BB9" s="34">
        <f>BA9+N25</f>
        <v>-29980107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1</v>
      </c>
      <c r="AO10" s="34" t="s">
        <v>51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3</v>
      </c>
      <c r="AS10" s="34">
        <f>SUMIF($K$7:$K$12,AO10,$M$7:$M$12) + SUMIF($N$7:$N$12,AO10,$L$7:$L$12)</f>
        <v>1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-70020300</v>
      </c>
      <c r="BA10" s="34">
        <f t="shared" si="10"/>
        <v>-70020310</v>
      </c>
      <c r="BB10" s="34">
        <f>BA10+N26</f>
        <v>-70020306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10">
      <formula>J23=""</formula>
    </cfRule>
  </conditionalFormatting>
  <conditionalFormatting sqref="M24:M26">
    <cfRule type="expression" dxfId="57" priority="9">
      <formula>J24=""</formula>
    </cfRule>
  </conditionalFormatting>
  <conditionalFormatting sqref="M25">
    <cfRule type="expression" dxfId="56" priority="8">
      <formula>J25=""</formula>
    </cfRule>
  </conditionalFormatting>
  <conditionalFormatting sqref="B22:H28 J22:M26">
    <cfRule type="expression" dxfId="55" priority="11">
      <formula>OR($I$22=0,AND($J$20="",$J$21="",$J$22="",$J$23=""))</formula>
    </cfRule>
  </conditionalFormatting>
  <conditionalFormatting sqref="N23:AH27">
    <cfRule type="expression" dxfId="54" priority="6">
      <formula>K23=""</formula>
    </cfRule>
  </conditionalFormatting>
  <conditionalFormatting sqref="N24:AH26">
    <cfRule type="expression" dxfId="53" priority="5">
      <formula>K24=""</formula>
    </cfRule>
  </conditionalFormatting>
  <conditionalFormatting sqref="N25:AH25">
    <cfRule type="expression" dxfId="52" priority="4">
      <formula>K25=""</formula>
    </cfRule>
  </conditionalFormatting>
  <conditionalFormatting sqref="N27:AH27">
    <cfRule type="expression" dxfId="51" priority="3">
      <formula>K27=""</formula>
    </cfRule>
  </conditionalFormatting>
  <conditionalFormatting sqref="N23:AH27">
    <cfRule type="expression" dxfId="50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10" workbookViewId="0">
      <selection activeCell="I79" sqref="I79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15" width="28.28515625" style="78" bestFit="1" customWidth="1"/>
    <col min="16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39800</v>
      </c>
      <c r="BA8" s="34">
        <f t="shared" ref="BA8:BA10" si="10">AZ8-AY8*10</f>
        <v>39790</v>
      </c>
      <c r="BB8" s="34">
        <f>BA8+N24</f>
        <v>39792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-39990400</v>
      </c>
      <c r="BA9" s="34">
        <f t="shared" si="10"/>
        <v>-39990410</v>
      </c>
      <c r="BB9" s="34">
        <f>BA9+N25</f>
        <v>-39990407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4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-39980300</v>
      </c>
      <c r="BA10" s="34">
        <f t="shared" si="10"/>
        <v>-39980310</v>
      </c>
      <c r="BB10" s="34">
        <f>BA10+N26</f>
        <v>-39980306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0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10">
      <formula>J23=""</formula>
    </cfRule>
  </conditionalFormatting>
  <conditionalFormatting sqref="M24:M26">
    <cfRule type="expression" dxfId="48" priority="9">
      <formula>J24=""</formula>
    </cfRule>
  </conditionalFormatting>
  <conditionalFormatting sqref="M25">
    <cfRule type="expression" dxfId="47" priority="8">
      <formula>J25=""</formula>
    </cfRule>
  </conditionalFormatting>
  <conditionalFormatting sqref="B22:H28 J22:M26">
    <cfRule type="expression" dxfId="46" priority="11">
      <formula>OR($I$22=0,AND($J$20="",$J$21="",$J$22="",$J$23=""))</formula>
    </cfRule>
  </conditionalFormatting>
  <conditionalFormatting sqref="N23:AH27">
    <cfRule type="expression" dxfId="45" priority="6">
      <formula>K23=""</formula>
    </cfRule>
  </conditionalFormatting>
  <conditionalFormatting sqref="N24:AH26">
    <cfRule type="expression" dxfId="44" priority="5">
      <formula>K24=""</formula>
    </cfRule>
  </conditionalFormatting>
  <conditionalFormatting sqref="N25:AH25">
    <cfRule type="expression" dxfId="43" priority="4">
      <formula>K25=""</formula>
    </cfRule>
  </conditionalFormatting>
  <conditionalFormatting sqref="N27:AH27">
    <cfRule type="expression" dxfId="42" priority="3">
      <formula>K27=""</formula>
    </cfRule>
  </conditionalFormatting>
  <conditionalFormatting sqref="N23:AH27">
    <cfRule type="expression" dxfId="41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D82"/>
  <sheetViews>
    <sheetView workbookViewId="0">
      <selection activeCell="A2" sqref="A2"/>
    </sheetView>
  </sheetViews>
  <sheetFormatPr defaultColWidth="11.42578125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15" width="28.28515625" style="78" bestFit="1" customWidth="1"/>
    <col min="16" max="37" width="13.7109375" style="78" customWidth="1"/>
    <col min="38" max="48" width="11.42578125" style="34"/>
    <col min="49" max="49" width="10.42578125" style="34" bestFit="1" customWidth="1"/>
    <col min="50" max="50" width="13.7109375" style="34" bestFit="1" customWidth="1"/>
    <col min="51" max="51" width="10.42578125" style="34" bestFit="1" customWidth="1"/>
    <col min="52" max="52" width="9.85546875" style="34" bestFit="1" customWidth="1"/>
    <col min="53" max="53" width="13" style="34" bestFit="1" customWidth="1"/>
    <col min="54" max="54" width="29.85546875" style="34" bestFit="1" customWidth="1"/>
    <col min="55" max="55" width="25.7109375" style="34" bestFit="1" customWidth="1"/>
    <col min="56" max="56" width="11.42578125" style="34"/>
    <col min="57" max="16384" width="11.42578125" style="35"/>
  </cols>
  <sheetData>
    <row r="2" spans="2:56" ht="15.75" thickBot="1" x14ac:dyDescent="0.3"/>
    <row r="3" spans="2:56" x14ac:dyDescent="0.25">
      <c r="B3" s="96" t="s">
        <v>73</v>
      </c>
      <c r="C3" s="97"/>
      <c r="D3" s="97"/>
      <c r="E3" s="97"/>
      <c r="F3" s="97"/>
      <c r="G3" s="98"/>
    </row>
    <row r="4" spans="2:56" ht="15.75" thickBot="1" x14ac:dyDescent="0.3">
      <c r="B4" s="99"/>
      <c r="C4" s="100"/>
      <c r="D4" s="100"/>
      <c r="E4" s="100"/>
      <c r="F4" s="100"/>
      <c r="G4" s="101"/>
    </row>
    <row r="5" spans="2:56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6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34">
        <v>1</v>
      </c>
      <c r="AM6" s="34">
        <v>2</v>
      </c>
      <c r="AN6" s="34" t="s">
        <v>15</v>
      </c>
      <c r="AP6" s="34" t="s">
        <v>16</v>
      </c>
      <c r="AQ6" s="34" t="s">
        <v>3</v>
      </c>
      <c r="AR6" s="34" t="s">
        <v>4</v>
      </c>
      <c r="AS6" s="34" t="s">
        <v>7</v>
      </c>
      <c r="AT6" s="34" t="s">
        <v>5</v>
      </c>
      <c r="AU6" s="34" t="s">
        <v>6</v>
      </c>
      <c r="AX6" s="34" t="s">
        <v>3</v>
      </c>
      <c r="AY6" s="34" t="s">
        <v>17</v>
      </c>
      <c r="AZ6" s="34" t="s">
        <v>15</v>
      </c>
      <c r="BA6" s="34" t="s">
        <v>18</v>
      </c>
      <c r="BB6" s="34" t="s">
        <v>19</v>
      </c>
      <c r="BC6" s="34" t="s">
        <v>20</v>
      </c>
      <c r="BD6" s="34" t="s">
        <v>21</v>
      </c>
    </row>
    <row r="7" spans="2:56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34">
        <f>IF(L7&gt;M7,3,IF(L7&lt;M7,0,1))</f>
        <v>3</v>
      </c>
      <c r="AM7" s="34">
        <f>IF(AL7=3,0,IF(AL7=1,1,3))</f>
        <v>0</v>
      </c>
      <c r="AN7" s="34" t="str">
        <f>IF(AL7&gt;AM7,K7,IF(AM7&gt;AL7,N7,"SIN GANADOR"))</f>
        <v>Uruguay</v>
      </c>
      <c r="AP7" s="34">
        <f>_xlfn.RANK.EQ(BD7,BD$7:BD$11,1)</f>
        <v>1</v>
      </c>
      <c r="AQ7" s="34" t="s">
        <v>57</v>
      </c>
      <c r="AR7" s="34">
        <f>SUMIF($K$7:$K$12,AQ7,$AL$7:$AL$12) + SUMIF($N$7:$N$12,AQ7,$AM$7:$AM$12)</f>
        <v>7</v>
      </c>
      <c r="AS7" s="34">
        <f>AT7-AU7</f>
        <v>4</v>
      </c>
      <c r="AT7" s="34">
        <f>SUMIF($K$7:$K$12,AQ7,$L$7:$L$12) + SUMIF($N$7:$N$12,AQ7,$M$7:$M$12)</f>
        <v>5</v>
      </c>
      <c r="AU7" s="34">
        <f>SUMIF($K$7:$K$12,AQ7,$M$7:$M$12) + SUMIF($N$7:$N$12,AQ7,$L$7:$L$12)</f>
        <v>1</v>
      </c>
      <c r="AX7" s="34" t="str">
        <f>AQ7</f>
        <v>Portugal</v>
      </c>
      <c r="AY7" s="34" t="str">
        <f>IF(BB7=BB8,AX8,IF(BB7=BB9,AX9,IF(BB7=BB10,AX10,"")))</f>
        <v/>
      </c>
      <c r="AZ7" s="34" t="str">
        <f>IF(AY7="","",IFERROR(VLOOKUP(CONCATENATE(AX7,"_",AY7),$AK$7:$AN$16,4,FALSE),VLOOKUP(CONCATENATE(AY7,"_",AX7),$AK$7:$AN$16,4,FALSE)))</f>
        <v/>
      </c>
      <c r="BA7" s="34">
        <f>IF(AZ7="",1,IF(AZ7=AX7,1,0))</f>
        <v>1</v>
      </c>
      <c r="BB7" s="34">
        <f>-AR7*10000000 - AS7*10000 - AT7*100</f>
        <v>-70040500</v>
      </c>
      <c r="BC7" s="34">
        <f>BB7-BA7*10</f>
        <v>-70040510</v>
      </c>
      <c r="BD7" s="34">
        <f>BC7+N23</f>
        <v>-70040509</v>
      </c>
    </row>
    <row r="8" spans="2:56" x14ac:dyDescent="0.25">
      <c r="B8" s="7">
        <v>1</v>
      </c>
      <c r="C8" s="8" t="str">
        <f>IFERROR(VLOOKUP($B8,$AP$7:$AU$11,C$5,FALSE),"")</f>
        <v>Portugal</v>
      </c>
      <c r="D8" s="9">
        <f>IFERROR(VLOOKUP($B8,$AP$7:$AU$11,D$5,FALSE),"")</f>
        <v>7</v>
      </c>
      <c r="E8" s="9">
        <f>IFERROR(VLOOKUP($B8,$AP$7:$AU$11,E$5,FALSE),"")</f>
        <v>5</v>
      </c>
      <c r="F8" s="9">
        <f>IFERROR(VLOOKUP($B8,$AP$7:$AU$11,F$5,FALSE),"")</f>
        <v>1</v>
      </c>
      <c r="G8" s="10">
        <f>IFERROR(VLOOKUP($B8,$AP$7:$AU$11,G$5,FALSE),"")</f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34">
        <f t="shared" ref="AL8:AL12" si="0">IF(L8&gt;M8,3,IF(L8&lt;M8,0,1))</f>
        <v>3</v>
      </c>
      <c r="AM8" s="34">
        <f t="shared" ref="AM8:AM12" si="1">IF(AL8=3,0,IF(AL8=1,1,3))</f>
        <v>0</v>
      </c>
      <c r="AN8" s="34" t="str">
        <f t="shared" ref="AN8:AN12" si="2">IF(AL8&gt;AM8,K8,IF(AM8&gt;AL8,N8,"SIN GANADOR"))</f>
        <v>Portugal</v>
      </c>
      <c r="AP8" s="34">
        <f>_xlfn.RANK.EQ(BD8,BD$7:BD$11,1)</f>
        <v>2</v>
      </c>
      <c r="AQ8" s="34" t="s">
        <v>55</v>
      </c>
      <c r="AR8" s="34">
        <f>SUMIF($K$7:$K$12,AQ8,$AL$7:$AL$12) + SUMIF($N$7:$N$12,AQ8,$AM$7:$AM$12)</f>
        <v>7</v>
      </c>
      <c r="AS8" s="34">
        <f>AT8-AU8</f>
        <v>3</v>
      </c>
      <c r="AT8" s="34">
        <f t="shared" ref="AT8:AT9" si="3">SUMIF($K$7:$K$12,AQ8,$L$7:$L$12) + SUMIF($N$7:$N$12,AQ8,$M$7:$M$12)</f>
        <v>5</v>
      </c>
      <c r="AU8" s="34">
        <f t="shared" ref="AU8:AU9" si="4">SUMIF($K$7:$K$12,AQ8,$M$7:$M$12) + SUMIF($N$7:$N$12,AQ8,$L$7:$L$12)</f>
        <v>2</v>
      </c>
      <c r="AX8" s="34" t="str">
        <f t="shared" ref="AX8:AX10" si="5">AQ8</f>
        <v>Uruguay</v>
      </c>
      <c r="AY8" s="34" t="str">
        <f>IF(BB8=BB9,AX9,IF(BB8=BB10,AX10,IF(BB8=BB7,AX7,"")))</f>
        <v/>
      </c>
      <c r="AZ8" s="34" t="str">
        <f>IF(AY8="","",IFERROR(VLOOKUP(CONCATENATE(AX8,"_",AY8),$AK$7:$AN$16,4,FALSE),VLOOKUP(CONCATENATE(AY8,"_",AX8),$AK$7:$AN$16,4,FALSE)))</f>
        <v/>
      </c>
      <c r="BA8" s="34">
        <f t="shared" ref="BA8:BA10" si="6">IF(AZ8="",1,IF(AZ8=AX8,1,0))</f>
        <v>1</v>
      </c>
      <c r="BB8" s="34">
        <f t="shared" ref="BB8:BB10" si="7">-AR8*10000000 - AS8*10000 - AT8*100</f>
        <v>-70030500</v>
      </c>
      <c r="BC8" s="34">
        <f t="shared" ref="BC8:BC10" si="8">BB8-BA8*10</f>
        <v>-70030510</v>
      </c>
      <c r="BD8" s="34">
        <f>BC8+N24</f>
        <v>-70030508</v>
      </c>
    </row>
    <row r="9" spans="2:56" x14ac:dyDescent="0.25">
      <c r="B9" s="11">
        <v>2</v>
      </c>
      <c r="C9" s="12" t="str">
        <f>IFERROR(VLOOKUP($B9,$AP$7:$AU$11,C$5,FALSE),"")</f>
        <v>Uruguay</v>
      </c>
      <c r="D9" s="13">
        <f>IFERROR(VLOOKUP($B9,$AP$7:$AU$11,D$5,FALSE),"")</f>
        <v>7</v>
      </c>
      <c r="E9" s="13">
        <f>IFERROR(VLOOKUP($B9,$AP$7:$AU$11,E$5,FALSE),"")</f>
        <v>5</v>
      </c>
      <c r="F9" s="13">
        <f>IFERROR(VLOOKUP($B9,$AP$7:$AU$11,F$5,FALSE),"")</f>
        <v>2</v>
      </c>
      <c r="G9" s="14">
        <f>IFERROR(VLOOKUP($B9,$AP$7:$AU$11,G$5,FALSE),"")</f>
        <v>3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34">
        <f t="shared" si="0"/>
        <v>3</v>
      </c>
      <c r="AM9" s="34">
        <f t="shared" si="1"/>
        <v>0</v>
      </c>
      <c r="AN9" s="34" t="str">
        <f t="shared" si="2"/>
        <v>Corea</v>
      </c>
      <c r="AP9" s="34">
        <f>_xlfn.RANK.EQ(BD9,BD$7:BD$11,1)</f>
        <v>3</v>
      </c>
      <c r="AQ9" s="34" t="s">
        <v>56</v>
      </c>
      <c r="AR9" s="34">
        <f>SUMIF($K$7:$K$12,AQ9,$AL$7:$AL$12) + SUMIF($N$7:$N$12,AQ9,$AM$7:$AM$12)</f>
        <v>3</v>
      </c>
      <c r="AS9" s="34">
        <f t="shared" ref="AS9:AS10" si="9">AT9-AU9</f>
        <v>-3</v>
      </c>
      <c r="AT9" s="34">
        <f t="shared" si="3"/>
        <v>3</v>
      </c>
      <c r="AU9" s="34">
        <f t="shared" si="4"/>
        <v>6</v>
      </c>
      <c r="AX9" s="34" t="str">
        <f t="shared" si="5"/>
        <v>Corea</v>
      </c>
      <c r="AY9" s="34" t="str">
        <f>IF(BB9=BB10,AX10,IF(BB9=BB7,AX7,IF(BB9=BB8,AX8,"")))</f>
        <v/>
      </c>
      <c r="AZ9" s="34" t="str">
        <f>IF(AY9="","",IFERROR(VLOOKUP(CONCATENATE(AX9,"_",AY9),$AK$7:$AN$16,4,FALSE),VLOOKUP(CONCATENATE(AY9,"_",AX9),$AK$7:$AN$16,4,FALSE)))</f>
        <v/>
      </c>
      <c r="BA9" s="34">
        <f t="shared" si="6"/>
        <v>1</v>
      </c>
      <c r="BB9" s="34">
        <f t="shared" si="7"/>
        <v>-29970300</v>
      </c>
      <c r="BC9" s="34">
        <f t="shared" si="8"/>
        <v>-29970310</v>
      </c>
      <c r="BD9" s="34">
        <f>BC9+N25</f>
        <v>-29970307</v>
      </c>
    </row>
    <row r="10" spans="2:56" x14ac:dyDescent="0.25">
      <c r="B10" s="48">
        <v>3</v>
      </c>
      <c r="C10" s="49" t="str">
        <f>IFERROR(VLOOKUP($B10,$AP$7:$AU$11,C$5,FALSE),"")</f>
        <v>Corea</v>
      </c>
      <c r="D10" s="50">
        <f>IFERROR(VLOOKUP($B10,$AP$7:$AU$11,D$5,FALSE),"")</f>
        <v>3</v>
      </c>
      <c r="E10" s="50">
        <f>IFERROR(VLOOKUP($B10,$AP$7:$AU$11,E$5,FALSE),"")</f>
        <v>3</v>
      </c>
      <c r="F10" s="50">
        <f>IFERROR(VLOOKUP($B10,$AP$7:$AU$11,F$5,FALSE),"")</f>
        <v>6</v>
      </c>
      <c r="G10" s="51">
        <f>IFERROR(VLOOKUP($B10,$AP$7:$AU$11,G$5,FALSE),"")</f>
        <v>-3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34">
        <f t="shared" si="0"/>
        <v>1</v>
      </c>
      <c r="AM10" s="34">
        <f t="shared" si="1"/>
        <v>1</v>
      </c>
      <c r="AN10" s="34" t="str">
        <f t="shared" si="2"/>
        <v>SIN GANADOR</v>
      </c>
      <c r="AP10" s="34">
        <f>_xlfn.RANK.EQ(BD10,BD$7:BD$11,1)</f>
        <v>4</v>
      </c>
      <c r="AQ10" s="34" t="s">
        <v>58</v>
      </c>
      <c r="AR10" s="34">
        <f>SUMIF($K$7:$K$12,AQ10,$AL$7:$AL$12) + SUMIF($N$7:$N$12,AQ10,$AM$7:$AM$12)</f>
        <v>0</v>
      </c>
      <c r="AS10" s="34">
        <f t="shared" si="9"/>
        <v>-4</v>
      </c>
      <c r="AT10" s="34">
        <f>SUMIF($K$7:$K$12,AQ10,$L$7:$L$12) + SUMIF($N$7:$N$12,AQ10,$M$7:$M$12)</f>
        <v>1</v>
      </c>
      <c r="AU10" s="34">
        <f>SUMIF($K$7:$K$12,AQ10,$M$7:$M$12) + SUMIF($N$7:$N$12,AQ10,$L$7:$L$12)</f>
        <v>5</v>
      </c>
      <c r="AX10" s="34" t="str">
        <f t="shared" si="5"/>
        <v>Gana</v>
      </c>
      <c r="AY10" s="34" t="str">
        <f>IF(BB10=BB7,AX7,IF(BB10=BB8,AX8,IF(BB10=BB9,AX9,"")))</f>
        <v/>
      </c>
      <c r="AZ10" s="34" t="str">
        <f>IF(AY10="","",IFERROR(VLOOKUP(CONCATENATE(AX10,"_",AY10),$AK$7:$AN$16,4,FALSE),VLOOKUP(CONCATENATE(AY10,"_",AX10),$AK$7:$AN$16,4,FALSE)))</f>
        <v/>
      </c>
      <c r="BA10" s="34">
        <f t="shared" si="6"/>
        <v>1</v>
      </c>
      <c r="BB10" s="34">
        <f t="shared" si="7"/>
        <v>39900</v>
      </c>
      <c r="BC10" s="34">
        <f t="shared" si="8"/>
        <v>39890</v>
      </c>
      <c r="BD10" s="34">
        <f>BC10+N26</f>
        <v>39894</v>
      </c>
    </row>
    <row r="11" spans="2:56" ht="15.75" thickBot="1" x14ac:dyDescent="0.3">
      <c r="B11" s="52">
        <v>4</v>
      </c>
      <c r="C11" s="53" t="str">
        <f>IFERROR(VLOOKUP($B11,$AP$7:$AU$11,C$5,FALSE),"")</f>
        <v>Gana</v>
      </c>
      <c r="D11" s="54">
        <f>IFERROR(VLOOKUP($B11,$AP$7:$AU$11,D$5,FALSE),"")</f>
        <v>0</v>
      </c>
      <c r="E11" s="54">
        <f>IFERROR(VLOOKUP($B11,$AP$7:$AU$11,E$5,FALSE),"")</f>
        <v>1</v>
      </c>
      <c r="F11" s="54">
        <f>IFERROR(VLOOKUP($B11,$AP$7:$AU$11,F$5,FALSE),"")</f>
        <v>5</v>
      </c>
      <c r="G11" s="55">
        <f>IFERROR(VLOOKUP($B11,$AP$7:$AU$11,G$5,FALSE),"")</f>
        <v>-4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34">
        <f t="shared" si="0"/>
        <v>0</v>
      </c>
      <c r="AM11" s="34">
        <f t="shared" si="1"/>
        <v>3</v>
      </c>
      <c r="AN11" s="34" t="str">
        <f t="shared" si="2"/>
        <v>Uruguay</v>
      </c>
    </row>
    <row r="12" spans="2:56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34">
        <f t="shared" si="0"/>
        <v>0</v>
      </c>
      <c r="AM12" s="34">
        <f t="shared" si="1"/>
        <v>3</v>
      </c>
      <c r="AN12" s="34" t="str">
        <f t="shared" si="2"/>
        <v>Portugal</v>
      </c>
    </row>
    <row r="21" spans="2:37" ht="15.75" thickBot="1" x14ac:dyDescent="0.3"/>
    <row r="22" spans="2:37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7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</row>
    <row r="24" spans="2:37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0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</row>
    <row r="25" spans="2:37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0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</row>
    <row r="26" spans="2:37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0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</row>
    <row r="27" spans="2:37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</row>
    <row r="28" spans="2:37" ht="15.75" thickBot="1" x14ac:dyDescent="0.3">
      <c r="B28" s="45"/>
      <c r="C28" s="46"/>
      <c r="D28" s="46"/>
      <c r="E28" s="46"/>
      <c r="F28" s="46"/>
      <c r="G28" s="46"/>
      <c r="H28" s="47"/>
    </row>
    <row r="34" spans="9:18" x14ac:dyDescent="0.25">
      <c r="I34" s="115"/>
      <c r="J34" s="115"/>
      <c r="K34" s="115"/>
      <c r="L34" s="115"/>
      <c r="M34" s="115"/>
      <c r="N34" s="115"/>
      <c r="O34" s="115"/>
      <c r="P34" s="115"/>
      <c r="Q34" s="115"/>
      <c r="R34" s="115"/>
    </row>
    <row r="35" spans="9:18" x14ac:dyDescent="0.25">
      <c r="I35" s="115"/>
      <c r="J35" s="115"/>
      <c r="K35" s="115"/>
      <c r="L35" s="115"/>
      <c r="M35" s="115"/>
      <c r="N35" s="115"/>
      <c r="O35" s="115"/>
      <c r="P35" s="115"/>
      <c r="Q35" s="115"/>
      <c r="R35" s="115"/>
    </row>
    <row r="36" spans="9:18" x14ac:dyDescent="0.25">
      <c r="I36" s="115"/>
      <c r="J36" s="115"/>
      <c r="K36" s="115"/>
      <c r="L36" s="115"/>
      <c r="M36" s="115"/>
      <c r="N36" s="115"/>
      <c r="O36" s="115"/>
      <c r="P36" s="115"/>
      <c r="Q36" s="115"/>
      <c r="R36" s="115"/>
    </row>
    <row r="37" spans="9:18" x14ac:dyDescent="0.25">
      <c r="I37" s="115"/>
      <c r="J37" s="115"/>
      <c r="K37" s="115"/>
      <c r="L37" s="115"/>
      <c r="M37" s="115"/>
      <c r="N37" s="115"/>
      <c r="O37" s="115"/>
      <c r="P37" s="115"/>
      <c r="Q37" s="115"/>
      <c r="R37" s="115"/>
    </row>
    <row r="38" spans="9:18" x14ac:dyDescent="0.25">
      <c r="I38" s="115"/>
      <c r="J38" s="115"/>
      <c r="K38" s="115"/>
      <c r="L38" s="115"/>
      <c r="M38" s="115"/>
      <c r="N38" s="115"/>
      <c r="O38" s="115"/>
      <c r="P38" s="115"/>
      <c r="Q38" s="115"/>
      <c r="R38" s="115"/>
    </row>
    <row r="39" spans="9:18" x14ac:dyDescent="0.25">
      <c r="I39" s="115"/>
      <c r="J39" s="115"/>
      <c r="K39" s="115"/>
      <c r="L39" s="115"/>
      <c r="M39" s="115"/>
      <c r="N39" s="115"/>
      <c r="O39" s="115"/>
      <c r="P39" s="115"/>
      <c r="Q39" s="115"/>
      <c r="R39" s="115"/>
    </row>
    <row r="40" spans="9:18" x14ac:dyDescent="0.25">
      <c r="I40" s="115"/>
      <c r="J40" s="115"/>
      <c r="K40" s="115"/>
      <c r="L40" s="115"/>
      <c r="M40" s="115"/>
      <c r="N40" s="115"/>
      <c r="O40" s="115"/>
      <c r="P40" s="115"/>
      <c r="Q40" s="115"/>
      <c r="R40" s="115"/>
    </row>
    <row r="41" spans="9:18" x14ac:dyDescent="0.25">
      <c r="I41" s="115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9:18" x14ac:dyDescent="0.25">
      <c r="I42" s="115"/>
      <c r="J42" s="115"/>
      <c r="K42" s="115"/>
      <c r="L42" s="115"/>
      <c r="M42" s="115"/>
      <c r="N42" s="115"/>
      <c r="O42" s="115"/>
      <c r="P42" s="115"/>
      <c r="Q42" s="115"/>
      <c r="R42" s="115"/>
    </row>
    <row r="43" spans="9:18" x14ac:dyDescent="0.25">
      <c r="I43" s="115"/>
      <c r="J43" s="115"/>
      <c r="K43" s="115"/>
      <c r="L43" s="115"/>
      <c r="M43" s="115"/>
      <c r="N43" s="115"/>
      <c r="O43" s="115"/>
      <c r="P43" s="115"/>
      <c r="Q43" s="115"/>
      <c r="R43" s="115"/>
    </row>
    <row r="44" spans="9:18" x14ac:dyDescent="0.25">
      <c r="I44" s="115"/>
      <c r="J44" s="115"/>
      <c r="K44" s="115"/>
      <c r="L44" s="115"/>
      <c r="M44" s="115"/>
      <c r="N44" s="115"/>
      <c r="O44" s="115"/>
      <c r="P44" s="115"/>
      <c r="Q44" s="115"/>
      <c r="R44" s="115"/>
    </row>
    <row r="45" spans="9:18" x14ac:dyDescent="0.25">
      <c r="I45" s="115"/>
      <c r="J45" s="115"/>
      <c r="K45" s="115"/>
      <c r="L45" s="115"/>
      <c r="M45" s="115"/>
      <c r="N45" s="115"/>
      <c r="O45" s="115"/>
      <c r="P45" s="115"/>
      <c r="Q45" s="115"/>
      <c r="R45" s="115"/>
    </row>
    <row r="46" spans="9:18" x14ac:dyDescent="0.25">
      <c r="I46" s="115"/>
      <c r="J46" s="115"/>
      <c r="K46" s="115"/>
      <c r="L46" s="115"/>
      <c r="M46" s="115"/>
      <c r="N46" s="115"/>
      <c r="O46" s="115"/>
      <c r="P46" s="115"/>
      <c r="Q46" s="115"/>
      <c r="R46" s="115"/>
    </row>
    <row r="47" spans="9:18" x14ac:dyDescent="0.25">
      <c r="I47" s="115"/>
      <c r="J47" s="115"/>
      <c r="K47" s="115"/>
      <c r="L47" s="115"/>
      <c r="M47" s="115"/>
      <c r="N47" s="115"/>
      <c r="O47" s="115"/>
      <c r="P47" s="115"/>
      <c r="Q47" s="115"/>
      <c r="R47" s="115"/>
    </row>
    <row r="48" spans="9:18" x14ac:dyDescent="0.25">
      <c r="I48" s="115"/>
      <c r="J48" s="115"/>
      <c r="K48" s="115"/>
      <c r="L48" s="115"/>
      <c r="M48" s="115"/>
      <c r="N48" s="115"/>
      <c r="O48" s="115"/>
      <c r="P48" s="115"/>
      <c r="Q48" s="115"/>
      <c r="R48" s="115"/>
    </row>
    <row r="49" spans="9:18" x14ac:dyDescent="0.25">
      <c r="I49" s="115"/>
      <c r="J49" s="115"/>
      <c r="K49" s="115"/>
      <c r="L49" s="115"/>
      <c r="M49" s="115"/>
      <c r="N49" s="115"/>
      <c r="O49" s="115"/>
      <c r="P49" s="115"/>
      <c r="Q49" s="115"/>
      <c r="R49" s="115"/>
    </row>
    <row r="50" spans="9:18" x14ac:dyDescent="0.25">
      <c r="I50" s="115"/>
      <c r="J50" s="115"/>
      <c r="K50" s="115"/>
      <c r="L50" s="115"/>
      <c r="M50" s="115"/>
      <c r="N50" s="115"/>
      <c r="O50" s="115"/>
      <c r="P50" s="115"/>
      <c r="Q50" s="115"/>
      <c r="R50" s="115"/>
    </row>
    <row r="51" spans="9:18" x14ac:dyDescent="0.25">
      <c r="I51" s="115"/>
      <c r="J51" s="115"/>
      <c r="K51" s="115"/>
      <c r="L51" s="115"/>
      <c r="M51" s="115"/>
      <c r="N51" s="115"/>
      <c r="O51" s="115"/>
      <c r="P51" s="115"/>
      <c r="Q51" s="115"/>
      <c r="R51" s="115"/>
    </row>
    <row r="52" spans="9:18" x14ac:dyDescent="0.25">
      <c r="I52" s="115"/>
      <c r="J52" s="115"/>
      <c r="K52" s="115"/>
      <c r="L52" s="115"/>
      <c r="M52" s="115"/>
      <c r="N52" s="115"/>
      <c r="O52" s="115"/>
      <c r="P52" s="115"/>
      <c r="Q52" s="115"/>
      <c r="R52" s="115"/>
    </row>
    <row r="53" spans="9:18" x14ac:dyDescent="0.25">
      <c r="I53" s="115"/>
      <c r="J53" s="115"/>
      <c r="K53" s="115"/>
      <c r="L53" s="115"/>
      <c r="M53" s="115"/>
      <c r="N53" s="115"/>
      <c r="O53" s="115"/>
      <c r="P53" s="115"/>
      <c r="Q53" s="115"/>
      <c r="R53" s="115"/>
    </row>
    <row r="54" spans="9:18" x14ac:dyDescent="0.25">
      <c r="I54" s="115"/>
      <c r="J54" s="115"/>
      <c r="K54" s="115"/>
      <c r="L54" s="115"/>
      <c r="M54" s="115"/>
      <c r="N54" s="115"/>
      <c r="O54" s="115"/>
      <c r="P54" s="115"/>
      <c r="Q54" s="115"/>
      <c r="R54" s="115"/>
    </row>
    <row r="55" spans="9:18" x14ac:dyDescent="0.25">
      <c r="I55" s="115"/>
      <c r="J55" s="115"/>
      <c r="K55" s="115"/>
      <c r="L55" s="115"/>
      <c r="M55" s="115"/>
      <c r="N55" s="115"/>
      <c r="O55" s="115"/>
      <c r="P55" s="115"/>
      <c r="Q55" s="115"/>
      <c r="R55" s="115"/>
    </row>
    <row r="56" spans="9:18" x14ac:dyDescent="0.25">
      <c r="I56" s="115"/>
      <c r="J56" s="115"/>
      <c r="K56" s="115"/>
      <c r="L56" s="115"/>
      <c r="M56" s="115"/>
      <c r="N56" s="115"/>
      <c r="O56" s="115"/>
      <c r="P56" s="115"/>
      <c r="Q56" s="115"/>
      <c r="R56" s="115"/>
    </row>
    <row r="57" spans="9:18" x14ac:dyDescent="0.25">
      <c r="I57" s="115"/>
      <c r="J57" s="115"/>
      <c r="K57" s="115"/>
      <c r="L57" s="115"/>
      <c r="M57" s="115"/>
      <c r="N57" s="115"/>
      <c r="O57" s="115"/>
      <c r="P57" s="115"/>
      <c r="Q57" s="115"/>
      <c r="R57" s="115"/>
    </row>
    <row r="58" spans="9:18" x14ac:dyDescent="0.25">
      <c r="I58" s="115"/>
      <c r="J58" s="115"/>
      <c r="K58" s="115"/>
      <c r="L58" s="115"/>
      <c r="M58" s="115"/>
      <c r="N58" s="115"/>
      <c r="O58" s="115"/>
      <c r="P58" s="115"/>
      <c r="Q58" s="115"/>
      <c r="R58" s="115"/>
    </row>
    <row r="59" spans="9:18" x14ac:dyDescent="0.25">
      <c r="I59" s="115"/>
      <c r="J59" s="115"/>
      <c r="K59" s="115"/>
      <c r="L59" s="115"/>
      <c r="M59" s="115"/>
      <c r="N59" s="115"/>
      <c r="O59" s="115"/>
      <c r="P59" s="115"/>
      <c r="Q59" s="115"/>
      <c r="R59" s="115"/>
    </row>
    <row r="60" spans="9:18" x14ac:dyDescent="0.25">
      <c r="I60" s="115"/>
      <c r="J60" s="115"/>
      <c r="K60" s="115"/>
      <c r="L60" s="115"/>
      <c r="M60" s="115"/>
      <c r="N60" s="115"/>
      <c r="O60" s="115"/>
      <c r="P60" s="115"/>
      <c r="Q60" s="115"/>
      <c r="R60" s="115"/>
    </row>
    <row r="61" spans="9:18" x14ac:dyDescent="0.25">
      <c r="I61" s="115"/>
      <c r="J61" s="115"/>
      <c r="K61" s="115"/>
      <c r="L61" s="115"/>
      <c r="M61" s="115"/>
      <c r="N61" s="115"/>
      <c r="O61" s="115"/>
      <c r="P61" s="115"/>
      <c r="Q61" s="115"/>
      <c r="R61" s="115"/>
    </row>
    <row r="62" spans="9:18" x14ac:dyDescent="0.25">
      <c r="I62" s="115"/>
      <c r="J62" s="115"/>
      <c r="K62" s="115"/>
      <c r="L62" s="115"/>
      <c r="M62" s="115"/>
      <c r="N62" s="115"/>
      <c r="O62" s="115"/>
      <c r="P62" s="115"/>
      <c r="Q62" s="115"/>
      <c r="R62" s="115"/>
    </row>
    <row r="63" spans="9:18" x14ac:dyDescent="0.25">
      <c r="I63" s="115"/>
      <c r="J63" s="115"/>
      <c r="K63" s="115"/>
      <c r="L63" s="115"/>
      <c r="M63" s="115"/>
      <c r="N63" s="115"/>
      <c r="O63" s="115"/>
      <c r="P63" s="115"/>
      <c r="Q63" s="115"/>
      <c r="R63" s="115"/>
    </row>
    <row r="64" spans="9:18" x14ac:dyDescent="0.25">
      <c r="I64" s="115"/>
      <c r="J64" s="115"/>
      <c r="K64" s="115"/>
      <c r="L64" s="115"/>
      <c r="M64" s="115"/>
      <c r="N64" s="115"/>
      <c r="O64" s="115"/>
      <c r="P64" s="115"/>
      <c r="Q64" s="115"/>
      <c r="R64" s="115"/>
    </row>
    <row r="65" spans="9:18" x14ac:dyDescent="0.25">
      <c r="I65" s="115"/>
      <c r="J65" s="115"/>
      <c r="K65" s="115"/>
      <c r="L65" s="115"/>
      <c r="M65" s="115"/>
      <c r="N65" s="115"/>
      <c r="O65" s="115"/>
      <c r="P65" s="115"/>
      <c r="Q65" s="115"/>
      <c r="R65" s="115"/>
    </row>
    <row r="66" spans="9:18" x14ac:dyDescent="0.25">
      <c r="I66" s="115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9:18" x14ac:dyDescent="0.25">
      <c r="I67" s="115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9:18" x14ac:dyDescent="0.25">
      <c r="I68" s="115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9:18" x14ac:dyDescent="0.25">
      <c r="I69" s="115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9:18" x14ac:dyDescent="0.25">
      <c r="I70" s="115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9:18" x14ac:dyDescent="0.25">
      <c r="I71" s="115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9:18" x14ac:dyDescent="0.25">
      <c r="I72" s="115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9:18" x14ac:dyDescent="0.25">
      <c r="I73" s="115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9:18" x14ac:dyDescent="0.25">
      <c r="I74" s="115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9:18" x14ac:dyDescent="0.25">
      <c r="I75" s="115"/>
      <c r="J75" s="115"/>
      <c r="K75" s="115"/>
      <c r="L75" s="115"/>
      <c r="M75" s="115"/>
      <c r="N75" s="115"/>
      <c r="O75" s="115"/>
      <c r="P75" s="115"/>
      <c r="Q75" s="115"/>
      <c r="R75" s="115"/>
    </row>
    <row r="76" spans="9:18" x14ac:dyDescent="0.25">
      <c r="I76" s="115"/>
      <c r="J76" s="115"/>
      <c r="K76" s="115"/>
      <c r="L76" s="115"/>
      <c r="M76" s="115"/>
      <c r="N76" s="115"/>
      <c r="O76" s="115"/>
      <c r="P76" s="115"/>
      <c r="Q76" s="115"/>
      <c r="R76" s="115"/>
    </row>
    <row r="77" spans="9:18" x14ac:dyDescent="0.25">
      <c r="I77" s="115"/>
      <c r="J77" s="115"/>
      <c r="K77" s="115"/>
      <c r="L77" s="115"/>
      <c r="M77" s="115"/>
      <c r="N77" s="115"/>
      <c r="O77" s="115"/>
      <c r="P77" s="115"/>
      <c r="Q77" s="115"/>
      <c r="R77" s="115"/>
    </row>
    <row r="78" spans="9:18" x14ac:dyDescent="0.25">
      <c r="I78" s="115"/>
      <c r="J78" s="115"/>
      <c r="K78" s="115"/>
      <c r="L78" s="115"/>
      <c r="M78" s="115"/>
      <c r="N78" s="115"/>
      <c r="O78" s="115"/>
      <c r="P78" s="115"/>
      <c r="Q78" s="115"/>
      <c r="R78" s="115"/>
    </row>
    <row r="79" spans="9:18" x14ac:dyDescent="0.25">
      <c r="I79" s="115"/>
      <c r="J79" s="115"/>
      <c r="K79" s="115"/>
      <c r="L79" s="115"/>
      <c r="M79" s="115"/>
      <c r="N79" s="115"/>
      <c r="O79" s="115"/>
      <c r="P79" s="115"/>
      <c r="Q79" s="115"/>
      <c r="R79" s="115"/>
    </row>
    <row r="80" spans="9:18" x14ac:dyDescent="0.25">
      <c r="I80" s="115"/>
      <c r="J80" s="115"/>
      <c r="K80" s="115"/>
      <c r="L80" s="115"/>
      <c r="M80" s="115"/>
      <c r="N80" s="115"/>
      <c r="O80" s="115"/>
      <c r="P80" s="115"/>
      <c r="Q80" s="115"/>
      <c r="R80" s="115"/>
    </row>
    <row r="81" spans="9:18" x14ac:dyDescent="0.25">
      <c r="I81" s="115"/>
      <c r="J81" s="115"/>
      <c r="K81" s="115"/>
      <c r="L81" s="115"/>
      <c r="M81" s="115"/>
      <c r="N81" s="115"/>
      <c r="O81" s="115"/>
      <c r="P81" s="115"/>
      <c r="Q81" s="115"/>
      <c r="R81" s="115"/>
    </row>
    <row r="82" spans="9:18" x14ac:dyDescent="0.25">
      <c r="I82" s="115"/>
      <c r="J82" s="115"/>
      <c r="K82" s="115"/>
      <c r="L82" s="115"/>
      <c r="M82" s="115"/>
      <c r="N82" s="115"/>
      <c r="O82" s="115"/>
      <c r="P82" s="115"/>
      <c r="Q82" s="115"/>
      <c r="R82" s="115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 N23:AK27">
    <cfRule type="expression" dxfId="40" priority="10">
      <formula>J23=""</formula>
    </cfRule>
  </conditionalFormatting>
  <conditionalFormatting sqref="M24:M26">
    <cfRule type="expression" dxfId="39" priority="9">
      <formula>J24=""</formula>
    </cfRule>
  </conditionalFormatting>
  <conditionalFormatting sqref="M25">
    <cfRule type="expression" dxfId="38" priority="8">
      <formula>J25=""</formula>
    </cfRule>
  </conditionalFormatting>
  <conditionalFormatting sqref="B22:H28 J22:M26">
    <cfRule type="expression" dxfId="37" priority="11">
      <formula>OR($I$22=0,AND($J$20="",$J$21="",$J$22="",$J$23=""))</formula>
    </cfRule>
  </conditionalFormatting>
  <conditionalFormatting sqref="N23:AK27">
    <cfRule type="expression" dxfId="36" priority="7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A7" workbookViewId="0">
      <selection activeCell="B34" sqref="B34"/>
    </sheetView>
  </sheetViews>
  <sheetFormatPr defaultColWidth="11.42578125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Senegal</v>
      </c>
      <c r="C6" s="60">
        <v>0</v>
      </c>
      <c r="D6" s="61"/>
    </row>
    <row r="7" spans="2:19" ht="15.75" thickBot="1" x14ac:dyDescent="0.3">
      <c r="B7" s="62" t="str">
        <f>'GRUPO B'!C9</f>
        <v>Inglaterra</v>
      </c>
      <c r="C7" s="63">
        <v>2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Inglaterra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>
        <v>5</v>
      </c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>
        <v>4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.75" thickBot="1" x14ac:dyDescent="0.3">
      <c r="B22" s="59" t="str">
        <f>'GRUPO B'!C8</f>
        <v>USA</v>
      </c>
      <c r="C22" s="60">
        <v>0</v>
      </c>
      <c r="D22" s="61"/>
      <c r="O22" s="66"/>
    </row>
    <row r="23" spans="2:23" ht="15.75" thickBot="1" x14ac:dyDescent="0.3">
      <c r="B23" s="62" t="str">
        <f>'GRUPO A'!C9</f>
        <v>Holanda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Holanda</v>
      </c>
      <c r="H24" s="60">
        <v>1</v>
      </c>
      <c r="I24" s="61">
        <v>4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>
        <v>5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Portugal</v>
      </c>
    </row>
    <row r="27" spans="2:23" ht="15.75" thickBot="1" x14ac:dyDescent="0.3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1</v>
      </c>
      <c r="N29" s="64"/>
      <c r="Q29" s="59" t="str">
        <f>IF(Q20=L12,L13,IF(Q20=L13,L12,""))</f>
        <v>Argentina</v>
      </c>
      <c r="R29" s="60">
        <v>0</v>
      </c>
      <c r="S29" s="61"/>
    </row>
    <row r="30" spans="2:23" ht="15.75" thickBot="1" x14ac:dyDescent="0.3">
      <c r="B30" s="59" t="str">
        <f>'GRUPO F'!C8</f>
        <v>Canada</v>
      </c>
      <c r="C30" s="60">
        <v>0</v>
      </c>
      <c r="D30" s="61"/>
      <c r="J30" s="66"/>
      <c r="Q30" s="62" t="str">
        <f>IF(Q21=L28,L29,IF(Q21=L29,L28,""))</f>
        <v>Portugal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1</v>
      </c>
      <c r="I32" s="61">
        <v>4</v>
      </c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>
        <v>5</v>
      </c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2" priority="49">
      <formula>$C$6=$C$7</formula>
    </cfRule>
  </conditionalFormatting>
  <conditionalFormatting sqref="D7">
    <cfRule type="expression" dxfId="31" priority="48">
      <formula>$C$6=$C$7</formula>
    </cfRule>
  </conditionalFormatting>
  <conditionalFormatting sqref="D10">
    <cfRule type="expression" dxfId="30" priority="47">
      <formula>C10=C11</formula>
    </cfRule>
  </conditionalFormatting>
  <conditionalFormatting sqref="D11">
    <cfRule type="expression" dxfId="29" priority="46">
      <formula>C10=C11</formula>
    </cfRule>
  </conditionalFormatting>
  <conditionalFormatting sqref="D22">
    <cfRule type="expression" dxfId="28" priority="45">
      <formula>C22=C23</formula>
    </cfRule>
  </conditionalFormatting>
  <conditionalFormatting sqref="D23">
    <cfRule type="expression" dxfId="27" priority="44">
      <formula>C22=C23</formula>
    </cfRule>
  </conditionalFormatting>
  <conditionalFormatting sqref="D26">
    <cfRule type="expression" dxfId="26" priority="43">
      <formula>C26=C27</formula>
    </cfRule>
  </conditionalFormatting>
  <conditionalFormatting sqref="D27">
    <cfRule type="expression" dxfId="25" priority="42">
      <formula>C26=C27</formula>
    </cfRule>
  </conditionalFormatting>
  <conditionalFormatting sqref="I8">
    <cfRule type="expression" dxfId="24" priority="41">
      <formula>H8=H9</formula>
    </cfRule>
  </conditionalFormatting>
  <conditionalFormatting sqref="I9">
    <cfRule type="expression" dxfId="23" priority="40">
      <formula>H8=H9</formula>
    </cfRule>
  </conditionalFormatting>
  <conditionalFormatting sqref="N12">
    <cfRule type="expression" dxfId="22" priority="37">
      <formula>M12=M13</formula>
    </cfRule>
  </conditionalFormatting>
  <conditionalFormatting sqref="N13">
    <cfRule type="expression" dxfId="21" priority="36">
      <formula>M12=M13</formula>
    </cfRule>
  </conditionalFormatting>
  <conditionalFormatting sqref="D30">
    <cfRule type="expression" dxfId="20" priority="28">
      <formula>C30=C31</formula>
    </cfRule>
  </conditionalFormatting>
  <conditionalFormatting sqref="D31">
    <cfRule type="expression" dxfId="19" priority="27">
      <formula>C30=C31</formula>
    </cfRule>
  </conditionalFormatting>
  <conditionalFormatting sqref="D34">
    <cfRule type="expression" dxfId="18" priority="26">
      <formula>C34=C35</formula>
    </cfRule>
  </conditionalFormatting>
  <conditionalFormatting sqref="D35">
    <cfRule type="expression" dxfId="17" priority="25">
      <formula>C34=C35</formula>
    </cfRule>
  </conditionalFormatting>
  <conditionalFormatting sqref="N28">
    <cfRule type="expression" dxfId="16" priority="20">
      <formula>M28=M29</formula>
    </cfRule>
  </conditionalFormatting>
  <conditionalFormatting sqref="N29">
    <cfRule type="expression" dxfId="15" priority="19">
      <formula>M28=M29</formula>
    </cfRule>
  </conditionalFormatting>
  <conditionalFormatting sqref="D14">
    <cfRule type="expression" dxfId="14" priority="18">
      <formula>C14=C15</formula>
    </cfRule>
  </conditionalFormatting>
  <conditionalFormatting sqref="D15">
    <cfRule type="expression" dxfId="13" priority="17">
      <formula>C14=C15</formula>
    </cfRule>
  </conditionalFormatting>
  <conditionalFormatting sqref="D18">
    <cfRule type="expression" dxfId="12" priority="16">
      <formula>C18=C19</formula>
    </cfRule>
  </conditionalFormatting>
  <conditionalFormatting sqref="D19">
    <cfRule type="expression" dxfId="11" priority="15">
      <formula>C18=C19</formula>
    </cfRule>
  </conditionalFormatting>
  <conditionalFormatting sqref="I16">
    <cfRule type="expression" dxfId="10" priority="14">
      <formula>H16=H17</formula>
    </cfRule>
  </conditionalFormatting>
  <conditionalFormatting sqref="I17">
    <cfRule type="expression" dxfId="9" priority="13">
      <formula>H16=H17</formula>
    </cfRule>
  </conditionalFormatting>
  <conditionalFormatting sqref="I24">
    <cfRule type="expression" dxfId="8" priority="12">
      <formula>H24=H25</formula>
    </cfRule>
  </conditionalFormatting>
  <conditionalFormatting sqref="I25">
    <cfRule type="expression" dxfId="7" priority="11">
      <formula>H24=H25</formula>
    </cfRule>
  </conditionalFormatting>
  <conditionalFormatting sqref="I32">
    <cfRule type="expression" dxfId="6" priority="10">
      <formula>H32=H33</formula>
    </cfRule>
  </conditionalFormatting>
  <conditionalFormatting sqref="I33">
    <cfRule type="expression" dxfId="5" priority="9">
      <formula>H32=H33</formula>
    </cfRule>
  </conditionalFormatting>
  <conditionalFormatting sqref="S20">
    <cfRule type="expression" dxfId="4" priority="50">
      <formula>R20=#REF!</formula>
    </cfRule>
  </conditionalFormatting>
  <conditionalFormatting sqref="S21">
    <cfRule type="expression" dxfId="3" priority="52">
      <formula>R27=R21</formula>
    </cfRule>
  </conditionalFormatting>
  <conditionalFormatting sqref="S29">
    <cfRule type="expression" dxfId="2" priority="2">
      <formula>R29=R30</formula>
    </cfRule>
  </conditionalFormatting>
  <conditionalFormatting sqref="S30">
    <cfRule type="expression" dxfId="1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Guillermo Soto</cp:lastModifiedBy>
  <dcterms:created xsi:type="dcterms:W3CDTF">2022-11-02T00:22:23Z</dcterms:created>
  <dcterms:modified xsi:type="dcterms:W3CDTF">2022-11-20T04:46:50Z</dcterms:modified>
</cp:coreProperties>
</file>