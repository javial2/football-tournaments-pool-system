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ting\Desktop\"/>
    </mc:Choice>
  </mc:AlternateContent>
  <xr:revisionPtr revIDLastSave="0" documentId="13_ncr:1_{5768F4DB-FF12-4F3A-B73E-2FF71F3E2A24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L29" i="16" l="1"/>
  <c r="AQ10" i="14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10" i="12" l="1"/>
  <c r="AW10" i="12" s="1"/>
  <c r="AX10" i="12" s="1"/>
  <c r="AY10" i="12" s="1"/>
  <c r="BA10" i="12" s="1"/>
  <c r="BB10" i="12" s="1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7" i="12"/>
  <c r="AX7" i="12" s="1"/>
  <c r="AY7" i="12" s="1"/>
  <c r="BA7" i="12" s="1"/>
  <c r="BB7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N9" i="12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10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10" i="11"/>
  <c r="E8" i="11"/>
  <c r="G11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L13" i="16" l="1"/>
  <c r="Q20" i="16" s="1"/>
  <c r="W24" i="16" s="1"/>
  <c r="D10" i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D8" i="1"/>
  <c r="E11" i="1"/>
  <c r="G10" i="1"/>
  <c r="Q29" i="16" l="1"/>
  <c r="Q30" i="16"/>
  <c r="W25" i="16"/>
  <c r="W26" i="16" l="1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<sst xmlns="http://schemas.openxmlformats.org/spreadsheetml/2006/main" count="454" uniqueCount="79">
  <si>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</si>
  <si>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</si>
  <si>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</si>
  <si>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</si>
  <si>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</si>
  <si>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</si>
  <si>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</si>
  <si>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</si>
  <si>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</si>
  <si>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</si>
  <si>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</si>
  <si>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</si>
  <si>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</si>
  <si>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</si>
  <si>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</si>
  <si>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</si>
  <si>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</si>
  <si>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</si>
  <si>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</si>
  <si>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</si>
  <si>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</si>
  <si>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</si>
  <si>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</si>
  <si>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</si>
  <si>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</si>
  <si>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</si>
  <si>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</si>
  <si>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</si>
  <si>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</si>
  <si>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</si>
  <si>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</si>
  <si>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</si>
  <si>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</si>
  <si>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</si>
  <si>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</si>
  <si>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</si>
  <si>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</si>
  <si>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</si>
  <si>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</si>
  <si>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</si>
  <si>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</si>
  <si>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</si>
  <si>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</si>
  <si>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</si>
  <si>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</si>
  <si>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</si>
  <si>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</si>
  <si>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</si>
  <si>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</si>
  <si>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</si>
  <si>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</si>
  <si>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</si>
  <si>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</si>
  <si>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</si>
  <si>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</si>
  <si>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</si>
  <si>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</si>
  <si>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</si>
  <si>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</si>
  <si>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</si>
  <si>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</si>
  <si>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</si>
  <si>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</si>
  <si>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</si>
  <si>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</si>
  <si>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</si>
  <si>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</si>
  <si>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</si>
  <si>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</si>
  <si>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</si>
  <si>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</si>
  <si>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</si>
  <si>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</si>
  <si>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</si>
  <si>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</si>
  <si>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</si>
  <si>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</si>
  <si>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Juan Pablo Salazar</t>
  </si>
  <si>
    <t>juan.salazar@routinguc.com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</si>
</sst>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salazar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5" sqref="C5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FFD3DA6C-58DC-44E6-8AF2-82CACAC378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4" sqref="M24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-5</v>
      </c>
      <c r="AR7" s="34">
        <f>SUMIF($K$7:$K$12,AO7,$L$7:$L$12) + SUMIF($N$7:$N$12,AO7,$M$7:$M$12)</f>
        <v>2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-9950200</v>
      </c>
      <c r="BA7" s="34">
        <f>AZ7-AY7*10</f>
        <v>-9950210</v>
      </c>
      <c r="BB7" s="34">
        <f>BA7+N23</f>
        <v>-9950206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-40010400</v>
      </c>
      <c r="BA9" s="34">
        <f t="shared" si="10"/>
        <v>-40010410</v>
      </c>
      <c r="BB9" s="34">
        <f>BA9+N25</f>
        <v>-40010408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7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6" workbookViewId="0">
      <selection activeCell="M26" sqref="M26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-70030400</v>
      </c>
      <c r="BA7" s="34">
        <f>AZ7-AY7*10</f>
        <v>-70030410</v>
      </c>
      <c r="BB7" s="34">
        <f>BA7+N23</f>
        <v>-70030409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39994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8" sqref="M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4</v>
      </c>
      <c r="AS7" s="34">
        <f>SUMIF($K$7:$K$12,AO7,$M$7:$M$12) + SUMIF($N$7:$N$12,AO7,$L$7:$L$12)</f>
        <v>0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-90040400</v>
      </c>
      <c r="BA7" s="34">
        <f>AZ7-AY7*10</f>
        <v>-90040410</v>
      </c>
      <c r="BB7" s="34">
        <f>BA7+N23</f>
        <v>-90040409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4</v>
      </c>
      <c r="F8" s="9">
        <f t="shared" si="0"/>
        <v>0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-29990200</v>
      </c>
      <c r="BA8" s="34">
        <f t="shared" ref="BA8:BA10" si="10">AZ8-AY8*10</f>
        <v>-29990210</v>
      </c>
      <c r="BB8" s="34">
        <f>BA8+N24</f>
        <v>-29990208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4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3</v>
      </c>
      <c r="AR9" s="34">
        <f t="shared" si="5"/>
        <v>6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-60030600</v>
      </c>
      <c r="BA9" s="34">
        <f t="shared" si="10"/>
        <v>-60030610</v>
      </c>
      <c r="BB9" s="34">
        <f>BA9+N25</f>
        <v>-60030607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4" sqref="M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4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6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-60050700</v>
      </c>
      <c r="BA7" s="34">
        <f>AZ7-AY7*10</f>
        <v>-60050710</v>
      </c>
      <c r="BB7" s="34">
        <f>BA7+N23</f>
        <v>-60050708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-70060700</v>
      </c>
      <c r="BA8" s="34">
        <f t="shared" ref="BA8:BA10" si="10">AZ8-AY8*10</f>
        <v>-70060710</v>
      </c>
      <c r="BB8" s="34">
        <f>BA8+N24</f>
        <v>-70060709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6</v>
      </c>
      <c r="E9" s="13">
        <f t="shared" si="0"/>
        <v>7</v>
      </c>
      <c r="F9" s="13">
        <f t="shared" si="0"/>
        <v>2</v>
      </c>
      <c r="G9" s="14">
        <f t="shared" si="0"/>
        <v>5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-10</v>
      </c>
      <c r="AR9" s="34">
        <f t="shared" si="5"/>
        <v>1</v>
      </c>
      <c r="AS9" s="34">
        <f t="shared" si="6"/>
        <v>11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99900</v>
      </c>
      <c r="BA9" s="34">
        <f t="shared" si="10"/>
        <v>99890</v>
      </c>
      <c r="BB9" s="34">
        <f>BA9+N25</f>
        <v>99894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0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11</v>
      </c>
      <c r="G11" s="55">
        <f t="shared" si="0"/>
        <v>-10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5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4" sqref="M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-60010300</v>
      </c>
      <c r="BA7" s="34">
        <f>AZ7-AY7*10</f>
        <v>-60010310</v>
      </c>
      <c r="BB7" s="34">
        <f>BA7+N23</f>
        <v>-60010308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-19990400</v>
      </c>
      <c r="BA9" s="34">
        <f t="shared" si="10"/>
        <v>-19990410</v>
      </c>
      <c r="BB9" s="34">
        <f>BA9+N25</f>
        <v>-19990407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2" workbookViewId="0">
      <selection activeCell="L10" sqref="L1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-70020508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-9980200</v>
      </c>
      <c r="BA8" s="34">
        <f t="shared" ref="BA8:BA10" si="10">AZ8-AY8*10</f>
        <v>-9980210</v>
      </c>
      <c r="BB8" s="34">
        <f>BA8+N24</f>
        <v>-9980206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2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-60010509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0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0</v>
      </c>
      <c r="AK10" s="34">
        <f t="shared" si="3"/>
        <v>3</v>
      </c>
      <c r="AL10" s="34" t="str">
        <f t="shared" si="4"/>
        <v>Canada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1</v>
      </c>
      <c r="AS10" s="34">
        <f>SUMIF($K$7:$K$12,AO10,$M$7:$M$12) + SUMIF($N$7:$N$12,AO10,$L$7:$L$12)</f>
        <v>2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-29990100</v>
      </c>
      <c r="BA10" s="34">
        <f t="shared" si="10"/>
        <v>-29990110</v>
      </c>
      <c r="BB10" s="34">
        <f>BA10+N26</f>
        <v>-29990107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6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6</v>
      </c>
      <c r="F9" s="13">
        <f t="shared" si="0"/>
        <v>6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6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-60000600</v>
      </c>
      <c r="BA9" s="34">
        <f t="shared" si="10"/>
        <v>-60000610</v>
      </c>
      <c r="BB9" s="34">
        <f>BA9+N25</f>
        <v>-60000608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2</v>
      </c>
      <c r="AS10" s="34">
        <f>SUMIF($K$7:$K$12,AO10,$M$7:$M$12) + SUMIF($N$7:$N$12,AO10,$L$7:$L$12)</f>
        <v>8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59800</v>
      </c>
      <c r="BA10" s="34">
        <f t="shared" si="10"/>
        <v>59790</v>
      </c>
      <c r="BB10" s="34">
        <f>BA10+N26</f>
        <v>59794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8</v>
      </c>
      <c r="G11" s="55">
        <f t="shared" si="0"/>
        <v>-6</v>
      </c>
      <c r="I11" s="23">
        <f>I9+16</f>
        <v>45</v>
      </c>
      <c r="J11" s="24">
        <v>44897</v>
      </c>
      <c r="K11" s="25" t="s">
        <v>53</v>
      </c>
      <c r="L11" s="21">
        <v>3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5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-50010400</v>
      </c>
      <c r="BA7" s="34">
        <f>AZ7-AY7*10</f>
        <v>-50010410</v>
      </c>
      <c r="BB7" s="34">
        <f>BA7+N23</f>
        <v>-50010408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-30000200</v>
      </c>
      <c r="BA10" s="34">
        <f t="shared" si="10"/>
        <v>-30000210</v>
      </c>
      <c r="BB10" s="34">
        <f>BA10+N26</f>
        <v>-30000207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3" workbookViewId="0">
      <selection activeCell="E35" sqref="E35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>
        <v>0</v>
      </c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>
        <v>1</v>
      </c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0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4</v>
      </c>
      <c r="D14" s="61"/>
      <c r="J14" s="66"/>
      <c r="O14" s="66"/>
    </row>
    <row r="15" spans="2:19" ht="15.75" thickBot="1" x14ac:dyDescent="0.3">
      <c r="B15" s="62" t="str">
        <f>'GRUPO F'!C9</f>
        <v>Marruecos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España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3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>
        <v>0</v>
      </c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>
        <v>1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España</v>
      </c>
    </row>
    <row r="26" spans="2:23" ht="15.75" thickBot="1" x14ac:dyDescent="0.3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3</v>
      </c>
      <c r="N29" s="64"/>
      <c r="Q29" s="59" t="str">
        <f>IF(Q20=L12,L13,IF(Q20=L13,L12,""))</f>
        <v>Alemania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Dinamarca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0</v>
      </c>
      <c r="D34" s="61">
        <v>1</v>
      </c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>
        <v>0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Routing</cp:lastModifiedBy>
  <dcterms:created xsi:type="dcterms:W3CDTF">2022-11-02T00:22:23Z</dcterms:created>
  <dcterms:modified xsi:type="dcterms:W3CDTF">2022-11-20T14:30:46Z</dcterms:modified>
</cp:coreProperties>
</file>