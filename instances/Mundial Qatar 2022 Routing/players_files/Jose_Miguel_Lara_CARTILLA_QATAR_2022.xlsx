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vzadeperro/"/>
    </mc:Choice>
  </mc:AlternateContent>
  <xr:revisionPtr revIDLastSave="0" documentId="8_{EDBACBEC-39C4-A84D-9846-850C12FC31BC}" xr6:coauthVersionLast="43" xr6:coauthVersionMax="43" xr10:uidLastSave="{00000000-0000-0000-0000-000000000000}"/>
  <bookViews>
    <workbookView xWindow="0" yWindow="500" windowWidth="28800" windowHeight="1640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9" i="2" l="1"/>
  <c r="AP7" i="15"/>
  <c r="AQ10" i="14"/>
  <c r="AP10" i="12"/>
  <c r="AP10" i="1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9" i="12" l="1"/>
  <c r="AZ10" i="11"/>
  <c r="AZ7" i="15"/>
  <c r="AP8" i="14"/>
  <c r="AZ8" i="14" s="1"/>
  <c r="AZ9" i="2"/>
  <c r="AZ8" i="13"/>
  <c r="AZ10" i="12"/>
  <c r="AW8" i="12" s="1"/>
  <c r="AX8" i="12" s="1"/>
  <c r="AY8" i="12" s="1"/>
  <c r="BA8" i="12" s="1"/>
  <c r="BB8" i="12" s="1"/>
  <c r="AP9" i="11"/>
  <c r="AZ9" i="11" s="1"/>
  <c r="AW10" i="11" s="1"/>
  <c r="AX10" i="11" s="1"/>
  <c r="AY10" i="11" s="1"/>
  <c r="BA10" i="11" s="1"/>
  <c r="BB10" i="11" s="1"/>
  <c r="AZ8" i="11"/>
  <c r="AZ8" i="10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7" i="2"/>
  <c r="AX7" i="2" s="1"/>
  <c r="AY7" i="2" s="1"/>
  <c r="BA7" i="2" s="1"/>
  <c r="BB7" i="2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9" i="13"/>
  <c r="AX9" i="13" s="1"/>
  <c r="AY9" i="13" s="1"/>
  <c r="BA9" i="13" s="1"/>
  <c r="BB9" i="13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G8" i="11" s="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G11" i="11"/>
  <c r="E8" i="11"/>
  <c r="F10" i="11"/>
  <c r="D8" i="11"/>
  <c r="G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<sst xmlns="http://schemas.openxmlformats.org/spreadsheetml/2006/main" count="454" uniqueCount="79">
  <si>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</si>
  <si>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</si>
  <si>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</si>
  <si>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</si>
  <si>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</si>
  <si>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</si>
  <si>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</si>
  <si>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</si>
  <si>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</si>
  <si>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</si>
  <si>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</si>
  <si>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</si>
  <si>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</si>
  <si>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</si>
  <si>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</si>
  <si>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</si>
  <si>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</si>
  <si>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</si>
  <si>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</si>
  <si>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</si>
  <si>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</si>
  <si>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</si>
  <si>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</si>
  <si>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</si>
  <si>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</si>
  <si>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</si>
  <si>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</si>
  <si>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</si>
  <si>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</si>
  <si>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</si>
  <si>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</si>
  <si>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</si>
  <si>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</si>
  <si>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</si>
  <si>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</si>
  <si>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</si>
  <si>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</si>
  <si>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</si>
  <si>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</si>
  <si>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</si>
  <si>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</si>
  <si>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</si>
  <si>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</si>
  <si>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</si>
  <si>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</si>
  <si>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</si>
  <si>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</si>
  <si>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</si>
  <si>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</si>
  <si>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</si>
  <si>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</si>
  <si>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</si>
  <si>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</si>
  <si>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</si>
  <si>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</si>
  <si>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</si>
  <si>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</si>
  <si>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</si>
  <si>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</si>
  <si>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</si>
  <si>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</si>
  <si>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</si>
  <si>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</si>
  <si>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</si>
  <si>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</si>
  <si>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</si>
  <si>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</si>
  <si>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</si>
  <si>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</si>
  <si>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</si>
  <si>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</si>
  <si>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</si>
  <si>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</si>
  <si>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</si>
  <si>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</si>
  <si>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</si>
  <si>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</si>
  <si>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José Miguel Lara</t>
  </si>
  <si>
    <t>jose.lara@routinguc.com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</si>
</sst>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se.lara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5" sqref="C5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16EA6226-A151-EF42-AF64-88DCAE193C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3</v>
      </c>
      <c r="AQ7" s="34">
        <f>AR7-AS7</f>
        <v>-1</v>
      </c>
      <c r="AR7" s="34">
        <f>SUMIF($K$7:$K$12,AO7,$L$7:$L$12) + SUMIF($N$7:$N$12,AO7,$M$7:$M$12)</f>
        <v>3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-29990300</v>
      </c>
      <c r="BA7" s="34">
        <f>AZ7-AY7*10</f>
        <v>-29990310</v>
      </c>
      <c r="BB7" s="34">
        <f>BA7+N23</f>
        <v>-29990309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2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-90050708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3</v>
      </c>
      <c r="F9" s="13">
        <f t="shared" si="3"/>
        <v>4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0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3</v>
      </c>
      <c r="AK9" s="34">
        <f t="shared" si="4"/>
        <v>0</v>
      </c>
      <c r="AL9" s="34" t="str">
        <f t="shared" si="2"/>
        <v>Qatar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0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-9970000</v>
      </c>
      <c r="BA9" s="34">
        <f t="shared" si="10"/>
        <v>-9970010</v>
      </c>
      <c r="BB9" s="34">
        <f>BA9+N25</f>
        <v>-9970007</v>
      </c>
    </row>
    <row r="10" spans="2:54" x14ac:dyDescent="0.2">
      <c r="B10" s="48">
        <v>3</v>
      </c>
      <c r="C10" s="49" t="str">
        <f t="shared" si="3"/>
        <v>Qatar</v>
      </c>
      <c r="D10" s="50">
        <f t="shared" si="3"/>
        <v>3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-39990306</v>
      </c>
    </row>
    <row r="11" spans="2:54" ht="16" thickBot="1" x14ac:dyDescent="0.25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0</v>
      </c>
      <c r="F11" s="54">
        <f t="shared" si="3"/>
        <v>3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H9" sqref="H9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5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10</v>
      </c>
      <c r="AR7" s="34">
        <f>SUMIF($K$7:$K$12,AO7,$L$7:$L$12) + SUMIF($N$7:$N$12,AO7,$M$7:$M$12)</f>
        <v>12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-90101200</v>
      </c>
      <c r="BA7" s="34">
        <f>AZ7-AY7*10</f>
        <v>-90101210</v>
      </c>
      <c r="BB7" s="34">
        <f>BA7+N23</f>
        <v>-90101209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12</v>
      </c>
      <c r="F8" s="9">
        <f t="shared" si="0"/>
        <v>2</v>
      </c>
      <c r="G8" s="10">
        <f t="shared" si="0"/>
        <v>10</v>
      </c>
      <c r="I8" s="18">
        <v>4</v>
      </c>
      <c r="J8" s="19">
        <v>44886</v>
      </c>
      <c r="K8" s="20" t="s">
        <v>31</v>
      </c>
      <c r="L8" s="21">
        <v>1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-60000400</v>
      </c>
      <c r="BA8" s="34">
        <f t="shared" ref="BA8:BA10" si="10">AZ8-AY8*10</f>
        <v>-60000410</v>
      </c>
      <c r="BB8" s="34">
        <f>BA8+N24</f>
        <v>-60000408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69900</v>
      </c>
      <c r="BA9" s="34">
        <f t="shared" si="10"/>
        <v>69890</v>
      </c>
      <c r="BB9" s="34">
        <f>BA9+N25</f>
        <v>69893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-29970200</v>
      </c>
      <c r="BA10" s="34">
        <f t="shared" si="10"/>
        <v>-29970210</v>
      </c>
      <c r="BB10" s="34">
        <f>BA10+N26</f>
        <v>-29970206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4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5" sqref="L1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7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-90070700</v>
      </c>
      <c r="BA7" s="34">
        <f>AZ7-AY7*10</f>
        <v>-90070710</v>
      </c>
      <c r="BB7" s="34">
        <f>BA7+N23</f>
        <v>-90070709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0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>Polonia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-40000400</v>
      </c>
      <c r="BA8" s="34">
        <f t="shared" ref="BA8:BA10" si="10">AZ8-AY8*10</f>
        <v>-40000400</v>
      </c>
      <c r="BB8" s="34">
        <f>BA8+N24</f>
        <v>-40000398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>Mexico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-40000400</v>
      </c>
      <c r="BA9" s="34">
        <f t="shared" si="10"/>
        <v>-40000400</v>
      </c>
      <c r="BB9" s="34">
        <f>BA9+N25</f>
        <v>-40000397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2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69800</v>
      </c>
      <c r="BA10" s="34">
        <f t="shared" si="10"/>
        <v>69790</v>
      </c>
      <c r="BB10" s="34">
        <f>BA10+N26</f>
        <v>69794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2</v>
      </c>
      <c r="F11" s="54">
        <f t="shared" si="0"/>
        <v>9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-90060900</v>
      </c>
      <c r="BA7" s="34">
        <f>AZ7-AY7*10</f>
        <v>-90060910</v>
      </c>
      <c r="BB7" s="34">
        <f>BA7+N23</f>
        <v>-90060909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4</v>
      </c>
      <c r="M8" s="22">
        <v>2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>Australia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-9960200</v>
      </c>
      <c r="BA9" s="34">
        <f t="shared" si="10"/>
        <v>-9960200</v>
      </c>
      <c r="BB9" s="34">
        <f>BA9+N25</f>
        <v>-9960197</v>
      </c>
    </row>
    <row r="10" spans="2:54" x14ac:dyDescent="0.2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>Tunez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-9960200</v>
      </c>
      <c r="BA10" s="34">
        <f t="shared" si="10"/>
        <v>-9960200</v>
      </c>
      <c r="BB10" s="34">
        <f>BA10+N26</f>
        <v>-9960196</v>
      </c>
    </row>
    <row r="11" spans="2:54" ht="16" thickBot="1" x14ac:dyDescent="0.25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4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4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-70081000</v>
      </c>
      <c r="BA7" s="34">
        <f>AZ7-AY7*10</f>
        <v>-70081010</v>
      </c>
      <c r="BB7" s="34">
        <f>BA7+N23</f>
        <v>-70081009</v>
      </c>
    </row>
    <row r="8" spans="2:54" x14ac:dyDescent="0.2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10</v>
      </c>
      <c r="J8" s="19">
        <v>44888</v>
      </c>
      <c r="K8" s="20" t="s">
        <v>44</v>
      </c>
      <c r="L8" s="21">
        <v>5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6</v>
      </c>
      <c r="AR8" s="34">
        <f t="shared" ref="AR8:AR9" si="5">SUMIF($K$7:$K$12,AO8,$L$7:$L$12) + SUMIF($N$7:$N$12,AO8,$M$7:$M$12)</f>
        <v>10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-70061000</v>
      </c>
      <c r="BA8" s="34">
        <f t="shared" ref="BA8:BA10" si="10">AZ8-AY8*10</f>
        <v>-70061010</v>
      </c>
      <c r="BB8" s="34">
        <f>BA8+N24</f>
        <v>-70061008</v>
      </c>
    </row>
    <row r="9" spans="2:54" x14ac:dyDescent="0.2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10</v>
      </c>
      <c r="F9" s="13">
        <f t="shared" si="0"/>
        <v>4</v>
      </c>
      <c r="G9" s="14">
        <f t="shared" si="0"/>
        <v>6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-29950200</v>
      </c>
      <c r="BA9" s="34">
        <f t="shared" si="10"/>
        <v>-29950210</v>
      </c>
      <c r="BB9" s="34">
        <f>BA9+N25</f>
        <v>-29950207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2</v>
      </c>
      <c r="F10" s="50">
        <f t="shared" si="0"/>
        <v>7</v>
      </c>
      <c r="G10" s="51">
        <f t="shared" si="0"/>
        <v>-5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-9</v>
      </c>
      <c r="AR10" s="34">
        <f>SUMIF($K$7:$K$12,AO10,$L$7:$L$12) + SUMIF($N$7:$N$12,AO10,$M$7:$M$12)</f>
        <v>1</v>
      </c>
      <c r="AS10" s="34">
        <f>SUMIF($K$7:$K$12,AO10,$M$7:$M$12) + SUMIF($N$7:$N$12,AO10,$L$7:$L$12)</f>
        <v>10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89900</v>
      </c>
      <c r="BA10" s="34">
        <f t="shared" si="10"/>
        <v>89890</v>
      </c>
      <c r="BB10" s="34">
        <f>BA10+N26</f>
        <v>89894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10</v>
      </c>
      <c r="G11" s="55">
        <f t="shared" si="0"/>
        <v>-9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4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4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-9960207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-9980306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0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3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12</v>
      </c>
      <c r="AS7" s="34">
        <f>SUMIF($K$7:$K$12,AO7,$M$7:$M$12) + SUMIF($N$7:$N$12,AO7,$L$7:$L$12)</f>
        <v>4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-90081200</v>
      </c>
      <c r="BA7" s="34">
        <f>AZ7-AY7*10</f>
        <v>-90081210</v>
      </c>
      <c r="BB7" s="34">
        <f>BA7+N23</f>
        <v>-90081209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12</v>
      </c>
      <c r="F8" s="9">
        <f t="shared" si="0"/>
        <v>4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-40010600</v>
      </c>
      <c r="BA8" s="34">
        <f t="shared" ref="BA8:BA10" si="10">AZ8-AY8*10</f>
        <v>-40010610</v>
      </c>
      <c r="BB8" s="34">
        <f>BA8+N24</f>
        <v>-40010608</v>
      </c>
    </row>
    <row r="9" spans="2:54" x14ac:dyDescent="0.2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-39980300</v>
      </c>
      <c r="BA9" s="34">
        <f t="shared" si="10"/>
        <v>-39980310</v>
      </c>
      <c r="BB9" s="34">
        <f>BA9+N25</f>
        <v>-39980307</v>
      </c>
    </row>
    <row r="10" spans="2:54" x14ac:dyDescent="0.2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2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3</v>
      </c>
      <c r="AS10" s="34">
        <f>SUMIF($K$7:$K$12,AO10,$M$7:$M$12) + SUMIF($N$7:$N$12,AO10,$L$7:$L$12)</f>
        <v>10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69700</v>
      </c>
      <c r="BA10" s="34">
        <f t="shared" si="10"/>
        <v>69690</v>
      </c>
      <c r="BB10" s="34">
        <f>BA10+N26</f>
        <v>69694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3</v>
      </c>
      <c r="F11" s="54">
        <f t="shared" si="0"/>
        <v>10</v>
      </c>
      <c r="G11" s="55">
        <f t="shared" si="0"/>
        <v>-7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2</v>
      </c>
      <c r="M12" s="33">
        <v>5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N19" sqref="N19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3</v>
      </c>
      <c r="AO7" s="34" t="s">
        <v>57</v>
      </c>
      <c r="AP7" s="34">
        <f>SUMIF($K$7:$K$12,AO7,$AJ$7:$AJ$12) + SUMIF($N$7:$N$12,AO7,$AK$7:$AK$12)</f>
        <v>3</v>
      </c>
      <c r="AQ7" s="34">
        <f>AR7-AS7</f>
        <v>-2</v>
      </c>
      <c r="AR7" s="34">
        <f>SUMIF($K$7:$K$12,AO7,$L$7:$L$12) + SUMIF($N$7:$N$12,AO7,$M$7:$M$12)</f>
        <v>6</v>
      </c>
      <c r="AS7" s="34">
        <f>SUMIF($K$7:$K$12,AO7,$M$7:$M$12) + SUMIF($N$7:$N$12,AO7,$L$7:$L$12)</f>
        <v>8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-29980600</v>
      </c>
      <c r="BA7" s="34">
        <f>AZ7-AY7*10</f>
        <v>-29980610</v>
      </c>
      <c r="BB7" s="34">
        <f>BA7+N23</f>
        <v>-29980609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3</v>
      </c>
      <c r="M8" s="22">
        <v>2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-90050708</v>
      </c>
    </row>
    <row r="9" spans="2:54" x14ac:dyDescent="0.2">
      <c r="B9" s="11">
        <v>2</v>
      </c>
      <c r="C9" s="12" t="str">
        <f t="shared" si="0"/>
        <v>Corea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2</v>
      </c>
      <c r="AO9" s="34" t="s">
        <v>56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-60010407</v>
      </c>
    </row>
    <row r="10" spans="2:54" x14ac:dyDescent="0.2">
      <c r="B10" s="48">
        <v>3</v>
      </c>
      <c r="C10" s="49" t="str">
        <f t="shared" si="0"/>
        <v>Portugal</v>
      </c>
      <c r="D10" s="50">
        <f t="shared" si="0"/>
        <v>3</v>
      </c>
      <c r="E10" s="50">
        <f t="shared" si="0"/>
        <v>6</v>
      </c>
      <c r="F10" s="50">
        <f t="shared" si="0"/>
        <v>8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3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39800</v>
      </c>
      <c r="BA10" s="34">
        <f t="shared" si="10"/>
        <v>39790</v>
      </c>
      <c r="BB10" s="34">
        <f>BA10+N26</f>
        <v>39794</v>
      </c>
    </row>
    <row r="11" spans="2:54" ht="16" thickBot="1" x14ac:dyDescent="0.25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3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3</v>
      </c>
      <c r="AK12" s="34">
        <f t="shared" si="3"/>
        <v>0</v>
      </c>
      <c r="AL12" s="34" t="str">
        <f t="shared" si="4"/>
        <v>Corea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Y31" sqref="Y31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3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2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1</v>
      </c>
      <c r="N12" s="61">
        <v>4</v>
      </c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3</v>
      </c>
      <c r="O13" s="65"/>
    </row>
    <row r="14" spans="2:19" ht="16" thickBot="1" x14ac:dyDescent="0.25">
      <c r="B14" s="59" t="str">
        <f>'GRUPO E'!C8</f>
        <v>España</v>
      </c>
      <c r="C14" s="60">
        <v>2</v>
      </c>
      <c r="D14" s="61">
        <v>4</v>
      </c>
      <c r="J14" s="66"/>
      <c r="O14" s="66"/>
    </row>
    <row r="15" spans="2:19" ht="16" thickBot="1" x14ac:dyDescent="0.25">
      <c r="B15" s="62" t="str">
        <f>'GRUPO F'!C9</f>
        <v>Croacia</v>
      </c>
      <c r="C15" s="63">
        <v>2</v>
      </c>
      <c r="D15" s="64">
        <v>3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España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4</v>
      </c>
      <c r="D18" s="61"/>
      <c r="E18" s="69"/>
      <c r="O18" s="66"/>
    </row>
    <row r="19" spans="2:23" ht="16" thickBot="1" x14ac:dyDescent="0.25">
      <c r="B19" s="62" t="str">
        <f>'GRUPO H'!C9</f>
        <v>Corea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Argentina</v>
      </c>
      <c r="R20" s="60">
        <v>3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2</v>
      </c>
      <c r="S21" s="64"/>
    </row>
    <row r="22" spans="2:23" ht="16" thickBot="1" x14ac:dyDescent="0.25">
      <c r="B22" s="59" t="str">
        <f>'GRUPO B'!C8</f>
        <v>Inglaterra</v>
      </c>
      <c r="C22" s="60">
        <v>4</v>
      </c>
      <c r="D22" s="61"/>
      <c r="O22" s="66"/>
    </row>
    <row r="23" spans="2:23" ht="16" thickBot="1" x14ac:dyDescent="0.25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2</v>
      </c>
      <c r="I24" s="61">
        <v>4</v>
      </c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>
        <v>2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6" thickBot="1" x14ac:dyDescent="0.25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1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Alemania</v>
      </c>
      <c r="R30" s="63">
        <v>0</v>
      </c>
      <c r="S30" s="64"/>
    </row>
    <row r="31" spans="2:23" ht="16" thickBot="1" x14ac:dyDescent="0.25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Alemania</v>
      </c>
      <c r="H32" s="60">
        <v>3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">
      <c r="B34" s="59" t="str">
        <f>'GRUPO H'!C8</f>
        <v>Uruguay</v>
      </c>
      <c r="C34" s="60">
        <v>3</v>
      </c>
      <c r="D34" s="61">
        <v>5</v>
      </c>
      <c r="E34" s="69"/>
    </row>
    <row r="35" spans="2:9" ht="16" thickBot="1" x14ac:dyDescent="0.25">
      <c r="B35" s="62" t="str">
        <f>'GRUPO G'!C9</f>
        <v>Suiza</v>
      </c>
      <c r="C35" s="63">
        <v>3</v>
      </c>
      <c r="D35" s="64">
        <v>4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2022-11-02T00:22:23Z</dcterms:created>
  <dcterms:modified xsi:type="dcterms:W3CDTF">2022-11-17T15:02:31Z</dcterms:modified>
</cp:coreProperties>
</file>