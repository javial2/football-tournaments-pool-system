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ibel Bolivar\Downloads\"/>
    </mc:Choice>
  </mc:AlternateContent>
  <xr:revisionPtr revIDLastSave="0" documentId="13_ncr:1_{9178B928-67AE-4EB6-A543-D1729E9143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8" i="1" l="1"/>
  <c r="AJ9" i="1"/>
  <c r="AJ12" i="1"/>
  <c r="AK12" i="1"/>
  <c r="AP7" i="1"/>
  <c r="AR7" i="1"/>
  <c r="AS7" i="1"/>
  <c r="AQ7" i="1"/>
  <c r="AZ7" i="1"/>
  <c r="AJ7" i="1"/>
  <c r="AK7" i="1"/>
  <c r="AJ10" i="1"/>
  <c r="AP8" i="1"/>
  <c r="AR8" i="1"/>
  <c r="AS8" i="1"/>
  <c r="AQ8" i="1"/>
  <c r="AZ8" i="1"/>
  <c r="AK9" i="1"/>
  <c r="AJ11" i="1"/>
  <c r="AK11" i="1"/>
  <c r="AP9" i="1"/>
  <c r="AR9" i="1"/>
  <c r="AS9" i="1"/>
  <c r="AQ9" i="1"/>
  <c r="AZ9" i="1"/>
  <c r="AK8" i="1"/>
  <c r="AK10" i="1"/>
  <c r="AP10" i="1"/>
  <c r="AR10" i="1"/>
  <c r="AS10" i="1"/>
  <c r="AQ10" i="1"/>
  <c r="AZ10" i="1"/>
  <c r="AW7" i="1"/>
  <c r="AX7" i="1"/>
  <c r="AY7" i="1"/>
  <c r="BA7" i="1"/>
  <c r="N23" i="1"/>
  <c r="BB7" i="1"/>
  <c r="AW8" i="1"/>
  <c r="AL7" i="1"/>
  <c r="AX8" i="1"/>
  <c r="AY8" i="1"/>
  <c r="BA8" i="1"/>
  <c r="N24" i="1"/>
  <c r="BB8" i="1"/>
  <c r="AV10" i="1"/>
  <c r="AW9" i="1"/>
  <c r="AL11" i="1"/>
  <c r="AV9" i="1"/>
  <c r="AI7" i="1"/>
  <c r="AI8" i="1"/>
  <c r="AI9" i="1"/>
  <c r="AL8" i="1"/>
  <c r="AL9" i="1"/>
  <c r="AI10" i="1"/>
  <c r="AL10" i="1"/>
  <c r="AI11" i="1"/>
  <c r="AI12" i="1"/>
  <c r="AL12" i="1"/>
  <c r="AX9" i="1"/>
  <c r="AY9" i="1"/>
  <c r="BA9" i="1"/>
  <c r="N25" i="1"/>
  <c r="BB9" i="1"/>
  <c r="AW10" i="1"/>
  <c r="AX10" i="1"/>
  <c r="AY10" i="1"/>
  <c r="BA10" i="1"/>
  <c r="N26" i="1"/>
  <c r="BB10" i="1"/>
  <c r="AN7" i="1"/>
  <c r="AN8" i="1"/>
  <c r="AN9" i="1"/>
  <c r="D8" i="1"/>
  <c r="AI12" i="15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I10" i="15"/>
  <c r="I12" i="15"/>
  <c r="I9" i="15"/>
  <c r="I11" i="15"/>
  <c r="I9" i="14"/>
  <c r="I11" i="14"/>
  <c r="I10" i="14"/>
  <c r="I12" i="14"/>
  <c r="I10" i="13"/>
  <c r="I12" i="13"/>
  <c r="I9" i="13"/>
  <c r="I11" i="13"/>
  <c r="I10" i="12"/>
  <c r="I12" i="12"/>
  <c r="I9" i="12"/>
  <c r="I11" i="12"/>
  <c r="I10" i="11"/>
  <c r="I12" i="11"/>
  <c r="I9" i="11"/>
  <c r="I11" i="11"/>
  <c r="I10" i="10"/>
  <c r="I12" i="10"/>
  <c r="I9" i="10"/>
  <c r="I11" i="10"/>
  <c r="I10" i="2"/>
  <c r="I12" i="2"/>
  <c r="I9" i="2"/>
  <c r="I11" i="2"/>
  <c r="I10" i="1"/>
  <c r="I12" i="1"/>
  <c r="I9" i="1"/>
  <c r="I11" i="1"/>
  <c r="AJ8" i="15"/>
  <c r="AJ10" i="15"/>
  <c r="AJ12" i="15"/>
  <c r="AK12" i="15"/>
  <c r="AP7" i="15"/>
  <c r="AR7" i="15"/>
  <c r="AS7" i="15"/>
  <c r="AQ7" i="15"/>
  <c r="AZ7" i="15"/>
  <c r="AJ7" i="15"/>
  <c r="AK10" i="15"/>
  <c r="AJ11" i="15"/>
  <c r="AK11" i="15"/>
  <c r="AP8" i="15"/>
  <c r="AR8" i="15"/>
  <c r="AS8" i="15"/>
  <c r="AQ8" i="15"/>
  <c r="AZ8" i="15"/>
  <c r="AJ9" i="15"/>
  <c r="AK7" i="15"/>
  <c r="AP9" i="15"/>
  <c r="AR9" i="15"/>
  <c r="AS9" i="15"/>
  <c r="AQ9" i="15"/>
  <c r="AZ9" i="15"/>
  <c r="AK8" i="15"/>
  <c r="AK9" i="15"/>
  <c r="AP10" i="15"/>
  <c r="AR10" i="15"/>
  <c r="AS10" i="15"/>
  <c r="AQ10" i="15"/>
  <c r="AZ10" i="15"/>
  <c r="AW7" i="15"/>
  <c r="AX7" i="15"/>
  <c r="AY7" i="15"/>
  <c r="BA7" i="15"/>
  <c r="N23" i="15"/>
  <c r="BB7" i="15"/>
  <c r="AW8" i="15"/>
  <c r="AX8" i="15"/>
  <c r="AY8" i="15"/>
  <c r="BA8" i="15"/>
  <c r="N24" i="15"/>
  <c r="BB8" i="15"/>
  <c r="AV10" i="15"/>
  <c r="AW9" i="15"/>
  <c r="AV9" i="15"/>
  <c r="AL9" i="15"/>
  <c r="AX9" i="15"/>
  <c r="AY9" i="15"/>
  <c r="BA9" i="15"/>
  <c r="N25" i="15"/>
  <c r="BB9" i="15"/>
  <c r="AW10" i="15"/>
  <c r="AX10" i="15"/>
  <c r="AY10" i="15"/>
  <c r="BA10" i="15"/>
  <c r="N26" i="15"/>
  <c r="BB10" i="15"/>
  <c r="AN7" i="15"/>
  <c r="C8" i="15"/>
  <c r="B34" i="16"/>
  <c r="G33" i="16"/>
  <c r="L29" i="16"/>
  <c r="AJ8" i="13"/>
  <c r="AJ9" i="13"/>
  <c r="AJ11" i="13"/>
  <c r="AK11" i="13"/>
  <c r="AP7" i="13"/>
  <c r="AR7" i="13"/>
  <c r="AS7" i="13"/>
  <c r="AQ7" i="13"/>
  <c r="AZ7" i="13"/>
  <c r="AJ10" i="13"/>
  <c r="AJ7" i="13"/>
  <c r="AK7" i="13"/>
  <c r="AP8" i="13"/>
  <c r="AR8" i="13"/>
  <c r="AS8" i="13"/>
  <c r="AQ8" i="13"/>
  <c r="AZ8" i="13"/>
  <c r="AK9" i="13"/>
  <c r="AJ12" i="13"/>
  <c r="AK12" i="13"/>
  <c r="AP9" i="13"/>
  <c r="AR9" i="13"/>
  <c r="AS9" i="13"/>
  <c r="AQ9" i="13"/>
  <c r="AZ9" i="13"/>
  <c r="AK8" i="13"/>
  <c r="AK10" i="13"/>
  <c r="AP10" i="13"/>
  <c r="AR10" i="13"/>
  <c r="AS10" i="13"/>
  <c r="AQ10" i="13"/>
  <c r="AZ10" i="13"/>
  <c r="AW7" i="13"/>
  <c r="AX7" i="13"/>
  <c r="AY7" i="13"/>
  <c r="BA7" i="13"/>
  <c r="N23" i="13"/>
  <c r="BB7" i="13"/>
  <c r="AW8" i="13"/>
  <c r="AX8" i="13"/>
  <c r="AY8" i="13"/>
  <c r="BA8" i="13"/>
  <c r="N24" i="13"/>
  <c r="BB8" i="13"/>
  <c r="AW9" i="13"/>
  <c r="AX9" i="13"/>
  <c r="AY9" i="13"/>
  <c r="BA9" i="13"/>
  <c r="N25" i="13"/>
  <c r="BB9" i="13"/>
  <c r="AW10" i="13"/>
  <c r="AX10" i="13"/>
  <c r="AY10" i="13"/>
  <c r="BA10" i="13"/>
  <c r="N26" i="13"/>
  <c r="BB10" i="13"/>
  <c r="AN7" i="13"/>
  <c r="C8" i="13"/>
  <c r="B30" i="16"/>
  <c r="G32" i="16"/>
  <c r="AJ8" i="10"/>
  <c r="AJ10" i="10"/>
  <c r="AJ11" i="10"/>
  <c r="AK11" i="10"/>
  <c r="AP7" i="10"/>
  <c r="AR7" i="10"/>
  <c r="AS7" i="10"/>
  <c r="AQ7" i="10"/>
  <c r="AZ7" i="10"/>
  <c r="AJ7" i="10"/>
  <c r="AK10" i="10"/>
  <c r="AJ12" i="10"/>
  <c r="AK12" i="10"/>
  <c r="AP8" i="10"/>
  <c r="AR8" i="10"/>
  <c r="AS8" i="10"/>
  <c r="AQ8" i="10"/>
  <c r="AZ8" i="10"/>
  <c r="AJ9" i="10"/>
  <c r="AK7" i="10"/>
  <c r="AP9" i="10"/>
  <c r="AR9" i="10"/>
  <c r="AS9" i="10"/>
  <c r="AQ9" i="10"/>
  <c r="AZ9" i="10"/>
  <c r="AK8" i="10"/>
  <c r="AK9" i="10"/>
  <c r="AP10" i="10"/>
  <c r="AR10" i="10"/>
  <c r="AS10" i="10"/>
  <c r="AQ10" i="10"/>
  <c r="AZ10" i="10"/>
  <c r="AW7" i="10"/>
  <c r="AX7" i="10"/>
  <c r="AY7" i="10"/>
  <c r="BA7" i="10"/>
  <c r="N23" i="10"/>
  <c r="BB7" i="10"/>
  <c r="AW8" i="10"/>
  <c r="AX8" i="10"/>
  <c r="AY8" i="10"/>
  <c r="BA8" i="10"/>
  <c r="N24" i="10"/>
  <c r="BB8" i="10"/>
  <c r="AW9" i="10"/>
  <c r="AX9" i="10"/>
  <c r="AY9" i="10"/>
  <c r="BA9" i="10"/>
  <c r="N25" i="10"/>
  <c r="BB9" i="10"/>
  <c r="AW10" i="10"/>
  <c r="AX10" i="10"/>
  <c r="AY10" i="10"/>
  <c r="BA10" i="10"/>
  <c r="N26" i="10"/>
  <c r="BB10" i="10"/>
  <c r="AN7" i="10"/>
  <c r="C8" i="10"/>
  <c r="B10" i="16"/>
  <c r="G9" i="16"/>
  <c r="N27" i="15"/>
  <c r="I26" i="15"/>
  <c r="I25" i="15"/>
  <c r="I24" i="15"/>
  <c r="I23" i="15"/>
  <c r="AL10" i="15"/>
  <c r="AV8" i="15"/>
  <c r="AV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/>
  <c r="AJ10" i="14"/>
  <c r="AV9" i="14"/>
  <c r="AS9" i="14"/>
  <c r="AR9" i="14"/>
  <c r="AJ9" i="14"/>
  <c r="AK9" i="14"/>
  <c r="AL9" i="14"/>
  <c r="AV8" i="14"/>
  <c r="AS8" i="14"/>
  <c r="AR8" i="14"/>
  <c r="AJ8" i="14"/>
  <c r="AK8" i="14"/>
  <c r="AV7" i="14"/>
  <c r="AS7" i="14"/>
  <c r="AR7" i="14"/>
  <c r="AJ7" i="14"/>
  <c r="N27" i="13"/>
  <c r="I26" i="13"/>
  <c r="I25" i="13"/>
  <c r="I24" i="13"/>
  <c r="I23" i="13"/>
  <c r="AV10" i="13"/>
  <c r="AV9" i="13"/>
  <c r="AL9" i="13"/>
  <c r="AV8" i="13"/>
  <c r="AV7" i="13"/>
  <c r="N27" i="12"/>
  <c r="N26" i="12"/>
  <c r="I26" i="12"/>
  <c r="N25" i="12"/>
  <c r="I25" i="12"/>
  <c r="N24" i="12"/>
  <c r="I24" i="12"/>
  <c r="N23" i="12"/>
  <c r="I23" i="12"/>
  <c r="AJ12" i="12"/>
  <c r="AJ8" i="12"/>
  <c r="AK8" i="12"/>
  <c r="AJ9" i="12"/>
  <c r="AK9" i="12"/>
  <c r="AP10" i="12"/>
  <c r="AJ11" i="12"/>
  <c r="AV10" i="12"/>
  <c r="AS10" i="12"/>
  <c r="AR10" i="12"/>
  <c r="AJ10" i="12"/>
  <c r="AV9" i="12"/>
  <c r="AS9" i="12"/>
  <c r="AR9" i="12"/>
  <c r="AV8" i="12"/>
  <c r="AS8" i="12"/>
  <c r="AR8" i="12"/>
  <c r="AL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8" i="11"/>
  <c r="AK8" i="11"/>
  <c r="AJ9" i="11"/>
  <c r="AK9" i="11"/>
  <c r="AP10" i="11"/>
  <c r="AJ11" i="11"/>
  <c r="AV10" i="11"/>
  <c r="AS10" i="11"/>
  <c r="AR10" i="11"/>
  <c r="AJ10" i="11"/>
  <c r="AK10" i="11"/>
  <c r="AL10" i="11"/>
  <c r="AV9" i="11"/>
  <c r="AS9" i="11"/>
  <c r="AR9" i="11"/>
  <c r="AL9" i="11"/>
  <c r="AV8" i="11"/>
  <c r="AS8" i="11"/>
  <c r="AR8" i="11"/>
  <c r="AL8" i="11"/>
  <c r="AV7" i="11"/>
  <c r="AS7" i="11"/>
  <c r="AR7" i="11"/>
  <c r="AJ7" i="11"/>
  <c r="N27" i="10"/>
  <c r="I26" i="10"/>
  <c r="I25" i="10"/>
  <c r="I24" i="10"/>
  <c r="I23" i="10"/>
  <c r="AV10" i="10"/>
  <c r="AL10" i="10"/>
  <c r="AV9" i="10"/>
  <c r="AV8" i="10"/>
  <c r="AV7" i="10"/>
  <c r="N27" i="2"/>
  <c r="N26" i="2"/>
  <c r="I26" i="2"/>
  <c r="N25" i="2"/>
  <c r="I25" i="2"/>
  <c r="N24" i="2"/>
  <c r="I24" i="2"/>
  <c r="N23" i="2"/>
  <c r="I23" i="2"/>
  <c r="AJ12" i="2"/>
  <c r="AJ7" i="2"/>
  <c r="AK7" i="2"/>
  <c r="AJ9" i="2"/>
  <c r="AK9" i="2"/>
  <c r="AP9" i="2"/>
  <c r="AJ11" i="2"/>
  <c r="AV10" i="2"/>
  <c r="AS10" i="2"/>
  <c r="AR10" i="2"/>
  <c r="AJ10" i="2"/>
  <c r="AK10" i="2"/>
  <c r="AL10" i="2"/>
  <c r="AV9" i="2"/>
  <c r="AS9" i="2"/>
  <c r="AR9" i="2"/>
  <c r="AL9" i="2"/>
  <c r="AV8" i="2"/>
  <c r="AS8" i="2"/>
  <c r="AR8" i="2"/>
  <c r="AJ8" i="2"/>
  <c r="AV7" i="2"/>
  <c r="AS7" i="2"/>
  <c r="AR7" i="2"/>
  <c r="N27" i="1"/>
  <c r="I26" i="1"/>
  <c r="I25" i="1"/>
  <c r="I24" i="1"/>
  <c r="I23" i="1"/>
  <c r="AV8" i="1"/>
  <c r="AV7" i="1"/>
  <c r="L12" i="16"/>
  <c r="Q20" i="16"/>
  <c r="W24" i="16"/>
  <c r="AL8" i="15"/>
  <c r="AL12" i="15"/>
  <c r="AQ9" i="14"/>
  <c r="AQ8" i="14"/>
  <c r="AQ7" i="14"/>
  <c r="AL8" i="14"/>
  <c r="AK10" i="14"/>
  <c r="AL10" i="14"/>
  <c r="AK7" i="14"/>
  <c r="AK11" i="14"/>
  <c r="AP8" i="14"/>
  <c r="AZ8" i="14"/>
  <c r="AK12" i="14"/>
  <c r="AP7" i="14"/>
  <c r="AZ7" i="14"/>
  <c r="AP9" i="14"/>
  <c r="AL8" i="13"/>
  <c r="AL10" i="13"/>
  <c r="AL11" i="13"/>
  <c r="AL12" i="13"/>
  <c r="AQ9" i="12"/>
  <c r="AQ8" i="12"/>
  <c r="AQ7" i="12"/>
  <c r="AK10" i="12"/>
  <c r="AL10" i="12"/>
  <c r="AQ10" i="12"/>
  <c r="AZ10" i="12"/>
  <c r="AK7" i="12"/>
  <c r="AP9" i="12"/>
  <c r="AZ9" i="12"/>
  <c r="AL9" i="12"/>
  <c r="AL7" i="12"/>
  <c r="AK11" i="12"/>
  <c r="AP7" i="12"/>
  <c r="AZ7" i="12"/>
  <c r="AK12" i="12"/>
  <c r="AP8" i="12"/>
  <c r="AZ8" i="12"/>
  <c r="AQ10" i="11"/>
  <c r="AQ8" i="11"/>
  <c r="AQ9" i="11"/>
  <c r="AQ7" i="11"/>
  <c r="AZ10" i="11"/>
  <c r="AK7" i="11"/>
  <c r="AL7" i="11"/>
  <c r="AK11" i="11"/>
  <c r="AP7" i="11"/>
  <c r="AK12" i="11"/>
  <c r="AP8" i="11"/>
  <c r="AZ8" i="11"/>
  <c r="AP9" i="11"/>
  <c r="AZ9" i="11"/>
  <c r="AL7" i="10"/>
  <c r="AL11" i="10"/>
  <c r="AL8" i="10"/>
  <c r="AL9" i="10"/>
  <c r="AQ9" i="2"/>
  <c r="AQ8" i="2"/>
  <c r="AQ7" i="2"/>
  <c r="AQ10" i="2"/>
  <c r="AK12" i="2"/>
  <c r="AP8" i="2"/>
  <c r="AL7" i="2"/>
  <c r="AK8" i="2"/>
  <c r="AP10" i="2"/>
  <c r="AZ9" i="2"/>
  <c r="AK11" i="2"/>
  <c r="AL11" i="2"/>
  <c r="AZ7" i="11"/>
  <c r="AZ8" i="2"/>
  <c r="AP7" i="2"/>
  <c r="AZ7" i="2"/>
  <c r="AZ10" i="2"/>
  <c r="AW7" i="2"/>
  <c r="AX7" i="2"/>
  <c r="AY7" i="2"/>
  <c r="BA7" i="2"/>
  <c r="BB7" i="2"/>
  <c r="AL11" i="15"/>
  <c r="AL7" i="15"/>
  <c r="AZ9" i="14"/>
  <c r="AL7" i="14"/>
  <c r="AP10" i="14"/>
  <c r="AZ10" i="14"/>
  <c r="AW7" i="14"/>
  <c r="AX7" i="14"/>
  <c r="AY7" i="14"/>
  <c r="BA7" i="14"/>
  <c r="BB7" i="14"/>
  <c r="AL12" i="14"/>
  <c r="AL11" i="14"/>
  <c r="AL7" i="13"/>
  <c r="AW10" i="12"/>
  <c r="AX10" i="12"/>
  <c r="AY10" i="12"/>
  <c r="BA10" i="12"/>
  <c r="BB10" i="12"/>
  <c r="AW8" i="12"/>
  <c r="AX8" i="12"/>
  <c r="AY8" i="12"/>
  <c r="BA8" i="12"/>
  <c r="BB8" i="12"/>
  <c r="AW9" i="12"/>
  <c r="AW7" i="12"/>
  <c r="AX7" i="12"/>
  <c r="AY7" i="12"/>
  <c r="BA7" i="12"/>
  <c r="BB7" i="12"/>
  <c r="AL11" i="12"/>
  <c r="AL12" i="12"/>
  <c r="AW10" i="11"/>
  <c r="AX10" i="11"/>
  <c r="AY10" i="11"/>
  <c r="BA10" i="11"/>
  <c r="BB10" i="11"/>
  <c r="AW8" i="11"/>
  <c r="AX8" i="11"/>
  <c r="AY8" i="11"/>
  <c r="BA8" i="11"/>
  <c r="BB8" i="11"/>
  <c r="AL12" i="11"/>
  <c r="AW7" i="11"/>
  <c r="AL11" i="11"/>
  <c r="AW9" i="11"/>
  <c r="AX9" i="11"/>
  <c r="AY9" i="11"/>
  <c r="BA9" i="11"/>
  <c r="BB9" i="11"/>
  <c r="AL12" i="10"/>
  <c r="AW8" i="2"/>
  <c r="AW9" i="2"/>
  <c r="AL8" i="2"/>
  <c r="AL12" i="2"/>
  <c r="AW10" i="2"/>
  <c r="AX10" i="2"/>
  <c r="AW9" i="14"/>
  <c r="AX9" i="14"/>
  <c r="AY9" i="14"/>
  <c r="BA9" i="14"/>
  <c r="BB9" i="14"/>
  <c r="AW8" i="14"/>
  <c r="AX8" i="14"/>
  <c r="AY8" i="14"/>
  <c r="BA8" i="14"/>
  <c r="BB8" i="14"/>
  <c r="AW10" i="14"/>
  <c r="AX10" i="14"/>
  <c r="AY10" i="14"/>
  <c r="BA10" i="14"/>
  <c r="BB10" i="14"/>
  <c r="AX9" i="12"/>
  <c r="AY9" i="12"/>
  <c r="BA9" i="12"/>
  <c r="BB9" i="12"/>
  <c r="AN9" i="12"/>
  <c r="AX7" i="11"/>
  <c r="AY7" i="11"/>
  <c r="BA7" i="11"/>
  <c r="BB7" i="11"/>
  <c r="AN9" i="11"/>
  <c r="AY10" i="2"/>
  <c r="BA10" i="2"/>
  <c r="BB10" i="2"/>
  <c r="AX8" i="2"/>
  <c r="AY8" i="2"/>
  <c r="BA8" i="2"/>
  <c r="BB8" i="2"/>
  <c r="AX9" i="2"/>
  <c r="AY9" i="2"/>
  <c r="BA9" i="2"/>
  <c r="BB9" i="2"/>
  <c r="AN9" i="15"/>
  <c r="AN8" i="15"/>
  <c r="AN10" i="15"/>
  <c r="AN10" i="14"/>
  <c r="AN8" i="14"/>
  <c r="AN9" i="14"/>
  <c r="AN7" i="14"/>
  <c r="AN10" i="13"/>
  <c r="AN9" i="13"/>
  <c r="AN8" i="13"/>
  <c r="AN8" i="12"/>
  <c r="AN10" i="12"/>
  <c r="AN7" i="12"/>
  <c r="C8" i="12"/>
  <c r="B14" i="16"/>
  <c r="G8" i="12"/>
  <c r="D8" i="12"/>
  <c r="F8" i="12"/>
  <c r="AN10" i="11"/>
  <c r="AN8" i="11"/>
  <c r="AN7" i="11"/>
  <c r="E10" i="11"/>
  <c r="G11" i="11"/>
  <c r="G10" i="11"/>
  <c r="E8" i="11"/>
  <c r="F10" i="11"/>
  <c r="D8" i="11"/>
  <c r="G8" i="11"/>
  <c r="AN9" i="10"/>
  <c r="AN8" i="10"/>
  <c r="AN10" i="10"/>
  <c r="AN8" i="2"/>
  <c r="AN7" i="2"/>
  <c r="AN9" i="2"/>
  <c r="AN10" i="2"/>
  <c r="E8" i="12"/>
  <c r="F11" i="12"/>
  <c r="F8" i="11"/>
  <c r="C9" i="11"/>
  <c r="B11" i="16"/>
  <c r="D9" i="11"/>
  <c r="E9" i="11"/>
  <c r="C8" i="11"/>
  <c r="B26" i="16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F11" i="15"/>
  <c r="G10" i="15"/>
  <c r="C10" i="15"/>
  <c r="D9" i="15"/>
  <c r="E11" i="15"/>
  <c r="G9" i="15"/>
  <c r="C9" i="15"/>
  <c r="B19" i="16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/>
  <c r="G8" i="14"/>
  <c r="C8" i="14"/>
  <c r="B18" i="16"/>
  <c r="G17" i="16"/>
  <c r="L13" i="16"/>
  <c r="G11" i="13"/>
  <c r="F9" i="13"/>
  <c r="D11" i="13"/>
  <c r="F10" i="13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/>
  <c r="G16" i="16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/>
  <c r="E10" i="12"/>
  <c r="F9" i="11"/>
  <c r="D11" i="10"/>
  <c r="E10" i="10"/>
  <c r="F9" i="10"/>
  <c r="G8" i="10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/>
  <c r="G25" i="16"/>
  <c r="F8" i="2"/>
  <c r="D11" i="2"/>
  <c r="G11" i="2"/>
  <c r="E8" i="2"/>
  <c r="F11" i="2"/>
  <c r="C9" i="2"/>
  <c r="B7" i="16"/>
  <c r="E11" i="2"/>
  <c r="F10" i="2"/>
  <c r="D8" i="2"/>
  <c r="E10" i="2"/>
  <c r="C8" i="2"/>
  <c r="B22" i="16"/>
  <c r="G10" i="2"/>
  <c r="C10" i="2"/>
  <c r="D10" i="2"/>
  <c r="G8" i="2"/>
  <c r="F9" i="2"/>
  <c r="D9" i="2"/>
  <c r="E9" i="2"/>
  <c r="G9" i="2"/>
  <c r="AN10" i="1"/>
  <c r="D10" i="1"/>
  <c r="F9" i="1"/>
  <c r="D9" i="1"/>
  <c r="E9" i="1"/>
  <c r="C9" i="1"/>
  <c r="B23" i="16"/>
  <c r="G24" i="16"/>
  <c r="L28" i="16"/>
  <c r="Q21" i="16"/>
  <c r="G9" i="1"/>
  <c r="C10" i="1"/>
  <c r="F11" i="1"/>
  <c r="C11" i="1"/>
  <c r="D11" i="1"/>
  <c r="G11" i="1"/>
  <c r="E8" i="1"/>
  <c r="E10" i="1"/>
  <c r="F8" i="1"/>
  <c r="C8" i="1"/>
  <c r="B6" i="16"/>
  <c r="G8" i="16"/>
  <c r="Q29" i="16"/>
  <c r="F10" i="1"/>
  <c r="G8" i="1"/>
  <c r="E11" i="1"/>
  <c r="G10" i="1"/>
  <c r="Q30" i="16"/>
  <c r="W26" i="16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<sst xmlns="http://schemas.openxmlformats.org/spreadsheetml/2006/main" count="454" uniqueCount="79">
  <si>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</si>
  <si>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</si>
  <si>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</si>
  <si>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</si>
  <si>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</si>
  <si>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</si>
  <si>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</si>
  <si>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</si>
  <si>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</si>
  <si>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</si>
  <si>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</si>
  <si>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</si>
  <si>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</si>
  <si>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</si>
  <si>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</si>
  <si>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</si>
  <si>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</si>
  <si>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</si>
  <si>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</si>
  <si>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</si>
  <si>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</si>
  <si>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</si>
  <si>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</si>
  <si>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</si>
  <si>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</si>
  <si>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</si>
  <si>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</si>
  <si>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</si>
  <si>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</si>
  <si>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</si>
  <si>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</si>
  <si>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</si>
  <si>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</si>
  <si>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</si>
  <si>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</si>
  <si>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</si>
  <si>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</si>
  <si>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</si>
  <si>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</si>
  <si>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</si>
  <si>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</si>
  <si>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</si>
  <si>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</si>
  <si>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</si>
  <si>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</si>
  <si>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</si>
  <si>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</si>
  <si>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</si>
  <si>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</si>
  <si>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</si>
  <si>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</si>
  <si>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</si>
  <si>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</si>
  <si>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</si>
  <si>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</si>
  <si>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</si>
  <si>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</si>
  <si>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</si>
  <si>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</si>
  <si>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</si>
  <si>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</si>
  <si>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</si>
  <si>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</si>
  <si>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</si>
  <si>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</si>
  <si>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</si>
  <si>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</si>
  <si>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</si>
  <si>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</si>
  <si>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</si>
  <si>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</si>
  <si>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</si>
  <si>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</si>
  <si>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</si>
  <si>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</si>
  <si>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</si>
  <si>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</si>
  <si>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 xml:space="preserve">Maribel Bolivar </t>
  </si>
  <si>
    <t>maribel.bolivar@routinguc.com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</si>
</sst>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bel.bolivar@routingu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tabSelected="1" workbookViewId="0">
      <selection activeCell="E6" sqref="E6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CC77AFF1-8B3F-4F41-A539-A66193BB12CA}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28"/>
  <sheetViews>
    <sheetView workbookViewId="0">
      <selection activeCell="M27" sqref="M27"/>
    </sheetView>
  </sheetViews>
  <sheetFormatPr baseColWidth="10" defaultColWidth="10.85546875" defaultRowHeight="15" x14ac:dyDescent="0.25"/>
  <cols>
    <col min="1" max="14" width="11.42578125" customWidth="1"/>
    <col min="15" max="34" width="10.85546875" style="8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3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2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59800</v>
      </c>
      <c r="BA7" s="34">
        <f>AZ7-AY7*10</f>
        <v>59790</v>
      </c>
      <c r="BB7" s="34">
        <f>BA7+N23</f>
        <v>59794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>IFERROR(VLOOKUP($B8,$AN$7:$AS$11,D$5,FALSE),"")</f>
        <v>9</v>
      </c>
      <c r="E8" s="9">
        <f t="shared" si="3"/>
        <v>10</v>
      </c>
      <c r="F8" s="9">
        <f t="shared" si="3"/>
        <v>2</v>
      </c>
      <c r="G8" s="10">
        <f t="shared" si="3"/>
        <v>8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8</v>
      </c>
      <c r="AR8" s="34">
        <f t="shared" ref="AR8:AR9" si="5">SUMIF($K$7:$K$12,AO8,$L$7:$L$12) + SUMIF($N$7:$N$12,AO8,$M$7:$M$12)</f>
        <v>10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-90081000</v>
      </c>
      <c r="BA8" s="34">
        <f t="shared" ref="BA8:BA10" si="10">AZ8-AY8*10</f>
        <v>-90081010</v>
      </c>
      <c r="BB8" s="34">
        <f>BA8+N24</f>
        <v>-90081009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4</v>
      </c>
      <c r="F9" s="13">
        <f t="shared" si="3"/>
        <v>5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>Ecuador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-39990400</v>
      </c>
      <c r="BA9" s="34">
        <f t="shared" si="10"/>
        <v>-39990400</v>
      </c>
      <c r="BB9" s="34">
        <f>BA9+N25</f>
        <v>-39990398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4</v>
      </c>
      <c r="F10" s="50">
        <f t="shared" si="3"/>
        <v>5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>Senegal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-39990400</v>
      </c>
      <c r="BA10" s="34">
        <f t="shared" si="10"/>
        <v>-39990400</v>
      </c>
      <c r="BB10" s="34">
        <f>BA10+N26</f>
        <v>-39990397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8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B28"/>
  <sheetViews>
    <sheetView workbookViewId="0">
      <selection activeCell="M25" sqref="M25"/>
    </sheetView>
  </sheetViews>
  <sheetFormatPr baseColWidth="10" defaultColWidth="10.85546875" defaultRowHeight="15" x14ac:dyDescent="0.25"/>
  <cols>
    <col min="1" max="14" width="11.42578125" customWidth="1"/>
    <col min="15" max="34" width="10.85546875" style="78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B28"/>
  <sheetViews>
    <sheetView workbookViewId="0">
      <selection activeCell="M26" sqref="M26"/>
    </sheetView>
  </sheetViews>
  <sheetFormatPr baseColWidth="10" defaultColWidth="10.85546875" defaultRowHeight="15" x14ac:dyDescent="0.25"/>
  <cols>
    <col min="1" max="2" width="11.42578125" customWidth="1"/>
    <col min="3" max="3" width="13.7109375" bestFit="1" customWidth="1"/>
    <col min="4" max="10" width="11.42578125"/>
    <col min="11" max="11" width="13.7109375" bestFit="1" customWidth="1"/>
    <col min="12" max="13" width="11.42578125"/>
    <col min="14" max="14" width="13.7109375" bestFit="1" customWidth="1"/>
    <col min="15" max="34" width="13.7109375" style="78" customWidth="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10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-90071000</v>
      </c>
      <c r="BA7" s="34">
        <f>AZ7-AY7*10</f>
        <v>-90071010</v>
      </c>
      <c r="BB7" s="34">
        <f>BA7+N23</f>
        <v>-90071009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10</v>
      </c>
      <c r="F8" s="9">
        <f t="shared" si="0"/>
        <v>3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7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-60020700</v>
      </c>
      <c r="BA9" s="34">
        <f t="shared" si="10"/>
        <v>-60020710</v>
      </c>
      <c r="BB9" s="34">
        <f>BA9+N25</f>
        <v>-60020708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1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79900</v>
      </c>
      <c r="BA10" s="34">
        <f t="shared" si="10"/>
        <v>79890</v>
      </c>
      <c r="BB10" s="34">
        <f>BA10+N26</f>
        <v>79894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9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28"/>
  <sheetViews>
    <sheetView workbookViewId="0">
      <selection activeCell="M27" sqref="M27"/>
    </sheetView>
  </sheetViews>
  <sheetFormatPr baseColWidth="10" defaultColWidth="10.85546875" defaultRowHeight="15" x14ac:dyDescent="0.25"/>
  <cols>
    <col min="1" max="2" width="11.42578125" customWidth="1"/>
    <col min="3" max="3" width="13.7109375" bestFit="1" customWidth="1"/>
    <col min="4" max="10" width="11.42578125"/>
    <col min="11" max="11" width="13.7109375" bestFit="1" customWidth="1"/>
    <col min="12" max="13" width="11.42578125"/>
    <col min="14" max="14" width="13.7109375" bestFit="1" customWidth="1"/>
    <col min="15" max="34" width="13.7109375" style="78" customWidth="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8</v>
      </c>
      <c r="J8" s="19">
        <v>44887</v>
      </c>
      <c r="K8" s="20" t="s">
        <v>40</v>
      </c>
      <c r="L8" s="21">
        <v>4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-39990500</v>
      </c>
      <c r="BA8" s="34">
        <f t="shared" ref="BA8:BA10" si="10">AZ8-AY8*10</f>
        <v>-39990510</v>
      </c>
      <c r="BB8" s="34">
        <f>BA8+N24</f>
        <v>-39990508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-9960300</v>
      </c>
      <c r="BA9" s="34">
        <f t="shared" si="10"/>
        <v>-9960310</v>
      </c>
      <c r="BB9" s="34">
        <f>BA9+N25</f>
        <v>-9960306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2</v>
      </c>
      <c r="E10" s="50">
        <f t="shared" si="0"/>
        <v>5</v>
      </c>
      <c r="F10" s="50">
        <f t="shared" si="0"/>
        <v>8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-3</v>
      </c>
      <c r="AR10" s="34">
        <f>SUMIF($K$7:$K$12,AO10,$L$7:$L$12) + SUMIF($N$7:$N$12,AO10,$M$7:$M$12)</f>
        <v>5</v>
      </c>
      <c r="AS10" s="34">
        <f>SUMIF($K$7:$K$12,AO10,$M$7:$M$12) + SUMIF($N$7:$N$12,AO10,$L$7:$L$12)</f>
        <v>8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-19970500</v>
      </c>
      <c r="BA10" s="34">
        <f t="shared" si="10"/>
        <v>-19970510</v>
      </c>
      <c r="BB10" s="34">
        <f>BA10+N26</f>
        <v>-19970507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28"/>
  <sheetViews>
    <sheetView workbookViewId="0">
      <selection activeCell="M26" sqref="M26"/>
    </sheetView>
  </sheetViews>
  <sheetFormatPr baseColWidth="10" defaultColWidth="10.85546875" defaultRowHeight="15" x14ac:dyDescent="0.25"/>
  <cols>
    <col min="1" max="2" width="11.42578125" customWidth="1"/>
    <col min="3" max="3" width="13.7109375" bestFit="1" customWidth="1"/>
    <col min="4" max="10" width="11.42578125"/>
    <col min="11" max="11" width="13.7109375" bestFit="1" customWidth="1"/>
    <col min="12" max="13" width="11.42578125"/>
    <col min="14" max="14" width="13.7109375" bestFit="1" customWidth="1"/>
    <col min="15" max="34" width="13.7109375" style="78" customWidth="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-70060900</v>
      </c>
      <c r="BA7" s="34">
        <f>AZ7-AY7*10</f>
        <v>-70060910</v>
      </c>
      <c r="BB7" s="34">
        <f>BA7+N23</f>
        <v>-70060908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10</v>
      </c>
      <c r="J8" s="19">
        <v>44888</v>
      </c>
      <c r="K8" s="20" t="s">
        <v>44</v>
      </c>
      <c r="L8" s="21">
        <v>4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7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-70070900</v>
      </c>
      <c r="BA8" s="34">
        <f t="shared" ref="BA8:BA10" si="10">AZ8-AY8*10</f>
        <v>-70070910</v>
      </c>
      <c r="BB8" s="34">
        <f>BA8+N24</f>
        <v>-70070909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9</v>
      </c>
      <c r="F9" s="13">
        <f t="shared" si="0"/>
        <v>3</v>
      </c>
      <c r="G9" s="14">
        <f t="shared" si="0"/>
        <v>6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-29960300</v>
      </c>
      <c r="BA9" s="34">
        <f t="shared" si="10"/>
        <v>-29960310</v>
      </c>
      <c r="BB9" s="34">
        <f>BA9+N25</f>
        <v>-29960307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7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-9</v>
      </c>
      <c r="AR10" s="34">
        <f>SUMIF($K$7:$K$12,AO10,$L$7:$L$12) + SUMIF($N$7:$N$12,AO10,$M$7:$M$12)</f>
        <v>1</v>
      </c>
      <c r="AS10" s="34">
        <f>SUMIF($K$7:$K$12,AO10,$M$7:$M$12) + SUMIF($N$7:$N$12,AO10,$L$7:$L$12)</f>
        <v>10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89900</v>
      </c>
      <c r="BA10" s="34">
        <f t="shared" si="10"/>
        <v>89890</v>
      </c>
      <c r="BB10" s="34">
        <f>BA10+N26</f>
        <v>89894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10</v>
      </c>
      <c r="G11" s="55">
        <f t="shared" si="0"/>
        <v>-9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4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B28"/>
  <sheetViews>
    <sheetView workbookViewId="0">
      <selection activeCell="M27" sqref="M27"/>
    </sheetView>
  </sheetViews>
  <sheetFormatPr baseColWidth="10" defaultColWidth="10.85546875" defaultRowHeight="15" x14ac:dyDescent="0.25"/>
  <cols>
    <col min="1" max="2" width="11.42578125" customWidth="1"/>
    <col min="3" max="3" width="13.7109375" bestFit="1" customWidth="1"/>
    <col min="4" max="10" width="11.42578125"/>
    <col min="11" max="11" width="13.7109375" bestFit="1" customWidth="1"/>
    <col min="12" max="13" width="11.42578125"/>
    <col min="14" max="14" width="13.7109375" bestFit="1" customWidth="1"/>
    <col min="15" max="34" width="13.7109375" style="78" customWidth="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-60000500</v>
      </c>
      <c r="BA8" s="34">
        <f t="shared" ref="BA8:BA10" si="10">AZ8-AY8*10</f>
        <v>-60000510</v>
      </c>
      <c r="BB8" s="34">
        <f>BA8+N24</f>
        <v>-60000508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-29980307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B28"/>
  <sheetViews>
    <sheetView workbookViewId="0">
      <selection activeCell="M26" sqref="M26"/>
    </sheetView>
  </sheetViews>
  <sheetFormatPr baseColWidth="10" defaultColWidth="10.85546875" defaultRowHeight="15" x14ac:dyDescent="0.25"/>
  <cols>
    <col min="1" max="2" width="11.42578125" customWidth="1"/>
    <col min="3" max="3" width="13.7109375" bestFit="1" customWidth="1"/>
    <col min="4" max="10" width="11.42578125"/>
    <col min="11" max="11" width="13.7109375" bestFit="1" customWidth="1"/>
    <col min="12" max="13" width="11.42578125"/>
    <col min="14" max="14" width="13.7109375" bestFit="1" customWidth="1"/>
    <col min="15" max="34" width="13.7109375" style="78" customWidth="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2</v>
      </c>
      <c r="AQ8" s="34">
        <f>AR8-AS8</f>
        <v>-2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-19980400</v>
      </c>
      <c r="BA8" s="34">
        <f t="shared" ref="BA8:BA10" si="10">AZ8-AY8*10</f>
        <v>-19980410</v>
      </c>
      <c r="BB8" s="34">
        <f>BA8+N24</f>
        <v>-19980407</v>
      </c>
    </row>
    <row r="9" spans="2:54" x14ac:dyDescent="0.25">
      <c r="B9" s="11">
        <v>2</v>
      </c>
      <c r="C9" s="12" t="str">
        <f t="shared" si="0"/>
        <v>Camerun</v>
      </c>
      <c r="D9" s="13">
        <f t="shared" si="0"/>
        <v>4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-9950200</v>
      </c>
      <c r="BA9" s="34">
        <f t="shared" si="10"/>
        <v>-9950210</v>
      </c>
      <c r="BB9" s="34">
        <f>BA9+N25</f>
        <v>-9950206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2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5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-39990500</v>
      </c>
      <c r="BA10" s="34">
        <f t="shared" si="10"/>
        <v>-39990510</v>
      </c>
      <c r="BB10" s="34">
        <f>BA10+N26</f>
        <v>-39990508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B28"/>
  <sheetViews>
    <sheetView workbookViewId="0">
      <selection activeCell="L13" sqref="L13"/>
    </sheetView>
  </sheetViews>
  <sheetFormatPr baseColWidth="10" defaultColWidth="10.85546875" defaultRowHeight="15" x14ac:dyDescent="0.25"/>
  <cols>
    <col min="1" max="2" width="11.42578125" customWidth="1"/>
    <col min="3" max="3" width="13.7109375" bestFit="1" customWidth="1"/>
    <col min="4" max="10" width="11.42578125"/>
    <col min="11" max="11" width="13.7109375" bestFit="1" customWidth="1"/>
    <col min="12" max="13" width="11.42578125"/>
    <col min="14" max="14" width="13.7109375" bestFit="1" customWidth="1"/>
    <col min="15" max="34" width="13.7109375" style="78" customWidth="1"/>
    <col min="35" max="35" width="20" style="34" bestFit="1" customWidth="1"/>
    <col min="36" max="46" width="10.8554687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0.85546875" style="34"/>
    <col min="55" max="16384" width="10.8554687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-70020600</v>
      </c>
      <c r="BA7" s="34">
        <f>AZ7-AY7*10</f>
        <v>-70020610</v>
      </c>
      <c r="BB7" s="34">
        <f>BA7+N23</f>
        <v>-70020609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3</v>
      </c>
      <c r="M8" s="22">
        <v>2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7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>Gana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-9980300</v>
      </c>
      <c r="BA9" s="34">
        <f t="shared" si="10"/>
        <v>-9980300</v>
      </c>
      <c r="BB9" s="34">
        <f>BA9+N25</f>
        <v>-9980297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>Corea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-9980300</v>
      </c>
      <c r="BA10" s="34">
        <f t="shared" si="10"/>
        <v>-9980300</v>
      </c>
      <c r="BB10" s="34">
        <f>BA10+N26</f>
        <v>-9980296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5"/>
  <sheetViews>
    <sheetView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3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0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>
        <v>4</v>
      </c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>
        <v>5</v>
      </c>
      <c r="O17" s="66"/>
    </row>
    <row r="18" spans="2:23" ht="15.75" thickBot="1" x14ac:dyDescent="0.3">
      <c r="B18" s="59" t="str">
        <f>'GRUPO G'!C8</f>
        <v>Brasil</v>
      </c>
      <c r="C18" s="60">
        <v>4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Portugal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>
        <v>5</v>
      </c>
      <c r="O22" s="66"/>
    </row>
    <row r="23" spans="2:23" ht="15.75" thickBot="1" x14ac:dyDescent="0.3">
      <c r="B23" s="62" t="str">
        <f>'GRUPO A'!C9</f>
        <v>Senegal</v>
      </c>
      <c r="C23" s="63">
        <v>1</v>
      </c>
      <c r="D23" s="64">
        <v>4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Portugal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Polonia</v>
      </c>
      <c r="C27" s="63">
        <v>2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1</v>
      </c>
      <c r="N28" s="61">
        <v>4</v>
      </c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1</v>
      </c>
      <c r="N29" s="64">
        <v>5</v>
      </c>
      <c r="Q29" s="59" t="str">
        <f>IF(Q20=L12,L13,IF(Q20=L13,L12,""))</f>
        <v>Brasil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>
        <v>4</v>
      </c>
      <c r="J30" s="66"/>
      <c r="Q30" s="62" t="str">
        <f>IF(Q21=L28,L29,IF(Q21=L29,L28,""))</f>
        <v>Francia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>
        <v>3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5">
      <c r="B34" s="59" t="str">
        <f>'GRUPO H'!C8</f>
        <v>Portugal</v>
      </c>
      <c r="C34" s="60">
        <v>2</v>
      </c>
      <c r="D34" s="61"/>
      <c r="E34" s="69"/>
    </row>
    <row r="35" spans="2:9" ht="15.75" thickBot="1" x14ac:dyDescent="0.3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Maribel Bolivar</cp:lastModifiedBy>
  <dcterms:created xsi:type="dcterms:W3CDTF">2022-11-02T00:22:23Z</dcterms:created>
  <dcterms:modified xsi:type="dcterms:W3CDTF">2022-11-21T15:56:54Z</dcterms:modified>
</cp:coreProperties>
</file>