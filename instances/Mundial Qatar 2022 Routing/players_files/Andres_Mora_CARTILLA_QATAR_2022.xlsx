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. Team TI\003-People\Mundial\"/>
    </mc:Choice>
  </mc:AlternateContent>
  <xr:revisionPtr revIDLastSave="0" documentId="13_ncr:1_{98E5F47D-8725-4E3B-B3BF-CC47A1FC88E3}" xr6:coauthVersionLast="47" xr6:coauthVersionMax="47" xr10:uidLastSave="{00000000-0000-0000-0000-000000000000}"/>
  <bookViews>
    <workbookView xWindow="-110" yWindow="-110" windowWidth="19420" windowHeight="10300" tabRatio="721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P10" i="11" s="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9" i="2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Q10" i="11"/>
  <c r="AZ10" i="11" s="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7" i="14"/>
  <c r="AP8" i="14"/>
  <c r="AZ8" i="14" s="1"/>
  <c r="AP10" i="13"/>
  <c r="AZ10" i="13" s="1"/>
  <c r="AZ8" i="13"/>
  <c r="AP8" i="12"/>
  <c r="AZ8" i="12" s="1"/>
  <c r="AZ7" i="12"/>
  <c r="AZ10" i="12"/>
  <c r="AZ8" i="11"/>
  <c r="AZ9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8" i="11"/>
  <c r="AX8" i="11" s="1"/>
  <c r="AY8" i="11" s="1"/>
  <c r="BA8" i="11" s="1"/>
  <c r="BB8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G8" i="12"/>
  <c r="F8" i="12"/>
  <c r="D8" i="12"/>
  <c r="G10" i="11"/>
  <c r="G11" i="11"/>
  <c r="E8" i="11"/>
  <c r="E10" i="11"/>
  <c r="F10" i="11"/>
  <c r="G8" i="11"/>
  <c r="D8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D8" i="1"/>
  <c r="E11" i="1"/>
  <c r="G10" i="1"/>
  <c r="Q20" i="16" l="1"/>
  <c r="Q29" i="16" s="1"/>
  <c r="Q30" i="16"/>
  <c r="W24" i="16" l="1"/>
  <c r="W25" i="16" s="1"/>
  <c r="W26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<sst xmlns="http://schemas.openxmlformats.org/spreadsheetml/2006/main" count="454" uniqueCount="79">
  <si>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</si>
  <si>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</si>
  <si>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</si>
  <si>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</si>
  <si>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</si>
  <si>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</si>
  <si>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</si>
  <si>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</si>
  <si>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</si>
  <si>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</si>
  <si>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</si>
  <si>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</si>
  <si>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</si>
  <si>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</si>
  <si>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</si>
  <si>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</si>
  <si>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</si>
  <si>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</si>
  <si>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</si>
  <si>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</si>
  <si>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</si>
  <si>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</si>
  <si>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</si>
  <si>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</si>
  <si>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</si>
  <si>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</si>
  <si>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</si>
  <si>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</si>
  <si>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</si>
  <si>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</si>
  <si>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</si>
  <si>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</si>
  <si>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</si>
  <si>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</si>
  <si>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</si>
  <si>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</si>
  <si>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</si>
  <si>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</si>
  <si>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</si>
  <si>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</si>
  <si>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</si>
  <si>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</si>
  <si>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</si>
  <si>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</si>
  <si>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</si>
  <si>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</si>
  <si>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</si>
  <si>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</si>
  <si>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</si>
  <si>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</si>
  <si>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</si>
  <si>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</si>
  <si>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</si>
  <si>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</si>
  <si>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</si>
  <si>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</si>
  <si>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</si>
  <si>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</si>
  <si>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</si>
  <si>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</si>
  <si>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</si>
  <si>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</si>
  <si>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</si>
  <si>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</si>
  <si>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</si>
  <si>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</si>
  <si>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</si>
  <si>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</si>
  <si>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</si>
  <si>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</si>
  <si>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</si>
  <si>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</si>
  <si>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</si>
  <si>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</si>
  <si>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</si>
  <si>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</si>
  <si>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</si>
  <si>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Andrés Mora Estevez</t>
  </si>
  <si>
    <t>andres.mora@routinguc.com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</si>
</sst>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38" xfId="1" quotePrefix="1" applyFont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res.mora@routinguc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1" sqref="C1:D1048576"/>
    </sheetView>
  </sheetViews>
  <sheetFormatPr baseColWidth="10" defaultRowHeight="14.5" x14ac:dyDescent="0.35"/>
  <cols>
    <col min="3" max="4" width="13.26953125" customWidth="1"/>
  </cols>
  <sheetData>
    <row r="1" spans="2:4" ht="15" thickBot="1" x14ac:dyDescent="0.4"/>
    <row r="2" spans="2:4" ht="15" thickBot="1" x14ac:dyDescent="0.4">
      <c r="B2" s="79" t="s">
        <v>74</v>
      </c>
      <c r="C2" s="80"/>
      <c r="D2" s="81"/>
    </row>
    <row r="3" spans="2:4" x14ac:dyDescent="0.35">
      <c r="B3" s="76" t="s">
        <v>75</v>
      </c>
      <c r="C3" s="82" t="s">
        <v>77</v>
      </c>
      <c r="D3" s="83"/>
    </row>
    <row r="4" spans="2:4" ht="15" thickBot="1" x14ac:dyDescent="0.4">
      <c r="B4" s="77" t="s">
        <v>76</v>
      </c>
      <c r="C4" s="84" t="s">
        <v>78</v>
      </c>
      <c r="D4" s="85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1C805301-4CA0-42E6-B282-757C1765C1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1" sqref="L11"/>
    </sheetView>
  </sheetViews>
  <sheetFormatPr baseColWidth="10" defaultColWidth="11.453125" defaultRowHeight="14.5" x14ac:dyDescent="0.35"/>
  <cols>
    <col min="1" max="14" width="10.90625" customWidth="1"/>
    <col min="15" max="34" width="11.453125" style="34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0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1</v>
      </c>
      <c r="AQ7" s="34">
        <f>AR7-AS7</f>
        <v>-2</v>
      </c>
      <c r="AR7" s="34">
        <f>SUMIF($K$7:$K$12,AO7,$L$7:$L$12) + SUMIF($N$7:$N$12,AO7,$M$7:$M$12)</f>
        <v>3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-9980300</v>
      </c>
      <c r="BA7" s="34">
        <f>AZ7-AY7*10</f>
        <v>-9980310</v>
      </c>
      <c r="BB7" s="34">
        <f>BA7+N23</f>
        <v>-9980309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7</v>
      </c>
      <c r="F8" s="9">
        <f t="shared" si="3"/>
        <v>3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-90040700</v>
      </c>
      <c r="BA8" s="34">
        <f t="shared" ref="BA8:BA10" si="10">AZ8-AY8*10</f>
        <v>-90040710</v>
      </c>
      <c r="BB8" s="34">
        <f>BA8+N24</f>
        <v>-90040708</v>
      </c>
    </row>
    <row r="9" spans="2:54" x14ac:dyDescent="0.3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-9970107</v>
      </c>
    </row>
    <row r="10" spans="2:54" x14ac:dyDescent="0.35">
      <c r="B10" s="48">
        <v>3</v>
      </c>
      <c r="C10" s="49" t="str">
        <f t="shared" si="3"/>
        <v>Qatar</v>
      </c>
      <c r="D10" s="50">
        <f t="shared" si="3"/>
        <v>1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3</v>
      </c>
      <c r="M10" s="22">
        <v>2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-60010500</v>
      </c>
      <c r="BA10" s="34">
        <f t="shared" si="10"/>
        <v>-60010510</v>
      </c>
      <c r="BB10" s="34">
        <f>BA10+N26</f>
        <v>-60010506</v>
      </c>
    </row>
    <row r="11" spans="2:54" ht="15" thickBot="1" x14ac:dyDescent="0.4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4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14</v>
      </c>
      <c r="K23" s="105"/>
      <c r="L23" s="106"/>
      <c r="M23" s="42">
        <v>1</v>
      </c>
      <c r="N23" s="35">
        <f>IF(J23="",0,M23)</f>
        <v>1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13</v>
      </c>
      <c r="K24" s="87"/>
      <c r="L24" s="88"/>
      <c r="M24" s="43">
        <v>2</v>
      </c>
      <c r="N24" s="35">
        <f>IF(J24="",0,M24)</f>
        <v>2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12</v>
      </c>
      <c r="K25" s="87"/>
      <c r="L25" s="88"/>
      <c r="M25" s="43">
        <v>3</v>
      </c>
      <c r="N25" s="35">
        <f>IF(J25="",0,M25)</f>
        <v>3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11</v>
      </c>
      <c r="K26" s="90"/>
      <c r="L26" s="91"/>
      <c r="M26" s="44">
        <v>4</v>
      </c>
      <c r="N26" s="35">
        <f>IF(J26="",0,M26)</f>
        <v>4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1" sqref="M11"/>
    </sheetView>
  </sheetViews>
  <sheetFormatPr baseColWidth="10" defaultColWidth="11.453125" defaultRowHeight="14.5" x14ac:dyDescent="0.35"/>
  <cols>
    <col min="1" max="14" width="10.90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29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3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3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0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0</v>
      </c>
      <c r="AS9" s="34">
        <f t="shared" si="6"/>
        <v>6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60000</v>
      </c>
      <c r="BA9" s="34">
        <f t="shared" si="10"/>
        <v>59990</v>
      </c>
      <c r="BB9" s="34">
        <f>BA9+N25</f>
        <v>59993</v>
      </c>
    </row>
    <row r="10" spans="2:54" x14ac:dyDescent="0.3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" thickBot="1" x14ac:dyDescent="0.4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3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30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31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32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33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0" sqref="L10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34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0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3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35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1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-30000400</v>
      </c>
      <c r="BA9" s="34">
        <f t="shared" si="10"/>
        <v>-30000410</v>
      </c>
      <c r="BB9" s="34">
        <f>BA9+N25</f>
        <v>-30000407</v>
      </c>
    </row>
    <row r="10" spans="2:54" x14ac:dyDescent="0.3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1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1</v>
      </c>
      <c r="AS10" s="34">
        <f>SUMIF($K$7:$K$12,AO10,$M$7:$M$12) + SUMIF($N$7:$N$12,AO10,$L$7:$L$12)</f>
        <v>9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79900</v>
      </c>
      <c r="BA10" s="34">
        <f t="shared" si="10"/>
        <v>79890</v>
      </c>
      <c r="BB10" s="34">
        <f>BA10+N26</f>
        <v>79894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9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35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36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37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38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1" sqref="M11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39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3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0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-60020400</v>
      </c>
      <c r="BA8" s="34">
        <f t="shared" ref="BA8:BA10" si="10">AZ8-AY8*10</f>
        <v>-60020410</v>
      </c>
      <c r="BB8" s="34">
        <f>BA8+N24</f>
        <v>-60020408</v>
      </c>
    </row>
    <row r="9" spans="2:54" x14ac:dyDescent="0.3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3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-7</v>
      </c>
      <c r="AR9" s="34">
        <f t="shared" si="5"/>
        <v>1</v>
      </c>
      <c r="AS9" s="34">
        <f t="shared" si="6"/>
        <v>8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69900</v>
      </c>
      <c r="BA9" s="34">
        <f t="shared" si="10"/>
        <v>69890</v>
      </c>
      <c r="BB9" s="34">
        <f>BA9+N25</f>
        <v>69893</v>
      </c>
    </row>
    <row r="10" spans="2:54" x14ac:dyDescent="0.35">
      <c r="B10" s="48">
        <v>3</v>
      </c>
      <c r="C10" s="49" t="str">
        <f t="shared" si="0"/>
        <v>Australia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1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3</v>
      </c>
      <c r="AS10" s="34">
        <f>SUMIF($K$7:$K$12,AO10,$M$7:$M$12) + SUMIF($N$7:$N$12,AO10,$L$7:$L$12)</f>
        <v>4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-29990300</v>
      </c>
      <c r="BA10" s="34">
        <f t="shared" si="10"/>
        <v>-29990310</v>
      </c>
      <c r="BB10" s="34">
        <f>BA10+N26</f>
        <v>-29990306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78">
        <v>0</v>
      </c>
      <c r="M12" s="33">
        <v>1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40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41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42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43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9" sqref="M9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70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4</v>
      </c>
      <c r="AR7" s="34">
        <f>SUMIF($K$7:$K$12,AO7,$L$7:$L$12) + SUMIF($N$7:$N$12,AO7,$M$7:$M$12)</f>
        <v>8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-60040800</v>
      </c>
      <c r="BA7" s="34">
        <f>AZ7-AY7*10</f>
        <v>-60040810</v>
      </c>
      <c r="BB7" s="34">
        <f>BA7+N23</f>
        <v>-60040809</v>
      </c>
    </row>
    <row r="8" spans="2:54" x14ac:dyDescent="0.3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-90070900</v>
      </c>
      <c r="BA8" s="34">
        <f t="shared" ref="BA8:BA10" si="10">AZ8-AY8*10</f>
        <v>-90070910</v>
      </c>
      <c r="BB8" s="34">
        <f>BA8+N24</f>
        <v>-90070908</v>
      </c>
    </row>
    <row r="9" spans="2:54" x14ac:dyDescent="0.3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8</v>
      </c>
      <c r="F9" s="13">
        <f t="shared" si="0"/>
        <v>4</v>
      </c>
      <c r="G9" s="14">
        <f t="shared" si="0"/>
        <v>4</v>
      </c>
      <c r="I9" s="23">
        <f>I7+16</f>
        <v>25</v>
      </c>
      <c r="J9" s="24">
        <v>44892</v>
      </c>
      <c r="K9" s="25" t="s">
        <v>46</v>
      </c>
      <c r="L9" s="21">
        <v>2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-5</v>
      </c>
      <c r="AR9" s="34">
        <f t="shared" si="5"/>
        <v>3</v>
      </c>
      <c r="AS9" s="34">
        <f t="shared" si="6"/>
        <v>8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-29950300</v>
      </c>
      <c r="BA9" s="34">
        <f t="shared" si="10"/>
        <v>-29950310</v>
      </c>
      <c r="BB9" s="34">
        <f>BA9+N25</f>
        <v>-29950307</v>
      </c>
    </row>
    <row r="10" spans="2:54" x14ac:dyDescent="0.3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8</v>
      </c>
      <c r="G10" s="51">
        <f t="shared" si="0"/>
        <v>-5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" thickBot="1" x14ac:dyDescent="0.4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4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3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44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45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46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47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71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3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-60030700</v>
      </c>
      <c r="BA7" s="34">
        <f>AZ7-AY7*10</f>
        <v>-60030710</v>
      </c>
      <c r="BB7" s="34">
        <f>BA7+N23</f>
        <v>-60030709</v>
      </c>
    </row>
    <row r="8" spans="2:54" x14ac:dyDescent="0.35">
      <c r="B8" s="7">
        <v>1</v>
      </c>
      <c r="C8" s="8" t="str">
        <f t="shared" ref="C8:G11" si="0">IFERROR(VLOOKUP($B8,$AN$7:$AS$11,C$5,FALSE),"")</f>
        <v>Croacia</v>
      </c>
      <c r="D8" s="9">
        <f t="shared" si="0"/>
        <v>9</v>
      </c>
      <c r="E8" s="9">
        <f t="shared" si="0"/>
        <v>10</v>
      </c>
      <c r="F8" s="9">
        <f t="shared" si="0"/>
        <v>4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-90061000</v>
      </c>
      <c r="BA8" s="34">
        <f t="shared" ref="BA8:BA10" si="10">AZ8-AY8*10</f>
        <v>-90061010</v>
      </c>
      <c r="BB8" s="34">
        <f>BA8+N24</f>
        <v>-90061008</v>
      </c>
    </row>
    <row r="9" spans="2:54" x14ac:dyDescent="0.3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4</v>
      </c>
      <c r="AS9" s="34">
        <f t="shared" si="6"/>
        <v>8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-9960400</v>
      </c>
      <c r="BA9" s="34">
        <f t="shared" si="10"/>
        <v>-9960410</v>
      </c>
      <c r="BB9" s="34">
        <f>BA9+N25</f>
        <v>-9960407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1</v>
      </c>
      <c r="E10" s="50">
        <f t="shared" si="0"/>
        <v>4</v>
      </c>
      <c r="F10" s="50">
        <f t="shared" si="0"/>
        <v>8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4</v>
      </c>
      <c r="M10" s="22">
        <v>1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3</v>
      </c>
      <c r="AS10" s="34">
        <f>SUMIF($K$7:$K$12,AO10,$M$7:$M$12) + SUMIF($N$7:$N$12,AO10,$L$7:$L$12)</f>
        <v>8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-9950300</v>
      </c>
      <c r="BA10" s="34">
        <f t="shared" si="10"/>
        <v>-9950310</v>
      </c>
      <c r="BB10" s="34">
        <f>BA10+N26</f>
        <v>-9950306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3</v>
      </c>
      <c r="F11" s="54">
        <f t="shared" si="0"/>
        <v>8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3</v>
      </c>
      <c r="M11" s="22">
        <v>2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2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48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49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50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51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8" sqref="L8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72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2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-29970200</v>
      </c>
      <c r="BA8" s="34">
        <f t="shared" ref="BA8:BA10" si="10">AZ8-AY8*10</f>
        <v>-29970210</v>
      </c>
      <c r="BB8" s="34">
        <f>BA8+N24</f>
        <v>-29970208</v>
      </c>
    </row>
    <row r="9" spans="2:54" x14ac:dyDescent="0.3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3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3</v>
      </c>
      <c r="AR9" s="34">
        <f t="shared" si="5"/>
        <v>6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-60030600</v>
      </c>
      <c r="BA9" s="34">
        <f t="shared" si="10"/>
        <v>-60030610</v>
      </c>
      <c r="BB9" s="34">
        <f>BA9+N25</f>
        <v>-60030607</v>
      </c>
    </row>
    <row r="10" spans="2:54" x14ac:dyDescent="0.3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1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0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10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52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53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54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0" sqref="L10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2" t="s">
        <v>73</v>
      </c>
      <c r="C3" s="93"/>
      <c r="D3" s="93"/>
      <c r="E3" s="93"/>
      <c r="F3" s="93"/>
      <c r="G3" s="94"/>
    </row>
    <row r="4" spans="2:54" ht="15" thickBot="1" x14ac:dyDescent="0.4">
      <c r="B4" s="95"/>
      <c r="C4" s="96"/>
      <c r="D4" s="96"/>
      <c r="E4" s="96"/>
      <c r="F4" s="96"/>
      <c r="G4" s="97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98" t="s">
        <v>1</v>
      </c>
      <c r="C6" s="99"/>
      <c r="D6" s="99"/>
      <c r="E6" s="99"/>
      <c r="F6" s="99"/>
      <c r="G6" s="100"/>
      <c r="J6" s="15" t="s">
        <v>8</v>
      </c>
      <c r="K6" s="101" t="s">
        <v>9</v>
      </c>
      <c r="L6" s="102"/>
      <c r="M6" s="102"/>
      <c r="N6" s="10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3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3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16</v>
      </c>
      <c r="J8" s="19">
        <v>44889</v>
      </c>
      <c r="K8" s="20" t="s">
        <v>57</v>
      </c>
      <c r="L8" s="21">
        <v>4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35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-29970300</v>
      </c>
      <c r="BA9" s="34">
        <f t="shared" si="10"/>
        <v>-29970310</v>
      </c>
      <c r="BB9" s="34">
        <f>BA9+N25</f>
        <v>-29970307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1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9" t="s">
        <v>23</v>
      </c>
      <c r="K22" s="80"/>
      <c r="L22" s="80"/>
      <c r="M22" s="81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4" t="s">
        <v>57</v>
      </c>
      <c r="K23" s="105"/>
      <c r="L23" s="106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6" t="s">
        <v>55</v>
      </c>
      <c r="K24" s="87"/>
      <c r="L24" s="88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6" t="s">
        <v>56</v>
      </c>
      <c r="K25" s="87"/>
      <c r="L25" s="88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9" t="s">
        <v>58</v>
      </c>
      <c r="K26" s="90"/>
      <c r="L26" s="91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zoomScale="50" zoomScaleNormal="50" workbookViewId="0">
      <selection activeCell="W17" sqref="W17"/>
    </sheetView>
  </sheetViews>
  <sheetFormatPr baseColWidth="10" defaultRowHeight="14.5" x14ac:dyDescent="0.35"/>
  <cols>
    <col min="2" max="2" width="11.36328125" bestFit="1" customWidth="1"/>
    <col min="3" max="3" width="11.26953125" bestFit="1" customWidth="1"/>
    <col min="4" max="4" width="9.1796875" bestFit="1" customWidth="1"/>
    <col min="7" max="7" width="11.36328125" bestFit="1" customWidth="1"/>
    <col min="9" max="9" width="9.1796875" bestFit="1" customWidth="1"/>
    <col min="14" max="14" width="9.1796875" bestFit="1" customWidth="1"/>
    <col min="22" max="22" width="17.90625" bestFit="1" customWidth="1"/>
  </cols>
  <sheetData>
    <row r="1" spans="2:19" ht="15" thickBot="1" x14ac:dyDescent="0.4"/>
    <row r="2" spans="2:19" ht="15" thickBot="1" x14ac:dyDescent="0.4">
      <c r="B2" s="107" t="s">
        <v>69</v>
      </c>
      <c r="C2" s="108"/>
      <c r="D2" s="109"/>
    </row>
    <row r="3" spans="2:19" ht="15" thickBot="1" x14ac:dyDescent="0.4"/>
    <row r="4" spans="2:19" ht="15" thickBot="1" x14ac:dyDescent="0.4">
      <c r="G4" s="107" t="s">
        <v>59</v>
      </c>
      <c r="H4" s="108"/>
      <c r="I4" s="109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2</v>
      </c>
      <c r="I8" s="61"/>
      <c r="L8" s="107" t="s">
        <v>60</v>
      </c>
      <c r="M8" s="108"/>
      <c r="N8" s="109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" thickBot="1" x14ac:dyDescent="0.4">
      <c r="B10" s="59" t="str">
        <f>'GRUPO C'!C8</f>
        <v>Argentina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Dinamarca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0</v>
      </c>
      <c r="N13" s="64"/>
      <c r="O13" s="65"/>
    </row>
    <row r="14" spans="2:19" ht="15" thickBot="1" x14ac:dyDescent="0.4">
      <c r="B14" s="59" t="str">
        <f>'GRUPO E'!C8</f>
        <v>Alemania</v>
      </c>
      <c r="C14" s="60">
        <v>3</v>
      </c>
      <c r="D14" s="61"/>
      <c r="J14" s="66"/>
      <c r="O14" s="66"/>
    </row>
    <row r="15" spans="2:19" ht="15" thickBot="1" x14ac:dyDescent="0.4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07" t="s">
        <v>63</v>
      </c>
      <c r="R16" s="108"/>
      <c r="S16" s="109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3</v>
      </c>
      <c r="D18" s="61"/>
      <c r="E18" s="69"/>
      <c r="O18" s="66"/>
    </row>
    <row r="19" spans="2:23" ht="15" thickBot="1" x14ac:dyDescent="0.4">
      <c r="B19" s="62" t="str">
        <f>'GRUPO H'!C9</f>
        <v>Uruguay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Argentina</v>
      </c>
      <c r="R20" s="60">
        <v>3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2</v>
      </c>
      <c r="S21" s="64"/>
    </row>
    <row r="22" spans="2:23" ht="15" thickBot="1" x14ac:dyDescent="0.4">
      <c r="B22" s="59" t="str">
        <f>'GRUPO B'!C8</f>
        <v>Inglaterra</v>
      </c>
      <c r="C22" s="60">
        <v>2</v>
      </c>
      <c r="D22" s="61"/>
      <c r="O22" s="66"/>
    </row>
    <row r="23" spans="2:23" ht="15" thickBot="1" x14ac:dyDescent="0.4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0" t="s">
        <v>64</v>
      </c>
      <c r="W23" s="103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07" t="s">
        <v>66</v>
      </c>
      <c r="R25" s="108"/>
      <c r="S25" s="109"/>
      <c r="V25" s="72" t="s">
        <v>67</v>
      </c>
      <c r="W25" s="73" t="str">
        <f>IF(W24=Q20,Q21,IF(W24=Q21,Q20,""))</f>
        <v>Inglaterra</v>
      </c>
    </row>
    <row r="26" spans="2:23" ht="15" thickBot="1" x14ac:dyDescent="0.4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" thickBot="1" x14ac:dyDescent="0.4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Inglaterra</v>
      </c>
      <c r="M28" s="60">
        <v>3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Portugal</v>
      </c>
      <c r="M29" s="63">
        <v>2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5" thickBot="1" x14ac:dyDescent="0.4">
      <c r="B30" s="59" t="str">
        <f>'GRUPO F'!C8</f>
        <v>Croacia</v>
      </c>
      <c r="C30" s="60">
        <v>3</v>
      </c>
      <c r="D30" s="61"/>
      <c r="J30" s="66"/>
      <c r="Q30" s="62" t="str">
        <f>IF(Q21=L28,L29,IF(Q21=L29,L28,""))</f>
        <v>Portugal</v>
      </c>
      <c r="R30" s="63">
        <v>1</v>
      </c>
      <c r="S30" s="64"/>
    </row>
    <row r="31" spans="2:23" ht="15" thickBot="1" x14ac:dyDescent="0.4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Croacia</v>
      </c>
      <c r="H32" s="60">
        <v>1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2</v>
      </c>
      <c r="I33" s="64"/>
    </row>
    <row r="34" spans="2:9" x14ac:dyDescent="0.35">
      <c r="B34" s="59" t="str">
        <f>'GRUPO H'!C8</f>
        <v>Portugal</v>
      </c>
      <c r="C34" s="60">
        <v>3</v>
      </c>
      <c r="D34" s="61">
        <v>5</v>
      </c>
      <c r="E34" s="69"/>
    </row>
    <row r="35" spans="2:9" ht="15" thickBot="1" x14ac:dyDescent="0.4">
      <c r="B35" s="62" t="str">
        <f>'GRUPO G'!C9</f>
        <v>Serbia</v>
      </c>
      <c r="C35" s="63">
        <v>2</v>
      </c>
      <c r="D35" s="64">
        <v>4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Andrés Mora</cp:lastModifiedBy>
  <dcterms:created xsi:type="dcterms:W3CDTF">2022-11-02T00:22:23Z</dcterms:created>
  <dcterms:modified xsi:type="dcterms:W3CDTF">2022-11-18T19:46:26Z</dcterms:modified>
</cp:coreProperties>
</file>