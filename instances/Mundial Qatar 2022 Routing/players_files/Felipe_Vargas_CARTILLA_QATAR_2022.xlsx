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Routing\players_files\"/>
    </mc:Choice>
  </mc:AlternateContent>
  <xr:revisionPtr revIDLastSave="0" documentId="13_ncr:1_{2AB7121F-F4F5-403C-B570-D7EE3F6E75EA}" xr6:coauthVersionLast="47" xr6:coauthVersionMax="47" xr10:uidLastSave="{00000000-0000-0000-0000-000000000000}"/>
  <bookViews>
    <workbookView xWindow="20370" yWindow="-120" windowWidth="29040" windowHeight="1584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9" i="2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Z10" i="11" s="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8" i="14"/>
  <c r="AZ8" i="14" s="1"/>
  <c r="AZ10" i="12"/>
  <c r="AW10" i="12" s="1"/>
  <c r="AX10" i="12" s="1"/>
  <c r="AY10" i="12" s="1"/>
  <c r="BA10" i="12" s="1"/>
  <c r="BB10" i="12" s="1"/>
  <c r="AZ9" i="1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8" i="11" l="1"/>
  <c r="AX8" i="11" s="1"/>
  <c r="AY8" i="11" s="1"/>
  <c r="BA8" i="11" s="1"/>
  <c r="BB8" i="11" s="1"/>
  <c r="AW7" i="14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D8" i="12"/>
  <c r="G11" i="11"/>
  <c r="D8" i="11"/>
  <c r="G8" i="11"/>
  <c r="E8" i="11"/>
  <c r="G10" i="11"/>
  <c r="F10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G32" i="16" s="1"/>
  <c r="L29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G25" i="16" l="1"/>
  <c r="D10" i="1"/>
  <c r="F9" i="1"/>
  <c r="D9" i="1"/>
  <c r="E9" i="1"/>
  <c r="C9" i="1"/>
  <c r="B23" i="16" s="1"/>
  <c r="G24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L28" i="16" l="1"/>
  <c r="Q21" i="16" s="1"/>
  <c r="W24" i="16" s="1"/>
  <c r="W25" i="16" s="1"/>
  <c r="Q30" i="16" l="1"/>
  <c r="W26" i="16" s="1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<sst xmlns="http://schemas.openxmlformats.org/spreadsheetml/2006/main" count="453" uniqueCount="78">
  <si>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</si>
  <si>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</si>
  <si>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</si>
  <si>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</si>
  <si>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</si>
  <si>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</si>
  <si>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</si>
  <si>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</si>
  <si>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</si>
  <si>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</si>
  <si>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</si>
  <si>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</si>
  <si>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</si>
  <si>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</si>
  <si>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</si>
  <si>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</si>
  <si>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</si>
  <si>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</si>
  <si>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</si>
  <si>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</si>
  <si>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</si>
  <si>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</si>
  <si>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</si>
  <si>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</si>
  <si>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</si>
  <si>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</si>
  <si>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</si>
  <si>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</si>
  <si>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</si>
  <si>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</si>
  <si>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</si>
  <si>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</si>
  <si>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</si>
  <si>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</si>
  <si>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</si>
  <si>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</si>
  <si>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</si>
  <si>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</si>
  <si>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</si>
  <si>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</si>
  <si>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</si>
  <si>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</si>
  <si>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</si>
  <si>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</si>
  <si>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</si>
  <si>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</si>
  <si>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</si>
  <si>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</si>
  <si>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</si>
  <si>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</si>
  <si>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</si>
  <si>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</si>
  <si>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</si>
  <si>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</si>
  <si>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</si>
  <si>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</si>
  <si>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</si>
  <si>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</si>
  <si>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</si>
  <si>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</si>
  <si>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</si>
  <si>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</si>
  <si>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</si>
  <si>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</si>
  <si>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</si>
  <si>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</si>
  <si>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</si>
  <si>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</si>
  <si>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</si>
  <si>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</si>
  <si>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</si>
  <si>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</si>
  <si>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</si>
  <si>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</si>
  <si>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</si>
  <si>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</si>
  <si>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</si>
  <si>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Felipe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</si>
</sst>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/>
      <c r="D4" s="84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8" sqref="M8"/>
    </sheetView>
  </sheetViews>
  <sheetFormatPr baseColWidth="10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-7</v>
      </c>
      <c r="AR7" s="34">
        <f>SUMIF($K$7:$K$12,AO7,$L$7:$L$12) + SUMIF($N$7:$N$12,AO7,$M$7:$M$12)</f>
        <v>0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70000</v>
      </c>
      <c r="BA7" s="34">
        <f>AZ7-AY7*10</f>
        <v>69990</v>
      </c>
      <c r="BB7" s="34">
        <f>BA7+N23</f>
        <v>69994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5</v>
      </c>
      <c r="F9" s="13">
        <f t="shared" si="3"/>
        <v>3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0</v>
      </c>
      <c r="F11" s="54">
        <f t="shared" si="3"/>
        <v>7</v>
      </c>
      <c r="G11" s="55">
        <f t="shared" si="3"/>
        <v>-7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Q16" sqref="Q16"/>
    </sheetView>
  </sheetViews>
  <sheetFormatPr baseColWidth="10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1</v>
      </c>
      <c r="M8" s="22">
        <v>2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-29990400</v>
      </c>
      <c r="BA8" s="34">
        <f t="shared" ref="BA8:BA10" si="10">AZ8-AY8*10</f>
        <v>-29990410</v>
      </c>
      <c r="BB8" s="34">
        <f>BA8+N24</f>
        <v>-29990407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49794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-60010400</v>
      </c>
      <c r="BA10" s="34">
        <f t="shared" si="10"/>
        <v>-60010410</v>
      </c>
      <c r="BB10" s="34">
        <f>BA10+N26</f>
        <v>-60010408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3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2</v>
      </c>
      <c r="N26" s="35">
        <f>IF(J26="",0,M26)</f>
        <v>2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N16" sqref="N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-29990500</v>
      </c>
      <c r="BA8" s="34">
        <f t="shared" ref="BA8:BA10" si="10">AZ8-AY8*10</f>
        <v>-29990510</v>
      </c>
      <c r="BB8" s="34">
        <f>BA8+N24</f>
        <v>-29990507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-8</v>
      </c>
      <c r="AR10" s="34">
        <f>SUMIF($K$7:$K$12,AO10,$L$7:$L$12) + SUMIF($N$7:$N$12,AO10,$M$7:$M$12)</f>
        <v>1</v>
      </c>
      <c r="AS10" s="34">
        <f>SUMIF($K$7:$K$12,AO10,$M$7:$M$12) + SUMIF($N$7:$N$12,AO10,$L$7:$L$12)</f>
        <v>9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79900</v>
      </c>
      <c r="BA10" s="34">
        <f t="shared" si="10"/>
        <v>79890</v>
      </c>
      <c r="BB10" s="34">
        <f>BA10+N26</f>
        <v>79894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9</v>
      </c>
      <c r="G11" s="55">
        <f t="shared" si="0"/>
        <v>-8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3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2</v>
      </c>
      <c r="N25" s="35">
        <f>IF(J25="",0,M25)</f>
        <v>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Q20" sqref="Q2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59894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-29960200</v>
      </c>
      <c r="BA10" s="34">
        <f t="shared" si="10"/>
        <v>-29960210</v>
      </c>
      <c r="BB10" s="34">
        <f>BA10+N26</f>
        <v>-29960207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N17" sqref="N1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4</v>
      </c>
      <c r="M7" s="31">
        <v>0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8</v>
      </c>
      <c r="AR8" s="34">
        <f t="shared" ref="AR8:AR9" si="5">SUMIF($K$7:$K$12,AO8,$L$7:$L$12) + SUMIF($N$7:$N$12,AO8,$M$7:$M$12)</f>
        <v>10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-90081000</v>
      </c>
      <c r="BA8" s="34">
        <f t="shared" ref="BA8:BA10" si="10">AZ8-AY8*10</f>
        <v>-90081010</v>
      </c>
      <c r="BB8" s="34">
        <f>BA8+N24</f>
        <v>-90081008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2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2</v>
      </c>
      <c r="AS9" s="34">
        <f t="shared" si="6"/>
        <v>8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59800</v>
      </c>
      <c r="BA9" s="34">
        <f t="shared" si="10"/>
        <v>59790</v>
      </c>
      <c r="BB9" s="34">
        <f>BA9+N25</f>
        <v>59794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-29960200</v>
      </c>
      <c r="BA10" s="34">
        <f t="shared" si="10"/>
        <v>-29960210</v>
      </c>
      <c r="BB10" s="34">
        <f>BA10+N26</f>
        <v>-29960207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2</v>
      </c>
      <c r="F11" s="54">
        <f t="shared" si="0"/>
        <v>8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N28" sqref="N2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-60000500</v>
      </c>
      <c r="BA8" s="34">
        <f t="shared" ref="BA8:BA10" si="10">AZ8-AY8*10</f>
        <v>-60000510</v>
      </c>
      <c r="BB8" s="34">
        <f>BA8+N24</f>
        <v>-60000508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3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Q12" sqref="Q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-29990400</v>
      </c>
      <c r="BA8" s="34">
        <f t="shared" ref="BA8:BA10" si="10">AZ8-AY8*10</f>
        <v>-29990410</v>
      </c>
      <c r="BB8" s="34">
        <f>BA8+N24</f>
        <v>-29990407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-60000500</v>
      </c>
      <c r="BA9" s="34">
        <f t="shared" si="10"/>
        <v>-60000510</v>
      </c>
      <c r="BB9" s="34">
        <f>BA9+N25</f>
        <v>-60000508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2</v>
      </c>
      <c r="N25" s="35">
        <f>IF(J25="",0,M25)</f>
        <v>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O23" sqref="O2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0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workbookViewId="0">
      <selection activeCell="O34" sqref="O34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2</v>
      </c>
      <c r="I8" s="61"/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Holanda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0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Portugal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3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Portugal</v>
      </c>
    </row>
    <row r="26" spans="2:23" ht="15.75" thickBot="1" x14ac:dyDescent="0.3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Francia</v>
      </c>
    </row>
    <row r="27" spans="2:23" ht="15.75" thickBot="1" x14ac:dyDescent="0.3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0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1</v>
      </c>
      <c r="N29" s="64"/>
      <c r="Q29" s="59" t="str">
        <f>IF(Q20=L12,L13,IF(Q20=L13,L12,""))</f>
        <v>Holanda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Francia</v>
      </c>
      <c r="R30" s="63">
        <v>2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2</v>
      </c>
      <c r="I33" s="64"/>
    </row>
    <row r="34" spans="2:9" x14ac:dyDescent="0.25">
      <c r="B34" s="59" t="str">
        <f>'GRUPO H'!C8</f>
        <v>Portugal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2022-11-20T18:26:38Z</dcterms:modified>
</cp:coreProperties>
</file>