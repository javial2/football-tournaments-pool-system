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s\Downloads\"/>
    </mc:Choice>
  </mc:AlternateContent>
  <xr:revisionPtr revIDLastSave="0" documentId="13_ncr:1_{124CF309-203D-4C7D-ADA8-3A7C02C50593}" xr6:coauthVersionLast="47" xr6:coauthVersionMax="47" xr10:uidLastSave="{00000000-0000-0000-0000-000000000000}"/>
  <bookViews>
    <workbookView xWindow="28680" yWindow="-120" windowWidth="21840" windowHeight="13140" tabRatio="767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Z9" i="2"/>
  <c r="AK11" i="2"/>
  <c r="AL11" i="2" s="1"/>
  <c r="AP7" i="1"/>
  <c r="AP9" i="1"/>
  <c r="AP8" i="1"/>
  <c r="AQ7" i="1"/>
  <c r="AQ8" i="1"/>
  <c r="AQ10" i="1"/>
  <c r="AQ9" i="1"/>
  <c r="AK8" i="1"/>
  <c r="AP10" i="1" s="1"/>
  <c r="AZ8" i="14" l="1"/>
  <c r="AP10" i="13"/>
  <c r="AZ10" i="13" s="1"/>
  <c r="AZ8" i="13"/>
  <c r="AZ7" i="12"/>
  <c r="AZ10" i="12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E8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G8" i="12"/>
  <c r="G10" i="11"/>
  <c r="G11" i="11"/>
  <c r="E10" i="11"/>
  <c r="D8" i="11"/>
  <c r="G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<sst xmlns="http://schemas.openxmlformats.org/spreadsheetml/2006/main" count="454" uniqueCount="79">
  <si>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</si>
  <si>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</si>
  <si>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</si>
  <si>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</si>
  <si>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</si>
  <si>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</si>
  <si>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</si>
  <si>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</si>
  <si>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</si>
  <si>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</si>
  <si>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</si>
  <si>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</si>
  <si>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</si>
  <si>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</si>
  <si>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</si>
  <si>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</si>
  <si>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</si>
  <si>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</si>
  <si>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</si>
  <si>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</si>
  <si>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</si>
  <si>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</si>
  <si>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</si>
  <si>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</si>
  <si>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</si>
  <si>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</si>
  <si>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</si>
  <si>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</si>
  <si>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</si>
  <si>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</si>
  <si>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</si>
  <si>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</si>
  <si>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</si>
  <si>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</si>
  <si>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</si>
  <si>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</si>
  <si>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</si>
  <si>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</si>
  <si>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</si>
  <si>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</si>
  <si>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</si>
  <si>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</si>
  <si>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</si>
  <si>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</si>
  <si>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</si>
  <si>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</si>
  <si>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</si>
  <si>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</si>
  <si>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</si>
  <si>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</si>
  <si>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</si>
  <si>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</si>
  <si>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</si>
  <si>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</si>
  <si>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</si>
  <si>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</si>
  <si>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</si>
  <si>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</si>
  <si>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</si>
  <si>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</si>
  <si>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</si>
  <si>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</si>
  <si>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</si>
  <si>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</si>
  <si>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</si>
  <si>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</si>
  <si>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</si>
  <si>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</si>
  <si>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</si>
  <si>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</si>
  <si>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</si>
  <si>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</si>
  <si>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</si>
  <si>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</si>
  <si>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</si>
  <si>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</si>
  <si>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</si>
  <si>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Matías Vargas</t>
  </si>
  <si>
    <t>matias.vargas@routinguc.com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</si>
</sst>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tias.vargas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5" sqref="C5"/>
    </sheetView>
  </sheetViews>
  <sheetFormatPr defaultColWidth="10.90625" defaultRowHeight="14.5" x14ac:dyDescent="0.35"/>
  <sheetData>
    <row r="1" spans="2:4" ht="15" thickBot="1" x14ac:dyDescent="0.4"/>
    <row r="2" spans="2:4" ht="15" thickBot="1" x14ac:dyDescent="0.4">
      <c r="B2" s="78" t="s">
        <v>74</v>
      </c>
      <c r="C2" s="79"/>
      <c r="D2" s="80"/>
    </row>
    <row r="3" spans="2:4" x14ac:dyDescent="0.35">
      <c r="B3" s="76" t="s">
        <v>75</v>
      </c>
      <c r="C3" s="81" t="s">
        <v>77</v>
      </c>
      <c r="D3" s="82"/>
    </row>
    <row r="4" spans="2:4" ht="15" thickBot="1" x14ac:dyDescent="0.4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9F37F269-2B70-4836-A08D-9009FFA822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1" sqref="L11"/>
    </sheetView>
  </sheetViews>
  <sheetFormatPr defaultColWidth="11.453125" defaultRowHeight="14.5" x14ac:dyDescent="0.35"/>
  <cols>
    <col min="1" max="14" width="10.90625" customWidth="1"/>
    <col min="15" max="34" width="11.453125" style="34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0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1</v>
      </c>
      <c r="AQ7" s="34">
        <f>AR7-AS7</f>
        <v>-3</v>
      </c>
      <c r="AR7" s="34">
        <f>SUMIF($K$7:$K$12,AO7,$L$7:$L$12) + SUMIF($N$7:$N$12,AO7,$M$7:$M$12)</f>
        <v>1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>Senegal</v>
      </c>
      <c r="AX7" s="34" t="str">
        <f>IF(AW7="","",IFERROR(VLOOKUP(CONCATENATE(AV7,"_",AW7),$AI$7:$AL$16,4,FALSE),VLOOKUP(CONCATENATE(AW7,"_",AV7),$AI$7:$AL$16,4,FALSE)))</f>
        <v>SIN GANADOR</v>
      </c>
      <c r="AY7" s="34">
        <f>IF(AX7="",1,IF(AX7=AV7,1,0))</f>
        <v>0</v>
      </c>
      <c r="AZ7" s="34">
        <f>-AP7*10000000 - AQ7*10000 - AR7*100</f>
        <v>-9970100</v>
      </c>
      <c r="BA7" s="34">
        <f>AZ7-AY7*10</f>
        <v>-9970100</v>
      </c>
      <c r="BB7" s="34">
        <f>BA7+N23</f>
        <v>-9970099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5</v>
      </c>
      <c r="F8" s="9">
        <f t="shared" si="3"/>
        <v>1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-70040500</v>
      </c>
      <c r="BA8" s="34">
        <f t="shared" ref="BA8:BA10" si="10">AZ8-AY8*10</f>
        <v>-70040510</v>
      </c>
      <c r="BB8" s="34">
        <f>BA8+N24</f>
        <v>-70040508</v>
      </c>
    </row>
    <row r="9" spans="2:54" x14ac:dyDescent="0.35">
      <c r="B9" s="11">
        <v>2</v>
      </c>
      <c r="C9" s="12" t="str">
        <f t="shared" si="3"/>
        <v>Ecuador</v>
      </c>
      <c r="D9" s="13">
        <f t="shared" si="3"/>
        <v>7</v>
      </c>
      <c r="E9" s="13">
        <f t="shared" si="3"/>
        <v>3</v>
      </c>
      <c r="F9" s="13">
        <f t="shared" si="3"/>
        <v>1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>Qatar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-9970100</v>
      </c>
      <c r="BA9" s="34">
        <f t="shared" si="10"/>
        <v>-9970100</v>
      </c>
      <c r="BB9" s="34">
        <f>BA9+N25</f>
        <v>-9970097</v>
      </c>
    </row>
    <row r="10" spans="2:54" x14ac:dyDescent="0.35">
      <c r="B10" s="48">
        <v>3</v>
      </c>
      <c r="C10" s="49" t="str">
        <f t="shared" si="3"/>
        <v>Qatar</v>
      </c>
      <c r="D10" s="50">
        <f t="shared" si="3"/>
        <v>1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3</v>
      </c>
      <c r="AS10" s="34">
        <f>SUMIF($K$7:$K$12,AO10,$M$7:$M$12) + SUMIF($N$7:$N$12,AO10,$L$7:$L$12)</f>
        <v>1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-70020300</v>
      </c>
      <c r="BA10" s="34">
        <f t="shared" si="10"/>
        <v>-70020310</v>
      </c>
      <c r="BB10" s="34">
        <f>BA10+N26</f>
        <v>-70020306</v>
      </c>
    </row>
    <row r="11" spans="2:54" ht="15" thickBot="1" x14ac:dyDescent="0.4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3" sqref="L13"/>
    </sheetView>
  </sheetViews>
  <sheetFormatPr defaultColWidth="11.453125" defaultRowHeight="14.5" x14ac:dyDescent="0.35"/>
  <cols>
    <col min="1" max="14" width="10.90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29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4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-90030400</v>
      </c>
      <c r="BA7" s="34">
        <f>AZ7-AY7*10</f>
        <v>-90030410</v>
      </c>
      <c r="BB7" s="34">
        <f>BA7+N23</f>
        <v>-90030409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2</v>
      </c>
      <c r="AQ8" s="34">
        <f>AR8-AS8</f>
        <v>-1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-19990200</v>
      </c>
      <c r="BA8" s="34">
        <f t="shared" ref="BA8:BA10" si="10">AZ8-AY8*10</f>
        <v>-19990210</v>
      </c>
      <c r="BB8" s="34">
        <f>BA8+N24</f>
        <v>-19990208</v>
      </c>
    </row>
    <row r="9" spans="2:54" x14ac:dyDescent="0.35">
      <c r="B9" s="11">
        <v>2</v>
      </c>
      <c r="C9" s="12" t="str">
        <f t="shared" si="0"/>
        <v>Iran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2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2</v>
      </c>
      <c r="AO9" s="34" t="s">
        <v>32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2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" thickBot="1" x14ac:dyDescent="0.4">
      <c r="B11" s="52">
        <v>4</v>
      </c>
      <c r="C11" s="53" t="str">
        <f t="shared" si="0"/>
        <v>Gales</v>
      </c>
      <c r="D11" s="54">
        <f t="shared" si="0"/>
        <v>1</v>
      </c>
      <c r="E11" s="54">
        <f t="shared" si="0"/>
        <v>2</v>
      </c>
      <c r="F11" s="54">
        <f t="shared" si="0"/>
        <v>4</v>
      </c>
      <c r="G11" s="55">
        <f t="shared" si="0"/>
        <v>-2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1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1" sqref="L11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34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2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35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1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>Arabia Saudita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-9970100</v>
      </c>
      <c r="BA9" s="34">
        <f t="shared" si="10"/>
        <v>-9970100</v>
      </c>
      <c r="BB9" s="34">
        <f>BA9+N25</f>
        <v>-9970097</v>
      </c>
    </row>
    <row r="10" spans="2:54" x14ac:dyDescent="0.35">
      <c r="B10" s="48">
        <v>3</v>
      </c>
      <c r="C10" s="49" t="str">
        <f t="shared" si="0"/>
        <v>Polonia</v>
      </c>
      <c r="D10" s="50">
        <f t="shared" si="0"/>
        <v>1</v>
      </c>
      <c r="E10" s="50">
        <f t="shared" si="0"/>
        <v>1</v>
      </c>
      <c r="F10" s="50">
        <f t="shared" si="0"/>
        <v>4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1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>Polonia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-9970100</v>
      </c>
      <c r="BA10" s="34">
        <f t="shared" si="10"/>
        <v>-9970100</v>
      </c>
      <c r="BB10" s="34">
        <f>BA10+N26</f>
        <v>-9970096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39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3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-40000300</v>
      </c>
      <c r="BA7" s="34">
        <f>AZ7-AY7*10</f>
        <v>-40000310</v>
      </c>
      <c r="BB7" s="34">
        <f>BA7+N23</f>
        <v>-40000309</v>
      </c>
    </row>
    <row r="8" spans="2:54" x14ac:dyDescent="0.3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8</v>
      </c>
      <c r="J8" s="19">
        <v>44887</v>
      </c>
      <c r="K8" s="20" t="s">
        <v>40</v>
      </c>
      <c r="L8" s="21">
        <v>1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35">
      <c r="B9" s="11">
        <v>2</v>
      </c>
      <c r="C9" s="12" t="str">
        <f t="shared" si="0"/>
        <v>Francia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-9980100</v>
      </c>
      <c r="BA9" s="34">
        <f t="shared" si="10"/>
        <v>-9980110</v>
      </c>
      <c r="BB9" s="34">
        <f>BA9+N25</f>
        <v>-9980107</v>
      </c>
    </row>
    <row r="10" spans="2:54" x14ac:dyDescent="0.3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2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-30000300</v>
      </c>
      <c r="BA10" s="34">
        <f t="shared" si="10"/>
        <v>-30000310</v>
      </c>
      <c r="BB10" s="34">
        <f>BA10+N26</f>
        <v>-30000306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J23" sqref="J23:L23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70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-40000400</v>
      </c>
      <c r="BA7" s="34">
        <f>AZ7-AY7*10</f>
        <v>-40000410</v>
      </c>
      <c r="BB7" s="34">
        <f>BA7+N23</f>
        <v>-40000409</v>
      </c>
    </row>
    <row r="8" spans="2:54" x14ac:dyDescent="0.3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-90040500</v>
      </c>
      <c r="BA8" s="34">
        <f t="shared" ref="BA8:BA10" si="10">AZ8-AY8*10</f>
        <v>-90040510</v>
      </c>
      <c r="BB8" s="34">
        <f>BA8+N24</f>
        <v>-90040508</v>
      </c>
    </row>
    <row r="9" spans="2:54" x14ac:dyDescent="0.3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3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-29990200</v>
      </c>
      <c r="BA10" s="34">
        <f t="shared" si="10"/>
        <v>-29990210</v>
      </c>
      <c r="BB10" s="34">
        <f>BA10+N26</f>
        <v>-29990206</v>
      </c>
    </row>
    <row r="11" spans="2:54" ht="15" thickBot="1" x14ac:dyDescent="0.4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4" sqref="M14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71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-50010400</v>
      </c>
      <c r="BA7" s="34">
        <f>AZ7-AY7*10</f>
        <v>-50010410</v>
      </c>
      <c r="BB7" s="34">
        <f>BA7+N23</f>
        <v>-50010409</v>
      </c>
    </row>
    <row r="8" spans="2:54" x14ac:dyDescent="0.3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35">
      <c r="B9" s="11">
        <v>2</v>
      </c>
      <c r="C9" s="12" t="str">
        <f t="shared" si="0"/>
        <v>Belgica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-19980207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-9980306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8" sqref="L8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72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3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4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M13" sqref="M13"/>
    </sheetView>
  </sheetViews>
  <sheetFormatPr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1" t="s">
        <v>73</v>
      </c>
      <c r="C3" s="92"/>
      <c r="D3" s="92"/>
      <c r="E3" s="92"/>
      <c r="F3" s="92"/>
      <c r="G3" s="93"/>
    </row>
    <row r="4" spans="2:54" ht="15" thickBot="1" x14ac:dyDescent="0.4">
      <c r="B4" s="94"/>
      <c r="C4" s="95"/>
      <c r="D4" s="95"/>
      <c r="E4" s="95"/>
      <c r="F4" s="95"/>
      <c r="G4" s="96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3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-90030400</v>
      </c>
      <c r="BA8" s="34">
        <f t="shared" ref="BA8:BA10" si="10">AZ8-AY8*10</f>
        <v>-90030410</v>
      </c>
      <c r="BB8" s="34">
        <f>BA8+N24</f>
        <v>-90030408</v>
      </c>
    </row>
    <row r="9" spans="2:54" x14ac:dyDescent="0.3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-29990200</v>
      </c>
      <c r="BA9" s="34">
        <f t="shared" si="10"/>
        <v>-29990210</v>
      </c>
      <c r="BB9" s="34">
        <f>BA9+N25</f>
        <v>-29990207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4" workbookViewId="0">
      <selection activeCell="T29" sqref="T29"/>
    </sheetView>
  </sheetViews>
  <sheetFormatPr defaultColWidth="10.90625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06" t="s">
        <v>69</v>
      </c>
      <c r="C2" s="107"/>
      <c r="D2" s="108"/>
    </row>
    <row r="3" spans="2:19" ht="15" thickBot="1" x14ac:dyDescent="0.4"/>
    <row r="4" spans="2:19" ht="15" thickBot="1" x14ac:dyDescent="0.4">
      <c r="G4" s="106" t="s">
        <v>59</v>
      </c>
      <c r="H4" s="107"/>
      <c r="I4" s="108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Iran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2</v>
      </c>
      <c r="I8" s="61">
        <v>3</v>
      </c>
      <c r="L8" s="106" t="s">
        <v>60</v>
      </c>
      <c r="M8" s="107"/>
      <c r="N8" s="108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>
        <v>5</v>
      </c>
      <c r="J9" s="65"/>
    </row>
    <row r="10" spans="2:19" ht="15" thickBot="1" x14ac:dyDescent="0.4">
      <c r="B10" s="59" t="str">
        <f>'GRUPO C'!C8</f>
        <v>Argentina</v>
      </c>
      <c r="C10" s="60">
        <v>3</v>
      </c>
      <c r="D10" s="61"/>
      <c r="E10" s="69"/>
      <c r="J10" s="66"/>
    </row>
    <row r="11" spans="2:19" ht="15" thickBot="1" x14ac:dyDescent="0.4">
      <c r="B11" s="62" t="str">
        <f>'GRUPO D'!C9</f>
        <v>Francia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" thickBot="1" x14ac:dyDescent="0.4">
      <c r="B14" s="59" t="str">
        <f>'GRUPO E'!C8</f>
        <v>Alemania</v>
      </c>
      <c r="C14" s="60">
        <v>1</v>
      </c>
      <c r="D14" s="61"/>
      <c r="J14" s="66"/>
      <c r="O14" s="66"/>
    </row>
    <row r="15" spans="2:19" ht="15" thickBot="1" x14ac:dyDescent="0.4">
      <c r="B15" s="62" t="str">
        <f>'GRUPO F'!C9</f>
        <v>Belgica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Belgica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4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1</v>
      </c>
      <c r="S21" s="64"/>
    </row>
    <row r="22" spans="2:23" ht="15" thickBot="1" x14ac:dyDescent="0.4">
      <c r="B22" s="59" t="str">
        <f>'GRUPO B'!C8</f>
        <v>Inglaterra</v>
      </c>
      <c r="C22" s="60">
        <v>1</v>
      </c>
      <c r="D22" s="61"/>
      <c r="O22" s="66"/>
    </row>
    <row r="23" spans="2:23" ht="15" thickBot="1" x14ac:dyDescent="0.4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Mexico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Uruguay</v>
      </c>
    </row>
    <row r="26" spans="2:23" ht="15" thickBot="1" x14ac:dyDescent="0.4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" thickBot="1" x14ac:dyDescent="0.4">
      <c r="B27" s="62" t="str">
        <f>'GRUPO C'!C9</f>
        <v>Mexico</v>
      </c>
      <c r="C27" s="63">
        <v>3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/>
      <c r="Q29" s="59" t="str">
        <f>IF(Q20=L12,L13,IF(Q20=L13,L12,""))</f>
        <v>Argentina</v>
      </c>
      <c r="R29" s="60">
        <v>1</v>
      </c>
      <c r="S29" s="61">
        <v>5</v>
      </c>
    </row>
    <row r="30" spans="2:23" ht="15" thickBot="1" x14ac:dyDescent="0.4">
      <c r="B30" s="59" t="str">
        <f>'GRUPO F'!C8</f>
        <v>Croacia</v>
      </c>
      <c r="C30" s="60">
        <v>2</v>
      </c>
      <c r="D30" s="61">
        <v>5</v>
      </c>
      <c r="J30" s="66"/>
      <c r="Q30" s="62" t="str">
        <f>IF(Q21=L28,L29,IF(Q21=L29,L28,""))</f>
        <v>Inglaterra</v>
      </c>
      <c r="R30" s="63">
        <v>1</v>
      </c>
      <c r="S30" s="64">
        <v>3</v>
      </c>
    </row>
    <row r="31" spans="2:23" ht="15" thickBot="1" x14ac:dyDescent="0.4">
      <c r="B31" s="62" t="str">
        <f>'GRUPO E'!C9</f>
        <v>España</v>
      </c>
      <c r="C31" s="63">
        <v>2</v>
      </c>
      <c r="D31" s="64">
        <v>4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Croacia</v>
      </c>
      <c r="H32" s="60">
        <v>0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35">
      <c r="B34" s="59" t="str">
        <f>'GRUPO H'!C8</f>
        <v>Uruguay</v>
      </c>
      <c r="C34" s="60">
        <v>1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Matias</cp:lastModifiedBy>
  <dcterms:created xsi:type="dcterms:W3CDTF">2022-11-02T00:22:23Z</dcterms:created>
  <dcterms:modified xsi:type="dcterms:W3CDTF">2022-11-20T14:43:28Z</dcterms:modified>
</cp:coreProperties>
</file>