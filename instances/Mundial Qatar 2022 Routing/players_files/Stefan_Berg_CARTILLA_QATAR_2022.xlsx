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ownloads\"/>
    </mc:Choice>
  </mc:AlternateContent>
  <xr:revisionPtr revIDLastSave="0" documentId="13_ncr:1_{616E7B43-A355-4C8B-9E4D-03FEFCF065C8}" xr6:coauthVersionLast="47" xr6:coauthVersionMax="47" xr10:uidLastSave="{00000000-0000-0000-0000-000000000000}"/>
  <bookViews>
    <workbookView xWindow="20370" yWindow="-120" windowWidth="29040" windowHeight="1572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K11" i="14"/>
  <c r="AP7" i="14" s="1"/>
  <c r="AZ7" i="14" s="1"/>
  <c r="AK12" i="14"/>
  <c r="AP9" i="14" s="1"/>
  <c r="AQ10" i="13"/>
  <c r="AQ8" i="13"/>
  <c r="AQ7" i="13"/>
  <c r="AQ9" i="13"/>
  <c r="AP10" i="13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Z9" i="2"/>
  <c r="AK11" i="2"/>
  <c r="AL11" i="2" s="1"/>
  <c r="AP7" i="1"/>
  <c r="AP9" i="1"/>
  <c r="AP8" i="1"/>
  <c r="AQ7" i="1"/>
  <c r="AQ8" i="1"/>
  <c r="AQ10" i="1"/>
  <c r="AQ9" i="1"/>
  <c r="AK8" i="1"/>
  <c r="AP10" i="1" s="1"/>
  <c r="AZ8" i="14" l="1"/>
  <c r="AZ10" i="13"/>
  <c r="AZ10" i="12"/>
  <c r="AZ10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W10" i="12"/>
  <c r="AX10" i="12" s="1"/>
  <c r="AY10" i="12" s="1"/>
  <c r="BA10" i="12" s="1"/>
  <c r="BB10" i="12" s="1"/>
  <c r="AW8" i="12"/>
  <c r="AX8" i="12" s="1"/>
  <c r="AY8" i="12" s="1"/>
  <c r="BA8" i="12" s="1"/>
  <c r="BB8" i="12" s="1"/>
  <c r="AW9" i="12"/>
  <c r="AW7" i="12"/>
  <c r="AX7" i="12" s="1"/>
  <c r="AY7" i="12" s="1"/>
  <c r="BA7" i="12" s="1"/>
  <c r="BB7" i="12" s="1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8" i="2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N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8" i="2"/>
  <c r="AY8" i="2" s="1"/>
  <c r="BA8" i="2" s="1"/>
  <c r="BB8" i="2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F8" i="12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D8" i="12"/>
  <c r="G8" i="12"/>
  <c r="E10" i="11"/>
  <c r="E8" i="11"/>
  <c r="G11" i="11"/>
  <c r="D8" i="11"/>
  <c r="G10" i="11"/>
  <c r="G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<sst xmlns="http://schemas.openxmlformats.org/spreadsheetml/2006/main" count="454" uniqueCount="79">
  <si>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</si>
  <si>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</si>
  <si>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</si>
  <si>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</si>
  <si>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</si>
  <si>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</si>
  <si>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</si>
  <si>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</si>
  <si>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</si>
  <si>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</si>
  <si>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</si>
  <si>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</si>
  <si>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</si>
  <si>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</si>
  <si>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</si>
  <si>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</si>
  <si>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</si>
  <si>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</si>
  <si>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</si>
  <si>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</si>
  <si>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</si>
  <si>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</si>
  <si>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</si>
  <si>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</si>
  <si>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</si>
  <si>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</si>
  <si>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</si>
  <si>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</si>
  <si>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</si>
  <si>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</si>
  <si>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</si>
  <si>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</si>
  <si>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</si>
  <si>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</si>
  <si>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</si>
  <si>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</si>
  <si>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</si>
  <si>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</si>
  <si>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</si>
  <si>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</si>
  <si>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</si>
  <si>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</si>
  <si>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</si>
  <si>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</si>
  <si>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</si>
  <si>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</si>
  <si>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</si>
  <si>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</si>
  <si>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</si>
  <si>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</si>
  <si>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</si>
  <si>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</si>
  <si>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</si>
  <si>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</si>
  <si>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</si>
  <si>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</si>
  <si>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</si>
  <si>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</si>
  <si>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</si>
  <si>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</si>
  <si>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</si>
  <si>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</si>
  <si>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</si>
  <si>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</si>
  <si>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</si>
  <si>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</si>
  <si>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</si>
  <si>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</si>
  <si>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</si>
  <si>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</si>
  <si>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</si>
  <si>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</si>
  <si>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</si>
  <si>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</si>
  <si>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</si>
  <si>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</si>
  <si>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</si>
  <si>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Stefan Berg</t>
  </si>
  <si>
    <t>stefan.berg@routinguc.com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</si>
</sst>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efan.berg@routinguc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D6" sqref="D6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F19454C0-D3A0-4AEF-8C8B-F0FD888D36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26" sqref="M26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-6</v>
      </c>
      <c r="AR7" s="34">
        <f>SUMIF($K$7:$K$12,AO7,$L$7:$L$12) + SUMIF($N$7:$N$12,AO7,$M$7:$M$12)</f>
        <v>2</v>
      </c>
      <c r="AS7" s="34">
        <f>SUMIF($K$7:$K$12,AO7,$M$7:$M$12) + SUMIF($N$7:$N$12,AO7,$L$7:$L$12)</f>
        <v>8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-9940200</v>
      </c>
      <c r="BA7" s="34">
        <f>AZ7-AY7*10</f>
        <v>-9940210</v>
      </c>
      <c r="BB7" s="34">
        <f>BA7+N23</f>
        <v>-9940206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8</v>
      </c>
      <c r="F8" s="9">
        <f t="shared" si="3"/>
        <v>1</v>
      </c>
      <c r="G8" s="10">
        <f t="shared" si="3"/>
        <v>7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7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-90070800</v>
      </c>
      <c r="BA8" s="34">
        <f t="shared" ref="BA8:BA10" si="10">AZ8-AY8*10</f>
        <v>-90070810</v>
      </c>
      <c r="BB8" s="34">
        <f>BA8+N24</f>
        <v>-90070809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4</v>
      </c>
      <c r="E9" s="13">
        <f t="shared" si="3"/>
        <v>5</v>
      </c>
      <c r="F9" s="13">
        <f t="shared" si="3"/>
        <v>4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3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-40010500</v>
      </c>
      <c r="BA9" s="34">
        <f t="shared" si="10"/>
        <v>-40010510</v>
      </c>
      <c r="BB9" s="34">
        <f>BA9+N25</f>
        <v>-40010508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2</v>
      </c>
      <c r="E10" s="50">
        <f t="shared" si="3"/>
        <v>2</v>
      </c>
      <c r="F10" s="50">
        <f t="shared" si="3"/>
        <v>4</v>
      </c>
      <c r="G10" s="51">
        <f t="shared" si="3"/>
        <v>-2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-19980200</v>
      </c>
      <c r="BA10" s="34">
        <f t="shared" si="10"/>
        <v>-19980210</v>
      </c>
      <c r="BB10" s="34">
        <f>BA10+N26</f>
        <v>-19980207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2</v>
      </c>
      <c r="F11" s="54">
        <f t="shared" si="3"/>
        <v>8</v>
      </c>
      <c r="G11" s="55">
        <f t="shared" si="3"/>
        <v>-6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4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2</v>
      </c>
      <c r="N25" s="35">
        <f>IF(J25="",0,M25)</f>
        <v>2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27" sqref="M27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2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-50010400</v>
      </c>
      <c r="BA8" s="34">
        <f t="shared" ref="BA8:BA10" si="10">AZ8-AY8*10</f>
        <v>-50010410</v>
      </c>
      <c r="BB8" s="34">
        <f>BA8+N24</f>
        <v>-50010408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-9970106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-29980307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3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M27" sqref="M2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-70050700</v>
      </c>
      <c r="BA7" s="34">
        <f>AZ7-AY7*10</f>
        <v>-70050710</v>
      </c>
      <c r="BB7" s="34">
        <f>BA7+N23</f>
        <v>-70050709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7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-40000407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5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5</v>
      </c>
      <c r="AQ9" s="34">
        <f t="shared" ref="AQ9:AQ10" si="11">AR9-AS9</f>
        <v>2</v>
      </c>
      <c r="AR9" s="34">
        <f t="shared" si="5"/>
        <v>4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-50020400</v>
      </c>
      <c r="BA9" s="34">
        <f t="shared" si="10"/>
        <v>-50020410</v>
      </c>
      <c r="BB9" s="34">
        <f>BA9+N25</f>
        <v>-50020408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4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0</v>
      </c>
      <c r="AS10" s="34">
        <f>SUMIF($K$7:$K$12,AO10,$M$7:$M$12) + SUMIF($N$7:$N$12,AO10,$L$7:$L$12)</f>
        <v>7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70000</v>
      </c>
      <c r="BA10" s="34">
        <f t="shared" si="10"/>
        <v>69990</v>
      </c>
      <c r="BB10" s="34">
        <f>BA10+N26</f>
        <v>69994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0</v>
      </c>
      <c r="F11" s="54">
        <f t="shared" si="0"/>
        <v>7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25" sqref="M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-90040700</v>
      </c>
      <c r="BA7" s="34">
        <f>AZ7-AY7*10</f>
        <v>-90040710</v>
      </c>
      <c r="BB7" s="34">
        <f>BA7+N23</f>
        <v>-90040709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8</v>
      </c>
      <c r="J8" s="19">
        <v>44887</v>
      </c>
      <c r="K8" s="20" t="s">
        <v>40</v>
      </c>
      <c r="L8" s="21">
        <v>3</v>
      </c>
      <c r="M8" s="22">
        <v>2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-60020500</v>
      </c>
      <c r="BA8" s="34">
        <f t="shared" ref="BA8:BA10" si="10">AZ8-AY8*10</f>
        <v>-60020510</v>
      </c>
      <c r="BB8" s="34">
        <f>BA8+N24</f>
        <v>-60020508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0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0</v>
      </c>
      <c r="AS9" s="34">
        <f t="shared" si="6"/>
        <v>4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-9960000</v>
      </c>
      <c r="BA9" s="34">
        <f t="shared" si="10"/>
        <v>-9960010</v>
      </c>
      <c r="BB9" s="34">
        <f>BA9+N25</f>
        <v>-9960006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-9980300</v>
      </c>
      <c r="BA10" s="34">
        <f t="shared" si="10"/>
        <v>-9980310</v>
      </c>
      <c r="BB10" s="34">
        <f>BA10+N26</f>
        <v>-9980307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25" sqref="M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1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-60030500</v>
      </c>
      <c r="BA7" s="34">
        <f>AZ7-AY7*10</f>
        <v>-60030510</v>
      </c>
      <c r="BB7" s="34">
        <f>BA7+N23</f>
        <v>-60030508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-70040600</v>
      </c>
      <c r="BA8" s="34">
        <f t="shared" ref="BA8:BA10" si="10">AZ8-AY8*10</f>
        <v>-70040610</v>
      </c>
      <c r="BB8" s="34">
        <f>BA8+N24</f>
        <v>-70040609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-39990200</v>
      </c>
      <c r="BA9" s="34">
        <f t="shared" si="10"/>
        <v>-39990210</v>
      </c>
      <c r="BB9" s="34">
        <f>BA9+N25</f>
        <v>-39990207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4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0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60000</v>
      </c>
      <c r="BA10" s="34">
        <f t="shared" si="10"/>
        <v>59990</v>
      </c>
      <c r="BB10" s="34">
        <f>BA10+N26</f>
        <v>59994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2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Marruecos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3</v>
      </c>
      <c r="AO8" s="34" t="s">
        <v>49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-29990300</v>
      </c>
      <c r="BA8" s="34">
        <f t="shared" ref="BA8:BA10" si="10">AZ8-AY8*10</f>
        <v>-29990310</v>
      </c>
      <c r="BB8" s="34">
        <f>BA8+N24</f>
        <v>-29990307</v>
      </c>
    </row>
    <row r="9" spans="2:54" x14ac:dyDescent="0.25">
      <c r="B9" s="11">
        <v>2</v>
      </c>
      <c r="C9" s="12" t="str">
        <f t="shared" si="0"/>
        <v>Marruecos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2</v>
      </c>
      <c r="AO9" s="34" t="s">
        <v>50</v>
      </c>
      <c r="AP9" s="34">
        <f>SUMIF($K$7:$K$12,AO9,$AJ$7:$AJ$12) + SUMIF($N$7:$N$12,AO9,$AK$7:$AK$12)</f>
        <v>5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-50010400</v>
      </c>
      <c r="BA9" s="34">
        <f t="shared" si="10"/>
        <v>-50010410</v>
      </c>
      <c r="BB9" s="34">
        <f>BA9+N25</f>
        <v>-50010408</v>
      </c>
    </row>
    <row r="10" spans="2:54" x14ac:dyDescent="0.25">
      <c r="B10" s="48">
        <v>3</v>
      </c>
      <c r="C10" s="49" t="str">
        <f t="shared" si="0"/>
        <v>Croacia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-9970100</v>
      </c>
      <c r="BA10" s="34">
        <f t="shared" si="10"/>
        <v>-9970110</v>
      </c>
      <c r="BB10" s="34">
        <f>BA10+N26</f>
        <v>-9970106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0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9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-90080900</v>
      </c>
      <c r="BA7" s="34">
        <f>AZ7-AY7*10</f>
        <v>-90080910</v>
      </c>
      <c r="BB7" s="34">
        <f>BA7+N23</f>
        <v>-90080909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1</v>
      </c>
      <c r="G8" s="10">
        <f t="shared" si="0"/>
        <v>8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4</v>
      </c>
      <c r="AO8" s="34" t="s">
        <v>52</v>
      </c>
      <c r="AP8" s="34">
        <f>SUMIF($K$7:$K$12,AO8,$AJ$7:$AJ$12) + SUMIF($N$7:$N$12,AO8,$AK$7:$AK$12)</f>
        <v>1</v>
      </c>
      <c r="AQ8" s="34">
        <f>AR8-AS8</f>
        <v>-4</v>
      </c>
      <c r="AR8" s="34">
        <f t="shared" ref="AR8:AR9" si="5">SUMIF($K$7:$K$12,AO8,$L$7:$L$12) + SUMIF($N$7:$N$12,AO8,$M$7:$M$12)</f>
        <v>0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-9960000</v>
      </c>
      <c r="BA8" s="34">
        <f t="shared" ref="BA8:BA10" si="10">AZ8-AY8*10</f>
        <v>-9960010</v>
      </c>
      <c r="BB8" s="34">
        <f>BA8+N24</f>
        <v>-9960007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4</v>
      </c>
      <c r="E9" s="13">
        <f t="shared" si="0"/>
        <v>2</v>
      </c>
      <c r="F9" s="13">
        <f t="shared" si="0"/>
        <v>3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-39990200</v>
      </c>
      <c r="BA9" s="34">
        <f t="shared" si="10"/>
        <v>-39990210</v>
      </c>
      <c r="BB9" s="34">
        <f>BA9+N25</f>
        <v>-39990208</v>
      </c>
    </row>
    <row r="10" spans="2:54" x14ac:dyDescent="0.25">
      <c r="B10" s="48">
        <v>3</v>
      </c>
      <c r="C10" s="49" t="str">
        <f t="shared" si="0"/>
        <v>Camerun</v>
      </c>
      <c r="D10" s="50">
        <f t="shared" si="0"/>
        <v>2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2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-19970200</v>
      </c>
      <c r="BA10" s="34">
        <f t="shared" si="10"/>
        <v>-19970210</v>
      </c>
      <c r="BB10" s="34">
        <f>BA10+N26</f>
        <v>-19970206</v>
      </c>
    </row>
    <row r="11" spans="2:54" ht="15.75" thickBot="1" x14ac:dyDescent="0.3">
      <c r="B11" s="52">
        <v>4</v>
      </c>
      <c r="C11" s="53" t="str">
        <f t="shared" si="0"/>
        <v>Suiza</v>
      </c>
      <c r="D11" s="54">
        <f t="shared" si="0"/>
        <v>1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0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4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25" sqref="M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-60020500</v>
      </c>
      <c r="BA7" s="34">
        <f>AZ7-AY7*10</f>
        <v>-60020510</v>
      </c>
      <c r="BB7" s="34">
        <f>BA7+N23</f>
        <v>-60020508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-90040600</v>
      </c>
      <c r="BA8" s="34">
        <f t="shared" ref="BA8:BA10" si="10">AZ8-AY8*10</f>
        <v>-90040610</v>
      </c>
      <c r="BB8" s="34">
        <f>BA8+N24</f>
        <v>-90040609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0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A3" workbookViewId="0">
      <selection activeCell="S21" sqref="S21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USA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2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1</v>
      </c>
      <c r="D10" s="61">
        <v>4</v>
      </c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>
        <v>3</v>
      </c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Holanda</v>
      </c>
      <c r="M12" s="60">
        <v>0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Alemania</v>
      </c>
      <c r="M13" s="63">
        <v>1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Marruecos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2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1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Alemania</v>
      </c>
      <c r="R20" s="60">
        <v>1</v>
      </c>
      <c r="S20" s="61">
        <v>5</v>
      </c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Uruguay</v>
      </c>
      <c r="R21" s="63">
        <v>1</v>
      </c>
      <c r="S21" s="64">
        <v>4</v>
      </c>
    </row>
    <row r="22" spans="2:23" ht="15.75" thickBot="1" x14ac:dyDescent="0.3">
      <c r="B22" s="59" t="str">
        <f>'GRUPO B'!C8</f>
        <v>Inglaterra</v>
      </c>
      <c r="C22" s="60">
        <v>1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Alemania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3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Uruguay</v>
      </c>
    </row>
    <row r="26" spans="2:23" ht="15.75" thickBot="1" x14ac:dyDescent="0.3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Francia</v>
      </c>
    </row>
    <row r="27" spans="2:23" ht="15.75" thickBot="1" x14ac:dyDescent="0.3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1</v>
      </c>
      <c r="N28" s="61">
        <v>3</v>
      </c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1</v>
      </c>
      <c r="N29" s="64">
        <v>5</v>
      </c>
      <c r="Q29" s="59" t="str">
        <f>IF(Q20=L12,L13,IF(Q20=L13,L12,""))</f>
        <v>Holanda</v>
      </c>
      <c r="R29" s="60">
        <v>0</v>
      </c>
      <c r="S29" s="61"/>
    </row>
    <row r="30" spans="2:23" ht="15.75" thickBot="1" x14ac:dyDescent="0.3">
      <c r="B30" s="59" t="str">
        <f>'GRUPO F'!C8</f>
        <v>Belgica</v>
      </c>
      <c r="C30" s="60">
        <v>1</v>
      </c>
      <c r="D30" s="61"/>
      <c r="J30" s="66"/>
      <c r="Q30" s="62" t="str">
        <f>IF(Q21=L28,L29,IF(Q21=L29,L28,""))</f>
        <v>Francia</v>
      </c>
      <c r="R30" s="63">
        <v>3</v>
      </c>
      <c r="S30" s="64"/>
    </row>
    <row r="31" spans="2:23" ht="15.75" thickBot="1" x14ac:dyDescent="0.3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España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2</v>
      </c>
      <c r="I33" s="64"/>
    </row>
    <row r="34" spans="2:9" x14ac:dyDescent="0.25">
      <c r="B34" s="59" t="str">
        <f>'GRUPO H'!C8</f>
        <v>Uruguay</v>
      </c>
      <c r="C34" s="60">
        <v>1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Stefan Berg Nielsen</cp:lastModifiedBy>
  <dcterms:created xsi:type="dcterms:W3CDTF">2022-11-02T00:22:23Z</dcterms:created>
  <dcterms:modified xsi:type="dcterms:W3CDTF">2022-11-19T17:35:00Z</dcterms:modified>
</cp:coreProperties>
</file>