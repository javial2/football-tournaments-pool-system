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-FRAÑILEO\Downloads\"/>
    </mc:Choice>
  </mc:AlternateContent>
  <xr:revisionPtr revIDLastSave="0" documentId="8_{2BF6AD52-3784-4034-8901-15CEDD007C98}" xr6:coauthVersionLast="46" xr6:coauthVersionMax="46" xr10:uidLastSave="{00000000-0000-0000-0000-000000000000}"/>
  <bookViews>
    <workbookView xWindow="-28920" yWindow="-120" windowWidth="29040" windowHeight="1584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AZ9" i="2" s="1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Q10" i="1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10" i="13"/>
  <c r="AZ10" i="13" s="1"/>
  <c r="AP8" i="12"/>
  <c r="AZ8" i="12" s="1"/>
  <c r="AZ9" i="12"/>
  <c r="AZ7" i="12"/>
  <c r="AZ10" i="12"/>
  <c r="AZ10" i="11"/>
  <c r="AZ9" i="11"/>
  <c r="AZ8" i="11"/>
  <c r="AZ8" i="10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8" i="12"/>
  <c r="AX8" i="12" s="1"/>
  <c r="AY8" i="12" s="1"/>
  <c r="BA8" i="12" s="1"/>
  <c r="BB8" i="12" s="1"/>
  <c r="AW10" i="11"/>
  <c r="AX10" i="11" s="1"/>
  <c r="AY10" i="11" s="1"/>
  <c r="BA10" i="11" s="1"/>
  <c r="BB10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8" i="11"/>
  <c r="AX8" i="11" s="1"/>
  <c r="AY8" i="11" s="1"/>
  <c r="BA8" i="11" s="1"/>
  <c r="BB8" i="11" s="1"/>
  <c r="AW9" i="2"/>
  <c r="AW8" i="2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X9" i="2"/>
  <c r="AY9" i="2" s="1"/>
  <c r="BA9" i="2" s="1"/>
  <c r="BB9" i="2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G11" i="11" s="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D8" i="12"/>
  <c r="C8" i="12"/>
  <c r="B14" i="16" s="1"/>
  <c r="F8" i="12"/>
  <c r="F10" i="11"/>
  <c r="D8" i="11"/>
  <c r="E10" i="11"/>
  <c r="E8" i="11"/>
  <c r="G8" i="11"/>
  <c r="G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<sst xmlns="http://schemas.openxmlformats.org/spreadsheetml/2006/main" count="454" uniqueCount="79">
  <si>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</si>
  <si>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</si>
  <si>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</si>
  <si>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</si>
  <si>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</si>
  <si>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</si>
  <si>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</si>
  <si>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</si>
  <si>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</si>
  <si>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</si>
  <si>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</si>
  <si>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</si>
  <si>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</si>
  <si>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</si>
  <si>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</si>
  <si>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</si>
  <si>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</si>
  <si>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</si>
  <si>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</si>
  <si>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</si>
  <si>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</si>
  <si>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</si>
  <si>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</si>
  <si>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</si>
  <si>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</si>
  <si>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</si>
  <si>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</si>
  <si>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</si>
  <si>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</si>
  <si>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</si>
  <si>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</si>
  <si>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</si>
  <si>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</si>
  <si>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</si>
  <si>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</si>
  <si>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</si>
  <si>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</si>
  <si>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</si>
  <si>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</si>
  <si>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</si>
  <si>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</si>
  <si>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</si>
  <si>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</si>
  <si>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</si>
  <si>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</si>
  <si>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</si>
  <si>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</si>
  <si>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</si>
  <si>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</si>
  <si>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</si>
  <si>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</si>
  <si>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</si>
  <si>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</si>
  <si>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</si>
  <si>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</si>
  <si>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</si>
  <si>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</si>
  <si>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</si>
  <si>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</si>
  <si>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</si>
  <si>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</si>
  <si>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</si>
  <si>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</si>
  <si>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</si>
  <si>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</si>
  <si>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</si>
  <si>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</si>
  <si>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</si>
  <si>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</si>
  <si>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</si>
  <si>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</si>
  <si>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</si>
  <si>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</si>
  <si>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</si>
  <si>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</si>
  <si>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</si>
  <si>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</si>
  <si>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Elka Franco</t>
  </si>
  <si>
    <t>elka.franco@routinguc.com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</si>
</sst>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ka.franco@routingu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E10" sqref="E10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6AD9AD7D-DEE8-40BC-9D52-428C46E9BD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18" sqref="M18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-4</v>
      </c>
      <c r="AR7" s="34">
        <f>SUMIF($K$7:$K$12,AO7,$L$7:$L$12) + SUMIF($N$7:$N$12,AO7,$M$7:$M$12)</f>
        <v>3</v>
      </c>
      <c r="AS7" s="34">
        <f>SUMIF($K$7:$K$12,AO7,$M$7:$M$12) + SUMIF($N$7:$N$12,AO7,$L$7:$L$12)</f>
        <v>7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-9960300</v>
      </c>
      <c r="BA7" s="34">
        <f>AZ7-AY7*10</f>
        <v>-9960310</v>
      </c>
      <c r="BB7" s="34">
        <f>BA7+N23</f>
        <v>-9960308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9</v>
      </c>
      <c r="F8" s="9">
        <f t="shared" si="3"/>
        <v>3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-90060900</v>
      </c>
      <c r="BA8" s="34">
        <f t="shared" ref="BA8:BA10" si="10">AZ8-AY8*10</f>
        <v>-90060910</v>
      </c>
      <c r="BB8" s="34">
        <f>BA8+N24</f>
        <v>-90060905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4</v>
      </c>
      <c r="F9" s="13">
        <f t="shared" si="3"/>
        <v>4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-40000406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2</v>
      </c>
      <c r="E10" s="50">
        <f t="shared" si="3"/>
        <v>3</v>
      </c>
      <c r="F10" s="50">
        <f t="shared" si="3"/>
        <v>5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-19980300</v>
      </c>
      <c r="BA10" s="34">
        <f t="shared" si="10"/>
        <v>-19980310</v>
      </c>
      <c r="BB10" s="34">
        <f>BA10+N26</f>
        <v>-19980307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3</v>
      </c>
      <c r="F11" s="54">
        <f t="shared" si="3"/>
        <v>7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4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2</v>
      </c>
      <c r="N23" s="35">
        <f>IF(J23="",0,M23)</f>
        <v>2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5</v>
      </c>
      <c r="N24" s="35">
        <f>IF(J24="",0,M24)</f>
        <v>5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4</v>
      </c>
      <c r="N25" s="35">
        <f>IF(J25="",0,M25)</f>
        <v>4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C16" sqref="C16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-70040700</v>
      </c>
      <c r="BA7" s="34">
        <f>AZ7-AY7*10</f>
        <v>-70040710</v>
      </c>
      <c r="BB7" s="34">
        <f>BA7+N23</f>
        <v>-70040706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-60020600</v>
      </c>
      <c r="BA8" s="34">
        <f t="shared" ref="BA8:BA10" si="10">AZ8-AY8*10</f>
        <v>-60020610</v>
      </c>
      <c r="BB8" s="34">
        <f>BA8+N24</f>
        <v>-60020607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-7</v>
      </c>
      <c r="AR9" s="34">
        <f t="shared" si="5"/>
        <v>1</v>
      </c>
      <c r="AS9" s="34">
        <f t="shared" si="6"/>
        <v>8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69900</v>
      </c>
      <c r="BA9" s="34">
        <f t="shared" si="10"/>
        <v>69890</v>
      </c>
      <c r="BB9" s="34">
        <f>BA9+N25</f>
        <v>69891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5</v>
      </c>
      <c r="F10" s="50">
        <f t="shared" si="0"/>
        <v>4</v>
      </c>
      <c r="G10" s="51">
        <f t="shared" si="0"/>
        <v>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5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-40010500</v>
      </c>
      <c r="BA10" s="34">
        <f t="shared" si="10"/>
        <v>-40010510</v>
      </c>
      <c r="BB10" s="34">
        <f>BA10+N26</f>
        <v>-40010508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35</v>
      </c>
      <c r="J11" s="24">
        <v>44894</v>
      </c>
      <c r="K11" s="25" t="s">
        <v>33</v>
      </c>
      <c r="L11" s="21">
        <v>2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3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4</v>
      </c>
      <c r="N23" s="35">
        <f>IF(J23="",0,M23)</f>
        <v>4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1</v>
      </c>
      <c r="N25" s="35">
        <f>IF(J25="",0,M25)</f>
        <v>1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O14" sqref="O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9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-90080900</v>
      </c>
      <c r="BA7" s="34">
        <f>AZ7-AY7*10</f>
        <v>-90080910</v>
      </c>
      <c r="BB7" s="34">
        <f>BA7+N23</f>
        <v>-90080906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6</v>
      </c>
      <c r="J8" s="19">
        <v>44887</v>
      </c>
      <c r="K8" s="20" t="s">
        <v>35</v>
      </c>
      <c r="L8" s="21">
        <v>4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-40010400</v>
      </c>
      <c r="BA8" s="34">
        <f t="shared" ref="BA8:BA10" si="10">AZ8-AY8*10</f>
        <v>-40010410</v>
      </c>
      <c r="BB8" s="34">
        <f>BA8+N24</f>
        <v>-40010407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4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3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-39990400</v>
      </c>
      <c r="BA9" s="34">
        <f t="shared" si="10"/>
        <v>-39990410</v>
      </c>
      <c r="BB9" s="34">
        <f>BA9+N25</f>
        <v>-39990408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-8</v>
      </c>
      <c r="AR10" s="34">
        <f>SUMIF($K$7:$K$12,AO10,$L$7:$L$12) + SUMIF($N$7:$N$12,AO10,$M$7:$M$12)</f>
        <v>1</v>
      </c>
      <c r="AS10" s="34">
        <f>SUMIF($K$7:$K$12,AO10,$M$7:$M$12) + SUMIF($N$7:$N$12,AO10,$L$7:$L$12)</f>
        <v>9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79900</v>
      </c>
      <c r="BA10" s="34">
        <f t="shared" si="10"/>
        <v>79890</v>
      </c>
      <c r="BB10" s="34">
        <f>BA10+N26</f>
        <v>79891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9</v>
      </c>
      <c r="G11" s="55">
        <f t="shared" si="0"/>
        <v>-8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3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4</v>
      </c>
      <c r="N23" s="35">
        <f>IF(J23="",0,M23)</f>
        <v>4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1</v>
      </c>
      <c r="N26" s="35">
        <f>IF(J26="",0,M26)</f>
        <v>1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H19" sqref="G19:H19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-70040500</v>
      </c>
      <c r="BA7" s="34">
        <f>AZ7-AY7*10</f>
        <v>-70040510</v>
      </c>
      <c r="BB7" s="34">
        <f>BA7+N23</f>
        <v>-70040507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1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-70040606</v>
      </c>
    </row>
    <row r="9" spans="2:54" x14ac:dyDescent="0.25">
      <c r="B9" s="11">
        <v>2</v>
      </c>
      <c r="C9" s="12" t="str">
        <f t="shared" si="0"/>
        <v>Francia</v>
      </c>
      <c r="D9" s="13">
        <f t="shared" si="0"/>
        <v>7</v>
      </c>
      <c r="E9" s="13">
        <f t="shared" si="0"/>
        <v>5</v>
      </c>
      <c r="F9" s="13">
        <f t="shared" si="0"/>
        <v>1</v>
      </c>
      <c r="G9" s="14">
        <f t="shared" si="0"/>
        <v>4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59891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-29980308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3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3</v>
      </c>
      <c r="N23" s="35">
        <f>IF(J23="",0,M23)</f>
        <v>3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1</v>
      </c>
      <c r="N25" s="35">
        <f>IF(J25="",0,M25)</f>
        <v>1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27" sqref="M2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-60030500</v>
      </c>
      <c r="BA7" s="34">
        <f>AZ7-AY7*10</f>
        <v>-60030510</v>
      </c>
      <c r="BB7" s="34">
        <f>BA7+N23</f>
        <v>-60030507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-90050706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4</v>
      </c>
      <c r="AS9" s="34">
        <f t="shared" si="6"/>
        <v>7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-29970400</v>
      </c>
      <c r="BA9" s="34">
        <f t="shared" si="10"/>
        <v>-29970410</v>
      </c>
      <c r="BB9" s="34">
        <f>BA9+N25</f>
        <v>-29970408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4</v>
      </c>
      <c r="F10" s="50">
        <f t="shared" si="0"/>
        <v>7</v>
      </c>
      <c r="G10" s="51">
        <f t="shared" si="0"/>
        <v>-3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49791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3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3</v>
      </c>
      <c r="N23" s="35">
        <f>IF(J23="",0,M23)</f>
        <v>3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1</v>
      </c>
      <c r="N26" s="35">
        <f>IF(J26="",0,M26)</f>
        <v>1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J29" sqref="J29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-70030700</v>
      </c>
      <c r="BA7" s="34">
        <f>AZ7-AY7*10</f>
        <v>-70030710</v>
      </c>
      <c r="BB7" s="34">
        <f>BA7+N23</f>
        <v>-70030707</v>
      </c>
    </row>
    <row r="8" spans="2:54" x14ac:dyDescent="0.25">
      <c r="B8" s="7">
        <v>1</v>
      </c>
      <c r="C8" s="8" t="str">
        <f t="shared" ref="C8:G11" si="0">IFERROR(VLOOKUP($B8,$AN$7:$AS$11,C$5,FALSE),"")</f>
        <v>Croacia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-70040606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7</v>
      </c>
      <c r="E9" s="13">
        <f t="shared" si="0"/>
        <v>7</v>
      </c>
      <c r="F9" s="13">
        <f t="shared" si="0"/>
        <v>4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-29980300</v>
      </c>
      <c r="BA9" s="34">
        <f t="shared" si="10"/>
        <v>-29980310</v>
      </c>
      <c r="BB9" s="34">
        <f>BA9+N25</f>
        <v>-29980308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49891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2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3</v>
      </c>
      <c r="N23" s="35">
        <f>IF(J23="",0,M23)</f>
        <v>3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1</v>
      </c>
      <c r="N26" s="35">
        <f>IF(J26="",0,M26)</f>
        <v>1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2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-90060706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-39990500</v>
      </c>
      <c r="BA8" s="34">
        <f t="shared" ref="BA8:BA10" si="10">AZ8-AY8*10</f>
        <v>-39990510</v>
      </c>
      <c r="BB8" s="34">
        <f>BA8+N24</f>
        <v>-39990508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5</v>
      </c>
      <c r="F9" s="13">
        <f t="shared" si="0"/>
        <v>6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0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39900</v>
      </c>
      <c r="BA9" s="34">
        <f t="shared" si="10"/>
        <v>39890</v>
      </c>
      <c r="BB9" s="34">
        <f>BA9+N25</f>
        <v>39893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-39990300</v>
      </c>
      <c r="BA10" s="34">
        <f t="shared" si="10"/>
        <v>-39990310</v>
      </c>
      <c r="BB10" s="34">
        <f>BA10+N26</f>
        <v>-39990309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2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4</v>
      </c>
      <c r="N23" s="35">
        <f>IF(J23="",0,M23)</f>
        <v>4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1</v>
      </c>
      <c r="N26" s="35">
        <f>IF(J26="",0,M26)</f>
        <v>1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N20" sqref="N20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-70040500</v>
      </c>
      <c r="BA7" s="34">
        <f>AZ7-AY7*10</f>
        <v>-70040510</v>
      </c>
      <c r="BB7" s="34">
        <f>BA7+N23</f>
        <v>-70040506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7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5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-50020400</v>
      </c>
      <c r="BA8" s="34">
        <f t="shared" ref="BA8:BA10" si="10">AZ8-AY8*10</f>
        <v>-50020410</v>
      </c>
      <c r="BB8" s="34">
        <f>BA8+N24</f>
        <v>-50020407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5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49900</v>
      </c>
      <c r="BA9" s="34">
        <f t="shared" si="10"/>
        <v>49890</v>
      </c>
      <c r="BB9" s="34">
        <f>BA9+N25</f>
        <v>49891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-39990300</v>
      </c>
      <c r="BA10" s="34">
        <f t="shared" si="10"/>
        <v>-39990310</v>
      </c>
      <c r="BB10" s="34">
        <f>BA10+N26</f>
        <v>-39990308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4</v>
      </c>
      <c r="N23" s="35">
        <f>IF(J23="",0,M23)</f>
        <v>4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1</v>
      </c>
      <c r="N25" s="35">
        <f>IF(J25="",0,M25)</f>
        <v>1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B4" workbookViewId="0">
      <selection activeCell="J21" sqref="J2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  <col min="22" max="22" width="14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1</v>
      </c>
      <c r="D6" s="61"/>
    </row>
    <row r="7" spans="2:19" ht="15.75" thickBot="1" x14ac:dyDescent="0.3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0</v>
      </c>
      <c r="I8" s="61">
        <v>2</v>
      </c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0</v>
      </c>
      <c r="I9" s="64">
        <v>4</v>
      </c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Francia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>
        <v>5</v>
      </c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>
        <v>4</v>
      </c>
      <c r="O13" s="65"/>
    </row>
    <row r="14" spans="2:19" ht="15.75" thickBot="1" x14ac:dyDescent="0.3">
      <c r="B14" s="59" t="str">
        <f>'GRUPO E'!C8</f>
        <v>Alemania</v>
      </c>
      <c r="C14" s="60">
        <v>3</v>
      </c>
      <c r="D14" s="61"/>
      <c r="J14" s="66"/>
      <c r="O14" s="66"/>
    </row>
    <row r="15" spans="2:19" ht="15.75" thickBot="1" x14ac:dyDescent="0.3">
      <c r="B15" s="62" t="str">
        <f>'GRUPO F'!C9</f>
        <v>Belgica</v>
      </c>
      <c r="C15" s="63">
        <v>2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1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1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Inglaterra</v>
      </c>
    </row>
    <row r="26" spans="2:23" ht="15.75" thickBot="1" x14ac:dyDescent="0.3">
      <c r="B26" s="59" t="str">
        <f>'GRUPO D'!C8</f>
        <v>Dinamarca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.75" thickBot="1" x14ac:dyDescent="0.3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0</v>
      </c>
      <c r="N29" s="64"/>
      <c r="Q29" s="59" t="str">
        <f>IF(Q20=L12,L13,IF(Q20=L13,L12,""))</f>
        <v>Brasil</v>
      </c>
      <c r="R29" s="60">
        <v>3</v>
      </c>
      <c r="S29" s="61"/>
    </row>
    <row r="30" spans="2:23" ht="15.75" thickBot="1" x14ac:dyDescent="0.3">
      <c r="B30" s="59" t="str">
        <f>'GRUPO F'!C8</f>
        <v>Croacia</v>
      </c>
      <c r="C30" s="60">
        <v>1</v>
      </c>
      <c r="D30" s="61">
        <v>4</v>
      </c>
      <c r="J30" s="66"/>
      <c r="Q30" s="62" t="str">
        <f>IF(Q21=L28,L29,IF(Q21=L29,L28,""))</f>
        <v>Portugal</v>
      </c>
      <c r="R30" s="63">
        <v>2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>
        <v>2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Croacia</v>
      </c>
      <c r="H32" s="60">
        <v>0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25">
      <c r="B34" s="59" t="str">
        <f>'GRUPO H'!C8</f>
        <v>Portugal</v>
      </c>
      <c r="C34" s="60">
        <v>2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NB-FRAÑILEO</cp:lastModifiedBy>
  <dcterms:created xsi:type="dcterms:W3CDTF">2022-11-02T00:22:23Z</dcterms:created>
  <dcterms:modified xsi:type="dcterms:W3CDTF">2022-11-19T20:14:36Z</dcterms:modified>
</cp:coreProperties>
</file>