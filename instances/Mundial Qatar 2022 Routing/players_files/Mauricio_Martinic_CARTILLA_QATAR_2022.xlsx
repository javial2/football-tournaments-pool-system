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ting.DESKTOP-54BVV92\Downloads\"/>
    </mc:Choice>
  </mc:AlternateContent>
  <xr:revisionPtr revIDLastSave="0" documentId="13_ncr:1_{CC13A04F-8AE5-471F-AF3E-4565E9DCD86F}" xr6:coauthVersionLast="47" xr6:coauthVersionMax="47" xr10:uidLastSave="{00000000-0000-0000-0000-000000000000}"/>
  <bookViews>
    <workbookView xWindow="-120" yWindow="-120" windowWidth="29040" windowHeight="1572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Z10" i="13"/>
  <c r="AZ10" i="12"/>
  <c r="AZ7" i="12"/>
  <c r="AZ8" i="11"/>
  <c r="AZ10" i="11"/>
  <c r="AZ9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E8" i="11" s="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G10" i="11"/>
  <c r="D8" i="11"/>
  <c r="F10" i="11"/>
  <c r="G11" i="11"/>
  <c r="E10" i="11"/>
  <c r="G8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<sst xmlns="http://schemas.openxmlformats.org/spreadsheetml/2006/main" count="454" uniqueCount="79">
  <si>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</si>
  <si>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</si>
  <si>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</si>
  <si>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</si>
  <si>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</si>
  <si>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</si>
  <si>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</si>
  <si>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</si>
  <si>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</si>
  <si>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</si>
  <si>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</si>
  <si>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</si>
  <si>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</si>
  <si>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</si>
  <si>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</si>
  <si>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</si>
  <si>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</si>
  <si>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</si>
  <si>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</si>
  <si>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</si>
  <si>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</si>
  <si>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</si>
  <si>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</si>
  <si>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</si>
  <si>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</si>
  <si>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</si>
  <si>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</si>
  <si>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</si>
  <si>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</si>
  <si>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</si>
  <si>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</si>
  <si>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</si>
  <si>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</si>
  <si>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</si>
  <si>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</si>
  <si>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</si>
  <si>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</si>
  <si>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</si>
  <si>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</si>
  <si>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</si>
  <si>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</si>
  <si>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</si>
  <si>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</si>
  <si>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</si>
  <si>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</si>
  <si>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</si>
  <si>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</si>
  <si>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</si>
  <si>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</si>
  <si>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</si>
  <si>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</si>
  <si>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</si>
  <si>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</si>
  <si>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</si>
  <si>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</si>
  <si>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</si>
  <si>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</si>
  <si>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</si>
  <si>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</si>
  <si>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</si>
  <si>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</si>
  <si>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</si>
  <si>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</si>
  <si>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</si>
  <si>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</si>
  <si>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</si>
  <si>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</si>
  <si>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</si>
  <si>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</si>
  <si>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</si>
  <si>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</si>
  <si>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</si>
  <si>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</si>
  <si>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</si>
  <si>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</si>
  <si>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</si>
  <si>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</si>
  <si>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Mauricio Martinic</t>
  </si>
  <si>
    <t>mauricio.martinic@routinguc.com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</si>
</sst>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uricio.martinic@routingu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D5" sqref="D5"/>
    </sheetView>
  </sheetViews>
  <sheetFormatPr baseColWidth="10" defaultRowHeight="15" x14ac:dyDescent="0.25"/>
  <cols>
    <col min="4" max="4" width="27" customWidth="1"/>
  </cols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7535B29A-4302-460F-B6DB-B1ECE55793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L12" sqref="L12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-2</v>
      </c>
      <c r="AR7" s="34">
        <f>SUMIF($K$7:$K$12,AO7,$L$7:$L$12) + SUMIF($N$7:$N$12,AO7,$M$7:$M$12)</f>
        <v>2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-9980200</v>
      </c>
      <c r="BA7" s="34">
        <f>AZ7-AY7*10</f>
        <v>-9980210</v>
      </c>
      <c r="BB7" s="34">
        <f>BA7+N23</f>
        <v>-9980209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4</v>
      </c>
      <c r="F8" s="9">
        <f t="shared" si="3"/>
        <v>1</v>
      </c>
      <c r="G8" s="10">
        <f t="shared" si="3"/>
        <v>3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-90030400</v>
      </c>
      <c r="BA8" s="34">
        <f t="shared" ref="BA8:BA10" si="10">AZ8-AY8*10</f>
        <v>-90030410</v>
      </c>
      <c r="BB8" s="34">
        <f>BA8+N24</f>
        <v>-90030408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2</v>
      </c>
      <c r="F9" s="13">
        <f t="shared" si="3"/>
        <v>2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-19990200</v>
      </c>
      <c r="BA9" s="34">
        <f t="shared" si="10"/>
        <v>-19990210</v>
      </c>
      <c r="BB9" s="34">
        <f>BA9+N25</f>
        <v>-19990207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2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-40000200</v>
      </c>
      <c r="BA10" s="34">
        <f t="shared" si="10"/>
        <v>-40000210</v>
      </c>
      <c r="BB10" s="34">
        <f>BA10+N26</f>
        <v>-40000206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2</v>
      </c>
      <c r="F11" s="54">
        <f t="shared" si="3"/>
        <v>4</v>
      </c>
      <c r="G11" s="55">
        <f t="shared" si="3"/>
        <v>-2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0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3" sqref="M13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5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-50030600</v>
      </c>
      <c r="BA7" s="34">
        <f>AZ7-AY7*10</f>
        <v>-50030610</v>
      </c>
      <c r="BB7" s="34">
        <f>BA7+N23</f>
        <v>-50030609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5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1</v>
      </c>
      <c r="M8" s="22">
        <v>2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0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-9960000</v>
      </c>
      <c r="BA9" s="34">
        <f t="shared" si="10"/>
        <v>-9960010</v>
      </c>
      <c r="BB9" s="34">
        <f>BA9+N25</f>
        <v>-9960007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-50010400</v>
      </c>
      <c r="BA10" s="34">
        <f t="shared" si="10"/>
        <v>-50010410</v>
      </c>
      <c r="BB10" s="34">
        <f>BA10+N26</f>
        <v>-50010406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2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6</v>
      </c>
      <c r="J8" s="19">
        <v>44887</v>
      </c>
      <c r="K8" s="20" t="s">
        <v>35</v>
      </c>
      <c r="L8" s="21">
        <v>2</v>
      </c>
      <c r="M8" s="22">
        <v>1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-39990300</v>
      </c>
      <c r="BA8" s="34">
        <f t="shared" ref="BA8:BA10" si="10">AZ8-AY8*10</f>
        <v>-39990310</v>
      </c>
      <c r="BB8" s="34">
        <f>BA8+N24</f>
        <v>-39990308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5</v>
      </c>
      <c r="AQ9" s="34">
        <f t="shared" ref="AQ9:AQ10" si="11">AR9-AS9</f>
        <v>1</v>
      </c>
      <c r="AR9" s="34">
        <f t="shared" si="5"/>
        <v>3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-50010300</v>
      </c>
      <c r="BA9" s="34">
        <f t="shared" si="10"/>
        <v>-50010310</v>
      </c>
      <c r="BB9" s="34">
        <f>BA9+N25</f>
        <v>-50010307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29800</v>
      </c>
      <c r="BA10" s="34">
        <f t="shared" si="10"/>
        <v>29790</v>
      </c>
      <c r="BB10" s="34">
        <f>BA10+N26</f>
        <v>29794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K12" sqref="K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3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8</v>
      </c>
      <c r="J8" s="19">
        <v>44887</v>
      </c>
      <c r="K8" s="20" t="s">
        <v>40</v>
      </c>
      <c r="L8" s="21">
        <v>1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-60030600</v>
      </c>
      <c r="BA8" s="34">
        <f t="shared" ref="BA8:BA10" si="10">AZ8-AY8*10</f>
        <v>-60030610</v>
      </c>
      <c r="BB8" s="34">
        <f>BA8+N24</f>
        <v>-60030608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-9</v>
      </c>
      <c r="AR9" s="34">
        <f t="shared" si="5"/>
        <v>0</v>
      </c>
      <c r="AS9" s="34">
        <f t="shared" si="6"/>
        <v>9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90000</v>
      </c>
      <c r="BA9" s="34">
        <f t="shared" si="10"/>
        <v>89990</v>
      </c>
      <c r="BB9" s="34">
        <f>BA9+N25</f>
        <v>89993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-29990200</v>
      </c>
      <c r="BA10" s="34">
        <f t="shared" si="10"/>
        <v>-29990210</v>
      </c>
      <c r="BB10" s="34">
        <f>BA10+N26</f>
        <v>-29990206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0</v>
      </c>
      <c r="F11" s="54">
        <f t="shared" si="0"/>
        <v>9</v>
      </c>
      <c r="G11" s="55">
        <f t="shared" si="0"/>
        <v>-9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4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3</v>
      </c>
      <c r="AO7" s="34" t="s">
        <v>44</v>
      </c>
      <c r="AP7" s="34">
        <f>SUMIF($K$7:$K$12,AO7,$AJ$7:$AJ$12) + SUMIF($N$7:$N$12,AO7,$AK$7:$AK$12)</f>
        <v>4</v>
      </c>
      <c r="AQ7" s="34">
        <f>AR7-AS7</f>
        <v>-2</v>
      </c>
      <c r="AR7" s="34">
        <f>SUMIF($K$7:$K$12,AO7,$L$7:$L$12) + SUMIF($N$7:$N$12,AO7,$M$7:$M$12)</f>
        <v>3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-39980300</v>
      </c>
      <c r="BA7" s="34">
        <f>AZ7-AY7*10</f>
        <v>-39980310</v>
      </c>
      <c r="BB7" s="34">
        <f>BA7+N23</f>
        <v>-39980309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-90060800</v>
      </c>
      <c r="BA8" s="34">
        <f t="shared" ref="BA8:BA10" si="10">AZ8-AY8*10</f>
        <v>-90060810</v>
      </c>
      <c r="BB8" s="34">
        <f>BA8+N24</f>
        <v>-90060808</v>
      </c>
    </row>
    <row r="9" spans="2:54" x14ac:dyDescent="0.25">
      <c r="B9" s="11">
        <v>2</v>
      </c>
      <c r="C9" s="12" t="str">
        <f t="shared" si="0"/>
        <v>Japon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2</v>
      </c>
      <c r="AO9" s="34" t="s">
        <v>46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25">
      <c r="B10" s="48">
        <v>3</v>
      </c>
      <c r="C10" s="49" t="str">
        <f t="shared" si="0"/>
        <v>España</v>
      </c>
      <c r="D10" s="50">
        <f t="shared" si="0"/>
        <v>4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39900</v>
      </c>
      <c r="BA10" s="34">
        <f t="shared" si="10"/>
        <v>39890</v>
      </c>
      <c r="BB10" s="34">
        <f>BA10+N26</f>
        <v>39894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2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-70050700</v>
      </c>
      <c r="BA7" s="34">
        <f>AZ7-AY7*10</f>
        <v>-70050710</v>
      </c>
      <c r="BB7" s="34">
        <f>BA7+N23</f>
        <v>-70050709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>Canada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-9960000</v>
      </c>
      <c r="BA9" s="34">
        <f t="shared" si="10"/>
        <v>-9960000</v>
      </c>
      <c r="BB9" s="34">
        <f>BA9+N25</f>
        <v>-9959997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1</v>
      </c>
      <c r="E10" s="50">
        <f t="shared" si="0"/>
        <v>0</v>
      </c>
      <c r="F10" s="50">
        <f t="shared" si="0"/>
        <v>4</v>
      </c>
      <c r="G10" s="51">
        <f t="shared" si="0"/>
        <v>-4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>Marruecos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-9960000</v>
      </c>
      <c r="BA10" s="34">
        <f t="shared" si="10"/>
        <v>-9960000</v>
      </c>
      <c r="BB10" s="34">
        <f>BA10+N26</f>
        <v>-9959996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1" sqref="L11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-29990300</v>
      </c>
      <c r="BA8" s="34">
        <f t="shared" ref="BA8:BA10" si="10">AZ8-AY8*10</f>
        <v>-29990310</v>
      </c>
      <c r="BB8" s="34">
        <f>BA8+N24</f>
        <v>-29990308</v>
      </c>
    </row>
    <row r="9" spans="2:54" x14ac:dyDescent="0.25">
      <c r="B9" s="11">
        <v>2</v>
      </c>
      <c r="C9" s="12" t="str">
        <f t="shared" si="0"/>
        <v>Camerun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0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49993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-60010400</v>
      </c>
      <c r="BA10" s="34">
        <f t="shared" si="10"/>
        <v>-60010410</v>
      </c>
      <c r="BB10" s="34">
        <f>BA10+N26</f>
        <v>-60010406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-50010400</v>
      </c>
      <c r="BA7" s="34">
        <f>AZ7-AY7*10</f>
        <v>-50010410</v>
      </c>
      <c r="BB7" s="34">
        <f>BA7+N23</f>
        <v>-50010409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-70030600</v>
      </c>
      <c r="BA8" s="34">
        <f t="shared" ref="BA8:BA10" si="10">AZ8-AY8*10</f>
        <v>-70030610</v>
      </c>
      <c r="BB8" s="34">
        <f>BA8+N24</f>
        <v>-70030608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-19990300</v>
      </c>
      <c r="BA9" s="34">
        <f t="shared" si="10"/>
        <v>-19990310</v>
      </c>
      <c r="BB9" s="34">
        <f>BA9+N25</f>
        <v>-19990307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-9970100</v>
      </c>
      <c r="BA10" s="34">
        <f t="shared" si="10"/>
        <v>-9970110</v>
      </c>
      <c r="BB10" s="34">
        <f>BA10+N26</f>
        <v>-9970106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3" workbookViewId="0">
      <selection activeCell="U28" sqref="U28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1</v>
      </c>
      <c r="D10" s="61">
        <v>4</v>
      </c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>
        <v>2</v>
      </c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2</v>
      </c>
      <c r="N12" s="61">
        <v>3</v>
      </c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2</v>
      </c>
      <c r="N13" s="64">
        <v>4</v>
      </c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2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0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1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Alemania</v>
      </c>
      <c r="R20" s="60">
        <v>1</v>
      </c>
      <c r="S20" s="61">
        <v>4</v>
      </c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>
        <v>3</v>
      </c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Alemania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1</v>
      </c>
      <c r="N28" s="61">
        <v>3</v>
      </c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1</v>
      </c>
      <c r="N29" s="64">
        <v>2</v>
      </c>
      <c r="Q29" s="59" t="str">
        <f>IF(Q20=L12,L13,IF(Q20=L13,L12,""))</f>
        <v>Argentina</v>
      </c>
      <c r="R29" s="60">
        <v>2</v>
      </c>
      <c r="S29" s="61"/>
    </row>
    <row r="30" spans="2:23" ht="15.75" thickBot="1" x14ac:dyDescent="0.3">
      <c r="B30" s="59" t="str">
        <f>'GRUPO F'!C8</f>
        <v>Belgica</v>
      </c>
      <c r="C30" s="60">
        <v>4</v>
      </c>
      <c r="D30" s="61"/>
      <c r="J30" s="66"/>
      <c r="Q30" s="62" t="str">
        <f>IF(Q21=L28,L29,IF(Q21=L29,L28,""))</f>
        <v>Belgica</v>
      </c>
      <c r="R30" s="63">
        <v>1</v>
      </c>
      <c r="S30" s="64"/>
    </row>
    <row r="31" spans="2:23" ht="15.75" thickBot="1" x14ac:dyDescent="0.3">
      <c r="B31" s="62" t="str">
        <f>'GRUPO E'!C9</f>
        <v>Japon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3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/>
    </row>
    <row r="34" spans="2:9" x14ac:dyDescent="0.25">
      <c r="B34" s="59" t="str">
        <f>'GRUPO H'!C8</f>
        <v>Uruguay</v>
      </c>
      <c r="C34" s="60">
        <v>2</v>
      </c>
      <c r="D34" s="61">
        <v>5</v>
      </c>
      <c r="E34" s="69"/>
    </row>
    <row r="35" spans="2:9" ht="15.75" thickBot="1" x14ac:dyDescent="0.3">
      <c r="B35" s="62" t="str">
        <f>'GRUPO G'!C9</f>
        <v>Camerun</v>
      </c>
      <c r="C35" s="63">
        <v>2</v>
      </c>
      <c r="D35" s="64">
        <v>4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Mauricio Martinic</cp:lastModifiedBy>
  <dcterms:created xsi:type="dcterms:W3CDTF">2022-11-02T00:22:23Z</dcterms:created>
  <dcterms:modified xsi:type="dcterms:W3CDTF">2022-11-14T12:36:26Z</dcterms:modified>
</cp:coreProperties>
</file>