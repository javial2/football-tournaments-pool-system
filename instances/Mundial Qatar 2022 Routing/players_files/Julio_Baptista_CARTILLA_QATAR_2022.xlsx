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INFORMACION" sheetId="1" state="visible" r:id="rId2"/>
    <sheet name="GRUPO A" sheetId="2" state="visible" r:id="rId3"/>
    <sheet name="GRUPO B" sheetId="3" state="visible" r:id="rId4"/>
    <sheet name="GRUPO C" sheetId="4" state="visible" r:id="rId5"/>
    <sheet name="GRUPO D" sheetId="5" state="visible" r:id="rId6"/>
    <sheet name="GRUPO E" sheetId="6" state="visible" r:id="rId7"/>
    <sheet name="GRUPO F" sheetId="7" state="visible" r:id="rId8"/>
    <sheet name="GRUPO G" sheetId="8" state="visible" r:id="rId9"/>
    <sheet name="GRUPO H" sheetId="9" state="visible" r:id="rId10"/>
    <sheet name="Play-Off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<sst xmlns="http://schemas.openxmlformats.org/spreadsheetml/2006/main" count="454" uniqueCount="79">
  <si>
    <t xml:space="preserve">Información del Jugador</t>
  </si>
  <si>
    <t xml:space="preserve">Nombre</t>
  </si>
  <si>
    <t xml:space="preserve">Julio Baptista</t>
  </si>
  <si>
    <t xml:space="preserve">Mail</t>
  </si>
  <si>
    <t xml:space="preserve">julio.baptista@routinguc.com</t>
  </si>
  <si>
    <t xml:space="preserve">GRUPO A</t>
  </si>
  <si>
    <t xml:space="preserve">Tabla de Posiciones</t>
  </si>
  <si>
    <t xml:space="preserve">Fecha</t>
  </si>
  <si>
    <t xml:space="preserve">Partidos</t>
  </si>
  <si>
    <t xml:space="preserve">Ganador</t>
  </si>
  <si>
    <t xml:space="preserve">Orden</t>
  </si>
  <si>
    <t xml:space="preserve">Equipo</t>
  </si>
  <si>
    <t xml:space="preserve">Puntos</t>
  </si>
  <si>
    <t xml:space="preserve">DG</t>
  </si>
  <si>
    <t xml:space="preserve">GF</t>
  </si>
  <si>
    <t xml:space="preserve">GC</t>
  </si>
  <si>
    <t xml:space="preserve">Empatado Con</t>
  </si>
  <si>
    <t xml:space="preserve">Ganador? </t>
  </si>
  <si>
    <t xml:space="preserve">Formula Rank</t>
  </si>
  <si>
    <t xml:space="preserve">Formula Rank Con Duelo Directo</t>
  </si>
  <si>
    <t xml:space="preserve">Formula Rank Con Prioridad</t>
  </si>
  <si>
    <t xml:space="preserve">Posición</t>
  </si>
  <si>
    <t xml:space="preserve">Senegal</t>
  </si>
  <si>
    <t xml:space="preserve">Holanda</t>
  </si>
  <si>
    <t xml:space="preserve">Qatar</t>
  </si>
  <si>
    <t xml:space="preserve">Ecuador</t>
  </si>
  <si>
    <t xml:space="preserve">El recuadro de la derecha sirve para desempatar, en caso de que haya empate entre </t>
  </si>
  <si>
    <t xml:space="preserve">Escoja por prioridad los siguientes equipos:</t>
  </si>
  <si>
    <t xml:space="preserve">uno o más equipos en todos los criterios considerados.</t>
  </si>
  <si>
    <t xml:space="preserve">Para utilizarlo, asigne una prioridad entre 1 y 5 (siendo más bajo mejor) a cada equipo.</t>
  </si>
  <si>
    <t xml:space="preserve">Puede pensarlo como el lugar que quedarían en la tabla de posiciones.</t>
  </si>
  <si>
    <t xml:space="preserve">A modo de ejemplo, si su predicción es que todos los partidos terminan 0-0, el orden</t>
  </si>
  <si>
    <t xml:space="preserve">asignado en este recuadro es el que finalmente quedará en la tabla de posiciones.</t>
  </si>
  <si>
    <t xml:space="preserve">GRUPO B</t>
  </si>
  <si>
    <t xml:space="preserve">Inglaterra</t>
  </si>
  <si>
    <t xml:space="preserve">Iran</t>
  </si>
  <si>
    <t xml:space="preserve">USA</t>
  </si>
  <si>
    <t xml:space="preserve">Gales</t>
  </si>
  <si>
    <t xml:space="preserve">GRUPO C</t>
  </si>
  <si>
    <t xml:space="preserve">Mexico</t>
  </si>
  <si>
    <t xml:space="preserve">Polonia</t>
  </si>
  <si>
    <t xml:space="preserve">Argentina</t>
  </si>
  <si>
    <t xml:space="preserve">Arabia Saudita</t>
  </si>
  <si>
    <t xml:space="preserve">GRUPO D</t>
  </si>
  <si>
    <t xml:space="preserve">Dinamarca</t>
  </si>
  <si>
    <t xml:space="preserve">Tunez</t>
  </si>
  <si>
    <t xml:space="preserve">Francia</t>
  </si>
  <si>
    <t xml:space="preserve">Australia</t>
  </si>
  <si>
    <t xml:space="preserve">GRUPO E</t>
  </si>
  <si>
    <t xml:space="preserve">Alemania</t>
  </si>
  <si>
    <t xml:space="preserve">Japon</t>
  </si>
  <si>
    <t xml:space="preserve">España</t>
  </si>
  <si>
    <t xml:space="preserve">Costa Rica</t>
  </si>
  <si>
    <t xml:space="preserve">GRUPO F</t>
  </si>
  <si>
    <t xml:space="preserve">Marruecos</t>
  </si>
  <si>
    <t xml:space="preserve">Croacia</t>
  </si>
  <si>
    <t xml:space="preserve">Belgica</t>
  </si>
  <si>
    <t xml:space="preserve">Canada</t>
  </si>
  <si>
    <t xml:space="preserve">GRUPO G</t>
  </si>
  <si>
    <t xml:space="preserve">Suiza</t>
  </si>
  <si>
    <t xml:space="preserve">Camerun</t>
  </si>
  <si>
    <t xml:space="preserve">Brasil</t>
  </si>
  <si>
    <t xml:space="preserve">Serbia</t>
  </si>
  <si>
    <t xml:space="preserve">GRUPO H</t>
  </si>
  <si>
    <t xml:space="preserve">Uruguay</t>
  </si>
  <si>
    <t xml:space="preserve">Corea</t>
  </si>
  <si>
    <t xml:space="preserve">Portugal</t>
  </si>
  <si>
    <t xml:space="preserve">Gana</t>
  </si>
  <si>
    <t xml:space="preserve">Octavos de Final</t>
  </si>
  <si>
    <t xml:space="preserve">Cuartos de Final</t>
  </si>
  <si>
    <t xml:space="preserve">Resultado</t>
  </si>
  <si>
    <t xml:space="preserve">Penales</t>
  </si>
  <si>
    <t xml:space="preserve">Semi Final</t>
  </si>
  <si>
    <t xml:space="preserve">Final</t>
  </si>
  <si>
    <t xml:space="preserve">RESULTADOS TORNEO</t>
  </si>
  <si>
    <t xml:space="preserve">CAMPEÓN</t>
  </si>
  <si>
    <t xml:space="preserve">Tercer y Cuarto Lugar</t>
  </si>
  <si>
    <t xml:space="preserve">SUB CAMPEÓN</t>
  </si>
  <si>
    <t xml:space="preserve">TERCER LUGAR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</si>
</sst>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20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  <fill>
      <patternFill patternType="solid">
        <fgColor rgb="FFB4C7E7"/>
        <bgColor rgb="FFBDD7EE"/>
      </patternFill>
    </fill>
    <fill>
      <patternFill patternType="solid">
        <fgColor rgb="FFDAE3F3"/>
        <bgColor rgb="FFE7E6E6"/>
      </patternFill>
    </fill>
    <fill>
      <patternFill patternType="solid">
        <fgColor rgb="FF00FF00"/>
        <bgColor rgb="FF33CCCC"/>
      </patternFill>
    </fill>
    <fill>
      <patternFill patternType="solid">
        <fgColor rgb="FF92D050"/>
        <bgColor rgb="FF99FF33"/>
      </patternFill>
    </fill>
    <fill>
      <patternFill patternType="solid">
        <fgColor rgb="FFBDD7EE"/>
        <bgColor rgb="FFB4C7E7"/>
      </patternFill>
    </fill>
    <fill>
      <patternFill patternType="solid">
        <fgColor rgb="FFE7E6E6"/>
        <bgColor rgb="FFEAEAEA"/>
      </patternFill>
    </fill>
    <fill>
      <patternFill patternType="solid">
        <fgColor rgb="FFEAEAEA"/>
        <bgColor rgb="FFE7E6E6"/>
      </patternFill>
    </fill>
    <fill>
      <patternFill patternType="solid">
        <fgColor rgb="FF99FF33"/>
        <bgColor rgb="FF92D050"/>
      </patternFill>
    </fill>
    <fill>
      <patternFill patternType="solid">
        <fgColor rgb="FFFFFF00"/>
        <bgColor rgb="FFFFFF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dxfs count="104"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00FFFFFF"/>
        </patternFill>
      </fill>
      <border diagonalUp="false" diagonalDown="false">
        <left/>
        <right/>
        <top/>
        <bottom/>
        <diagon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EAEAEA"/>
      <rgbColor rgb="FFDAE3F3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99FF33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ulio.baptista@routinguc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5390625" defaultRowHeight="15" zeroHeight="false" outlineLevelRow="0" outlineLevelCol="0"/>
  <sheetData>
    <row r="1" customFormat="false" ht="15.75" hidden="false" customHeight="false" outlineLevel="0" collapsed="false"/>
    <row r="2" customFormat="false" ht="15.75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3" t="s">
        <v>2</v>
      </c>
      <c r="D3" s="3"/>
    </row>
    <row r="4" customFormat="false" ht="14.9" hidden="false" customHeight="false" outlineLevel="0" collapsed="false">
      <c r="B4" s="4" t="s">
        <v>3</v>
      </c>
      <c r="C4" s="5" t="s">
        <v>4</v>
      </c>
      <c r="D4" s="5"/>
    </row>
  </sheetData>
  <mergeCells count="3">
    <mergeCell ref="B2:D2"/>
    <mergeCell ref="C3:D3"/>
    <mergeCell ref="C4:D4"/>
  </mergeCells>
  <hyperlinks>
    <hyperlink ref="C4" r:id="rId1" display="julio.baptista@routinguc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11.4296875" defaultRowHeight="15" zeroHeight="false" outlineLevelRow="0" outlineLevelCol="0"/>
  <cols>
    <col collapsed="false" customWidth="true" hidden="false" outlineLevel="0" max="14" min="1" style="0" width="10.53"/>
    <col collapsed="false" customWidth="false" hidden="false" outlineLevel="0" max="34" min="15" style="6" width="11.43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4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5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1</v>
      </c>
      <c r="J7" s="21" t="n">
        <v>44886</v>
      </c>
      <c r="K7" s="22" t="s">
        <v>22</v>
      </c>
      <c r="L7" s="23" t="n">
        <v>1</v>
      </c>
      <c r="M7" s="24" t="n">
        <v>3</v>
      </c>
      <c r="N7" s="20" t="s">
        <v>23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1" t="str">
        <f aca="false">CONCATENATE(K7,"_",N7)</f>
        <v>Senegal_Holanda</v>
      </c>
      <c r="AJ7" s="7" t="n">
        <f aca="false">IF(L7&gt;M7,3,IF(L7&lt;M7,0,1))</f>
        <v>0</v>
      </c>
      <c r="AK7" s="7" t="n">
        <f aca="false">IF(AJ7=3,0,IF(AJ7=1,1,3))</f>
        <v>3</v>
      </c>
      <c r="AL7" s="7" t="str">
        <f aca="false">IF(AJ7&gt;AK7,K7,IF(AK7&gt;AJ7,N7,"SIN GANADOR"))</f>
        <v>Holanda</v>
      </c>
      <c r="AN7" s="7" t="n">
        <f aca="false">_xlfn.RANK.EQ(BB7,BB$7:BB$11,1)</f>
        <v>3</v>
      </c>
      <c r="AO7" s="7" t="s">
        <v>24</v>
      </c>
      <c r="AP7" s="7" t="n">
        <f aca="false">SUMIF($K$7:$K$12,AO7,$AJ$7:$AJ$12) + SUMIF($N$7:$N$12,AO7,$AK$7:$AK$12)</f>
        <v>1</v>
      </c>
      <c r="AQ7" s="7" t="n">
        <f aca="false">AR7-AS7</f>
        <v>-3</v>
      </c>
      <c r="AR7" s="7" t="n">
        <f aca="false">SUMIF($K$7:$K$12,AO7,$L$7:$L$12) + SUMIF($N$7:$N$12,AO7,$M$7:$M$12)</f>
        <v>3</v>
      </c>
      <c r="AS7" s="7" t="n">
        <f aca="false">SUMIF($K$7:$K$12,AO7,$M$7:$M$12) + SUMIF($N$7:$N$12,AO7,$L$7:$L$12)</f>
        <v>6</v>
      </c>
      <c r="AV7" s="7" t="str">
        <f aca="false">AO7</f>
        <v>Qatar</v>
      </c>
      <c r="AW7" s="7" t="str">
        <f aca="false">IF(AZ7=AZ8,AV8,IF(AZ7=AZ9,AV9,IF(AZ7=AZ10,AV10,"")))</f>
        <v>Senegal</v>
      </c>
      <c r="AX7" s="7" t="str">
        <f aca="false">IF(AW7="","",IFERROR(VLOOKUP(CONCATENATE(AV7,"_",AW7),$AI$7:$AL$16,4,0),VLOOKUP(CONCATENATE(AW7,"_",AV7),$AI$7:$AL$16,4,0)))</f>
        <v>SIN GANADOR</v>
      </c>
      <c r="AY7" s="7" t="n">
        <f aca="false">IF(AX7="",1,IF(AX7=AV7,1,0))</f>
        <v>0</v>
      </c>
      <c r="AZ7" s="7" t="n">
        <f aca="false">-AP7*10000000 - AQ7*10000 - AR7*100</f>
        <v>-9970300</v>
      </c>
      <c r="BA7" s="7" t="n">
        <f aca="false">AZ7-AY7*10</f>
        <v>-9970300</v>
      </c>
      <c r="BB7" s="7" t="n">
        <f aca="false">BA7+N23</f>
        <v>-9970299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Holanda</v>
      </c>
      <c r="D8" s="27" t="n">
        <f aca="false">IFERROR(VLOOKUP($B8,$AN$7:$AS$11,D$5,0),"")</f>
        <v>9</v>
      </c>
      <c r="E8" s="27" t="n">
        <f aca="false">IFERROR(VLOOKUP($B8,$AN$7:$AS$11,E$5,0),"")</f>
        <v>8</v>
      </c>
      <c r="F8" s="27" t="n">
        <f aca="false">IFERROR(VLOOKUP($B8,$AN$7:$AS$11,F$5,0),"")</f>
        <v>3</v>
      </c>
      <c r="G8" s="28" t="n">
        <f aca="false">IFERROR(VLOOKUP($B8,$AN$7:$AS$11,G$5,0),"")</f>
        <v>5</v>
      </c>
      <c r="I8" s="29" t="n">
        <v>2</v>
      </c>
      <c r="J8" s="30" t="n">
        <v>44886</v>
      </c>
      <c r="K8" s="31" t="s">
        <v>24</v>
      </c>
      <c r="L8" s="32" t="n">
        <v>1</v>
      </c>
      <c r="M8" s="33" t="n">
        <v>2</v>
      </c>
      <c r="N8" s="29" t="s">
        <v>25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1" t="str">
        <f aca="false">CONCATENATE(K8,"_",N8)</f>
        <v>Qatar_Ecuador</v>
      </c>
      <c r="AJ8" s="7" t="n">
        <f aca="false">IF(L8&gt;M8,3,IF(L8&lt;M8,0,1))</f>
        <v>0</v>
      </c>
      <c r="AK8" s="7" t="n">
        <f aca="false">IF(AJ8=3,0,IF(AJ8=1,1,3))</f>
        <v>3</v>
      </c>
      <c r="AL8" s="7" t="str">
        <f aca="false">IF(AJ8&gt;AK8,K8,IF(AK8&gt;AJ8,N8,"SIN GANADOR"))</f>
        <v>Ecuador</v>
      </c>
      <c r="AN8" s="7" t="n">
        <f aca="false">_xlfn.RANK.EQ(BB8,BB$7:BB$11,1)</f>
        <v>1</v>
      </c>
      <c r="AO8" s="7" t="s">
        <v>23</v>
      </c>
      <c r="AP8" s="7" t="n">
        <f aca="false">SUMIF($K$7:$K$12,AO8,$AJ$7:$AJ$12) + SUMIF($N$7:$N$12,AO8,$AK$7:$AK$12)</f>
        <v>9</v>
      </c>
      <c r="AQ8" s="7" t="n">
        <f aca="false">AR8-AS8</f>
        <v>5</v>
      </c>
      <c r="AR8" s="7" t="n">
        <f aca="false">SUMIF($K$7:$K$12,AO8,$L$7:$L$12) + SUMIF($N$7:$N$12,AO8,$M$7:$M$12)</f>
        <v>8</v>
      </c>
      <c r="AS8" s="7" t="n">
        <f aca="false">SUMIF($K$7:$K$12,AO8,$M$7:$M$12) + SUMIF($N$7:$N$12,AO8,$L$7:$L$12)</f>
        <v>3</v>
      </c>
      <c r="AV8" s="7" t="str">
        <f aca="false">AO8</f>
        <v>Holanda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-90050800</v>
      </c>
      <c r="BA8" s="7" t="n">
        <f aca="false">AZ8-AY8*10</f>
        <v>-90050810</v>
      </c>
      <c r="BB8" s="7" t="n">
        <f aca="false">BA8+N24</f>
        <v>-90050808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Ecuador</v>
      </c>
      <c r="D9" s="36" t="n">
        <f aca="false">IFERROR(VLOOKUP($B9,$AN$7:$AS$11,D$5,0),"")</f>
        <v>6</v>
      </c>
      <c r="E9" s="36" t="n">
        <f aca="false">IFERROR(VLOOKUP($B9,$AN$7:$AS$11,E$5,0),"")</f>
        <v>5</v>
      </c>
      <c r="F9" s="36" t="n">
        <f aca="false">IFERROR(VLOOKUP($B9,$AN$7:$AS$11,F$5,0),"")</f>
        <v>4</v>
      </c>
      <c r="G9" s="37" t="n">
        <f aca="false">IFERROR(VLOOKUP($B9,$AN$7:$AS$11,G$5,0),"")</f>
        <v>1</v>
      </c>
      <c r="I9" s="38" t="n">
        <f aca="false">I7+16</f>
        <v>17</v>
      </c>
      <c r="J9" s="39" t="n">
        <v>44890</v>
      </c>
      <c r="K9" s="40" t="s">
        <v>24</v>
      </c>
      <c r="L9" s="32" t="n">
        <v>1</v>
      </c>
      <c r="M9" s="33" t="n">
        <v>1</v>
      </c>
      <c r="N9" s="38" t="s">
        <v>22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1" t="str">
        <f aca="false">CONCATENATE(K9,"_",N9)</f>
        <v>Qatar_Senegal</v>
      </c>
      <c r="AJ9" s="7" t="n">
        <f aca="false">IF(L9&gt;M9,3,IF(L9&lt;M9,0,1))</f>
        <v>1</v>
      </c>
      <c r="AK9" s="7" t="n">
        <f aca="false">IF(AJ9=3,0,IF(AJ9=1,1,3))</f>
        <v>1</v>
      </c>
      <c r="AL9" s="7" t="str">
        <f aca="false">IF(AJ9&gt;AK9,K9,IF(AK9&gt;AJ9,N9,"SIN GANADOR"))</f>
        <v>SIN GANADOR</v>
      </c>
      <c r="AN9" s="7" t="n">
        <f aca="false">_xlfn.RANK.EQ(BB9,BB$7:BB$11,1)</f>
        <v>4</v>
      </c>
      <c r="AO9" s="7" t="s">
        <v>22</v>
      </c>
      <c r="AP9" s="7" t="n">
        <f aca="false">SUMIF($K$7:$K$12,AO9,$AJ$7:$AJ$12) + SUMIF($N$7:$N$12,AO9,$AK$7:$AK$12)</f>
        <v>1</v>
      </c>
      <c r="AQ9" s="7" t="n">
        <f aca="false">AR9-AS9</f>
        <v>-3</v>
      </c>
      <c r="AR9" s="7" t="n">
        <f aca="false">SUMIF($K$7:$K$12,AO9,$L$7:$L$12) + SUMIF($N$7:$N$12,AO9,$M$7:$M$12)</f>
        <v>3</v>
      </c>
      <c r="AS9" s="7" t="n">
        <f aca="false">SUMIF($K$7:$K$12,AO9,$M$7:$M$12) + SUMIF($N$7:$N$12,AO9,$L$7:$L$12)</f>
        <v>6</v>
      </c>
      <c r="AV9" s="7" t="str">
        <f aca="false">AO9</f>
        <v>Senegal</v>
      </c>
      <c r="AW9" s="7" t="str">
        <f aca="false">IF(AZ9=AZ10,AV10,IF(AZ9=AZ7,AV7,IF(AZ9=AZ8,AV8,"")))</f>
        <v>Qatar</v>
      </c>
      <c r="AX9" s="7" t="str">
        <f aca="false">IF(AW9="","",IFERROR(VLOOKUP(CONCATENATE(AV9,"_",AW9),$AI$7:$AL$16,4,0),VLOOKUP(CONCATENATE(AW9,"_",AV9),$AI$7:$AL$16,4,0)))</f>
        <v>SIN GANADOR</v>
      </c>
      <c r="AY9" s="7" t="n">
        <f aca="false">IF(AX9="",1,IF(AX9=AV9,1,0))</f>
        <v>0</v>
      </c>
      <c r="AZ9" s="7" t="n">
        <f aca="false">-AP9*10000000 - AQ9*10000 - AR9*100</f>
        <v>-9970300</v>
      </c>
      <c r="BA9" s="7" t="n">
        <f aca="false">AZ9-AY9*10</f>
        <v>-9970300</v>
      </c>
      <c r="BB9" s="7" t="n">
        <f aca="false">BA9+N25</f>
        <v>-9970297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Qatar</v>
      </c>
      <c r="D10" s="43" t="n">
        <f aca="false">IFERROR(VLOOKUP($B10,$AN$7:$AS$11,D$5,0),"")</f>
        <v>1</v>
      </c>
      <c r="E10" s="43" t="n">
        <f aca="false">IFERROR(VLOOKUP($B10,$AN$7:$AS$11,E$5,0),"")</f>
        <v>3</v>
      </c>
      <c r="F10" s="43" t="n">
        <f aca="false">IFERROR(VLOOKUP($B10,$AN$7:$AS$11,F$5,0),"")</f>
        <v>6</v>
      </c>
      <c r="G10" s="44" t="n">
        <f aca="false">IFERROR(VLOOKUP($B10,$AN$7:$AS$11,G$5,0),"")</f>
        <v>-3</v>
      </c>
      <c r="I10" s="29" t="n">
        <f aca="false">I8+16</f>
        <v>18</v>
      </c>
      <c r="J10" s="30" t="n">
        <v>44890</v>
      </c>
      <c r="K10" s="31" t="s">
        <v>23</v>
      </c>
      <c r="L10" s="32" t="n">
        <v>2</v>
      </c>
      <c r="M10" s="33" t="n">
        <v>1</v>
      </c>
      <c r="N10" s="29" t="s">
        <v>25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1" t="str">
        <f aca="false">CONCATENATE(K10,"_",N10)</f>
        <v>Holanda_Ecuador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Holanda</v>
      </c>
      <c r="AN10" s="7" t="n">
        <f aca="false">_xlfn.RANK.EQ(BB10,BB$7:BB$11,1)</f>
        <v>2</v>
      </c>
      <c r="AO10" s="7" t="s">
        <v>25</v>
      </c>
      <c r="AP10" s="7" t="n">
        <f aca="false">SUMIF($K$7:$K$12,AO10,$AJ$7:$AJ$12) + SUMIF($N$7:$N$12,AO10,$AK$7:$AK$12)</f>
        <v>6</v>
      </c>
      <c r="AQ10" s="7" t="n">
        <f aca="false">AR10-AS10</f>
        <v>1</v>
      </c>
      <c r="AR10" s="7" t="n">
        <f aca="false">SUMIF($K$7:$K$12,AO10,$L$7:$L$12) + SUMIF($N$7:$N$12,AO10,$M$7:$M$12)</f>
        <v>5</v>
      </c>
      <c r="AS10" s="7" t="n">
        <f aca="false">SUMIF($K$7:$K$12,AO10,$M$7:$M$12) + SUMIF($N$7:$N$12,AO10,$L$7:$L$12)</f>
        <v>4</v>
      </c>
      <c r="AV10" s="7" t="str">
        <f aca="false">AO10</f>
        <v>Ecuador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-60010500</v>
      </c>
      <c r="BA10" s="7" t="n">
        <f aca="false">AZ10-AY10*10</f>
        <v>-60010510</v>
      </c>
      <c r="BB10" s="7" t="n">
        <f aca="false">BA10+N26</f>
        <v>-60010506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Senegal</v>
      </c>
      <c r="D11" s="47" t="n">
        <f aca="false">IFERROR(VLOOKUP($B11,$AN$7:$AS$11,D$5,0),"")</f>
        <v>1</v>
      </c>
      <c r="E11" s="47" t="n">
        <f aca="false">IFERROR(VLOOKUP($B11,$AN$7:$AS$11,E$5,0),"")</f>
        <v>3</v>
      </c>
      <c r="F11" s="47" t="n">
        <f aca="false">IFERROR(VLOOKUP($B11,$AN$7:$AS$11,F$5,0),"")</f>
        <v>6</v>
      </c>
      <c r="G11" s="48" t="n">
        <f aca="false">IFERROR(VLOOKUP($B11,$AN$7:$AS$11,G$5,0),"")</f>
        <v>-3</v>
      </c>
      <c r="I11" s="38" t="n">
        <f aca="false">I9+16</f>
        <v>33</v>
      </c>
      <c r="J11" s="39" t="n">
        <v>44894</v>
      </c>
      <c r="K11" s="40" t="s">
        <v>25</v>
      </c>
      <c r="L11" s="32" t="n">
        <v>2</v>
      </c>
      <c r="M11" s="33" t="n">
        <v>1</v>
      </c>
      <c r="N11" s="38" t="s">
        <v>22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1" t="str">
        <f aca="false">CONCATENATE(K11,"_",N11)</f>
        <v>Ecuador_Senegal</v>
      </c>
      <c r="AJ11" s="7" t="n">
        <f aca="false">IF(L11&gt;M11,3,IF(L11&lt;M11,0,1))</f>
        <v>3</v>
      </c>
      <c r="AK11" s="7" t="n">
        <f aca="false">IF(AJ11=3,0,IF(AJ11=1,1,3))</f>
        <v>0</v>
      </c>
      <c r="AL11" s="7" t="str">
        <f aca="false">IF(AJ11&gt;AK11,K11,IF(AK11&gt;AJ11,N11,"SIN GANADOR"))</f>
        <v>Ecuador</v>
      </c>
    </row>
    <row r="12" customFormat="false" ht="15.75" hidden="false" customHeight="false" outlineLevel="0" collapsed="false">
      <c r="I12" s="49" t="n">
        <f aca="false">I10+16</f>
        <v>34</v>
      </c>
      <c r="J12" s="50" t="n">
        <v>44894</v>
      </c>
      <c r="K12" s="51" t="s">
        <v>23</v>
      </c>
      <c r="L12" s="52" t="n">
        <v>3</v>
      </c>
      <c r="M12" s="53" t="n">
        <v>1</v>
      </c>
      <c r="N12" s="49" t="s">
        <v>24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1" t="str">
        <f aca="false">CONCATENATE(K12,"_",N12)</f>
        <v>Holanda_Qatar</v>
      </c>
      <c r="AJ12" s="7" t="n">
        <f aca="false">IF(L12&gt;M12,3,IF(L12&lt;M12,0,1))</f>
        <v>3</v>
      </c>
      <c r="AK12" s="7" t="n">
        <f aca="false">IF(AJ12=3,0,IF(AJ12=1,1,3))</f>
        <v>0</v>
      </c>
      <c r="AL12" s="7" t="str">
        <f aca="false">IF(AJ12&gt;AK12,K12,IF(AK12&gt;AJ12,N12,"SIN GANADOR"))</f>
        <v>Holanda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24</v>
      </c>
      <c r="K23" s="60"/>
      <c r="L23" s="60"/>
      <c r="M23" s="61" t="n">
        <v>1</v>
      </c>
      <c r="N23" s="62" t="n">
        <f aca="false">IF(J23="",0,M23)</f>
        <v>1</v>
      </c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3" t="s">
        <v>23</v>
      </c>
      <c r="K24" s="63"/>
      <c r="L24" s="63"/>
      <c r="M24" s="64" t="n">
        <v>2</v>
      </c>
      <c r="N24" s="62" t="n">
        <f aca="false">IF(J24="",0,M24)</f>
        <v>2</v>
      </c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3" t="s">
        <v>22</v>
      </c>
      <c r="K25" s="63"/>
      <c r="L25" s="63"/>
      <c r="M25" s="64" t="n">
        <v>3</v>
      </c>
      <c r="N25" s="62" t="n">
        <f aca="false">IF(J25="",0,M25)</f>
        <v>3</v>
      </c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5" t="s">
        <v>25</v>
      </c>
      <c r="K26" s="65"/>
      <c r="L26" s="65"/>
      <c r="M26" s="66" t="n">
        <v>4</v>
      </c>
      <c r="N26" s="62" t="n">
        <f aca="false">IF(J26="",0,M26)</f>
        <v>4</v>
      </c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62" t="n">
        <f aca="false">IF(J27="",0,M27)</f>
        <v>0</v>
      </c>
    </row>
    <row r="28" customFormat="false" ht="15.75" hidden="false" customHeight="false" outlineLevel="0" collapsed="false">
      <c r="B28" s="67"/>
      <c r="C28" s="68"/>
      <c r="D28" s="68"/>
      <c r="E28" s="68"/>
      <c r="F28" s="68"/>
      <c r="G28" s="68"/>
      <c r="H28" s="69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0">
      <formula>J23=""</formula>
    </cfRule>
  </conditionalFormatting>
  <conditionalFormatting sqref="M24:M26">
    <cfRule type="expression" priority="3" aboveAverage="0" equalAverage="0" bottom="0" percent="0" rank="0" text="" dxfId="1">
      <formula>J24=""</formula>
    </cfRule>
  </conditionalFormatting>
  <conditionalFormatting sqref="M25">
    <cfRule type="expression" priority="4" aboveAverage="0" equalAverage="0" bottom="0" percent="0" rank="0" text="" dxfId="2">
      <formula>J25=""</formula>
    </cfRule>
  </conditionalFormatting>
  <conditionalFormatting sqref="B22:H28 J22:M26">
    <cfRule type="expression" priority="5" aboveAverage="0" equalAverage="0" bottom="0" percent="0" rank="0" text="" dxfId="3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">
      <formula>K23=""</formula>
    </cfRule>
  </conditionalFormatting>
  <conditionalFormatting sqref="N24:AH26">
    <cfRule type="expression" priority="7" aboveAverage="0" equalAverage="0" bottom="0" percent="0" rank="0" text="" dxfId="5">
      <formula>K24=""</formula>
    </cfRule>
  </conditionalFormatting>
  <conditionalFormatting sqref="N25:AH25">
    <cfRule type="expression" priority="8" aboveAverage="0" equalAverage="0" bottom="0" percent="0" rank="0" text="" dxfId="6">
      <formula>K25=""</formula>
    </cfRule>
  </conditionalFormatting>
  <conditionalFormatting sqref="N27:AH27">
    <cfRule type="expression" priority="9" aboveAverage="0" equalAverage="0" bottom="0" percent="0" rank="0" text="" dxfId="7">
      <formula>K27=""</formula>
    </cfRule>
  </conditionalFormatting>
  <conditionalFormatting sqref="N23:AH27">
    <cfRule type="expression" priority="10" aboveAverage="0" equalAverage="0" bottom="0" percent="0" rank="0" text="" dxfId="8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11.4296875" defaultRowHeight="15" zeroHeight="false" outlineLevelRow="0" outlineLevelCol="0"/>
  <cols>
    <col collapsed="false" customWidth="true" hidden="false" outlineLevel="0" max="14" min="1" style="0" width="10.53"/>
    <col collapsed="false" customWidth="false" hidden="false" outlineLevel="0" max="34" min="15" style="70" width="11.43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4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33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3</v>
      </c>
      <c r="J7" s="21" t="n">
        <v>44886</v>
      </c>
      <c r="K7" s="22" t="s">
        <v>34</v>
      </c>
      <c r="L7" s="23" t="n">
        <v>3</v>
      </c>
      <c r="M7" s="24" t="n">
        <v>0</v>
      </c>
      <c r="N7" s="20" t="s">
        <v>35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11" t="str">
        <f aca="false">CONCATENATE(K7,"_",N7)</f>
        <v>Inglaterra_Iran</v>
      </c>
      <c r="AJ7" s="7" t="n">
        <f aca="false">IF(L7&gt;M7,3,IF(L7&lt;M7,0,1))</f>
        <v>3</v>
      </c>
      <c r="AK7" s="7" t="n">
        <f aca="false">IF(AJ7=3,0,IF(AJ7=1,1,3))</f>
        <v>0</v>
      </c>
      <c r="AL7" s="7" t="str">
        <f aca="false">IF(AJ7&gt;AK7,K7,IF(AK7&gt;AJ7,N7,"SIN GANADOR"))</f>
        <v>Inglaterra</v>
      </c>
      <c r="AN7" s="7" t="n">
        <f aca="false">_xlfn.RANK.EQ(BB7,BB$7:BB$11,1)</f>
        <v>1</v>
      </c>
      <c r="AO7" s="7" t="s">
        <v>34</v>
      </c>
      <c r="AP7" s="7" t="n">
        <f aca="false">SUMIF($K$7:$K$12,AO7,$AJ$7:$AJ$12) + SUMIF($N$7:$N$12,AO7,$AK$7:$AK$12)</f>
        <v>9</v>
      </c>
      <c r="AQ7" s="7" t="n">
        <f aca="false">AR7-AS7</f>
        <v>7</v>
      </c>
      <c r="AR7" s="7" t="n">
        <f aca="false">SUMIF($K$7:$K$12,AO7,$L$7:$L$12) + SUMIF($N$7:$N$12,AO7,$M$7:$M$12)</f>
        <v>8</v>
      </c>
      <c r="AS7" s="7" t="n">
        <f aca="false">SUMIF($K$7:$K$12,AO7,$M$7:$M$12) + SUMIF($N$7:$N$12,AO7,$L$7:$L$12)</f>
        <v>1</v>
      </c>
      <c r="AV7" s="7" t="str">
        <f aca="false">AO7</f>
        <v>Inglaterra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-90070800</v>
      </c>
      <c r="BA7" s="7" t="n">
        <f aca="false">AZ7-AY7*10</f>
        <v>-90070810</v>
      </c>
      <c r="BB7" s="7" t="n">
        <f aca="false">BA7+N23</f>
        <v>-90070809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Inglaterra</v>
      </c>
      <c r="D8" s="27" t="n">
        <f aca="false">IFERROR(VLOOKUP($B8,$AN$7:$AS$11,D$5,0),"")</f>
        <v>9</v>
      </c>
      <c r="E8" s="27" t="n">
        <f aca="false">IFERROR(VLOOKUP($B8,$AN$7:$AS$11,E$5,0),"")</f>
        <v>8</v>
      </c>
      <c r="F8" s="27" t="n">
        <f aca="false">IFERROR(VLOOKUP($B8,$AN$7:$AS$11,F$5,0),"")</f>
        <v>1</v>
      </c>
      <c r="G8" s="28" t="n">
        <f aca="false">IFERROR(VLOOKUP($B8,$AN$7:$AS$11,G$5,0),"")</f>
        <v>7</v>
      </c>
      <c r="I8" s="29" t="n">
        <v>4</v>
      </c>
      <c r="J8" s="30" t="n">
        <v>44886</v>
      </c>
      <c r="K8" s="31" t="s">
        <v>36</v>
      </c>
      <c r="L8" s="32" t="n">
        <v>2</v>
      </c>
      <c r="M8" s="33" t="n">
        <v>1</v>
      </c>
      <c r="N8" s="29" t="s">
        <v>37</v>
      </c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11" t="str">
        <f aca="false">CONCATENATE(K8,"_",N8)</f>
        <v>USA_Gales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USA</v>
      </c>
      <c r="AN8" s="7" t="n">
        <f aca="false">_xlfn.RANK.EQ(BB8,BB$7:BB$11,1)</f>
        <v>2</v>
      </c>
      <c r="AO8" s="7" t="s">
        <v>36</v>
      </c>
      <c r="AP8" s="7" t="n">
        <f aca="false">SUMIF($K$7:$K$12,AO8,$AJ$7:$AJ$12) + SUMIF($N$7:$N$12,AO8,$AK$7:$AK$12)</f>
        <v>6</v>
      </c>
      <c r="AQ8" s="7" t="n">
        <f aca="false">AR8-AS8</f>
        <v>1</v>
      </c>
      <c r="AR8" s="7" t="n">
        <f aca="false">SUMIF($K$7:$K$12,AO8,$L$7:$L$12) + SUMIF($N$7:$N$12,AO8,$M$7:$M$12)</f>
        <v>5</v>
      </c>
      <c r="AS8" s="7" t="n">
        <f aca="false">SUMIF($K$7:$K$12,AO8,$M$7:$M$12) + SUMIF($N$7:$N$12,AO8,$L$7:$L$12)</f>
        <v>4</v>
      </c>
      <c r="AV8" s="7" t="str">
        <f aca="false">AO8</f>
        <v>USA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-60010500</v>
      </c>
      <c r="BA8" s="7" t="n">
        <f aca="false">AZ8-AY8*10</f>
        <v>-60010510</v>
      </c>
      <c r="BB8" s="7" t="n">
        <f aca="false">BA8+N24</f>
        <v>-60010508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USA</v>
      </c>
      <c r="D9" s="36" t="n">
        <f aca="false">IFERROR(VLOOKUP($B9,$AN$7:$AS$11,D$5,0),"")</f>
        <v>6</v>
      </c>
      <c r="E9" s="36" t="n">
        <f aca="false">IFERROR(VLOOKUP($B9,$AN$7:$AS$11,E$5,0),"")</f>
        <v>5</v>
      </c>
      <c r="F9" s="36" t="n">
        <f aca="false">IFERROR(VLOOKUP($B9,$AN$7:$AS$11,F$5,0),"")</f>
        <v>4</v>
      </c>
      <c r="G9" s="37" t="n">
        <f aca="false">IFERROR(VLOOKUP($B9,$AN$7:$AS$11,G$5,0),"")</f>
        <v>1</v>
      </c>
      <c r="I9" s="38" t="n">
        <f aca="false">I7+16</f>
        <v>19</v>
      </c>
      <c r="J9" s="39" t="n">
        <v>44890</v>
      </c>
      <c r="K9" s="40" t="s">
        <v>37</v>
      </c>
      <c r="L9" s="32" t="n">
        <v>2</v>
      </c>
      <c r="M9" s="33" t="n">
        <v>1</v>
      </c>
      <c r="N9" s="38" t="s">
        <v>35</v>
      </c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11" t="str">
        <f aca="false">CONCATENATE(K9,"_",N9)</f>
        <v>Gales_Iran</v>
      </c>
      <c r="AJ9" s="7" t="n">
        <f aca="false">IF(L9&gt;M9,3,IF(L9&lt;M9,0,1))</f>
        <v>3</v>
      </c>
      <c r="AK9" s="7" t="n">
        <f aca="false">IF(AJ9=3,0,IF(AJ9=1,1,3))</f>
        <v>0</v>
      </c>
      <c r="AL9" s="7" t="str">
        <f aca="false">IF(AJ9&gt;AK9,K9,IF(AK9&gt;AJ9,N9,"SIN GANADOR"))</f>
        <v>Gales</v>
      </c>
      <c r="AN9" s="7" t="n">
        <f aca="false">_xlfn.RANK.EQ(BB9,BB$7:BB$11,1)</f>
        <v>4</v>
      </c>
      <c r="AO9" s="7" t="s">
        <v>35</v>
      </c>
      <c r="AP9" s="7" t="n">
        <f aca="false">SUMIF($K$7:$K$12,AO9,$AJ$7:$AJ$12) + SUMIF($N$7:$N$12,AO9,$AK$7:$AK$12)</f>
        <v>0</v>
      </c>
      <c r="AQ9" s="7" t="n">
        <f aca="false">AR9-AS9</f>
        <v>-6</v>
      </c>
      <c r="AR9" s="7" t="n">
        <f aca="false">SUMIF($K$7:$K$12,AO9,$L$7:$L$12) + SUMIF($N$7:$N$12,AO9,$M$7:$M$12)</f>
        <v>1</v>
      </c>
      <c r="AS9" s="7" t="n">
        <f aca="false">SUMIF($K$7:$K$12,AO9,$M$7:$M$12) + SUMIF($N$7:$N$12,AO9,$L$7:$L$12)</f>
        <v>7</v>
      </c>
      <c r="AV9" s="7" t="str">
        <f aca="false">AO9</f>
        <v>Iran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59900</v>
      </c>
      <c r="BA9" s="7" t="n">
        <f aca="false">AZ9-AY9*10</f>
        <v>59890</v>
      </c>
      <c r="BB9" s="7" t="n">
        <f aca="false">BA9+N25</f>
        <v>59893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Gales</v>
      </c>
      <c r="D10" s="43" t="n">
        <f aca="false">IFERROR(VLOOKUP($B10,$AN$7:$AS$11,D$5,0),"")</f>
        <v>3</v>
      </c>
      <c r="E10" s="43" t="n">
        <f aca="false">IFERROR(VLOOKUP($B10,$AN$7:$AS$11,E$5,0),"")</f>
        <v>3</v>
      </c>
      <c r="F10" s="43" t="n">
        <f aca="false">IFERROR(VLOOKUP($B10,$AN$7:$AS$11,F$5,0),"")</f>
        <v>5</v>
      </c>
      <c r="G10" s="44" t="n">
        <f aca="false">IFERROR(VLOOKUP($B10,$AN$7:$AS$11,G$5,0),"")</f>
        <v>-2</v>
      </c>
      <c r="I10" s="29" t="n">
        <f aca="false">I8+16</f>
        <v>20</v>
      </c>
      <c r="J10" s="30" t="n">
        <v>44890</v>
      </c>
      <c r="K10" s="31" t="s">
        <v>34</v>
      </c>
      <c r="L10" s="32" t="n">
        <v>3</v>
      </c>
      <c r="M10" s="33" t="n">
        <v>1</v>
      </c>
      <c r="N10" s="29" t="s">
        <v>36</v>
      </c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11" t="str">
        <f aca="false">CONCATENATE(K10,"_",N10)</f>
        <v>Inglaterra_USA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Inglaterra</v>
      </c>
      <c r="AN10" s="7" t="n">
        <f aca="false">_xlfn.RANK.EQ(BB10,BB$7:BB$11,1)</f>
        <v>3</v>
      </c>
      <c r="AO10" s="7" t="s">
        <v>37</v>
      </c>
      <c r="AP10" s="7" t="n">
        <f aca="false">SUMIF($K$7:$K$12,AO10,$AJ$7:$AJ$12) + SUMIF($N$7:$N$12,AO10,$AK$7:$AK$12)</f>
        <v>3</v>
      </c>
      <c r="AQ10" s="7" t="n">
        <f aca="false">AR10-AS10</f>
        <v>-2</v>
      </c>
      <c r="AR10" s="7" t="n">
        <f aca="false">SUMIF($K$7:$K$12,AO10,$L$7:$L$12) + SUMIF($N$7:$N$12,AO10,$M$7:$M$12)</f>
        <v>3</v>
      </c>
      <c r="AS10" s="7" t="n">
        <f aca="false">SUMIF($K$7:$K$12,AO10,$M$7:$M$12) + SUMIF($N$7:$N$12,AO10,$L$7:$L$12)</f>
        <v>5</v>
      </c>
      <c r="AV10" s="7" t="str">
        <f aca="false">AO10</f>
        <v>Gales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-29980300</v>
      </c>
      <c r="BA10" s="7" t="n">
        <f aca="false">AZ10-AY10*10</f>
        <v>-29980310</v>
      </c>
      <c r="BB10" s="7" t="n">
        <f aca="false">BA10+N26</f>
        <v>-29980306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Iran</v>
      </c>
      <c r="D11" s="47" t="n">
        <f aca="false">IFERROR(VLOOKUP($B11,$AN$7:$AS$11,D$5,0),"")</f>
        <v>0</v>
      </c>
      <c r="E11" s="47" t="n">
        <f aca="false">IFERROR(VLOOKUP($B11,$AN$7:$AS$11,E$5,0),"")</f>
        <v>1</v>
      </c>
      <c r="F11" s="47" t="n">
        <f aca="false">IFERROR(VLOOKUP($B11,$AN$7:$AS$11,F$5,0),"")</f>
        <v>7</v>
      </c>
      <c r="G11" s="48" t="n">
        <f aca="false">IFERROR(VLOOKUP($B11,$AN$7:$AS$11,G$5,0),"")</f>
        <v>-6</v>
      </c>
      <c r="I11" s="38" t="n">
        <f aca="false">I9+16</f>
        <v>35</v>
      </c>
      <c r="J11" s="39" t="n">
        <v>44894</v>
      </c>
      <c r="K11" s="40" t="s">
        <v>37</v>
      </c>
      <c r="L11" s="32" t="n">
        <v>0</v>
      </c>
      <c r="M11" s="33" t="n">
        <v>2</v>
      </c>
      <c r="N11" s="38" t="s">
        <v>34</v>
      </c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11" t="str">
        <f aca="false">CONCATENATE(K11,"_",N11)</f>
        <v>Gales_Inglaterra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Inglaterra</v>
      </c>
    </row>
    <row r="12" customFormat="false" ht="15.75" hidden="false" customHeight="false" outlineLevel="0" collapsed="false">
      <c r="I12" s="49" t="n">
        <f aca="false">I10+16</f>
        <v>36</v>
      </c>
      <c r="J12" s="50" t="n">
        <v>44894</v>
      </c>
      <c r="K12" s="51" t="s">
        <v>35</v>
      </c>
      <c r="L12" s="52" t="n">
        <v>0</v>
      </c>
      <c r="M12" s="53" t="n">
        <v>2</v>
      </c>
      <c r="N12" s="49" t="s">
        <v>36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11" t="str">
        <f aca="false">CONCATENATE(K12,"_",N12)</f>
        <v>Iran_USA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USA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34</v>
      </c>
      <c r="K23" s="60"/>
      <c r="L23" s="60"/>
      <c r="M23" s="61" t="n">
        <v>1</v>
      </c>
      <c r="N23" s="62" t="n">
        <f aca="false">IF(J23="",0,M23)</f>
        <v>1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3" t="s">
        <v>36</v>
      </c>
      <c r="K24" s="63"/>
      <c r="L24" s="63"/>
      <c r="M24" s="64" t="n">
        <v>2</v>
      </c>
      <c r="N24" s="62" t="n">
        <f aca="false">IF(J24="",0,M24)</f>
        <v>2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3" t="s">
        <v>35</v>
      </c>
      <c r="K25" s="63"/>
      <c r="L25" s="63"/>
      <c r="M25" s="64" t="n">
        <v>3</v>
      </c>
      <c r="N25" s="62" t="n">
        <f aca="false">IF(J25="",0,M25)</f>
        <v>3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5" t="s">
        <v>37</v>
      </c>
      <c r="K26" s="65"/>
      <c r="L26" s="65"/>
      <c r="M26" s="66" t="n">
        <v>4</v>
      </c>
      <c r="N26" s="62" t="n">
        <f aca="false">IF(J26="",0,M26)</f>
        <v>4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62" t="n">
        <f aca="false">IF(J27="",0,M27)</f>
        <v>0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customFormat="false" ht="15.75" hidden="false" customHeight="false" outlineLevel="0" collapsed="false">
      <c r="B28" s="67"/>
      <c r="C28" s="68"/>
      <c r="D28" s="68"/>
      <c r="E28" s="68"/>
      <c r="F28" s="68"/>
      <c r="G28" s="68"/>
      <c r="H28" s="69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9">
      <formula>J23=""</formula>
    </cfRule>
  </conditionalFormatting>
  <conditionalFormatting sqref="M24:M26">
    <cfRule type="expression" priority="3" aboveAverage="0" equalAverage="0" bottom="0" percent="0" rank="0" text="" dxfId="10">
      <formula>J24=""</formula>
    </cfRule>
  </conditionalFormatting>
  <conditionalFormatting sqref="M25">
    <cfRule type="expression" priority="4" aboveAverage="0" equalAverage="0" bottom="0" percent="0" rank="0" text="" dxfId="11">
      <formula>J25=""</formula>
    </cfRule>
  </conditionalFormatting>
  <conditionalFormatting sqref="B22:H28 J22:M26">
    <cfRule type="expression" priority="5" aboveAverage="0" equalAverage="0" bottom="0" percent="0" rank="0" text="" dxfId="12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13">
      <formula>K23=""</formula>
    </cfRule>
  </conditionalFormatting>
  <conditionalFormatting sqref="N24:AH26">
    <cfRule type="expression" priority="7" aboveAverage="0" equalAverage="0" bottom="0" percent="0" rank="0" text="" dxfId="14">
      <formula>K24=""</formula>
    </cfRule>
  </conditionalFormatting>
  <conditionalFormatting sqref="N25:AH25">
    <cfRule type="expression" priority="8" aboveAverage="0" equalAverage="0" bottom="0" percent="0" rank="0" text="" dxfId="15">
      <formula>K25=""</formula>
    </cfRule>
  </conditionalFormatting>
  <conditionalFormatting sqref="N27:AH27">
    <cfRule type="expression" priority="9" aboveAverage="0" equalAverage="0" bottom="0" percent="0" rank="0" text="" dxfId="16">
      <formula>K27=""</formula>
    </cfRule>
  </conditionalFormatting>
  <conditionalFormatting sqref="N23:AH27">
    <cfRule type="expression" priority="10" aboveAverage="0" equalAverage="0" bottom="0" percent="0" rank="0" text="" dxfId="17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70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4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38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5</v>
      </c>
      <c r="J7" s="21" t="n">
        <v>44887</v>
      </c>
      <c r="K7" s="22" t="s">
        <v>39</v>
      </c>
      <c r="L7" s="23" t="n">
        <v>1</v>
      </c>
      <c r="M7" s="24" t="n">
        <v>1</v>
      </c>
      <c r="N7" s="20" t="s">
        <v>40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11" t="str">
        <f aca="false">CONCATENATE(K7,"_",N7)</f>
        <v>Mexico_Polonia</v>
      </c>
      <c r="AJ7" s="7" t="n">
        <f aca="false">IF(L7&gt;M7,3,IF(L7&lt;M7,0,1))</f>
        <v>1</v>
      </c>
      <c r="AK7" s="7" t="n">
        <f aca="false">IF(AJ7=3,0,IF(AJ7=1,1,3))</f>
        <v>1</v>
      </c>
      <c r="AL7" s="7" t="str">
        <f aca="false">IF(AJ7&gt;AK7,K7,IF(AK7&gt;AJ7,N7,"SIN GANADOR"))</f>
        <v>SIN GANADOR</v>
      </c>
      <c r="AN7" s="7" t="n">
        <f aca="false">_xlfn.RANK.EQ(BB7,BB$7:BB$11,1)</f>
        <v>1</v>
      </c>
      <c r="AO7" s="7" t="s">
        <v>41</v>
      </c>
      <c r="AP7" s="7" t="n">
        <f aca="false">SUMIF($K$7:$K$12,AO7,$AJ$7:$AJ$12) + SUMIF($N$7:$N$12,AO7,$AK$7:$AK$12)</f>
        <v>9</v>
      </c>
      <c r="AQ7" s="7" t="n">
        <f aca="false">AR7-AS7</f>
        <v>5</v>
      </c>
      <c r="AR7" s="7" t="n">
        <f aca="false">SUMIF($K$7:$K$12,AO7,$L$7:$L$12) + SUMIF($N$7:$N$12,AO7,$M$7:$M$12)</f>
        <v>8</v>
      </c>
      <c r="AS7" s="7" t="n">
        <f aca="false">SUMIF($K$7:$K$12,AO7,$M$7:$M$12) + SUMIF($N$7:$N$12,AO7,$L$7:$L$12)</f>
        <v>3</v>
      </c>
      <c r="AV7" s="7" t="str">
        <f aca="false">AO7</f>
        <v>Argentina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-90050800</v>
      </c>
      <c r="BA7" s="7" t="n">
        <f aca="false">AZ7-AY7*10</f>
        <v>-90050810</v>
      </c>
      <c r="BB7" s="7" t="n">
        <f aca="false">BA7+N23</f>
        <v>-90050809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Argentina</v>
      </c>
      <c r="D8" s="27" t="n">
        <f aca="false">IFERROR(VLOOKUP($B8,$AN$7:$AS$11,D$5,0),"")</f>
        <v>9</v>
      </c>
      <c r="E8" s="27" t="n">
        <f aca="false">IFERROR(VLOOKUP($B8,$AN$7:$AS$11,E$5,0),"")</f>
        <v>8</v>
      </c>
      <c r="F8" s="27" t="n">
        <f aca="false">IFERROR(VLOOKUP($B8,$AN$7:$AS$11,F$5,0),"")</f>
        <v>3</v>
      </c>
      <c r="G8" s="28" t="n">
        <f aca="false">IFERROR(VLOOKUP($B8,$AN$7:$AS$11,G$5,0),"")</f>
        <v>5</v>
      </c>
      <c r="I8" s="29" t="n">
        <v>6</v>
      </c>
      <c r="J8" s="30" t="n">
        <v>44887</v>
      </c>
      <c r="K8" s="31" t="s">
        <v>41</v>
      </c>
      <c r="L8" s="32" t="n">
        <v>3</v>
      </c>
      <c r="M8" s="33" t="n">
        <v>1</v>
      </c>
      <c r="N8" s="29" t="s">
        <v>42</v>
      </c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11" t="str">
        <f aca="false">CONCATENATE(K8,"_",N8)</f>
        <v>Argentina_Arabia Saudita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Argentina</v>
      </c>
      <c r="AN8" s="7" t="n">
        <f aca="false">_xlfn.RANK.EQ(BB8,BB$7:BB$11,1)</f>
        <v>2</v>
      </c>
      <c r="AO8" s="7" t="s">
        <v>39</v>
      </c>
      <c r="AP8" s="7" t="n">
        <f aca="false">SUMIF($K$7:$K$12,AO8,$AJ$7:$AJ$12) + SUMIF($N$7:$N$12,AO8,$AK$7:$AK$12)</f>
        <v>4</v>
      </c>
      <c r="AQ8" s="7" t="n">
        <f aca="false">AR8-AS8</f>
        <v>0</v>
      </c>
      <c r="AR8" s="7" t="n">
        <f aca="false">SUMIF($K$7:$K$12,AO8,$L$7:$L$12) + SUMIF($N$7:$N$12,AO8,$M$7:$M$12)</f>
        <v>4</v>
      </c>
      <c r="AS8" s="7" t="n">
        <f aca="false">SUMIF($K$7:$K$12,AO8,$M$7:$M$12) + SUMIF($N$7:$N$12,AO8,$L$7:$L$12)</f>
        <v>4</v>
      </c>
      <c r="AV8" s="7" t="str">
        <f aca="false">AO8</f>
        <v>Mexico</v>
      </c>
      <c r="AW8" s="7" t="str">
        <f aca="false">IF(AZ8=AZ9,AV9,IF(AZ8=AZ10,AV10,IF(AZ8=AZ7,AV7,"")))</f>
        <v>Polonia</v>
      </c>
      <c r="AX8" s="7" t="str">
        <f aca="false">IF(AW8="","",IFERROR(VLOOKUP(CONCATENATE(AV8,"_",AW8),$AI$7:$AL$16,4,0),VLOOKUP(CONCATENATE(AW8,"_",AV8),$AI$7:$AL$16,4,0)))</f>
        <v>SIN GANADOR</v>
      </c>
      <c r="AY8" s="7" t="n">
        <f aca="false">IF(AX8="",1,IF(AX8=AV8,1,0))</f>
        <v>0</v>
      </c>
      <c r="AZ8" s="7" t="n">
        <f aca="false">-AP8*10000000 - AQ8*10000 - AR8*100</f>
        <v>-40000400</v>
      </c>
      <c r="BA8" s="7" t="n">
        <f aca="false">AZ8-AY8*10</f>
        <v>-40000400</v>
      </c>
      <c r="BB8" s="7" t="n">
        <f aca="false">BA8+N24</f>
        <v>-40000398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Mexico</v>
      </c>
      <c r="D9" s="36" t="n">
        <f aca="false">IFERROR(VLOOKUP($B9,$AN$7:$AS$11,D$5,0),"")</f>
        <v>4</v>
      </c>
      <c r="E9" s="36" t="n">
        <f aca="false">IFERROR(VLOOKUP($B9,$AN$7:$AS$11,E$5,0),"")</f>
        <v>4</v>
      </c>
      <c r="F9" s="36" t="n">
        <f aca="false">IFERROR(VLOOKUP($B9,$AN$7:$AS$11,F$5,0),"")</f>
        <v>4</v>
      </c>
      <c r="G9" s="37" t="n">
        <f aca="false">IFERROR(VLOOKUP($B9,$AN$7:$AS$11,G$5,0),"")</f>
        <v>0</v>
      </c>
      <c r="I9" s="38" t="n">
        <f aca="false">I7+16</f>
        <v>21</v>
      </c>
      <c r="J9" s="39" t="n">
        <v>44891</v>
      </c>
      <c r="K9" s="40" t="s">
        <v>40</v>
      </c>
      <c r="L9" s="32" t="n">
        <v>2</v>
      </c>
      <c r="M9" s="33" t="n">
        <v>1</v>
      </c>
      <c r="N9" s="38" t="s">
        <v>42</v>
      </c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11" t="str">
        <f aca="false">CONCATENATE(K9,"_",N9)</f>
        <v>Polonia_Arabia Saudita</v>
      </c>
      <c r="AJ9" s="7" t="n">
        <f aca="false">IF(L9&gt;M9,3,IF(L9&lt;M9,0,1))</f>
        <v>3</v>
      </c>
      <c r="AK9" s="7" t="n">
        <f aca="false">IF(AJ9=3,0,IF(AJ9=1,1,3))</f>
        <v>0</v>
      </c>
      <c r="AL9" s="7" t="str">
        <f aca="false">IF(AJ9&gt;AK9,K9,IF(AK9&gt;AJ9,N9,"SIN GANADOR"))</f>
        <v>Polonia</v>
      </c>
      <c r="AN9" s="7" t="n">
        <f aca="false">_xlfn.RANK.EQ(BB9,BB$7:BB$11,1)</f>
        <v>3</v>
      </c>
      <c r="AO9" s="7" t="s">
        <v>40</v>
      </c>
      <c r="AP9" s="7" t="n">
        <f aca="false">SUMIF($K$7:$K$12,AO9,$AJ$7:$AJ$12) + SUMIF($N$7:$N$12,AO9,$AK$7:$AK$12)</f>
        <v>4</v>
      </c>
      <c r="AQ9" s="7" t="n">
        <f aca="false">AR9-AS9</f>
        <v>0</v>
      </c>
      <c r="AR9" s="7" t="n">
        <f aca="false">SUMIF($K$7:$K$12,AO9,$L$7:$L$12) + SUMIF($N$7:$N$12,AO9,$M$7:$M$12)</f>
        <v>4</v>
      </c>
      <c r="AS9" s="7" t="n">
        <f aca="false">SUMIF($K$7:$K$12,AO9,$M$7:$M$12) + SUMIF($N$7:$N$12,AO9,$L$7:$L$12)</f>
        <v>4</v>
      </c>
      <c r="AV9" s="7" t="str">
        <f aca="false">AO9</f>
        <v>Polonia</v>
      </c>
      <c r="AW9" s="7" t="str">
        <f aca="false">IF(AZ9=AZ10,AV10,IF(AZ9=AZ7,AV7,IF(AZ9=AZ8,AV8,"")))</f>
        <v>Mexico</v>
      </c>
      <c r="AX9" s="7" t="str">
        <f aca="false">IF(AW9="","",IFERROR(VLOOKUP(CONCATENATE(AV9,"_",AW9),$AI$7:$AL$16,4,0),VLOOKUP(CONCATENATE(AW9,"_",AV9),$AI$7:$AL$16,4,0)))</f>
        <v>SIN GANADOR</v>
      </c>
      <c r="AY9" s="7" t="n">
        <f aca="false">IF(AX9="",1,IF(AX9=AV9,1,0))</f>
        <v>0</v>
      </c>
      <c r="AZ9" s="7" t="n">
        <f aca="false">-AP9*10000000 - AQ9*10000 - AR9*100</f>
        <v>-40000400</v>
      </c>
      <c r="BA9" s="7" t="n">
        <f aca="false">AZ9-AY9*10</f>
        <v>-40000400</v>
      </c>
      <c r="BB9" s="7" t="n">
        <f aca="false">BA9+N25</f>
        <v>-40000397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Polonia</v>
      </c>
      <c r="D10" s="43" t="n">
        <f aca="false">IFERROR(VLOOKUP($B10,$AN$7:$AS$11,D$5,0),"")</f>
        <v>4</v>
      </c>
      <c r="E10" s="43" t="n">
        <f aca="false">IFERROR(VLOOKUP($B10,$AN$7:$AS$11,E$5,0),"")</f>
        <v>4</v>
      </c>
      <c r="F10" s="43" t="n">
        <f aca="false">IFERROR(VLOOKUP($B10,$AN$7:$AS$11,F$5,0),"")</f>
        <v>4</v>
      </c>
      <c r="G10" s="44" t="n">
        <f aca="false">IFERROR(VLOOKUP($B10,$AN$7:$AS$11,G$5,0),"")</f>
        <v>0</v>
      </c>
      <c r="I10" s="29" t="n">
        <f aca="false">I8+16</f>
        <v>22</v>
      </c>
      <c r="J10" s="30" t="n">
        <v>44891</v>
      </c>
      <c r="K10" s="31" t="s">
        <v>41</v>
      </c>
      <c r="L10" s="32" t="n">
        <v>3</v>
      </c>
      <c r="M10" s="33" t="n">
        <v>1</v>
      </c>
      <c r="N10" s="29" t="s">
        <v>39</v>
      </c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11" t="str">
        <f aca="false">CONCATENATE(K10,"_",N10)</f>
        <v>Argentina_Mexico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Argentina</v>
      </c>
      <c r="AN10" s="7" t="n">
        <f aca="false">_xlfn.RANK.EQ(BB10,BB$7:BB$11,1)</f>
        <v>4</v>
      </c>
      <c r="AO10" s="7" t="s">
        <v>42</v>
      </c>
      <c r="AP10" s="7" t="n">
        <f aca="false">SUMIF($K$7:$K$12,AO10,$AJ$7:$AJ$12) + SUMIF($N$7:$N$12,AO10,$AK$7:$AK$12)</f>
        <v>0</v>
      </c>
      <c r="AQ10" s="7" t="n">
        <f aca="false">AR10-AS10</f>
        <v>-5</v>
      </c>
      <c r="AR10" s="7" t="n">
        <f aca="false">SUMIF($K$7:$K$12,AO10,$L$7:$L$12) + SUMIF($N$7:$N$12,AO10,$M$7:$M$12)</f>
        <v>2</v>
      </c>
      <c r="AS10" s="7" t="n">
        <f aca="false">SUMIF($K$7:$K$12,AO10,$M$7:$M$12) + SUMIF($N$7:$N$12,AO10,$L$7:$L$12)</f>
        <v>7</v>
      </c>
      <c r="AV10" s="7" t="str">
        <f aca="false">AO10</f>
        <v>Arabia Saudita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49800</v>
      </c>
      <c r="BA10" s="7" t="n">
        <f aca="false">AZ10-AY10*10</f>
        <v>49790</v>
      </c>
      <c r="BB10" s="7" t="n">
        <f aca="false">BA10+N26</f>
        <v>49794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Arabia Saudita</v>
      </c>
      <c r="D11" s="47" t="n">
        <f aca="false">IFERROR(VLOOKUP($B11,$AN$7:$AS$11,D$5,0),"")</f>
        <v>0</v>
      </c>
      <c r="E11" s="47" t="n">
        <f aca="false">IFERROR(VLOOKUP($B11,$AN$7:$AS$11,E$5,0),"")</f>
        <v>2</v>
      </c>
      <c r="F11" s="47" t="n">
        <f aca="false">IFERROR(VLOOKUP($B11,$AN$7:$AS$11,F$5,0),"")</f>
        <v>7</v>
      </c>
      <c r="G11" s="48" t="n">
        <f aca="false">IFERROR(VLOOKUP($B11,$AN$7:$AS$11,G$5,0),"")</f>
        <v>-5</v>
      </c>
      <c r="I11" s="38" t="n">
        <f aca="false">I9+16</f>
        <v>37</v>
      </c>
      <c r="J11" s="39" t="n">
        <v>44895</v>
      </c>
      <c r="K11" s="40" t="s">
        <v>40</v>
      </c>
      <c r="L11" s="32" t="n">
        <v>1</v>
      </c>
      <c r="M11" s="33" t="n">
        <v>2</v>
      </c>
      <c r="N11" s="38" t="s">
        <v>41</v>
      </c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11" t="str">
        <f aca="false">CONCATENATE(K11,"_",N11)</f>
        <v>Polonia_Argentina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Argentina</v>
      </c>
    </row>
    <row r="12" customFormat="false" ht="15.75" hidden="false" customHeight="false" outlineLevel="0" collapsed="false">
      <c r="I12" s="49" t="n">
        <f aca="false">I10+16</f>
        <v>38</v>
      </c>
      <c r="J12" s="50" t="n">
        <v>44895</v>
      </c>
      <c r="K12" s="51" t="s">
        <v>42</v>
      </c>
      <c r="L12" s="52" t="n">
        <v>0</v>
      </c>
      <c r="M12" s="53" t="n">
        <v>2</v>
      </c>
      <c r="N12" s="49" t="s">
        <v>39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11" t="str">
        <f aca="false">CONCATENATE(K12,"_",N12)</f>
        <v>Arabia Saudita_Mexico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Mexico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41</v>
      </c>
      <c r="K23" s="60"/>
      <c r="L23" s="60"/>
      <c r="M23" s="61" t="n">
        <v>1</v>
      </c>
      <c r="N23" s="62" t="n">
        <f aca="false">IF(J23="",0,M23)</f>
        <v>1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3" t="s">
        <v>39</v>
      </c>
      <c r="K24" s="63"/>
      <c r="L24" s="63"/>
      <c r="M24" s="64" t="n">
        <v>2</v>
      </c>
      <c r="N24" s="62" t="n">
        <f aca="false">IF(J24="",0,M24)</f>
        <v>2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3" t="s">
        <v>40</v>
      </c>
      <c r="K25" s="63"/>
      <c r="L25" s="63"/>
      <c r="M25" s="64" t="n">
        <v>3</v>
      </c>
      <c r="N25" s="62" t="n">
        <f aca="false">IF(J25="",0,M25)</f>
        <v>3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5" t="s">
        <v>42</v>
      </c>
      <c r="K26" s="65"/>
      <c r="L26" s="65"/>
      <c r="M26" s="66" t="n">
        <v>4</v>
      </c>
      <c r="N26" s="62" t="n">
        <f aca="false">IF(J26="",0,M26)</f>
        <v>4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62" t="n">
        <f aca="false">IF(J27="",0,M27)</f>
        <v>0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customFormat="false" ht="15.75" hidden="false" customHeight="false" outlineLevel="0" collapsed="false">
      <c r="B28" s="67"/>
      <c r="C28" s="68"/>
      <c r="D28" s="68"/>
      <c r="E28" s="68"/>
      <c r="F28" s="68"/>
      <c r="G28" s="68"/>
      <c r="H28" s="69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18">
      <formula>J23=""</formula>
    </cfRule>
  </conditionalFormatting>
  <conditionalFormatting sqref="M24:M26">
    <cfRule type="expression" priority="3" aboveAverage="0" equalAverage="0" bottom="0" percent="0" rank="0" text="" dxfId="19">
      <formula>J24=""</formula>
    </cfRule>
  </conditionalFormatting>
  <conditionalFormatting sqref="M25">
    <cfRule type="expression" priority="4" aboveAverage="0" equalAverage="0" bottom="0" percent="0" rank="0" text="" dxfId="20">
      <formula>J25=""</formula>
    </cfRule>
  </conditionalFormatting>
  <conditionalFormatting sqref="B22:H28 J22:M26">
    <cfRule type="expression" priority="5" aboveAverage="0" equalAverage="0" bottom="0" percent="0" rank="0" text="" dxfId="21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22">
      <formula>K23=""</formula>
    </cfRule>
  </conditionalFormatting>
  <conditionalFormatting sqref="N24:AH26">
    <cfRule type="expression" priority="7" aboveAverage="0" equalAverage="0" bottom="0" percent="0" rank="0" text="" dxfId="23">
      <formula>K24=""</formula>
    </cfRule>
  </conditionalFormatting>
  <conditionalFormatting sqref="N25:AH25">
    <cfRule type="expression" priority="8" aboveAverage="0" equalAverage="0" bottom="0" percent="0" rank="0" text="" dxfId="24">
      <formula>K25=""</formula>
    </cfRule>
  </conditionalFormatting>
  <conditionalFormatting sqref="N27:AH27">
    <cfRule type="expression" priority="9" aboveAverage="0" equalAverage="0" bottom="0" percent="0" rank="0" text="" dxfId="25">
      <formula>K27=""</formula>
    </cfRule>
  </conditionalFormatting>
  <conditionalFormatting sqref="N23:AH27">
    <cfRule type="expression" priority="10" aboveAverage="0" equalAverage="0" bottom="0" percent="0" rank="0" text="" dxfId="26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70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4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43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7</v>
      </c>
      <c r="J7" s="21" t="n">
        <v>44887</v>
      </c>
      <c r="K7" s="22" t="s">
        <v>44</v>
      </c>
      <c r="L7" s="23" t="n">
        <v>1</v>
      </c>
      <c r="M7" s="24" t="n">
        <v>1</v>
      </c>
      <c r="N7" s="20" t="s">
        <v>45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11" t="str">
        <f aca="false">CONCATENATE(K7,"_",N7)</f>
        <v>Dinamarca_Tunez</v>
      </c>
      <c r="AJ7" s="7" t="n">
        <f aca="false">IF(L7&gt;M7,3,IF(L7&lt;M7,0,1))</f>
        <v>1</v>
      </c>
      <c r="AK7" s="7" t="n">
        <f aca="false">IF(AJ7=3,0,IF(AJ7=1,1,3))</f>
        <v>1</v>
      </c>
      <c r="AL7" s="7" t="str">
        <f aca="false">IF(AJ7&gt;AK7,K7,IF(AK7&gt;AJ7,N7,"SIN GANADOR"))</f>
        <v>SIN GANADOR</v>
      </c>
      <c r="AN7" s="7" t="n">
        <f aca="false">_xlfn.RANK.EQ(BB7,BB$7:BB$11,1)</f>
        <v>1</v>
      </c>
      <c r="AO7" s="7" t="s">
        <v>46</v>
      </c>
      <c r="AP7" s="7" t="n">
        <f aca="false">SUMIF($K$7:$K$12,AO7,$AJ$7:$AJ$12) + SUMIF($N$7:$N$12,AO7,$AK$7:$AK$12)</f>
        <v>9</v>
      </c>
      <c r="AQ7" s="7" t="n">
        <f aca="false">AR7-AS7</f>
        <v>7</v>
      </c>
      <c r="AR7" s="7" t="n">
        <f aca="false">SUMIF($K$7:$K$12,AO7,$L$7:$L$12) + SUMIF($N$7:$N$12,AO7,$M$7:$M$12)</f>
        <v>9</v>
      </c>
      <c r="AS7" s="7" t="n">
        <f aca="false">SUMIF($K$7:$K$12,AO7,$M$7:$M$12) + SUMIF($N$7:$N$12,AO7,$L$7:$L$12)</f>
        <v>2</v>
      </c>
      <c r="AV7" s="7" t="str">
        <f aca="false">AO7</f>
        <v>Francia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-90070900</v>
      </c>
      <c r="BA7" s="7" t="n">
        <f aca="false">AZ7-AY7*10</f>
        <v>-90070910</v>
      </c>
      <c r="BB7" s="7" t="n">
        <f aca="false">BA7+N23</f>
        <v>-90070909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Francia</v>
      </c>
      <c r="D8" s="27" t="n">
        <f aca="false">IFERROR(VLOOKUP($B8,$AN$7:$AS$11,D$5,0),"")</f>
        <v>9</v>
      </c>
      <c r="E8" s="27" t="n">
        <f aca="false">IFERROR(VLOOKUP($B8,$AN$7:$AS$11,E$5,0),"")</f>
        <v>9</v>
      </c>
      <c r="F8" s="27" t="n">
        <f aca="false">IFERROR(VLOOKUP($B8,$AN$7:$AS$11,F$5,0),"")</f>
        <v>2</v>
      </c>
      <c r="G8" s="28" t="n">
        <f aca="false">IFERROR(VLOOKUP($B8,$AN$7:$AS$11,G$5,0),"")</f>
        <v>7</v>
      </c>
      <c r="I8" s="29" t="n">
        <v>8</v>
      </c>
      <c r="J8" s="30" t="n">
        <v>44887</v>
      </c>
      <c r="K8" s="31" t="s">
        <v>46</v>
      </c>
      <c r="L8" s="32" t="n">
        <v>3</v>
      </c>
      <c r="M8" s="33" t="n">
        <v>0</v>
      </c>
      <c r="N8" s="29" t="s">
        <v>47</v>
      </c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11" t="str">
        <f aca="false">CONCATENATE(K8,"_",N8)</f>
        <v>Francia_Australia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Francia</v>
      </c>
      <c r="AN8" s="7" t="n">
        <f aca="false">_xlfn.RANK.EQ(BB8,BB$7:BB$11,1)</f>
        <v>3</v>
      </c>
      <c r="AO8" s="7" t="s">
        <v>44</v>
      </c>
      <c r="AP8" s="7" t="n">
        <f aca="false">SUMIF($K$7:$K$12,AO8,$AJ$7:$AJ$12) + SUMIF($N$7:$N$12,AO8,$AK$7:$AK$12)</f>
        <v>2</v>
      </c>
      <c r="AQ8" s="7" t="n">
        <f aca="false">AR8-AS8</f>
        <v>-2</v>
      </c>
      <c r="AR8" s="7" t="n">
        <f aca="false">SUMIF($K$7:$K$12,AO8,$L$7:$L$12) + SUMIF($N$7:$N$12,AO8,$M$7:$M$12)</f>
        <v>3</v>
      </c>
      <c r="AS8" s="7" t="n">
        <f aca="false">SUMIF($K$7:$K$12,AO8,$M$7:$M$12) + SUMIF($N$7:$N$12,AO8,$L$7:$L$12)</f>
        <v>5</v>
      </c>
      <c r="AV8" s="7" t="str">
        <f aca="false">AO8</f>
        <v>Dinamarca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-19980300</v>
      </c>
      <c r="BA8" s="7" t="n">
        <f aca="false">AZ8-AY8*10</f>
        <v>-19980310</v>
      </c>
      <c r="BB8" s="7" t="n">
        <f aca="false">BA8+N24</f>
        <v>-19980308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Tunez</v>
      </c>
      <c r="D9" s="36" t="n">
        <f aca="false">IFERROR(VLOOKUP($B9,$AN$7:$AS$11,D$5,0),"")</f>
        <v>2</v>
      </c>
      <c r="E9" s="36" t="n">
        <f aca="false">IFERROR(VLOOKUP($B9,$AN$7:$AS$11,E$5,0),"")</f>
        <v>4</v>
      </c>
      <c r="F9" s="36" t="n">
        <f aca="false">IFERROR(VLOOKUP($B9,$AN$7:$AS$11,F$5,0),"")</f>
        <v>6</v>
      </c>
      <c r="G9" s="37" t="n">
        <f aca="false">IFERROR(VLOOKUP($B9,$AN$7:$AS$11,G$5,0),"")</f>
        <v>-2</v>
      </c>
      <c r="I9" s="38" t="n">
        <f aca="false">I7+16</f>
        <v>23</v>
      </c>
      <c r="J9" s="39" t="n">
        <v>44891</v>
      </c>
      <c r="K9" s="40" t="s">
        <v>45</v>
      </c>
      <c r="L9" s="32" t="n">
        <v>2</v>
      </c>
      <c r="M9" s="33" t="n">
        <v>2</v>
      </c>
      <c r="N9" s="38" t="s">
        <v>47</v>
      </c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11" t="str">
        <f aca="false">CONCATENATE(K9,"_",N9)</f>
        <v>Tunez_Australia</v>
      </c>
      <c r="AJ9" s="7" t="n">
        <f aca="false">IF(L9&gt;M9,3,IF(L9&lt;M9,0,1))</f>
        <v>1</v>
      </c>
      <c r="AK9" s="7" t="n">
        <f aca="false">IF(AJ9=3,0,IF(AJ9=1,1,3))</f>
        <v>1</v>
      </c>
      <c r="AL9" s="7" t="str">
        <f aca="false">IF(AJ9&gt;AK9,K9,IF(AK9&gt;AJ9,N9,"SIN GANADOR"))</f>
        <v>SIN GANADOR</v>
      </c>
      <c r="AN9" s="7" t="n">
        <f aca="false">_xlfn.RANK.EQ(BB9,BB$7:BB$11,1)</f>
        <v>2</v>
      </c>
      <c r="AO9" s="7" t="s">
        <v>45</v>
      </c>
      <c r="AP9" s="7" t="n">
        <f aca="false">SUMIF($K$7:$K$12,AO9,$AJ$7:$AJ$12) + SUMIF($N$7:$N$12,AO9,$AK$7:$AK$12)</f>
        <v>2</v>
      </c>
      <c r="AQ9" s="7" t="n">
        <f aca="false">AR9-AS9</f>
        <v>-2</v>
      </c>
      <c r="AR9" s="7" t="n">
        <f aca="false">SUMIF($K$7:$K$12,AO9,$L$7:$L$12) + SUMIF($N$7:$N$12,AO9,$M$7:$M$12)</f>
        <v>4</v>
      </c>
      <c r="AS9" s="7" t="n">
        <f aca="false">SUMIF($K$7:$K$12,AO9,$M$7:$M$12) + SUMIF($N$7:$N$12,AO9,$L$7:$L$12)</f>
        <v>6</v>
      </c>
      <c r="AV9" s="7" t="str">
        <f aca="false">AO9</f>
        <v>Tunez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-19980400</v>
      </c>
      <c r="BA9" s="7" t="n">
        <f aca="false">AZ9-AY9*10</f>
        <v>-19980410</v>
      </c>
      <c r="BB9" s="7" t="n">
        <f aca="false">BA9+N25</f>
        <v>-19980407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Dinamarca</v>
      </c>
      <c r="D10" s="43" t="n">
        <f aca="false">IFERROR(VLOOKUP($B10,$AN$7:$AS$11,D$5,0),"")</f>
        <v>2</v>
      </c>
      <c r="E10" s="43" t="n">
        <f aca="false">IFERROR(VLOOKUP($B10,$AN$7:$AS$11,E$5,0),"")</f>
        <v>3</v>
      </c>
      <c r="F10" s="43" t="n">
        <f aca="false">IFERROR(VLOOKUP($B10,$AN$7:$AS$11,F$5,0),"")</f>
        <v>5</v>
      </c>
      <c r="G10" s="44" t="n">
        <f aca="false">IFERROR(VLOOKUP($B10,$AN$7:$AS$11,G$5,0),"")</f>
        <v>-2</v>
      </c>
      <c r="I10" s="29" t="n">
        <f aca="false">I8+16</f>
        <v>24</v>
      </c>
      <c r="J10" s="30" t="n">
        <v>44891</v>
      </c>
      <c r="K10" s="31" t="s">
        <v>46</v>
      </c>
      <c r="L10" s="32" t="n">
        <v>3</v>
      </c>
      <c r="M10" s="33" t="n">
        <v>1</v>
      </c>
      <c r="N10" s="29" t="s">
        <v>44</v>
      </c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11" t="str">
        <f aca="false">CONCATENATE(K10,"_",N10)</f>
        <v>Francia_Dinamarca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Francia</v>
      </c>
      <c r="AN10" s="7" t="n">
        <f aca="false">_xlfn.RANK.EQ(BB10,BB$7:BB$11,1)</f>
        <v>4</v>
      </c>
      <c r="AO10" s="7" t="s">
        <v>47</v>
      </c>
      <c r="AP10" s="7" t="n">
        <f aca="false">SUMIF($K$7:$K$12,AO10,$AJ$7:$AJ$12) + SUMIF($N$7:$N$12,AO10,$AK$7:$AK$12)</f>
        <v>2</v>
      </c>
      <c r="AQ10" s="7" t="n">
        <f aca="false">AR10-AS10</f>
        <v>-3</v>
      </c>
      <c r="AR10" s="7" t="n">
        <f aca="false">SUMIF($K$7:$K$12,AO10,$L$7:$L$12) + SUMIF($N$7:$N$12,AO10,$M$7:$M$12)</f>
        <v>3</v>
      </c>
      <c r="AS10" s="7" t="n">
        <f aca="false">SUMIF($K$7:$K$12,AO10,$M$7:$M$12) + SUMIF($N$7:$N$12,AO10,$L$7:$L$12)</f>
        <v>6</v>
      </c>
      <c r="AV10" s="7" t="str">
        <f aca="false">AO10</f>
        <v>Australia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-19970300</v>
      </c>
      <c r="BA10" s="7" t="n">
        <f aca="false">AZ10-AY10*10</f>
        <v>-19970310</v>
      </c>
      <c r="BB10" s="7" t="n">
        <f aca="false">BA10+N26</f>
        <v>-19970306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Australia</v>
      </c>
      <c r="D11" s="47" t="n">
        <f aca="false">IFERROR(VLOOKUP($B11,$AN$7:$AS$11,D$5,0),"")</f>
        <v>2</v>
      </c>
      <c r="E11" s="47" t="n">
        <f aca="false">IFERROR(VLOOKUP($B11,$AN$7:$AS$11,E$5,0),"")</f>
        <v>3</v>
      </c>
      <c r="F11" s="47" t="n">
        <f aca="false">IFERROR(VLOOKUP($B11,$AN$7:$AS$11,F$5,0),"")</f>
        <v>6</v>
      </c>
      <c r="G11" s="48" t="n">
        <f aca="false">IFERROR(VLOOKUP($B11,$AN$7:$AS$11,G$5,0),"")</f>
        <v>-3</v>
      </c>
      <c r="I11" s="38" t="n">
        <f aca="false">I9+16</f>
        <v>39</v>
      </c>
      <c r="J11" s="39" t="n">
        <v>44895</v>
      </c>
      <c r="K11" s="40" t="s">
        <v>45</v>
      </c>
      <c r="L11" s="32" t="n">
        <v>1</v>
      </c>
      <c r="M11" s="33" t="n">
        <v>3</v>
      </c>
      <c r="N11" s="38" t="s">
        <v>46</v>
      </c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11" t="str">
        <f aca="false">CONCATENATE(K11,"_",N11)</f>
        <v>Tunez_Francia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Francia</v>
      </c>
    </row>
    <row r="12" customFormat="false" ht="15.75" hidden="false" customHeight="false" outlineLevel="0" collapsed="false">
      <c r="I12" s="49" t="n">
        <f aca="false">I10+16</f>
        <v>40</v>
      </c>
      <c r="J12" s="50" t="n">
        <v>44895</v>
      </c>
      <c r="K12" s="51" t="s">
        <v>47</v>
      </c>
      <c r="L12" s="52" t="n">
        <v>1</v>
      </c>
      <c r="M12" s="53" t="n">
        <v>1</v>
      </c>
      <c r="N12" s="49" t="s">
        <v>44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11" t="str">
        <f aca="false">CONCATENATE(K12,"_",N12)</f>
        <v>Australia_Dinamarca</v>
      </c>
      <c r="AJ12" s="7" t="n">
        <f aca="false">IF(L12&gt;M12,3,IF(L12&lt;M12,0,1))</f>
        <v>1</v>
      </c>
      <c r="AK12" s="7" t="n">
        <f aca="false">IF(AJ12=3,0,IF(AJ12=1,1,3))</f>
        <v>1</v>
      </c>
      <c r="AL12" s="7" t="str">
        <f aca="false">IF(AJ12&gt;AK12,K12,IF(AK12&gt;AJ12,N12,"SIN GANADOR"))</f>
        <v>SIN GANADOR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46</v>
      </c>
      <c r="K23" s="60"/>
      <c r="L23" s="60"/>
      <c r="M23" s="61" t="n">
        <v>1</v>
      </c>
      <c r="N23" s="62" t="n">
        <f aca="false">IF(J23="",0,M23)</f>
        <v>1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3" t="s">
        <v>44</v>
      </c>
      <c r="K24" s="63"/>
      <c r="L24" s="63"/>
      <c r="M24" s="64" t="n">
        <v>2</v>
      </c>
      <c r="N24" s="62" t="n">
        <f aca="false">IF(J24="",0,M24)</f>
        <v>2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3" t="s">
        <v>45</v>
      </c>
      <c r="K25" s="63"/>
      <c r="L25" s="63"/>
      <c r="M25" s="64" t="n">
        <v>3</v>
      </c>
      <c r="N25" s="62" t="n">
        <f aca="false">IF(J25="",0,M25)</f>
        <v>3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5" t="s">
        <v>47</v>
      </c>
      <c r="K26" s="65"/>
      <c r="L26" s="65"/>
      <c r="M26" s="66" t="n">
        <v>4</v>
      </c>
      <c r="N26" s="62" t="n">
        <f aca="false">IF(J26="",0,M26)</f>
        <v>4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62" t="n">
        <f aca="false">IF(J27="",0,M27)</f>
        <v>0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customFormat="false" ht="15.75" hidden="false" customHeight="false" outlineLevel="0" collapsed="false">
      <c r="B28" s="67"/>
      <c r="C28" s="68"/>
      <c r="D28" s="68"/>
      <c r="E28" s="68"/>
      <c r="F28" s="68"/>
      <c r="G28" s="68"/>
      <c r="H28" s="69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27">
      <formula>J23=""</formula>
    </cfRule>
  </conditionalFormatting>
  <conditionalFormatting sqref="M24:M26">
    <cfRule type="expression" priority="3" aboveAverage="0" equalAverage="0" bottom="0" percent="0" rank="0" text="" dxfId="28">
      <formula>J24=""</formula>
    </cfRule>
  </conditionalFormatting>
  <conditionalFormatting sqref="M25">
    <cfRule type="expression" priority="4" aboveAverage="0" equalAverage="0" bottom="0" percent="0" rank="0" text="" dxfId="29">
      <formula>J25=""</formula>
    </cfRule>
  </conditionalFormatting>
  <conditionalFormatting sqref="B22:H28 J22:M26">
    <cfRule type="expression" priority="5" aboveAverage="0" equalAverage="0" bottom="0" percent="0" rank="0" text="" dxfId="30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31">
      <formula>K23=""</formula>
    </cfRule>
  </conditionalFormatting>
  <conditionalFormatting sqref="N24:AH26">
    <cfRule type="expression" priority="7" aboveAverage="0" equalAverage="0" bottom="0" percent="0" rank="0" text="" dxfId="32">
      <formula>K24=""</formula>
    </cfRule>
  </conditionalFormatting>
  <conditionalFormatting sqref="N25:AH25">
    <cfRule type="expression" priority="8" aboveAverage="0" equalAverage="0" bottom="0" percent="0" rank="0" text="" dxfId="33">
      <formula>K25=""</formula>
    </cfRule>
  </conditionalFormatting>
  <conditionalFormatting sqref="N27:AH27">
    <cfRule type="expression" priority="9" aboveAverage="0" equalAverage="0" bottom="0" percent="0" rank="0" text="" dxfId="34">
      <formula>K27=""</formula>
    </cfRule>
  </conditionalFormatting>
  <conditionalFormatting sqref="N23:AH27">
    <cfRule type="expression" priority="10" aboveAverage="0" equalAverage="0" bottom="0" percent="0" rank="0" text="" dxfId="35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70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4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48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9</v>
      </c>
      <c r="J7" s="21" t="n">
        <v>44888</v>
      </c>
      <c r="K7" s="22" t="s">
        <v>49</v>
      </c>
      <c r="L7" s="23" t="n">
        <v>3</v>
      </c>
      <c r="M7" s="24" t="n">
        <v>1</v>
      </c>
      <c r="N7" s="20" t="s">
        <v>50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11" t="str">
        <f aca="false">CONCATENATE(K7,"_",N7)</f>
        <v>Alemania_Japon</v>
      </c>
      <c r="AJ7" s="7" t="n">
        <f aca="false">IF(L7&gt;M7,3,IF(L7&lt;M7,0,1))</f>
        <v>3</v>
      </c>
      <c r="AK7" s="7" t="n">
        <f aca="false">IF(AJ7=3,0,IF(AJ7=1,1,3))</f>
        <v>0</v>
      </c>
      <c r="AL7" s="7" t="str">
        <f aca="false">IF(AJ7&gt;AK7,K7,IF(AK7&gt;AJ7,N7,"SIN GANADOR"))</f>
        <v>Alemania</v>
      </c>
      <c r="AN7" s="7" t="n">
        <f aca="false">_xlfn.RANK.EQ(BB7,BB$7:BB$11,1)</f>
        <v>2</v>
      </c>
      <c r="AO7" s="7" t="s">
        <v>51</v>
      </c>
      <c r="AP7" s="7" t="n">
        <f aca="false">SUMIF($K$7:$K$12,AO7,$AJ$7:$AJ$12) + SUMIF($N$7:$N$12,AO7,$AK$7:$AK$12)</f>
        <v>7</v>
      </c>
      <c r="AQ7" s="7" t="n">
        <f aca="false">AR7-AS7</f>
        <v>4</v>
      </c>
      <c r="AR7" s="7" t="n">
        <f aca="false">SUMIF($K$7:$K$12,AO7,$L$7:$L$12) + SUMIF($N$7:$N$12,AO7,$M$7:$M$12)</f>
        <v>7</v>
      </c>
      <c r="AS7" s="7" t="n">
        <f aca="false">SUMIF($K$7:$K$12,AO7,$M$7:$M$12) + SUMIF($N$7:$N$12,AO7,$L$7:$L$12)</f>
        <v>3</v>
      </c>
      <c r="AV7" s="7" t="str">
        <f aca="false">AO7</f>
        <v>España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-70040700</v>
      </c>
      <c r="BA7" s="7" t="n">
        <f aca="false">AZ7-AY7*10</f>
        <v>-70040710</v>
      </c>
      <c r="BB7" s="7" t="n">
        <f aca="false">BA7+N23</f>
        <v>-70040709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Alemania</v>
      </c>
      <c r="D8" s="27" t="n">
        <f aca="false">IFERROR(VLOOKUP($B8,$AN$7:$AS$11,D$5,0),"")</f>
        <v>7</v>
      </c>
      <c r="E8" s="27" t="n">
        <f aca="false">IFERROR(VLOOKUP($B8,$AN$7:$AS$11,E$5,0),"")</f>
        <v>7</v>
      </c>
      <c r="F8" s="27" t="n">
        <f aca="false">IFERROR(VLOOKUP($B8,$AN$7:$AS$11,F$5,0),"")</f>
        <v>2</v>
      </c>
      <c r="G8" s="28" t="n">
        <f aca="false">IFERROR(VLOOKUP($B8,$AN$7:$AS$11,G$5,0),"")</f>
        <v>5</v>
      </c>
      <c r="I8" s="29" t="n">
        <v>10</v>
      </c>
      <c r="J8" s="30" t="n">
        <v>44888</v>
      </c>
      <c r="K8" s="31" t="s">
        <v>51</v>
      </c>
      <c r="L8" s="32" t="n">
        <v>3</v>
      </c>
      <c r="M8" s="33" t="n">
        <v>1</v>
      </c>
      <c r="N8" s="29" t="s">
        <v>52</v>
      </c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11" t="str">
        <f aca="false">CONCATENATE(K8,"_",N8)</f>
        <v>España_Costa Rica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España</v>
      </c>
      <c r="AN8" s="7" t="n">
        <f aca="false">_xlfn.RANK.EQ(BB8,BB$7:BB$11,1)</f>
        <v>1</v>
      </c>
      <c r="AO8" s="7" t="s">
        <v>49</v>
      </c>
      <c r="AP8" s="7" t="n">
        <f aca="false">SUMIF($K$7:$K$12,AO8,$AJ$7:$AJ$12) + SUMIF($N$7:$N$12,AO8,$AK$7:$AK$12)</f>
        <v>7</v>
      </c>
      <c r="AQ8" s="7" t="n">
        <f aca="false">AR8-AS8</f>
        <v>5</v>
      </c>
      <c r="AR8" s="7" t="n">
        <f aca="false">SUMIF($K$7:$K$12,AO8,$L$7:$L$12) + SUMIF($N$7:$N$12,AO8,$M$7:$M$12)</f>
        <v>7</v>
      </c>
      <c r="AS8" s="7" t="n">
        <f aca="false">SUMIF($K$7:$K$12,AO8,$M$7:$M$12) + SUMIF($N$7:$N$12,AO8,$L$7:$L$12)</f>
        <v>2</v>
      </c>
      <c r="AV8" s="7" t="str">
        <f aca="false">AO8</f>
        <v>Alemania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-70050700</v>
      </c>
      <c r="BA8" s="7" t="n">
        <f aca="false">AZ8-AY8*10</f>
        <v>-70050710</v>
      </c>
      <c r="BB8" s="7" t="n">
        <f aca="false">BA8+N24</f>
        <v>-70050708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España</v>
      </c>
      <c r="D9" s="36" t="n">
        <f aca="false">IFERROR(VLOOKUP($B9,$AN$7:$AS$11,D$5,0),"")</f>
        <v>7</v>
      </c>
      <c r="E9" s="36" t="n">
        <f aca="false">IFERROR(VLOOKUP($B9,$AN$7:$AS$11,E$5,0),"")</f>
        <v>7</v>
      </c>
      <c r="F9" s="36" t="n">
        <f aca="false">IFERROR(VLOOKUP($B9,$AN$7:$AS$11,F$5,0),"")</f>
        <v>3</v>
      </c>
      <c r="G9" s="37" t="n">
        <f aca="false">IFERROR(VLOOKUP($B9,$AN$7:$AS$11,G$5,0),"")</f>
        <v>4</v>
      </c>
      <c r="I9" s="38" t="n">
        <f aca="false">I7+16</f>
        <v>25</v>
      </c>
      <c r="J9" s="39" t="n">
        <v>44892</v>
      </c>
      <c r="K9" s="40" t="s">
        <v>50</v>
      </c>
      <c r="L9" s="32" t="n">
        <v>1</v>
      </c>
      <c r="M9" s="33" t="n">
        <v>1</v>
      </c>
      <c r="N9" s="38" t="s">
        <v>52</v>
      </c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11" t="str">
        <f aca="false">CONCATENATE(K9,"_",N9)</f>
        <v>Japon_Costa Rica</v>
      </c>
      <c r="AJ9" s="7" t="n">
        <f aca="false">IF(L9&gt;M9,3,IF(L9&lt;M9,0,1))</f>
        <v>1</v>
      </c>
      <c r="AK9" s="7" t="n">
        <f aca="false">IF(AJ9=3,0,IF(AJ9=1,1,3))</f>
        <v>1</v>
      </c>
      <c r="AL9" s="7" t="str">
        <f aca="false">IF(AJ9&gt;AK9,K9,IF(AK9&gt;AJ9,N9,"SIN GANADOR"))</f>
        <v>SIN GANADOR</v>
      </c>
      <c r="AN9" s="7" t="n">
        <f aca="false">_xlfn.RANK.EQ(BB9,BB$7:BB$11,1)</f>
        <v>3</v>
      </c>
      <c r="AO9" s="7" t="s">
        <v>50</v>
      </c>
      <c r="AP9" s="7" t="n">
        <f aca="false">SUMIF($K$7:$K$12,AO9,$AJ$7:$AJ$12) + SUMIF($N$7:$N$12,AO9,$AK$7:$AK$12)</f>
        <v>1</v>
      </c>
      <c r="AQ9" s="7" t="n">
        <f aca="false">AR9-AS9</f>
        <v>-4</v>
      </c>
      <c r="AR9" s="7" t="n">
        <f aca="false">SUMIF($K$7:$K$12,AO9,$L$7:$L$12) + SUMIF($N$7:$N$12,AO9,$M$7:$M$12)</f>
        <v>3</v>
      </c>
      <c r="AS9" s="7" t="n">
        <f aca="false">SUMIF($K$7:$K$12,AO9,$M$7:$M$12) + SUMIF($N$7:$N$12,AO9,$L$7:$L$12)</f>
        <v>7</v>
      </c>
      <c r="AV9" s="7" t="str">
        <f aca="false">AO9</f>
        <v>Japon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-9960300</v>
      </c>
      <c r="BA9" s="7" t="n">
        <f aca="false">AZ9-AY9*10</f>
        <v>-9960310</v>
      </c>
      <c r="BB9" s="7" t="n">
        <f aca="false">BA9+N25</f>
        <v>-9960307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Japon</v>
      </c>
      <c r="D10" s="43" t="n">
        <f aca="false">IFERROR(VLOOKUP($B10,$AN$7:$AS$11,D$5,0),"")</f>
        <v>1</v>
      </c>
      <c r="E10" s="43" t="n">
        <f aca="false">IFERROR(VLOOKUP($B10,$AN$7:$AS$11,E$5,0),"")</f>
        <v>3</v>
      </c>
      <c r="F10" s="43" t="n">
        <f aca="false">IFERROR(VLOOKUP($B10,$AN$7:$AS$11,F$5,0),"")</f>
        <v>7</v>
      </c>
      <c r="G10" s="44" t="n">
        <f aca="false">IFERROR(VLOOKUP($B10,$AN$7:$AS$11,G$5,0),"")</f>
        <v>-4</v>
      </c>
      <c r="I10" s="29" t="n">
        <f aca="false">I8+16</f>
        <v>26</v>
      </c>
      <c r="J10" s="30" t="n">
        <v>44892</v>
      </c>
      <c r="K10" s="31" t="s">
        <v>51</v>
      </c>
      <c r="L10" s="32" t="n">
        <v>1</v>
      </c>
      <c r="M10" s="33" t="n">
        <v>1</v>
      </c>
      <c r="N10" s="29" t="s">
        <v>49</v>
      </c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11" t="str">
        <f aca="false">CONCATENATE(K10,"_",N10)</f>
        <v>España_Alemania</v>
      </c>
      <c r="AJ10" s="7" t="n">
        <f aca="false">IF(L10&gt;M10,3,IF(L10&lt;M10,0,1))</f>
        <v>1</v>
      </c>
      <c r="AK10" s="7" t="n">
        <f aca="false">IF(AJ10=3,0,IF(AJ10=1,1,3))</f>
        <v>1</v>
      </c>
      <c r="AL10" s="7" t="str">
        <f aca="false">IF(AJ10&gt;AK10,K10,IF(AK10&gt;AJ10,N10,"SIN GANADOR"))</f>
        <v>SIN GANADOR</v>
      </c>
      <c r="AN10" s="7" t="n">
        <f aca="false">_xlfn.RANK.EQ(BB10,BB$7:BB$11,1)</f>
        <v>4</v>
      </c>
      <c r="AO10" s="7" t="s">
        <v>52</v>
      </c>
      <c r="AP10" s="7" t="n">
        <f aca="false">SUMIF($K$7:$K$12,AO10,$AJ$7:$AJ$12) + SUMIF($N$7:$N$12,AO10,$AK$7:$AK$12)</f>
        <v>1</v>
      </c>
      <c r="AQ10" s="7" t="n">
        <f aca="false">AR10-AS10</f>
        <v>-5</v>
      </c>
      <c r="AR10" s="7" t="n">
        <f aca="false">SUMIF($K$7:$K$12,AO10,$L$7:$L$12) + SUMIF($N$7:$N$12,AO10,$M$7:$M$12)</f>
        <v>2</v>
      </c>
      <c r="AS10" s="7" t="n">
        <f aca="false">SUMIF($K$7:$K$12,AO10,$M$7:$M$12) + SUMIF($N$7:$N$12,AO10,$L$7:$L$12)</f>
        <v>7</v>
      </c>
      <c r="AV10" s="7" t="str">
        <f aca="false">AO10</f>
        <v>Costa Rica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-9950200</v>
      </c>
      <c r="BA10" s="7" t="n">
        <f aca="false">AZ10-AY10*10</f>
        <v>-9950210</v>
      </c>
      <c r="BB10" s="7" t="n">
        <f aca="false">BA10+N26</f>
        <v>-9950206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Costa Rica</v>
      </c>
      <c r="D11" s="47" t="n">
        <f aca="false">IFERROR(VLOOKUP($B11,$AN$7:$AS$11,D$5,0),"")</f>
        <v>1</v>
      </c>
      <c r="E11" s="47" t="n">
        <f aca="false">IFERROR(VLOOKUP($B11,$AN$7:$AS$11,E$5,0),"")</f>
        <v>2</v>
      </c>
      <c r="F11" s="47" t="n">
        <f aca="false">IFERROR(VLOOKUP($B11,$AN$7:$AS$11,F$5,0),"")</f>
        <v>7</v>
      </c>
      <c r="G11" s="48" t="n">
        <f aca="false">IFERROR(VLOOKUP($B11,$AN$7:$AS$11,G$5,0),"")</f>
        <v>-5</v>
      </c>
      <c r="I11" s="38" t="n">
        <f aca="false">I9+16</f>
        <v>41</v>
      </c>
      <c r="J11" s="39" t="n">
        <v>44896</v>
      </c>
      <c r="K11" s="40" t="s">
        <v>50</v>
      </c>
      <c r="L11" s="32" t="n">
        <v>1</v>
      </c>
      <c r="M11" s="33" t="n">
        <v>3</v>
      </c>
      <c r="N11" s="38" t="s">
        <v>51</v>
      </c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11" t="str">
        <f aca="false">CONCATENATE(K11,"_",N11)</f>
        <v>Japon_España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España</v>
      </c>
    </row>
    <row r="12" customFormat="false" ht="15.75" hidden="false" customHeight="false" outlineLevel="0" collapsed="false">
      <c r="I12" s="49" t="n">
        <f aca="false">I10+16</f>
        <v>42</v>
      </c>
      <c r="J12" s="50" t="n">
        <v>44896</v>
      </c>
      <c r="K12" s="51" t="s">
        <v>52</v>
      </c>
      <c r="L12" s="52" t="n">
        <v>0</v>
      </c>
      <c r="M12" s="53" t="n">
        <v>3</v>
      </c>
      <c r="N12" s="49" t="s">
        <v>49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11" t="str">
        <f aca="false">CONCATENATE(K12,"_",N12)</f>
        <v>Costa Rica_Alemania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Alemania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51</v>
      </c>
      <c r="K23" s="60"/>
      <c r="L23" s="60"/>
      <c r="M23" s="61" t="n">
        <v>1</v>
      </c>
      <c r="N23" s="62" t="n">
        <f aca="false">IF(J23="",0,M23)</f>
        <v>1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3" t="s">
        <v>49</v>
      </c>
      <c r="K24" s="63"/>
      <c r="L24" s="63"/>
      <c r="M24" s="64" t="n">
        <v>2</v>
      </c>
      <c r="N24" s="62" t="n">
        <f aca="false">IF(J24="",0,M24)</f>
        <v>2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3" t="s">
        <v>50</v>
      </c>
      <c r="K25" s="63"/>
      <c r="L25" s="63"/>
      <c r="M25" s="64" t="n">
        <v>3</v>
      </c>
      <c r="N25" s="62" t="n">
        <f aca="false">IF(J25="",0,M25)</f>
        <v>3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5" t="s">
        <v>52</v>
      </c>
      <c r="K26" s="65"/>
      <c r="L26" s="65"/>
      <c r="M26" s="66" t="n">
        <v>4</v>
      </c>
      <c r="N26" s="62" t="n">
        <f aca="false">IF(J26="",0,M26)</f>
        <v>4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62" t="n">
        <f aca="false">IF(J27="",0,M27)</f>
        <v>0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customFormat="false" ht="15.75" hidden="false" customHeight="false" outlineLevel="0" collapsed="false">
      <c r="B28" s="67"/>
      <c r="C28" s="68"/>
      <c r="D28" s="68"/>
      <c r="E28" s="68"/>
      <c r="F28" s="68"/>
      <c r="G28" s="68"/>
      <c r="H28" s="69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36">
      <formula>J23=""</formula>
    </cfRule>
  </conditionalFormatting>
  <conditionalFormatting sqref="M24:M26">
    <cfRule type="expression" priority="3" aboveAverage="0" equalAverage="0" bottom="0" percent="0" rank="0" text="" dxfId="37">
      <formula>J24=""</formula>
    </cfRule>
  </conditionalFormatting>
  <conditionalFormatting sqref="M25">
    <cfRule type="expression" priority="4" aboveAverage="0" equalAverage="0" bottom="0" percent="0" rank="0" text="" dxfId="38">
      <formula>J25=""</formula>
    </cfRule>
  </conditionalFormatting>
  <conditionalFormatting sqref="B22:H28 J22:M26">
    <cfRule type="expression" priority="5" aboveAverage="0" equalAverage="0" bottom="0" percent="0" rank="0" text="" dxfId="39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0">
      <formula>K23=""</formula>
    </cfRule>
  </conditionalFormatting>
  <conditionalFormatting sqref="N24:AH26">
    <cfRule type="expression" priority="7" aboveAverage="0" equalAverage="0" bottom="0" percent="0" rank="0" text="" dxfId="41">
      <formula>K24=""</formula>
    </cfRule>
  </conditionalFormatting>
  <conditionalFormatting sqref="N25:AH25">
    <cfRule type="expression" priority="8" aboveAverage="0" equalAverage="0" bottom="0" percent="0" rank="0" text="" dxfId="42">
      <formula>K25=""</formula>
    </cfRule>
  </conditionalFormatting>
  <conditionalFormatting sqref="N27:AH27">
    <cfRule type="expression" priority="9" aboveAverage="0" equalAverage="0" bottom="0" percent="0" rank="0" text="" dxfId="43">
      <formula>K27=""</formula>
    </cfRule>
  </conditionalFormatting>
  <conditionalFormatting sqref="N23:AH27">
    <cfRule type="expression" priority="10" aboveAverage="0" equalAverage="0" bottom="0" percent="0" rank="0" text="" dxfId="44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70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4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53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11</v>
      </c>
      <c r="J7" s="21" t="n">
        <v>44888</v>
      </c>
      <c r="K7" s="22" t="s">
        <v>54</v>
      </c>
      <c r="L7" s="23" t="n">
        <v>0</v>
      </c>
      <c r="M7" s="24" t="n">
        <v>1</v>
      </c>
      <c r="N7" s="20" t="s">
        <v>55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11" t="str">
        <f aca="false">CONCATENATE(K7,"_",N7)</f>
        <v>Marruecos_Croacia</v>
      </c>
      <c r="AJ7" s="7" t="n">
        <f aca="false">IF(L7&gt;M7,3,IF(L7&lt;M7,0,1))</f>
        <v>0</v>
      </c>
      <c r="AK7" s="7" t="n">
        <f aca="false">IF(AJ7=3,0,IF(AJ7=1,1,3))</f>
        <v>3</v>
      </c>
      <c r="AL7" s="7" t="str">
        <f aca="false">IF(AJ7&gt;AK7,K7,IF(AK7&gt;AJ7,N7,"SIN GANADOR"))</f>
        <v>Croacia</v>
      </c>
      <c r="AN7" s="7" t="n">
        <f aca="false">_xlfn.RANK.EQ(BB7,BB$7:BB$11,1)</f>
        <v>1</v>
      </c>
      <c r="AO7" s="7" t="s">
        <v>56</v>
      </c>
      <c r="AP7" s="7" t="n">
        <f aca="false">SUMIF($K$7:$K$12,AO7,$AJ$7:$AJ$12) + SUMIF($N$7:$N$12,AO7,$AK$7:$AK$12)</f>
        <v>9</v>
      </c>
      <c r="AQ7" s="7" t="n">
        <f aca="false">AR7-AS7</f>
        <v>6</v>
      </c>
      <c r="AR7" s="7" t="n">
        <f aca="false">SUMIF($K$7:$K$12,AO7,$L$7:$L$12) + SUMIF($N$7:$N$12,AO7,$M$7:$M$12)</f>
        <v>9</v>
      </c>
      <c r="AS7" s="7" t="n">
        <f aca="false">SUMIF($K$7:$K$12,AO7,$M$7:$M$12) + SUMIF($N$7:$N$12,AO7,$L$7:$L$12)</f>
        <v>3</v>
      </c>
      <c r="AV7" s="7" t="str">
        <f aca="false">AO7</f>
        <v>Belgica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-90060900</v>
      </c>
      <c r="BA7" s="7" t="n">
        <f aca="false">AZ7-AY7*10</f>
        <v>-90060910</v>
      </c>
      <c r="BB7" s="7" t="n">
        <f aca="false">BA7+N23</f>
        <v>-90060909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Belgica</v>
      </c>
      <c r="D8" s="27" t="n">
        <f aca="false">IFERROR(VLOOKUP($B8,$AN$7:$AS$11,D$5,0),"")</f>
        <v>9</v>
      </c>
      <c r="E8" s="27" t="n">
        <f aca="false">IFERROR(VLOOKUP($B8,$AN$7:$AS$11,E$5,0),"")</f>
        <v>9</v>
      </c>
      <c r="F8" s="27" t="n">
        <f aca="false">IFERROR(VLOOKUP($B8,$AN$7:$AS$11,F$5,0),"")</f>
        <v>3</v>
      </c>
      <c r="G8" s="28" t="n">
        <f aca="false">IFERROR(VLOOKUP($B8,$AN$7:$AS$11,G$5,0),"")</f>
        <v>6</v>
      </c>
      <c r="I8" s="29" t="n">
        <v>12</v>
      </c>
      <c r="J8" s="30" t="n">
        <v>44888</v>
      </c>
      <c r="K8" s="31" t="s">
        <v>56</v>
      </c>
      <c r="L8" s="32" t="n">
        <v>3</v>
      </c>
      <c r="M8" s="33" t="n">
        <v>0</v>
      </c>
      <c r="N8" s="29" t="s">
        <v>57</v>
      </c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11" t="str">
        <f aca="false">CONCATENATE(K8,"_",N8)</f>
        <v>Belgica_Canada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Belgica</v>
      </c>
      <c r="AN8" s="7" t="n">
        <f aca="false">_xlfn.RANK.EQ(BB8,BB$7:BB$11,1)</f>
        <v>2</v>
      </c>
      <c r="AO8" s="7" t="s">
        <v>55</v>
      </c>
      <c r="AP8" s="7" t="n">
        <f aca="false">SUMIF($K$7:$K$12,AO8,$AJ$7:$AJ$12) + SUMIF($N$7:$N$12,AO8,$AK$7:$AK$12)</f>
        <v>6</v>
      </c>
      <c r="AQ8" s="7" t="n">
        <f aca="false">AR8-AS8</f>
        <v>2</v>
      </c>
      <c r="AR8" s="7" t="n">
        <f aca="false">SUMIF($K$7:$K$12,AO8,$L$7:$L$12) + SUMIF($N$7:$N$12,AO8,$M$7:$M$12)</f>
        <v>5</v>
      </c>
      <c r="AS8" s="7" t="n">
        <f aca="false">SUMIF($K$7:$K$12,AO8,$M$7:$M$12) + SUMIF($N$7:$N$12,AO8,$L$7:$L$12)</f>
        <v>3</v>
      </c>
      <c r="AV8" s="7" t="str">
        <f aca="false">AO8</f>
        <v>Croacia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-60020500</v>
      </c>
      <c r="BA8" s="7" t="n">
        <f aca="false">AZ8-AY8*10</f>
        <v>-60020510</v>
      </c>
      <c r="BB8" s="7" t="n">
        <f aca="false">BA8+N24</f>
        <v>-60020508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Croacia</v>
      </c>
      <c r="D9" s="36" t="n">
        <f aca="false">IFERROR(VLOOKUP($B9,$AN$7:$AS$11,D$5,0),"")</f>
        <v>6</v>
      </c>
      <c r="E9" s="36" t="n">
        <f aca="false">IFERROR(VLOOKUP($B9,$AN$7:$AS$11,E$5,0),"")</f>
        <v>5</v>
      </c>
      <c r="F9" s="36" t="n">
        <f aca="false">IFERROR(VLOOKUP($B9,$AN$7:$AS$11,F$5,0),"")</f>
        <v>3</v>
      </c>
      <c r="G9" s="37" t="n">
        <f aca="false">IFERROR(VLOOKUP($B9,$AN$7:$AS$11,G$5,0),"")</f>
        <v>2</v>
      </c>
      <c r="I9" s="38" t="n">
        <f aca="false">I7+16</f>
        <v>27</v>
      </c>
      <c r="J9" s="39" t="n">
        <v>44892</v>
      </c>
      <c r="K9" s="40" t="s">
        <v>56</v>
      </c>
      <c r="L9" s="32" t="n">
        <v>3</v>
      </c>
      <c r="M9" s="33" t="n">
        <v>1</v>
      </c>
      <c r="N9" s="38" t="s">
        <v>54</v>
      </c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11" t="str">
        <f aca="false">CONCATENATE(K9,"_",N9)</f>
        <v>Belgica_Marruecos</v>
      </c>
      <c r="AJ9" s="7" t="n">
        <f aca="false">IF(L9&gt;M9,3,IF(L9&lt;M9,0,1))</f>
        <v>3</v>
      </c>
      <c r="AK9" s="7" t="n">
        <f aca="false">IF(AJ9=3,0,IF(AJ9=1,1,3))</f>
        <v>0</v>
      </c>
      <c r="AL9" s="7" t="str">
        <f aca="false">IF(AJ9&gt;AK9,K9,IF(AK9&gt;AJ9,N9,"SIN GANADOR"))</f>
        <v>Belgica</v>
      </c>
      <c r="AN9" s="7" t="n">
        <f aca="false">_xlfn.RANK.EQ(BB9,BB$7:BB$11,1)</f>
        <v>3</v>
      </c>
      <c r="AO9" s="7" t="s">
        <v>54</v>
      </c>
      <c r="AP9" s="7" t="n">
        <f aca="false">SUMIF($K$7:$K$12,AO9,$AJ$7:$AJ$12) + SUMIF($N$7:$N$12,AO9,$AK$7:$AK$12)</f>
        <v>1</v>
      </c>
      <c r="AQ9" s="7" t="n">
        <f aca="false">AR9-AS9</f>
        <v>-3</v>
      </c>
      <c r="AR9" s="7" t="n">
        <f aca="false">SUMIF($K$7:$K$12,AO9,$L$7:$L$12) + SUMIF($N$7:$N$12,AO9,$M$7:$M$12)</f>
        <v>2</v>
      </c>
      <c r="AS9" s="7" t="n">
        <f aca="false">SUMIF($K$7:$K$12,AO9,$M$7:$M$12) + SUMIF($N$7:$N$12,AO9,$L$7:$L$12)</f>
        <v>5</v>
      </c>
      <c r="AV9" s="7" t="str">
        <f aca="false">AO9</f>
        <v>Marruecos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-9970200</v>
      </c>
      <c r="BA9" s="7" t="n">
        <f aca="false">AZ9-AY9*10</f>
        <v>-9970210</v>
      </c>
      <c r="BB9" s="7" t="n">
        <f aca="false">BA9+N25</f>
        <v>-9970207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Marruecos</v>
      </c>
      <c r="D10" s="43" t="n">
        <f aca="false">IFERROR(VLOOKUP($B10,$AN$7:$AS$11,D$5,0),"")</f>
        <v>1</v>
      </c>
      <c r="E10" s="43" t="n">
        <f aca="false">IFERROR(VLOOKUP($B10,$AN$7:$AS$11,E$5,0),"")</f>
        <v>2</v>
      </c>
      <c r="F10" s="43" t="n">
        <f aca="false">IFERROR(VLOOKUP($B10,$AN$7:$AS$11,F$5,0),"")</f>
        <v>5</v>
      </c>
      <c r="G10" s="44" t="n">
        <f aca="false">IFERROR(VLOOKUP($B10,$AN$7:$AS$11,G$5,0),"")</f>
        <v>-3</v>
      </c>
      <c r="I10" s="29" t="n">
        <f aca="false">I8+16</f>
        <v>28</v>
      </c>
      <c r="J10" s="30" t="n">
        <v>44892</v>
      </c>
      <c r="K10" s="31" t="s">
        <v>55</v>
      </c>
      <c r="L10" s="32" t="n">
        <v>2</v>
      </c>
      <c r="M10" s="33" t="n">
        <v>0</v>
      </c>
      <c r="N10" s="29" t="s">
        <v>57</v>
      </c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11" t="str">
        <f aca="false">CONCATENATE(K10,"_",N10)</f>
        <v>Croacia_Canada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Croacia</v>
      </c>
      <c r="AN10" s="7" t="n">
        <f aca="false">_xlfn.RANK.EQ(BB10,BB$7:BB$11,1)</f>
        <v>4</v>
      </c>
      <c r="AO10" s="7" t="s">
        <v>57</v>
      </c>
      <c r="AP10" s="7" t="n">
        <f aca="false">SUMIF($K$7:$K$12,AO10,$AJ$7:$AJ$12) + SUMIF($N$7:$N$12,AO10,$AK$7:$AK$12)</f>
        <v>1</v>
      </c>
      <c r="AQ10" s="7" t="n">
        <f aca="false">AR10-AS10</f>
        <v>-5</v>
      </c>
      <c r="AR10" s="7" t="n">
        <f aca="false">SUMIF($K$7:$K$12,AO10,$L$7:$L$12) + SUMIF($N$7:$N$12,AO10,$M$7:$M$12)</f>
        <v>1</v>
      </c>
      <c r="AS10" s="7" t="n">
        <f aca="false">SUMIF($K$7:$K$12,AO10,$M$7:$M$12) + SUMIF($N$7:$N$12,AO10,$L$7:$L$12)</f>
        <v>6</v>
      </c>
      <c r="AV10" s="7" t="str">
        <f aca="false">AO10</f>
        <v>Canada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-9950100</v>
      </c>
      <c r="BA10" s="7" t="n">
        <f aca="false">AZ10-AY10*10</f>
        <v>-9950110</v>
      </c>
      <c r="BB10" s="7" t="n">
        <f aca="false">BA10+N26</f>
        <v>-9950106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Canada</v>
      </c>
      <c r="D11" s="47" t="n">
        <f aca="false">IFERROR(VLOOKUP($B11,$AN$7:$AS$11,D$5,0),"")</f>
        <v>1</v>
      </c>
      <c r="E11" s="47" t="n">
        <f aca="false">IFERROR(VLOOKUP($B11,$AN$7:$AS$11,E$5,0),"")</f>
        <v>1</v>
      </c>
      <c r="F11" s="47" t="n">
        <f aca="false">IFERROR(VLOOKUP($B11,$AN$7:$AS$11,F$5,0),"")</f>
        <v>6</v>
      </c>
      <c r="G11" s="48" t="n">
        <f aca="false">IFERROR(VLOOKUP($B11,$AN$7:$AS$11,G$5,0),"")</f>
        <v>-5</v>
      </c>
      <c r="I11" s="38" t="n">
        <f aca="false">I9+16</f>
        <v>43</v>
      </c>
      <c r="J11" s="39" t="n">
        <v>44896</v>
      </c>
      <c r="K11" s="40" t="s">
        <v>55</v>
      </c>
      <c r="L11" s="32" t="n">
        <v>2</v>
      </c>
      <c r="M11" s="33" t="n">
        <v>3</v>
      </c>
      <c r="N11" s="38" t="s">
        <v>56</v>
      </c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11" t="str">
        <f aca="false">CONCATENATE(K11,"_",N11)</f>
        <v>Croacia_Belgica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Belgica</v>
      </c>
    </row>
    <row r="12" customFormat="false" ht="15.75" hidden="false" customHeight="false" outlineLevel="0" collapsed="false">
      <c r="I12" s="49" t="n">
        <f aca="false">I10+16</f>
        <v>44</v>
      </c>
      <c r="J12" s="50" t="n">
        <v>44896</v>
      </c>
      <c r="K12" s="51" t="s">
        <v>57</v>
      </c>
      <c r="L12" s="52" t="n">
        <v>1</v>
      </c>
      <c r="M12" s="53" t="n">
        <v>1</v>
      </c>
      <c r="N12" s="49" t="s">
        <v>54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11" t="str">
        <f aca="false">CONCATENATE(K12,"_",N12)</f>
        <v>Canada_Marruecos</v>
      </c>
      <c r="AJ12" s="7" t="n">
        <f aca="false">IF(L12&gt;M12,3,IF(L12&lt;M12,0,1))</f>
        <v>1</v>
      </c>
      <c r="AK12" s="7" t="n">
        <f aca="false">IF(AJ12=3,0,IF(AJ12=1,1,3))</f>
        <v>1</v>
      </c>
      <c r="AL12" s="7" t="str">
        <f aca="false">IF(AJ12&gt;AK12,K12,IF(AK12&gt;AJ12,N12,"SIN GANADOR"))</f>
        <v>SIN GANADOR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56</v>
      </c>
      <c r="K23" s="60"/>
      <c r="L23" s="60"/>
      <c r="M23" s="61" t="n">
        <v>1</v>
      </c>
      <c r="N23" s="62" t="n">
        <f aca="false">IF(J23="",0,M23)</f>
        <v>1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3" t="s">
        <v>55</v>
      </c>
      <c r="K24" s="63"/>
      <c r="L24" s="63"/>
      <c r="M24" s="64" t="n">
        <v>2</v>
      </c>
      <c r="N24" s="62" t="n">
        <f aca="false">IF(J24="",0,M24)</f>
        <v>2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3" t="s">
        <v>54</v>
      </c>
      <c r="K25" s="63"/>
      <c r="L25" s="63"/>
      <c r="M25" s="64" t="n">
        <v>3</v>
      </c>
      <c r="N25" s="62" t="n">
        <f aca="false">IF(J25="",0,M25)</f>
        <v>3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5" t="s">
        <v>57</v>
      </c>
      <c r="K26" s="65"/>
      <c r="L26" s="65"/>
      <c r="M26" s="66" t="n">
        <v>4</v>
      </c>
      <c r="N26" s="62" t="n">
        <f aca="false">IF(J26="",0,M26)</f>
        <v>4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62" t="n">
        <f aca="false">IF(J27="",0,M27)</f>
        <v>0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customFormat="false" ht="15.75" hidden="false" customHeight="false" outlineLevel="0" collapsed="false">
      <c r="B28" s="67"/>
      <c r="C28" s="68"/>
      <c r="D28" s="68"/>
      <c r="E28" s="68"/>
      <c r="F28" s="68"/>
      <c r="G28" s="68"/>
      <c r="H28" s="69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45">
      <formula>J23=""</formula>
    </cfRule>
  </conditionalFormatting>
  <conditionalFormatting sqref="M24:M26">
    <cfRule type="expression" priority="3" aboveAverage="0" equalAverage="0" bottom="0" percent="0" rank="0" text="" dxfId="46">
      <formula>J24=""</formula>
    </cfRule>
  </conditionalFormatting>
  <conditionalFormatting sqref="M25">
    <cfRule type="expression" priority="4" aboveAverage="0" equalAverage="0" bottom="0" percent="0" rank="0" text="" dxfId="47">
      <formula>J25=""</formula>
    </cfRule>
  </conditionalFormatting>
  <conditionalFormatting sqref="B22:H28 J22:M26">
    <cfRule type="expression" priority="5" aboveAverage="0" equalAverage="0" bottom="0" percent="0" rank="0" text="" dxfId="48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49">
      <formula>K23=""</formula>
    </cfRule>
  </conditionalFormatting>
  <conditionalFormatting sqref="N24:AH26">
    <cfRule type="expression" priority="7" aboveAverage="0" equalAverage="0" bottom="0" percent="0" rank="0" text="" dxfId="50">
      <formula>K24=""</formula>
    </cfRule>
  </conditionalFormatting>
  <conditionalFormatting sqref="N25:AH25">
    <cfRule type="expression" priority="8" aboveAverage="0" equalAverage="0" bottom="0" percent="0" rank="0" text="" dxfId="51">
      <formula>K25=""</formula>
    </cfRule>
  </conditionalFormatting>
  <conditionalFormatting sqref="N27:AH27">
    <cfRule type="expression" priority="9" aboveAverage="0" equalAverage="0" bottom="0" percent="0" rank="0" text="" dxfId="52">
      <formula>K27=""</formula>
    </cfRule>
  </conditionalFormatting>
  <conditionalFormatting sqref="N23:AH27">
    <cfRule type="expression" priority="10" aboveAverage="0" equalAverage="0" bottom="0" percent="0" rank="0" text="" dxfId="53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70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4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58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13</v>
      </c>
      <c r="J7" s="21" t="n">
        <v>44889</v>
      </c>
      <c r="K7" s="22" t="s">
        <v>59</v>
      </c>
      <c r="L7" s="23" t="n">
        <v>2</v>
      </c>
      <c r="M7" s="24" t="n">
        <v>1</v>
      </c>
      <c r="N7" s="20" t="s">
        <v>60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11" t="str">
        <f aca="false">CONCATENATE(K7,"_",N7)</f>
        <v>Suiza_Camerun</v>
      </c>
      <c r="AJ7" s="7" t="n">
        <f aca="false">IF(L7&gt;M7,3,IF(L7&lt;M7,0,1))</f>
        <v>3</v>
      </c>
      <c r="AK7" s="7" t="n">
        <f aca="false">IF(AJ7=3,0,IF(AJ7=1,1,3))</f>
        <v>0</v>
      </c>
      <c r="AL7" s="7" t="str">
        <f aca="false">IF(AJ7&gt;AK7,K7,IF(AK7&gt;AJ7,N7,"SIN GANADOR"))</f>
        <v>Suiza</v>
      </c>
      <c r="AN7" s="7" t="n">
        <f aca="false">_xlfn.RANK.EQ(BB7,BB$7:BB$11,1)</f>
        <v>1</v>
      </c>
      <c r="AO7" s="7" t="s">
        <v>61</v>
      </c>
      <c r="AP7" s="7" t="n">
        <f aca="false">SUMIF($K$7:$K$12,AO7,$AJ$7:$AJ$12) + SUMIF($N$7:$N$12,AO7,$AK$7:$AK$12)</f>
        <v>9</v>
      </c>
      <c r="AQ7" s="7" t="n">
        <f aca="false">AR7-AS7</f>
        <v>8</v>
      </c>
      <c r="AR7" s="7" t="n">
        <f aca="false">SUMIF($K$7:$K$12,AO7,$L$7:$L$12) + SUMIF($N$7:$N$12,AO7,$M$7:$M$12)</f>
        <v>9</v>
      </c>
      <c r="AS7" s="7" t="n">
        <f aca="false">SUMIF($K$7:$K$12,AO7,$M$7:$M$12) + SUMIF($N$7:$N$12,AO7,$L$7:$L$12)</f>
        <v>1</v>
      </c>
      <c r="AV7" s="7" t="str">
        <f aca="false">AO7</f>
        <v>Brasil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-90080900</v>
      </c>
      <c r="BA7" s="7" t="n">
        <f aca="false">AZ7-AY7*10</f>
        <v>-90080910</v>
      </c>
      <c r="BB7" s="7" t="n">
        <f aca="false">BA7+N23</f>
        <v>-90080909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Brasil</v>
      </c>
      <c r="D8" s="27" t="n">
        <f aca="false">IFERROR(VLOOKUP($B8,$AN$7:$AS$11,D$5,0),"")</f>
        <v>9</v>
      </c>
      <c r="E8" s="27" t="n">
        <f aca="false">IFERROR(VLOOKUP($B8,$AN$7:$AS$11,E$5,0),"")</f>
        <v>9</v>
      </c>
      <c r="F8" s="27" t="n">
        <f aca="false">IFERROR(VLOOKUP($B8,$AN$7:$AS$11,F$5,0),"")</f>
        <v>1</v>
      </c>
      <c r="G8" s="28" t="n">
        <f aca="false">IFERROR(VLOOKUP($B8,$AN$7:$AS$11,G$5,0),"")</f>
        <v>8</v>
      </c>
      <c r="I8" s="29" t="n">
        <v>14</v>
      </c>
      <c r="J8" s="30" t="n">
        <v>44889</v>
      </c>
      <c r="K8" s="31" t="s">
        <v>61</v>
      </c>
      <c r="L8" s="32" t="n">
        <v>3</v>
      </c>
      <c r="M8" s="33" t="n">
        <v>0</v>
      </c>
      <c r="N8" s="29" t="s">
        <v>62</v>
      </c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11" t="str">
        <f aca="false">CONCATENATE(K8,"_",N8)</f>
        <v>Brasil_Serbia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Brasil</v>
      </c>
      <c r="AN8" s="7" t="n">
        <f aca="false">_xlfn.RANK.EQ(BB8,BB$7:BB$11,1)</f>
        <v>2</v>
      </c>
      <c r="AO8" s="7" t="s">
        <v>59</v>
      </c>
      <c r="AP8" s="7" t="n">
        <f aca="false">SUMIF($K$7:$K$12,AO8,$AJ$7:$AJ$12) + SUMIF($N$7:$N$12,AO8,$AK$7:$AK$12)</f>
        <v>4</v>
      </c>
      <c r="AQ8" s="7" t="n">
        <f aca="false">AR8-AS8</f>
        <v>-1</v>
      </c>
      <c r="AR8" s="7" t="n">
        <f aca="false">SUMIF($K$7:$K$12,AO8,$L$7:$L$12) + SUMIF($N$7:$N$12,AO8,$M$7:$M$12)</f>
        <v>4</v>
      </c>
      <c r="AS8" s="7" t="n">
        <f aca="false">SUMIF($K$7:$K$12,AO8,$M$7:$M$12) + SUMIF($N$7:$N$12,AO8,$L$7:$L$12)</f>
        <v>5</v>
      </c>
      <c r="AV8" s="7" t="str">
        <f aca="false">AO8</f>
        <v>Suiza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-39990400</v>
      </c>
      <c r="BA8" s="7" t="n">
        <f aca="false">AZ8-AY8*10</f>
        <v>-39990410</v>
      </c>
      <c r="BB8" s="7" t="n">
        <f aca="false">BA8+N24</f>
        <v>-39990408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Suiza</v>
      </c>
      <c r="D9" s="36" t="n">
        <f aca="false">IFERROR(VLOOKUP($B9,$AN$7:$AS$11,D$5,0),"")</f>
        <v>4</v>
      </c>
      <c r="E9" s="36" t="n">
        <f aca="false">IFERROR(VLOOKUP($B9,$AN$7:$AS$11,E$5,0),"")</f>
        <v>4</v>
      </c>
      <c r="F9" s="36" t="n">
        <f aca="false">IFERROR(VLOOKUP($B9,$AN$7:$AS$11,F$5,0),"")</f>
        <v>5</v>
      </c>
      <c r="G9" s="37" t="n">
        <f aca="false">IFERROR(VLOOKUP($B9,$AN$7:$AS$11,G$5,0),"")</f>
        <v>-1</v>
      </c>
      <c r="I9" s="38" t="n">
        <f aca="false">I7+16</f>
        <v>29</v>
      </c>
      <c r="J9" s="39" t="n">
        <v>44893</v>
      </c>
      <c r="K9" s="40" t="s">
        <v>60</v>
      </c>
      <c r="L9" s="32" t="n">
        <v>1</v>
      </c>
      <c r="M9" s="33" t="n">
        <v>1</v>
      </c>
      <c r="N9" s="38" t="s">
        <v>62</v>
      </c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11" t="str">
        <f aca="false">CONCATENATE(K9,"_",N9)</f>
        <v>Camerun_Serbia</v>
      </c>
      <c r="AJ9" s="7" t="n">
        <f aca="false">IF(L9&gt;M9,3,IF(L9&lt;M9,0,1))</f>
        <v>1</v>
      </c>
      <c r="AK9" s="7" t="n">
        <f aca="false">IF(AJ9=3,0,IF(AJ9=1,1,3))</f>
        <v>1</v>
      </c>
      <c r="AL9" s="7" t="str">
        <f aca="false">IF(AJ9&gt;AK9,K9,IF(AK9&gt;AJ9,N9,"SIN GANADOR"))</f>
        <v>SIN GANADOR</v>
      </c>
      <c r="AN9" s="7" t="n">
        <f aca="false">_xlfn.RANK.EQ(BB9,BB$7:BB$11,1)</f>
        <v>3</v>
      </c>
      <c r="AO9" s="7" t="s">
        <v>62</v>
      </c>
      <c r="AP9" s="7" t="n">
        <f aca="false">SUMIF($K$7:$K$12,AO9,$AJ$7:$AJ$12) + SUMIF($N$7:$N$12,AO9,$AK$7:$AK$12)</f>
        <v>2</v>
      </c>
      <c r="AQ9" s="7" t="n">
        <f aca="false">AR9-AS9</f>
        <v>-3</v>
      </c>
      <c r="AR9" s="7" t="n">
        <f aca="false">SUMIF($K$7:$K$12,AO9,$L$7:$L$12) + SUMIF($N$7:$N$12,AO9,$M$7:$M$12)</f>
        <v>2</v>
      </c>
      <c r="AS9" s="7" t="n">
        <f aca="false">SUMIF($K$7:$K$12,AO9,$M$7:$M$12) + SUMIF($N$7:$N$12,AO9,$L$7:$L$12)</f>
        <v>5</v>
      </c>
      <c r="AV9" s="7" t="str">
        <f aca="false">AO9</f>
        <v>Serbia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-19970200</v>
      </c>
      <c r="BA9" s="7" t="n">
        <f aca="false">AZ9-AY9*10</f>
        <v>-19970210</v>
      </c>
      <c r="BB9" s="7" t="n">
        <f aca="false">BA9+N25</f>
        <v>-19970207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Serbia</v>
      </c>
      <c r="D10" s="43" t="n">
        <f aca="false">IFERROR(VLOOKUP($B10,$AN$7:$AS$11,D$5,0),"")</f>
        <v>2</v>
      </c>
      <c r="E10" s="43" t="n">
        <f aca="false">IFERROR(VLOOKUP($B10,$AN$7:$AS$11,E$5,0),"")</f>
        <v>2</v>
      </c>
      <c r="F10" s="43" t="n">
        <f aca="false">IFERROR(VLOOKUP($B10,$AN$7:$AS$11,F$5,0),"")</f>
        <v>5</v>
      </c>
      <c r="G10" s="44" t="n">
        <f aca="false">IFERROR(VLOOKUP($B10,$AN$7:$AS$11,G$5,0),"")</f>
        <v>-3</v>
      </c>
      <c r="I10" s="29" t="n">
        <f aca="false">I8+16</f>
        <v>30</v>
      </c>
      <c r="J10" s="30" t="n">
        <v>44893</v>
      </c>
      <c r="K10" s="31" t="s">
        <v>61</v>
      </c>
      <c r="L10" s="32" t="n">
        <v>3</v>
      </c>
      <c r="M10" s="33" t="n">
        <v>1</v>
      </c>
      <c r="N10" s="29" t="s">
        <v>59</v>
      </c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11" t="str">
        <f aca="false">CONCATENATE(K10,"_",N10)</f>
        <v>Brasil_Suiza</v>
      </c>
      <c r="AJ10" s="7" t="n">
        <f aca="false">IF(L10&gt;M10,3,IF(L10&lt;M10,0,1))</f>
        <v>3</v>
      </c>
      <c r="AK10" s="7" t="n">
        <f aca="false">IF(AJ10=3,0,IF(AJ10=1,1,3))</f>
        <v>0</v>
      </c>
      <c r="AL10" s="7" t="str">
        <f aca="false">IF(AJ10&gt;AK10,K10,IF(AK10&gt;AJ10,N10,"SIN GANADOR"))</f>
        <v>Brasil</v>
      </c>
      <c r="AN10" s="7" t="n">
        <f aca="false">_xlfn.RANK.EQ(BB10,BB$7:BB$11,1)</f>
        <v>4</v>
      </c>
      <c r="AO10" s="7" t="s">
        <v>60</v>
      </c>
      <c r="AP10" s="7" t="n">
        <f aca="false">SUMIF($K$7:$K$12,AO10,$AJ$7:$AJ$12) + SUMIF($N$7:$N$12,AO10,$AK$7:$AK$12)</f>
        <v>1</v>
      </c>
      <c r="AQ10" s="7" t="n">
        <f aca="false">AR10-AS10</f>
        <v>-4</v>
      </c>
      <c r="AR10" s="7" t="n">
        <f aca="false">SUMIF($K$7:$K$12,AO10,$L$7:$L$12) + SUMIF($N$7:$N$12,AO10,$M$7:$M$12)</f>
        <v>2</v>
      </c>
      <c r="AS10" s="7" t="n">
        <f aca="false">SUMIF($K$7:$K$12,AO10,$M$7:$M$12) + SUMIF($N$7:$N$12,AO10,$L$7:$L$12)</f>
        <v>6</v>
      </c>
      <c r="AV10" s="7" t="str">
        <f aca="false">AO10</f>
        <v>Camerun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-9960200</v>
      </c>
      <c r="BA10" s="7" t="n">
        <f aca="false">AZ10-AY10*10</f>
        <v>-9960210</v>
      </c>
      <c r="BB10" s="7" t="n">
        <f aca="false">BA10+N26</f>
        <v>-9960206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Camerun</v>
      </c>
      <c r="D11" s="47" t="n">
        <f aca="false">IFERROR(VLOOKUP($B11,$AN$7:$AS$11,D$5,0),"")</f>
        <v>1</v>
      </c>
      <c r="E11" s="47" t="n">
        <f aca="false">IFERROR(VLOOKUP($B11,$AN$7:$AS$11,E$5,0),"")</f>
        <v>2</v>
      </c>
      <c r="F11" s="47" t="n">
        <f aca="false">IFERROR(VLOOKUP($B11,$AN$7:$AS$11,F$5,0),"")</f>
        <v>6</v>
      </c>
      <c r="G11" s="48" t="n">
        <f aca="false">IFERROR(VLOOKUP($B11,$AN$7:$AS$11,G$5,0),"")</f>
        <v>-4</v>
      </c>
      <c r="I11" s="38" t="n">
        <f aca="false">I9+16</f>
        <v>45</v>
      </c>
      <c r="J11" s="39" t="n">
        <v>44897</v>
      </c>
      <c r="K11" s="40" t="s">
        <v>62</v>
      </c>
      <c r="L11" s="32" t="n">
        <v>1</v>
      </c>
      <c r="M11" s="33" t="n">
        <v>1</v>
      </c>
      <c r="N11" s="38" t="s">
        <v>59</v>
      </c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11" t="str">
        <f aca="false">CONCATENATE(K11,"_",N11)</f>
        <v>Serbia_Suiza</v>
      </c>
      <c r="AJ11" s="7" t="n">
        <f aca="false">IF(L11&gt;M11,3,IF(L11&lt;M11,0,1))</f>
        <v>1</v>
      </c>
      <c r="AK11" s="7" t="n">
        <f aca="false">IF(AJ11=3,0,IF(AJ11=1,1,3))</f>
        <v>1</v>
      </c>
      <c r="AL11" s="7" t="str">
        <f aca="false">IF(AJ11&gt;AK11,K11,IF(AK11&gt;AJ11,N11,"SIN GANADOR"))</f>
        <v>SIN GANADOR</v>
      </c>
    </row>
    <row r="12" customFormat="false" ht="15.75" hidden="false" customHeight="false" outlineLevel="0" collapsed="false">
      <c r="I12" s="49" t="n">
        <f aca="false">I10+16</f>
        <v>46</v>
      </c>
      <c r="J12" s="50" t="n">
        <v>44897</v>
      </c>
      <c r="K12" s="51" t="s">
        <v>60</v>
      </c>
      <c r="L12" s="52" t="n">
        <v>0</v>
      </c>
      <c r="M12" s="53" t="n">
        <v>3</v>
      </c>
      <c r="N12" s="49" t="s">
        <v>61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11" t="str">
        <f aca="false">CONCATENATE(K12,"_",N12)</f>
        <v>Camerun_Brasil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Brasil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61</v>
      </c>
      <c r="K23" s="60"/>
      <c r="L23" s="60"/>
      <c r="M23" s="61" t="n">
        <v>1</v>
      </c>
      <c r="N23" s="62" t="n">
        <f aca="false">IF(J23="",0,M23)</f>
        <v>1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3" t="s">
        <v>59</v>
      </c>
      <c r="K24" s="63"/>
      <c r="L24" s="63"/>
      <c r="M24" s="64" t="n">
        <v>2</v>
      </c>
      <c r="N24" s="62" t="n">
        <f aca="false">IF(J24="",0,M24)</f>
        <v>2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3" t="s">
        <v>62</v>
      </c>
      <c r="K25" s="63"/>
      <c r="L25" s="63"/>
      <c r="M25" s="64" t="n">
        <v>3</v>
      </c>
      <c r="N25" s="62" t="n">
        <f aca="false">IF(J25="",0,M25)</f>
        <v>3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5" t="s">
        <v>60</v>
      </c>
      <c r="K26" s="65"/>
      <c r="L26" s="65"/>
      <c r="M26" s="66" t="n">
        <v>4</v>
      </c>
      <c r="N26" s="62" t="n">
        <f aca="false">IF(J26="",0,M26)</f>
        <v>4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62" t="n">
        <f aca="false">IF(J27="",0,M27)</f>
        <v>0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customFormat="false" ht="15.75" hidden="false" customHeight="false" outlineLevel="0" collapsed="false">
      <c r="B28" s="67"/>
      <c r="C28" s="68"/>
      <c r="D28" s="68"/>
      <c r="E28" s="68"/>
      <c r="F28" s="68"/>
      <c r="G28" s="68"/>
      <c r="H28" s="69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54">
      <formula>J23=""</formula>
    </cfRule>
  </conditionalFormatting>
  <conditionalFormatting sqref="M24:M26">
    <cfRule type="expression" priority="3" aboveAverage="0" equalAverage="0" bottom="0" percent="0" rank="0" text="" dxfId="55">
      <formula>J24=""</formula>
    </cfRule>
  </conditionalFormatting>
  <conditionalFormatting sqref="M25">
    <cfRule type="expression" priority="4" aboveAverage="0" equalAverage="0" bottom="0" percent="0" rank="0" text="" dxfId="56">
      <formula>J25=""</formula>
    </cfRule>
  </conditionalFormatting>
  <conditionalFormatting sqref="B22:H28 J22:M26">
    <cfRule type="expression" priority="5" aboveAverage="0" equalAverage="0" bottom="0" percent="0" rank="0" text="" dxfId="57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58">
      <formula>K23=""</formula>
    </cfRule>
  </conditionalFormatting>
  <conditionalFormatting sqref="N24:AH26">
    <cfRule type="expression" priority="7" aboveAverage="0" equalAverage="0" bottom="0" percent="0" rank="0" text="" dxfId="59">
      <formula>K24=""</formula>
    </cfRule>
  </conditionalFormatting>
  <conditionalFormatting sqref="N25:AH25">
    <cfRule type="expression" priority="8" aboveAverage="0" equalAverage="0" bottom="0" percent="0" rank="0" text="" dxfId="60">
      <formula>K25=""</formula>
    </cfRule>
  </conditionalFormatting>
  <conditionalFormatting sqref="N27:AH27">
    <cfRule type="expression" priority="9" aboveAverage="0" equalAverage="0" bottom="0" percent="0" rank="0" text="" dxfId="61">
      <formula>K27=""</formula>
    </cfRule>
  </conditionalFormatting>
  <conditionalFormatting sqref="N23:AH27">
    <cfRule type="expression" priority="10" aboveAverage="0" equalAverage="0" bottom="0" percent="0" rank="0" text="" dxfId="62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10.53"/>
    <col collapsed="false" customWidth="true" hidden="false" outlineLevel="0" max="3" min="3" style="0" width="13.71"/>
    <col collapsed="false" customWidth="true" hidden="false" outlineLevel="0" max="10" min="4" style="0" width="10.53"/>
    <col collapsed="false" customWidth="true" hidden="false" outlineLevel="0" max="11" min="11" style="0" width="13.71"/>
    <col collapsed="false" customWidth="true" hidden="false" outlineLevel="0" max="13" min="12" style="0" width="10.53"/>
    <col collapsed="false" customWidth="true" hidden="false" outlineLevel="0" max="14" min="14" style="0" width="13.71"/>
    <col collapsed="false" customWidth="true" hidden="false" outlineLevel="0" max="34" min="15" style="70" width="13.71"/>
    <col collapsed="false" customWidth="true" hidden="false" outlineLevel="0" max="35" min="35" style="7" width="20"/>
    <col collapsed="false" customWidth="false" hidden="false" outlineLevel="0" max="46" min="36" style="7" width="11.43"/>
    <col collapsed="false" customWidth="true" hidden="false" outlineLevel="0" max="47" min="47" style="7" width="10.43"/>
    <col collapsed="false" customWidth="true" hidden="false" outlineLevel="0" max="48" min="48" style="7" width="13.71"/>
    <col collapsed="false" customWidth="true" hidden="false" outlineLevel="0" max="49" min="49" style="7" width="10.43"/>
    <col collapsed="false" customWidth="true" hidden="false" outlineLevel="0" max="50" min="50" style="7" width="9.85"/>
    <col collapsed="false" customWidth="true" hidden="false" outlineLevel="0" max="51" min="51" style="7" width="13"/>
    <col collapsed="false" customWidth="true" hidden="false" outlineLevel="0" max="52" min="52" style="7" width="29.86"/>
    <col collapsed="false" customWidth="true" hidden="false" outlineLevel="0" max="53" min="53" style="7" width="25.72"/>
    <col collapsed="false" customWidth="false" hidden="false" outlineLevel="0" max="54" min="54" style="7" width="11.43"/>
    <col collapsed="false" customWidth="false" hidden="false" outlineLevel="0" max="1024" min="55" style="8" width="11.43"/>
  </cols>
  <sheetData>
    <row r="2" customFormat="false" ht="15.75" hidden="false" customHeight="false" outlineLevel="0" collapsed="false"/>
    <row r="3" customFormat="false" ht="15" hidden="false" customHeight="false" outlineLevel="0" collapsed="false">
      <c r="B3" s="9" t="s">
        <v>63</v>
      </c>
      <c r="C3" s="9"/>
      <c r="D3" s="9"/>
      <c r="E3" s="9"/>
      <c r="F3" s="9"/>
      <c r="G3" s="9"/>
    </row>
    <row r="4" customFormat="false" ht="15.75" hidden="false" customHeight="false" outlineLevel="0" collapsed="false">
      <c r="B4" s="9"/>
      <c r="C4" s="9"/>
      <c r="D4" s="9"/>
      <c r="E4" s="9"/>
      <c r="F4" s="9"/>
      <c r="G4" s="9"/>
    </row>
    <row r="5" customFormat="false" ht="15.75" hidden="false" customHeight="false" outlineLevel="0" collapsed="false">
      <c r="B5" s="10"/>
      <c r="C5" s="11" t="n">
        <v>2</v>
      </c>
      <c r="D5" s="11" t="n">
        <v>3</v>
      </c>
      <c r="E5" s="11" t="n">
        <v>5</v>
      </c>
      <c r="F5" s="11" t="n">
        <v>6</v>
      </c>
      <c r="G5" s="11" t="n">
        <v>4</v>
      </c>
    </row>
    <row r="6" customFormat="false" ht="15.75" hidden="false" customHeight="false" outlineLevel="0" collapsed="false">
      <c r="B6" s="12" t="s">
        <v>6</v>
      </c>
      <c r="C6" s="12"/>
      <c r="D6" s="12"/>
      <c r="E6" s="12"/>
      <c r="F6" s="12"/>
      <c r="G6" s="12"/>
      <c r="J6" s="13" t="s">
        <v>7</v>
      </c>
      <c r="K6" s="14" t="s">
        <v>8</v>
      </c>
      <c r="L6" s="14"/>
      <c r="M6" s="14"/>
      <c r="N6" s="14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11"/>
      <c r="AJ6" s="7" t="n">
        <v>1</v>
      </c>
      <c r="AK6" s="7" t="n">
        <v>2</v>
      </c>
      <c r="AL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  <c r="AS6" s="7" t="s">
        <v>15</v>
      </c>
      <c r="AV6" s="7" t="s">
        <v>11</v>
      </c>
      <c r="AW6" s="7" t="s">
        <v>16</v>
      </c>
      <c r="AX6" s="7" t="s">
        <v>9</v>
      </c>
      <c r="AY6" s="7" t="s">
        <v>17</v>
      </c>
      <c r="AZ6" s="7" t="s">
        <v>18</v>
      </c>
      <c r="BA6" s="7" t="s">
        <v>19</v>
      </c>
      <c r="BB6" s="7" t="s">
        <v>20</v>
      </c>
    </row>
    <row r="7" customFormat="false" ht="15.75" hidden="false" customHeight="false" outlineLevel="0" collapsed="false">
      <c r="B7" s="16" t="s">
        <v>21</v>
      </c>
      <c r="C7" s="17" t="s">
        <v>11</v>
      </c>
      <c r="D7" s="18" t="s">
        <v>12</v>
      </c>
      <c r="E7" s="18" t="s">
        <v>14</v>
      </c>
      <c r="F7" s="18" t="s">
        <v>15</v>
      </c>
      <c r="G7" s="19" t="s">
        <v>13</v>
      </c>
      <c r="I7" s="20" t="n">
        <v>15</v>
      </c>
      <c r="J7" s="21" t="n">
        <v>44889</v>
      </c>
      <c r="K7" s="22" t="s">
        <v>64</v>
      </c>
      <c r="L7" s="23" t="n">
        <v>2</v>
      </c>
      <c r="M7" s="24" t="n">
        <v>1</v>
      </c>
      <c r="N7" s="20" t="s">
        <v>65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11" t="str">
        <f aca="false">CONCATENATE(K7,"_",N7)</f>
        <v>Uruguay_Corea</v>
      </c>
      <c r="AJ7" s="7" t="n">
        <f aca="false">IF(L7&gt;M7,3,IF(L7&lt;M7,0,1))</f>
        <v>3</v>
      </c>
      <c r="AK7" s="7" t="n">
        <f aca="false">IF(AJ7=3,0,IF(AJ7=1,1,3))</f>
        <v>0</v>
      </c>
      <c r="AL7" s="7" t="str">
        <f aca="false">IF(AJ7&gt;AK7,K7,IF(AK7&gt;AJ7,N7,"SIN GANADOR"))</f>
        <v>Uruguay</v>
      </c>
      <c r="AN7" s="7" t="n">
        <f aca="false">_xlfn.RANK.EQ(BB7,BB$7:BB$11,1)</f>
        <v>1</v>
      </c>
      <c r="AO7" s="7" t="s">
        <v>66</v>
      </c>
      <c r="AP7" s="7" t="n">
        <f aca="false">SUMIF($K$7:$K$12,AO7,$AJ$7:$AJ$12) + SUMIF($N$7:$N$12,AO7,$AK$7:$AK$12)</f>
        <v>7</v>
      </c>
      <c r="AQ7" s="7" t="n">
        <f aca="false">AR7-AS7</f>
        <v>4</v>
      </c>
      <c r="AR7" s="7" t="n">
        <f aca="false">SUMIF($K$7:$K$12,AO7,$L$7:$L$12) + SUMIF($N$7:$N$12,AO7,$M$7:$M$12)</f>
        <v>7</v>
      </c>
      <c r="AS7" s="7" t="n">
        <f aca="false">SUMIF($K$7:$K$12,AO7,$M$7:$M$12) + SUMIF($N$7:$N$12,AO7,$L$7:$L$12)</f>
        <v>3</v>
      </c>
      <c r="AV7" s="7" t="str">
        <f aca="false">AO7</f>
        <v>Portugal</v>
      </c>
      <c r="AW7" s="7" t="str">
        <f aca="false">IF(AZ7=AZ8,AV8,IF(AZ7=AZ9,AV9,IF(AZ7=AZ10,AV10,"")))</f>
        <v/>
      </c>
      <c r="AX7" s="7" t="str">
        <f aca="false">IF(AW7="","",IFERROR(VLOOKUP(CONCATENATE(AV7,"_",AW7),$AI$7:$AL$16,4,0),VLOOKUP(CONCATENATE(AW7,"_",AV7),$AI$7:$AL$16,4,0)))</f>
        <v/>
      </c>
      <c r="AY7" s="7" t="n">
        <f aca="false">IF(AX7="",1,IF(AX7=AV7,1,0))</f>
        <v>1</v>
      </c>
      <c r="AZ7" s="7" t="n">
        <f aca="false">-AP7*10000000 - AQ7*10000 - AR7*100</f>
        <v>-70040700</v>
      </c>
      <c r="BA7" s="7" t="n">
        <f aca="false">AZ7-AY7*10</f>
        <v>-70040710</v>
      </c>
      <c r="BB7" s="7" t="n">
        <f aca="false">BA7+N23</f>
        <v>-70040709</v>
      </c>
    </row>
    <row r="8" customFormat="false" ht="15" hidden="false" customHeight="false" outlineLevel="0" collapsed="false">
      <c r="B8" s="25" t="n">
        <v>1</v>
      </c>
      <c r="C8" s="26" t="str">
        <f aca="false">IFERROR(VLOOKUP($B8,$AN$7:$AS$11,C$5,0),"")</f>
        <v>Portugal</v>
      </c>
      <c r="D8" s="27" t="n">
        <f aca="false">IFERROR(VLOOKUP($B8,$AN$7:$AS$11,D$5,0),"")</f>
        <v>7</v>
      </c>
      <c r="E8" s="27" t="n">
        <f aca="false">IFERROR(VLOOKUP($B8,$AN$7:$AS$11,E$5,0),"")</f>
        <v>7</v>
      </c>
      <c r="F8" s="27" t="n">
        <f aca="false">IFERROR(VLOOKUP($B8,$AN$7:$AS$11,F$5,0),"")</f>
        <v>3</v>
      </c>
      <c r="G8" s="28" t="n">
        <f aca="false">IFERROR(VLOOKUP($B8,$AN$7:$AS$11,G$5,0),"")</f>
        <v>4</v>
      </c>
      <c r="I8" s="29" t="n">
        <v>16</v>
      </c>
      <c r="J8" s="30" t="n">
        <v>44889</v>
      </c>
      <c r="K8" s="31" t="s">
        <v>66</v>
      </c>
      <c r="L8" s="32" t="n">
        <v>2</v>
      </c>
      <c r="M8" s="33" t="n">
        <v>0</v>
      </c>
      <c r="N8" s="29" t="s">
        <v>67</v>
      </c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11" t="str">
        <f aca="false">CONCATENATE(K8,"_",N8)</f>
        <v>Portugal_Gana</v>
      </c>
      <c r="AJ8" s="7" t="n">
        <f aca="false">IF(L8&gt;M8,3,IF(L8&lt;M8,0,1))</f>
        <v>3</v>
      </c>
      <c r="AK8" s="7" t="n">
        <f aca="false">IF(AJ8=3,0,IF(AJ8=1,1,3))</f>
        <v>0</v>
      </c>
      <c r="AL8" s="7" t="str">
        <f aca="false">IF(AJ8&gt;AK8,K8,IF(AK8&gt;AJ8,N8,"SIN GANADOR"))</f>
        <v>Portugal</v>
      </c>
      <c r="AN8" s="7" t="n">
        <f aca="false">_xlfn.RANK.EQ(BB8,BB$7:BB$11,1)</f>
        <v>2</v>
      </c>
      <c r="AO8" s="7" t="s">
        <v>64</v>
      </c>
      <c r="AP8" s="7" t="n">
        <f aca="false">SUMIF($K$7:$K$12,AO8,$AJ$7:$AJ$12) + SUMIF($N$7:$N$12,AO8,$AK$7:$AK$12)</f>
        <v>7</v>
      </c>
      <c r="AQ8" s="7" t="n">
        <f aca="false">AR8-AS8</f>
        <v>2</v>
      </c>
      <c r="AR8" s="7" t="n">
        <f aca="false">SUMIF($K$7:$K$12,AO8,$L$7:$L$12) + SUMIF($N$7:$N$12,AO8,$M$7:$M$12)</f>
        <v>6</v>
      </c>
      <c r="AS8" s="7" t="n">
        <f aca="false">SUMIF($K$7:$K$12,AO8,$M$7:$M$12) + SUMIF($N$7:$N$12,AO8,$L$7:$L$12)</f>
        <v>4</v>
      </c>
      <c r="AV8" s="7" t="str">
        <f aca="false">AO8</f>
        <v>Uruguay</v>
      </c>
      <c r="AW8" s="7" t="str">
        <f aca="false">IF(AZ8=AZ9,AV9,IF(AZ8=AZ10,AV10,IF(AZ8=AZ7,AV7,"")))</f>
        <v/>
      </c>
      <c r="AX8" s="7" t="str">
        <f aca="false">IF(AW8="","",IFERROR(VLOOKUP(CONCATENATE(AV8,"_",AW8),$AI$7:$AL$16,4,0),VLOOKUP(CONCATENATE(AW8,"_",AV8),$AI$7:$AL$16,4,0)))</f>
        <v/>
      </c>
      <c r="AY8" s="7" t="n">
        <f aca="false">IF(AX8="",1,IF(AX8=AV8,1,0))</f>
        <v>1</v>
      </c>
      <c r="AZ8" s="7" t="n">
        <f aca="false">-AP8*10000000 - AQ8*10000 - AR8*100</f>
        <v>-70020600</v>
      </c>
      <c r="BA8" s="7" t="n">
        <f aca="false">AZ8-AY8*10</f>
        <v>-70020610</v>
      </c>
      <c r="BB8" s="7" t="n">
        <f aca="false">BA8+N24</f>
        <v>-70020608</v>
      </c>
    </row>
    <row r="9" customFormat="false" ht="15" hidden="false" customHeight="false" outlineLevel="0" collapsed="false">
      <c r="B9" s="34" t="n">
        <v>2</v>
      </c>
      <c r="C9" s="35" t="str">
        <f aca="false">IFERROR(VLOOKUP($B9,$AN$7:$AS$11,C$5,0),"")</f>
        <v>Uruguay</v>
      </c>
      <c r="D9" s="36" t="n">
        <f aca="false">IFERROR(VLOOKUP($B9,$AN$7:$AS$11,D$5,0),"")</f>
        <v>7</v>
      </c>
      <c r="E9" s="36" t="n">
        <f aca="false">IFERROR(VLOOKUP($B9,$AN$7:$AS$11,E$5,0),"")</f>
        <v>6</v>
      </c>
      <c r="F9" s="36" t="n">
        <f aca="false">IFERROR(VLOOKUP($B9,$AN$7:$AS$11,F$5,0),"")</f>
        <v>4</v>
      </c>
      <c r="G9" s="37" t="n">
        <f aca="false">IFERROR(VLOOKUP($B9,$AN$7:$AS$11,G$5,0),"")</f>
        <v>2</v>
      </c>
      <c r="I9" s="38" t="n">
        <f aca="false">I7+16</f>
        <v>31</v>
      </c>
      <c r="J9" s="39" t="n">
        <v>44893</v>
      </c>
      <c r="K9" s="40" t="s">
        <v>65</v>
      </c>
      <c r="L9" s="32" t="n">
        <v>1</v>
      </c>
      <c r="M9" s="33" t="n">
        <v>1</v>
      </c>
      <c r="N9" s="38" t="s">
        <v>67</v>
      </c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11" t="str">
        <f aca="false">CONCATENATE(K9,"_",N9)</f>
        <v>Corea_Gana</v>
      </c>
      <c r="AJ9" s="7" t="n">
        <f aca="false">IF(L9&gt;M9,3,IF(L9&lt;M9,0,1))</f>
        <v>1</v>
      </c>
      <c r="AK9" s="7" t="n">
        <f aca="false">IF(AJ9=3,0,IF(AJ9=1,1,3))</f>
        <v>1</v>
      </c>
      <c r="AL9" s="7" t="str">
        <f aca="false">IF(AJ9&gt;AK9,K9,IF(AK9&gt;AJ9,N9,"SIN GANADOR"))</f>
        <v>SIN GANADOR</v>
      </c>
      <c r="AN9" s="7" t="n">
        <f aca="false">_xlfn.RANK.EQ(BB9,BB$7:BB$11,1)</f>
        <v>3</v>
      </c>
      <c r="AO9" s="7" t="s">
        <v>65</v>
      </c>
      <c r="AP9" s="7" t="n">
        <f aca="false">SUMIF($K$7:$K$12,AO9,$AJ$7:$AJ$12) + SUMIF($N$7:$N$12,AO9,$AK$7:$AK$12)</f>
        <v>1</v>
      </c>
      <c r="AQ9" s="7" t="n">
        <f aca="false">AR9-AS9</f>
        <v>-3</v>
      </c>
      <c r="AR9" s="7" t="n">
        <f aca="false">SUMIF($K$7:$K$12,AO9,$L$7:$L$12) + SUMIF($N$7:$N$12,AO9,$M$7:$M$12)</f>
        <v>3</v>
      </c>
      <c r="AS9" s="7" t="n">
        <f aca="false">SUMIF($K$7:$K$12,AO9,$M$7:$M$12) + SUMIF($N$7:$N$12,AO9,$L$7:$L$12)</f>
        <v>6</v>
      </c>
      <c r="AV9" s="7" t="str">
        <f aca="false">AO9</f>
        <v>Corea</v>
      </c>
      <c r="AW9" s="7" t="str">
        <f aca="false">IF(AZ9=AZ10,AV10,IF(AZ9=AZ7,AV7,IF(AZ9=AZ8,AV8,"")))</f>
        <v/>
      </c>
      <c r="AX9" s="7" t="str">
        <f aca="false">IF(AW9="","",IFERROR(VLOOKUP(CONCATENATE(AV9,"_",AW9),$AI$7:$AL$16,4,0),VLOOKUP(CONCATENATE(AW9,"_",AV9),$AI$7:$AL$16,4,0)))</f>
        <v/>
      </c>
      <c r="AY9" s="7" t="n">
        <f aca="false">IF(AX9="",1,IF(AX9=AV9,1,0))</f>
        <v>1</v>
      </c>
      <c r="AZ9" s="7" t="n">
        <f aca="false">-AP9*10000000 - AQ9*10000 - AR9*100</f>
        <v>-9970300</v>
      </c>
      <c r="BA9" s="7" t="n">
        <f aca="false">AZ9-AY9*10</f>
        <v>-9970310</v>
      </c>
      <c r="BB9" s="7" t="n">
        <f aca="false">BA9+N25</f>
        <v>-9970307</v>
      </c>
    </row>
    <row r="10" customFormat="false" ht="15" hidden="false" customHeight="false" outlineLevel="0" collapsed="false">
      <c r="B10" s="41" t="n">
        <v>3</v>
      </c>
      <c r="C10" s="42" t="str">
        <f aca="false">IFERROR(VLOOKUP($B10,$AN$7:$AS$11,C$5,0),"")</f>
        <v>Corea</v>
      </c>
      <c r="D10" s="43" t="n">
        <f aca="false">IFERROR(VLOOKUP($B10,$AN$7:$AS$11,D$5,0),"")</f>
        <v>1</v>
      </c>
      <c r="E10" s="43" t="n">
        <f aca="false">IFERROR(VLOOKUP($B10,$AN$7:$AS$11,E$5,0),"")</f>
        <v>3</v>
      </c>
      <c r="F10" s="43" t="n">
        <f aca="false">IFERROR(VLOOKUP($B10,$AN$7:$AS$11,F$5,0),"")</f>
        <v>6</v>
      </c>
      <c r="G10" s="44" t="n">
        <f aca="false">IFERROR(VLOOKUP($B10,$AN$7:$AS$11,G$5,0),"")</f>
        <v>-3</v>
      </c>
      <c r="I10" s="29" t="n">
        <f aca="false">I8+16</f>
        <v>32</v>
      </c>
      <c r="J10" s="30" t="n">
        <v>44893</v>
      </c>
      <c r="K10" s="31" t="s">
        <v>66</v>
      </c>
      <c r="L10" s="32" t="n">
        <v>2</v>
      </c>
      <c r="M10" s="33" t="n">
        <v>2</v>
      </c>
      <c r="N10" s="29" t="s">
        <v>64</v>
      </c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11" t="str">
        <f aca="false">CONCATENATE(K10,"_",N10)</f>
        <v>Portugal_Uruguay</v>
      </c>
      <c r="AJ10" s="7" t="n">
        <f aca="false">IF(L10&gt;M10,3,IF(L10&lt;M10,0,1))</f>
        <v>1</v>
      </c>
      <c r="AK10" s="7" t="n">
        <f aca="false">IF(AJ10=3,0,IF(AJ10=1,1,3))</f>
        <v>1</v>
      </c>
      <c r="AL10" s="7" t="str">
        <f aca="false">IF(AJ10&gt;AK10,K10,IF(AK10&gt;AJ10,N10,"SIN GANADOR"))</f>
        <v>SIN GANADOR</v>
      </c>
      <c r="AN10" s="7" t="n">
        <f aca="false">_xlfn.RANK.EQ(BB10,BB$7:BB$11,1)</f>
        <v>4</v>
      </c>
      <c r="AO10" s="7" t="s">
        <v>67</v>
      </c>
      <c r="AP10" s="7" t="n">
        <f aca="false">SUMIF($K$7:$K$12,AO10,$AJ$7:$AJ$12) + SUMIF($N$7:$N$12,AO10,$AK$7:$AK$12)</f>
        <v>1</v>
      </c>
      <c r="AQ10" s="7" t="n">
        <f aca="false">AR10-AS10</f>
        <v>-3</v>
      </c>
      <c r="AR10" s="7" t="n">
        <f aca="false">SUMIF($K$7:$K$12,AO10,$L$7:$L$12) + SUMIF($N$7:$N$12,AO10,$M$7:$M$12)</f>
        <v>2</v>
      </c>
      <c r="AS10" s="7" t="n">
        <f aca="false">SUMIF($K$7:$K$12,AO10,$M$7:$M$12) + SUMIF($N$7:$N$12,AO10,$L$7:$L$12)</f>
        <v>5</v>
      </c>
      <c r="AV10" s="7" t="str">
        <f aca="false">AO10</f>
        <v>Gana</v>
      </c>
      <c r="AW10" s="7" t="str">
        <f aca="false">IF(AZ10=AZ7,AV7,IF(AZ10=AZ8,AV8,IF(AZ10=AZ9,AV9,"")))</f>
        <v/>
      </c>
      <c r="AX10" s="7" t="str">
        <f aca="false">IF(AW10="","",IFERROR(VLOOKUP(CONCATENATE(AV10,"_",AW10),$AI$7:$AL$16,4,0),VLOOKUP(CONCATENATE(AW10,"_",AV10),$AI$7:$AL$16,4,0)))</f>
        <v/>
      </c>
      <c r="AY10" s="7" t="n">
        <f aca="false">IF(AX10="",1,IF(AX10=AV10,1,0))</f>
        <v>1</v>
      </c>
      <c r="AZ10" s="7" t="n">
        <f aca="false">-AP10*10000000 - AQ10*10000 - AR10*100</f>
        <v>-9970200</v>
      </c>
      <c r="BA10" s="7" t="n">
        <f aca="false">AZ10-AY10*10</f>
        <v>-9970210</v>
      </c>
      <c r="BB10" s="7" t="n">
        <f aca="false">BA10+N26</f>
        <v>-9970206</v>
      </c>
    </row>
    <row r="11" customFormat="false" ht="15.75" hidden="false" customHeight="false" outlineLevel="0" collapsed="false">
      <c r="B11" s="45" t="n">
        <v>4</v>
      </c>
      <c r="C11" s="46" t="str">
        <f aca="false">IFERROR(VLOOKUP($B11,$AN$7:$AS$11,C$5,0),"")</f>
        <v>Gana</v>
      </c>
      <c r="D11" s="47" t="n">
        <f aca="false">IFERROR(VLOOKUP($B11,$AN$7:$AS$11,D$5,0),"")</f>
        <v>1</v>
      </c>
      <c r="E11" s="47" t="n">
        <f aca="false">IFERROR(VLOOKUP($B11,$AN$7:$AS$11,E$5,0),"")</f>
        <v>2</v>
      </c>
      <c r="F11" s="47" t="n">
        <f aca="false">IFERROR(VLOOKUP($B11,$AN$7:$AS$11,F$5,0),"")</f>
        <v>5</v>
      </c>
      <c r="G11" s="48" t="n">
        <f aca="false">IFERROR(VLOOKUP($B11,$AN$7:$AS$11,G$5,0),"")</f>
        <v>-3</v>
      </c>
      <c r="I11" s="38" t="n">
        <f aca="false">I9+16</f>
        <v>47</v>
      </c>
      <c r="J11" s="39" t="n">
        <v>44897</v>
      </c>
      <c r="K11" s="40" t="s">
        <v>67</v>
      </c>
      <c r="L11" s="32" t="n">
        <v>1</v>
      </c>
      <c r="M11" s="33" t="n">
        <v>2</v>
      </c>
      <c r="N11" s="38" t="s">
        <v>64</v>
      </c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11" t="str">
        <f aca="false">CONCATENATE(K11,"_",N11)</f>
        <v>Gana_Uruguay</v>
      </c>
      <c r="AJ11" s="7" t="n">
        <f aca="false">IF(L11&gt;M11,3,IF(L11&lt;M11,0,1))</f>
        <v>0</v>
      </c>
      <c r="AK11" s="7" t="n">
        <f aca="false">IF(AJ11=3,0,IF(AJ11=1,1,3))</f>
        <v>3</v>
      </c>
      <c r="AL11" s="7" t="str">
        <f aca="false">IF(AJ11&gt;AK11,K11,IF(AK11&gt;AJ11,N11,"SIN GANADOR"))</f>
        <v>Uruguay</v>
      </c>
    </row>
    <row r="12" customFormat="false" ht="15.75" hidden="false" customHeight="false" outlineLevel="0" collapsed="false">
      <c r="I12" s="49" t="n">
        <f aca="false">I10+16</f>
        <v>48</v>
      </c>
      <c r="J12" s="50" t="n">
        <v>44897</v>
      </c>
      <c r="K12" s="51" t="s">
        <v>65</v>
      </c>
      <c r="L12" s="52" t="n">
        <v>1</v>
      </c>
      <c r="M12" s="53" t="n">
        <v>3</v>
      </c>
      <c r="N12" s="49" t="s">
        <v>66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11" t="str">
        <f aca="false">CONCATENATE(K12,"_",N12)</f>
        <v>Corea_Portugal</v>
      </c>
      <c r="AJ12" s="7" t="n">
        <f aca="false">IF(L12&gt;M12,3,IF(L12&lt;M12,0,1))</f>
        <v>0</v>
      </c>
      <c r="AK12" s="7" t="n">
        <f aca="false">IF(AJ12=3,0,IF(AJ12=1,1,3))</f>
        <v>3</v>
      </c>
      <c r="AL12" s="7" t="str">
        <f aca="false">IF(AJ12&gt;AK12,K12,IF(AK12&gt;AJ12,N12,"SIN GANADOR"))</f>
        <v>Portugal</v>
      </c>
    </row>
    <row r="13" customFormat="false" ht="15" hidden="false" customHeight="false" outlineLevel="0" collapsed="false">
      <c r="AI13" s="11"/>
    </row>
    <row r="14" customFormat="false" ht="15" hidden="false" customHeight="false" outlineLevel="0" collapsed="false">
      <c r="AI14" s="11"/>
    </row>
    <row r="15" customFormat="false" ht="15" hidden="false" customHeight="false" outlineLevel="0" collapsed="false">
      <c r="AI15" s="11"/>
    </row>
    <row r="16" customFormat="false" ht="15" hidden="false" customHeight="false" outlineLevel="0" collapsed="false">
      <c r="AI16" s="11"/>
    </row>
    <row r="21" customFormat="false" ht="15.75" hidden="false" customHeight="false" outlineLevel="0" collapsed="false"/>
    <row r="22" customFormat="false" ht="15.75" hidden="false" customHeight="false" outlineLevel="0" collapsed="false">
      <c r="B22" s="54" t="s">
        <v>26</v>
      </c>
      <c r="C22" s="55"/>
      <c r="D22" s="55"/>
      <c r="E22" s="55"/>
      <c r="F22" s="55"/>
      <c r="G22" s="55"/>
      <c r="H22" s="56"/>
      <c r="I22" s="7" t="n">
        <v>1</v>
      </c>
      <c r="J22" s="1" t="s">
        <v>27</v>
      </c>
      <c r="K22" s="1"/>
      <c r="L22" s="1"/>
      <c r="M22" s="1"/>
    </row>
    <row r="23" customFormat="false" ht="15" hidden="false" customHeight="false" outlineLevel="0" collapsed="false">
      <c r="B23" s="57" t="s">
        <v>28</v>
      </c>
      <c r="C23" s="58"/>
      <c r="D23" s="58"/>
      <c r="E23" s="58"/>
      <c r="F23" s="58"/>
      <c r="G23" s="58"/>
      <c r="H23" s="59"/>
      <c r="I23" s="7" t="n">
        <f aca="false">IF(J23="",0,1)</f>
        <v>1</v>
      </c>
      <c r="J23" s="60" t="s">
        <v>66</v>
      </c>
      <c r="K23" s="60"/>
      <c r="L23" s="60"/>
      <c r="M23" s="61" t="n">
        <v>1</v>
      </c>
      <c r="N23" s="62" t="n">
        <f aca="false">IF(J23="",0,M23)</f>
        <v>1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customFormat="false" ht="15" hidden="false" customHeight="false" outlineLevel="0" collapsed="false">
      <c r="B24" s="57" t="s">
        <v>29</v>
      </c>
      <c r="C24" s="58"/>
      <c r="D24" s="58"/>
      <c r="E24" s="58"/>
      <c r="F24" s="58"/>
      <c r="G24" s="58"/>
      <c r="H24" s="59"/>
      <c r="I24" s="7" t="n">
        <f aca="false">IF(J24="",0,1)</f>
        <v>1</v>
      </c>
      <c r="J24" s="63" t="s">
        <v>64</v>
      </c>
      <c r="K24" s="63"/>
      <c r="L24" s="63"/>
      <c r="M24" s="64" t="n">
        <v>2</v>
      </c>
      <c r="N24" s="62" t="n">
        <f aca="false">IF(J24="",0,M24)</f>
        <v>2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customFormat="false" ht="15" hidden="false" customHeight="false" outlineLevel="0" collapsed="false">
      <c r="B25" s="57" t="s">
        <v>30</v>
      </c>
      <c r="C25" s="58"/>
      <c r="D25" s="58"/>
      <c r="E25" s="58"/>
      <c r="F25" s="58"/>
      <c r="G25" s="58"/>
      <c r="H25" s="59"/>
      <c r="I25" s="7" t="n">
        <f aca="false">IF(J25="",0,1)</f>
        <v>1</v>
      </c>
      <c r="J25" s="63" t="s">
        <v>65</v>
      </c>
      <c r="K25" s="63"/>
      <c r="L25" s="63"/>
      <c r="M25" s="64" t="n">
        <v>3</v>
      </c>
      <c r="N25" s="62" t="n">
        <f aca="false">IF(J25="",0,M25)</f>
        <v>3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customFormat="false" ht="15.75" hidden="false" customHeight="false" outlineLevel="0" collapsed="false">
      <c r="B26" s="57" t="s">
        <v>31</v>
      </c>
      <c r="C26" s="58"/>
      <c r="D26" s="58"/>
      <c r="E26" s="58"/>
      <c r="F26" s="58"/>
      <c r="G26" s="58"/>
      <c r="H26" s="59"/>
      <c r="I26" s="7" t="n">
        <f aca="false">IF(J26="",0,1)</f>
        <v>1</v>
      </c>
      <c r="J26" s="65" t="s">
        <v>67</v>
      </c>
      <c r="K26" s="65"/>
      <c r="L26" s="65"/>
      <c r="M26" s="66" t="n">
        <v>4</v>
      </c>
      <c r="N26" s="62" t="n">
        <f aca="false">IF(J26="",0,M26)</f>
        <v>4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customFormat="false" ht="15" hidden="false" customHeight="false" outlineLevel="0" collapsed="false">
      <c r="B27" s="57" t="s">
        <v>32</v>
      </c>
      <c r="C27" s="58"/>
      <c r="D27" s="58"/>
      <c r="E27" s="58"/>
      <c r="F27" s="58"/>
      <c r="G27" s="58"/>
      <c r="H27" s="59"/>
      <c r="I27" s="7"/>
      <c r="N27" s="62" t="n">
        <f aca="false">IF(J27="",0,M27)</f>
        <v>0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customFormat="false" ht="15.75" hidden="false" customHeight="false" outlineLevel="0" collapsed="false">
      <c r="B28" s="67"/>
      <c r="C28" s="68"/>
      <c r="D28" s="68"/>
      <c r="E28" s="68"/>
      <c r="F28" s="68"/>
      <c r="G28" s="68"/>
      <c r="H28" s="69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priority="2" aboveAverage="0" equalAverage="0" bottom="0" percent="0" rank="0" text="" dxfId="63">
      <formula>J23=""</formula>
    </cfRule>
  </conditionalFormatting>
  <conditionalFormatting sqref="M24:M26">
    <cfRule type="expression" priority="3" aboveAverage="0" equalAverage="0" bottom="0" percent="0" rank="0" text="" dxfId="64">
      <formula>J24=""</formula>
    </cfRule>
  </conditionalFormatting>
  <conditionalFormatting sqref="M25">
    <cfRule type="expression" priority="4" aboveAverage="0" equalAverage="0" bottom="0" percent="0" rank="0" text="" dxfId="65">
      <formula>J25=""</formula>
    </cfRule>
  </conditionalFormatting>
  <conditionalFormatting sqref="B22:H28 J22:M26">
    <cfRule type="expression" priority="5" aboveAverage="0" equalAverage="0" bottom="0" percent="0" rank="0" text="" dxfId="66">
      <formula>OR($I$22=0,AND($J$20="",$J$21="",$J$22="",$J$23=""))</formula>
    </cfRule>
  </conditionalFormatting>
  <conditionalFormatting sqref="N23:AH27">
    <cfRule type="expression" priority="6" aboveAverage="0" equalAverage="0" bottom="0" percent="0" rank="0" text="" dxfId="67">
      <formula>K23=""</formula>
    </cfRule>
  </conditionalFormatting>
  <conditionalFormatting sqref="N24:AH26">
    <cfRule type="expression" priority="7" aboveAverage="0" equalAverage="0" bottom="0" percent="0" rank="0" text="" dxfId="68">
      <formula>K24=""</formula>
    </cfRule>
  </conditionalFormatting>
  <conditionalFormatting sqref="N25:AH25">
    <cfRule type="expression" priority="8" aboveAverage="0" equalAverage="0" bottom="0" percent="0" rank="0" text="" dxfId="69">
      <formula>K25=""</formula>
    </cfRule>
  </conditionalFormatting>
  <conditionalFormatting sqref="N27:AH27">
    <cfRule type="expression" priority="9" aboveAverage="0" equalAverage="0" bottom="0" percent="0" rank="0" text="" dxfId="70">
      <formula>K27=""</formula>
    </cfRule>
  </conditionalFormatting>
  <conditionalFormatting sqref="N23:AH27">
    <cfRule type="expression" priority="10" aboveAverage="0" equalAverage="0" bottom="0" percent="0" rank="0" text="" dxfId="71">
      <formula>OR($I$22=0,AND($J$20="",$J$21="",$J$22="",$J$23=""))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W35"/>
  <sheetViews>
    <sheetView showFormulas="false" showGridLines="true" showRowColHeaders="true" showZeros="true" rightToLeft="false" tabSelected="true" showOutlineSymbols="true" defaultGridColor="true" view="normal" topLeftCell="L4" colorId="64" zoomScale="100" zoomScaleNormal="100" zoomScalePageLayoutView="100" workbookViewId="0">
      <selection pane="topLeft" activeCell="R30" activeCellId="0" sqref="R30"/>
    </sheetView>
  </sheetViews>
  <sheetFormatPr defaultColWidth="10.5390625" defaultRowHeight="15" zeroHeight="false" outlineLevelRow="0" outlineLevelCol="0"/>
  <cols>
    <col collapsed="false" customWidth="true" hidden="false" outlineLevel="0" max="3" min="3" style="0" width="11.28"/>
    <col collapsed="false" customWidth="true" hidden="false" outlineLevel="0" max="4" min="4" style="0" width="9.14"/>
    <col collapsed="false" customWidth="true" hidden="false" outlineLevel="0" max="9" min="9" style="0" width="9.14"/>
    <col collapsed="false" customWidth="true" hidden="false" outlineLevel="0" max="14" min="14" style="0" width="9.14"/>
  </cols>
  <sheetData>
    <row r="1" customFormat="false" ht="15.75" hidden="false" customHeight="false" outlineLevel="0" collapsed="false"/>
    <row r="2" customFormat="false" ht="15.75" hidden="false" customHeight="false" outlineLevel="0" collapsed="false">
      <c r="B2" s="73" t="s">
        <v>68</v>
      </c>
      <c r="C2" s="73"/>
      <c r="D2" s="73"/>
    </row>
    <row r="4" customFormat="false" ht="15.75" hidden="false" customHeight="false" outlineLevel="0" collapsed="false">
      <c r="G4" s="73" t="s">
        <v>69</v>
      </c>
      <c r="H4" s="73"/>
      <c r="I4" s="73"/>
    </row>
    <row r="5" customFormat="false" ht="15.75" hidden="false" customHeight="false" outlineLevel="0" collapsed="false">
      <c r="B5" s="74" t="n">
        <v>49</v>
      </c>
      <c r="C5" s="75" t="s">
        <v>70</v>
      </c>
      <c r="D5" s="76" t="s">
        <v>71</v>
      </c>
    </row>
    <row r="6" customFormat="false" ht="15.75" hidden="false" customHeight="false" outlineLevel="0" collapsed="false">
      <c r="B6" s="77" t="str">
        <f aca="false">'GRUPO A'!C8</f>
        <v>Holanda</v>
      </c>
      <c r="C6" s="78" t="n">
        <v>3</v>
      </c>
      <c r="D6" s="79"/>
    </row>
    <row r="7" customFormat="false" ht="15.75" hidden="false" customHeight="false" outlineLevel="0" collapsed="false">
      <c r="B7" s="80" t="str">
        <f aca="false">'GRUPO B'!C9</f>
        <v>USA</v>
      </c>
      <c r="C7" s="81" t="n">
        <v>1</v>
      </c>
      <c r="D7" s="82"/>
      <c r="E7" s="83"/>
      <c r="G7" s="74" t="n">
        <v>57</v>
      </c>
      <c r="H7" s="75" t="s">
        <v>70</v>
      </c>
      <c r="I7" s="76" t="s">
        <v>71</v>
      </c>
    </row>
    <row r="8" customFormat="false" ht="15.75" hidden="false" customHeight="false" outlineLevel="0" collapsed="false">
      <c r="E8" s="84"/>
      <c r="G8" s="77" t="str">
        <f aca="false">IF(C7&gt;C6,B7,IF(C6&gt;C7,B6,IF(D7&gt;D6,B7,IF(D6&gt;D7,B6,""))))</f>
        <v>Holanda</v>
      </c>
      <c r="H8" s="78" t="n">
        <v>1</v>
      </c>
      <c r="I8" s="79"/>
      <c r="L8" s="73" t="s">
        <v>72</v>
      </c>
      <c r="M8" s="73"/>
      <c r="N8" s="73"/>
    </row>
    <row r="9" customFormat="false" ht="15.75" hidden="false" customHeight="false" outlineLevel="0" collapsed="false">
      <c r="B9" s="74" t="n">
        <v>50</v>
      </c>
      <c r="C9" s="75" t="s">
        <v>70</v>
      </c>
      <c r="D9" s="76" t="s">
        <v>71</v>
      </c>
      <c r="E9" s="85"/>
      <c r="F9" s="86"/>
      <c r="G9" s="80" t="str">
        <f aca="false">IF(C11&gt;C10,B11,IF(C10&gt;C11,B10,IF(D11&gt;D10,B11,IF(D10&gt;D11,B10,""))))</f>
        <v>Argentina</v>
      </c>
      <c r="H9" s="81" t="n">
        <v>2</v>
      </c>
      <c r="I9" s="82"/>
      <c r="J9" s="83"/>
    </row>
    <row r="10" customFormat="false" ht="15.75" hidden="false" customHeight="false" outlineLevel="0" collapsed="false">
      <c r="B10" s="77" t="str">
        <f aca="false">'GRUPO C'!C8</f>
        <v>Argentina</v>
      </c>
      <c r="C10" s="78" t="n">
        <v>3</v>
      </c>
      <c r="D10" s="79"/>
      <c r="E10" s="87"/>
      <c r="J10" s="84"/>
    </row>
    <row r="11" customFormat="false" ht="15.75" hidden="false" customHeight="false" outlineLevel="0" collapsed="false">
      <c r="B11" s="80" t="str">
        <f aca="false">'GRUPO D'!C9</f>
        <v>Tunez</v>
      </c>
      <c r="C11" s="81" t="n">
        <v>0</v>
      </c>
      <c r="D11" s="82"/>
      <c r="E11" s="88"/>
      <c r="J11" s="84"/>
      <c r="L11" s="74" t="n">
        <v>61</v>
      </c>
      <c r="M11" s="75" t="s">
        <v>70</v>
      </c>
      <c r="N11" s="76" t="s">
        <v>71</v>
      </c>
    </row>
    <row r="12" customFormat="false" ht="15.75" hidden="false" customHeight="false" outlineLevel="0" collapsed="false">
      <c r="J12" s="84"/>
      <c r="L12" s="77" t="str">
        <f aca="false">IF(H9&gt;H8,G9,IF(H8&gt;H9,G8,IF(I9&gt;I8,G9,IF(I8&gt;I9,G8,""))))</f>
        <v>Argentina</v>
      </c>
      <c r="M12" s="78" t="n">
        <v>1</v>
      </c>
      <c r="N12" s="79"/>
    </row>
    <row r="13" customFormat="false" ht="15.75" hidden="false" customHeight="false" outlineLevel="0" collapsed="false">
      <c r="B13" s="74" t="n">
        <v>53</v>
      </c>
      <c r="C13" s="75" t="s">
        <v>70</v>
      </c>
      <c r="D13" s="76" t="s">
        <v>71</v>
      </c>
      <c r="J13" s="84"/>
      <c r="K13" s="86"/>
      <c r="L13" s="80" t="str">
        <f aca="false">IF(H17&gt;H16,G17,IF(H16&gt;H17,G16,IF(I17&gt;I16,G17,IF(I16&gt;I17,G16,""))))</f>
        <v>Brasil</v>
      </c>
      <c r="M13" s="81" t="n">
        <v>2</v>
      </c>
      <c r="N13" s="82"/>
      <c r="O13" s="83"/>
    </row>
    <row r="14" customFormat="false" ht="14.9" hidden="false" customHeight="false" outlineLevel="0" collapsed="false">
      <c r="B14" s="77" t="str">
        <f aca="false">'GRUPO E'!C8</f>
        <v>Alemania</v>
      </c>
      <c r="C14" s="78" t="n">
        <v>2</v>
      </c>
      <c r="D14" s="79" t="n">
        <v>3</v>
      </c>
      <c r="J14" s="84"/>
      <c r="O14" s="84"/>
    </row>
    <row r="15" customFormat="false" ht="14.9" hidden="false" customHeight="false" outlineLevel="0" collapsed="false">
      <c r="B15" s="80" t="str">
        <f aca="false">'GRUPO F'!C9</f>
        <v>Croacia</v>
      </c>
      <c r="C15" s="81" t="n">
        <v>2</v>
      </c>
      <c r="D15" s="82" t="n">
        <v>1</v>
      </c>
      <c r="E15" s="83"/>
      <c r="G15" s="74" t="n">
        <v>58</v>
      </c>
      <c r="H15" s="75" t="s">
        <v>70</v>
      </c>
      <c r="I15" s="76" t="s">
        <v>71</v>
      </c>
      <c r="J15" s="84"/>
      <c r="O15" s="84"/>
    </row>
    <row r="16" customFormat="false" ht="15.75" hidden="false" customHeight="false" outlineLevel="0" collapsed="false">
      <c r="E16" s="84"/>
      <c r="G16" s="77" t="str">
        <f aca="false">IF(C15&gt;C14,B15,IF(C14&gt;C15,B14,IF(D15&gt;D14,B15,IF(D14&gt;D15,B14,""))))</f>
        <v>Alemania</v>
      </c>
      <c r="H16" s="78" t="n">
        <v>1</v>
      </c>
      <c r="I16" s="79"/>
      <c r="J16" s="87"/>
      <c r="O16" s="84"/>
      <c r="Q16" s="73" t="s">
        <v>73</v>
      </c>
      <c r="R16" s="73"/>
      <c r="S16" s="73"/>
    </row>
    <row r="17" customFormat="false" ht="15.75" hidden="false" customHeight="false" outlineLevel="0" collapsed="false">
      <c r="B17" s="74" t="n">
        <v>54</v>
      </c>
      <c r="C17" s="75" t="s">
        <v>70</v>
      </c>
      <c r="D17" s="76" t="s">
        <v>71</v>
      </c>
      <c r="E17" s="85"/>
      <c r="F17" s="86"/>
      <c r="G17" s="80" t="str">
        <f aca="false">IF(C19&gt;C18,B19,IF(C18&gt;C19,B18,IF(D19&gt;D18,B19,IF(D18&gt;D19,B18,""))))</f>
        <v>Brasil</v>
      </c>
      <c r="H17" s="81" t="n">
        <v>3</v>
      </c>
      <c r="I17" s="82"/>
      <c r="O17" s="84"/>
    </row>
    <row r="18" customFormat="false" ht="15.75" hidden="false" customHeight="false" outlineLevel="0" collapsed="false">
      <c r="B18" s="77" t="str">
        <f aca="false">'GRUPO G'!C8</f>
        <v>Brasil</v>
      </c>
      <c r="C18" s="78" t="n">
        <v>3</v>
      </c>
      <c r="D18" s="79"/>
      <c r="E18" s="87"/>
      <c r="O18" s="84"/>
    </row>
    <row r="19" customFormat="false" ht="15.75" hidden="false" customHeight="false" outlineLevel="0" collapsed="false">
      <c r="B19" s="80" t="str">
        <f aca="false">'GRUPO H'!C9</f>
        <v>Uruguay</v>
      </c>
      <c r="C19" s="81" t="n">
        <v>1</v>
      </c>
      <c r="D19" s="82"/>
      <c r="E19" s="88"/>
      <c r="O19" s="84"/>
      <c r="Q19" s="74" t="n">
        <v>64</v>
      </c>
      <c r="R19" s="75" t="s">
        <v>70</v>
      </c>
      <c r="S19" s="76" t="s">
        <v>71</v>
      </c>
    </row>
    <row r="20" customFormat="false" ht="15.75" hidden="false" customHeight="false" outlineLevel="0" collapsed="false">
      <c r="O20" s="84"/>
      <c r="Q20" s="77" t="str">
        <f aca="false">IF(M13&gt;M12,L13,IF(M12&gt;M13,L12,IF(N13&gt;N12,L13,IF(N12&gt;N13,L12,""))))</f>
        <v>Brasil</v>
      </c>
      <c r="R20" s="78" t="n">
        <v>2</v>
      </c>
      <c r="S20" s="79"/>
    </row>
    <row r="21" customFormat="false" ht="15.75" hidden="false" customHeight="false" outlineLevel="0" collapsed="false">
      <c r="B21" s="74" t="n">
        <v>51</v>
      </c>
      <c r="C21" s="75" t="s">
        <v>70</v>
      </c>
      <c r="D21" s="76" t="s">
        <v>71</v>
      </c>
      <c r="O21" s="84"/>
      <c r="P21" s="89"/>
      <c r="Q21" s="80" t="str">
        <f aca="false">IF(M29&gt;M28,L29,IF(M28&gt;M29,L28,IF(N29&gt;N28,L29,IF(N28&gt;N29,L28,""))))</f>
        <v>Belgica</v>
      </c>
      <c r="R21" s="81" t="n">
        <v>1</v>
      </c>
      <c r="S21" s="82"/>
    </row>
    <row r="22" customFormat="false" ht="15.75" hidden="false" customHeight="false" outlineLevel="0" collapsed="false">
      <c r="B22" s="77" t="str">
        <f aca="false">'GRUPO B'!C8</f>
        <v>Inglaterra</v>
      </c>
      <c r="C22" s="78" t="n">
        <v>1</v>
      </c>
      <c r="D22" s="79"/>
      <c r="O22" s="84"/>
    </row>
    <row r="23" customFormat="false" ht="15.75" hidden="false" customHeight="false" outlineLevel="0" collapsed="false">
      <c r="B23" s="80" t="str">
        <f aca="false">'GRUPO A'!C9</f>
        <v>Ecuador</v>
      </c>
      <c r="C23" s="81" t="n">
        <v>2</v>
      </c>
      <c r="D23" s="82"/>
      <c r="E23" s="83"/>
      <c r="G23" s="74" t="n">
        <v>59</v>
      </c>
      <c r="H23" s="75" t="s">
        <v>70</v>
      </c>
      <c r="I23" s="76" t="s">
        <v>71</v>
      </c>
      <c r="O23" s="84"/>
      <c r="V23" s="73" t="s">
        <v>74</v>
      </c>
      <c r="W23" s="73"/>
    </row>
    <row r="24" customFormat="false" ht="15.75" hidden="false" customHeight="false" outlineLevel="0" collapsed="false">
      <c r="E24" s="84"/>
      <c r="G24" s="77" t="str">
        <f aca="false">IF(C23&gt;C22,B23,IF(C22&gt;C23,B22,IF(D23&gt;D22,B23,IF(D22&gt;D23,B22,""))))</f>
        <v>Ecuador</v>
      </c>
      <c r="H24" s="78" t="n">
        <v>1</v>
      </c>
      <c r="I24" s="79"/>
      <c r="O24" s="84"/>
      <c r="V24" s="77" t="s">
        <v>75</v>
      </c>
      <c r="W24" s="90" t="str">
        <f aca="false">IF(R20&gt;R21,Q20,IF(R21&gt;R20,Q21,IF(S20&gt;S21,Q20,IF(S21&gt;S20,Q21,""))))</f>
        <v>Brasil</v>
      </c>
    </row>
    <row r="25" customFormat="false" ht="15.75" hidden="false" customHeight="false" outlineLevel="0" collapsed="false">
      <c r="B25" s="74" t="n">
        <v>52</v>
      </c>
      <c r="C25" s="75" t="s">
        <v>70</v>
      </c>
      <c r="D25" s="76" t="s">
        <v>71</v>
      </c>
      <c r="E25" s="85"/>
      <c r="F25" s="86"/>
      <c r="G25" s="80" t="str">
        <f aca="false">IF(C27&gt;C26,B27,IF(C26&gt;C27,B26,IF(D27&gt;D26,B27,IF(D26&gt;D27,B26,""))))</f>
        <v>Francia</v>
      </c>
      <c r="H25" s="81" t="n">
        <v>2</v>
      </c>
      <c r="I25" s="82"/>
      <c r="J25" s="83"/>
      <c r="O25" s="84"/>
      <c r="Q25" s="73" t="s">
        <v>76</v>
      </c>
      <c r="R25" s="73"/>
      <c r="S25" s="73"/>
      <c r="V25" s="91" t="s">
        <v>77</v>
      </c>
      <c r="W25" s="92" t="str">
        <f aca="false">IF(W24=Q20,Q21,IF(W24=Q21,Q20,""))</f>
        <v>Belgica</v>
      </c>
    </row>
    <row r="26" customFormat="false" ht="15.75" hidden="false" customHeight="false" outlineLevel="0" collapsed="false">
      <c r="B26" s="77" t="str">
        <f aca="false">'GRUPO D'!C8</f>
        <v>Francia</v>
      </c>
      <c r="C26" s="78" t="n">
        <v>3</v>
      </c>
      <c r="D26" s="79"/>
      <c r="E26" s="87"/>
      <c r="J26" s="84"/>
      <c r="O26" s="84"/>
      <c r="V26" s="80" t="s">
        <v>78</v>
      </c>
      <c r="W26" s="93" t="str">
        <f aca="false">IF(R29&gt;R30,Q29,IF(R30&gt;R29,Q30,IF(S29&gt;S30,Q29,IF(S30&gt;S29,Q30,""))))</f>
        <v>Argentina</v>
      </c>
    </row>
    <row r="27" customFormat="false" ht="15.75" hidden="false" customHeight="false" outlineLevel="0" collapsed="false">
      <c r="B27" s="80" t="str">
        <f aca="false">'GRUPO C'!C9</f>
        <v>Mexico</v>
      </c>
      <c r="C27" s="81" t="n">
        <v>1</v>
      </c>
      <c r="D27" s="82"/>
      <c r="E27" s="88"/>
      <c r="J27" s="84"/>
      <c r="L27" s="74" t="n">
        <v>62</v>
      </c>
      <c r="M27" s="75" t="s">
        <v>70</v>
      </c>
      <c r="N27" s="76" t="s">
        <v>71</v>
      </c>
      <c r="O27" s="84"/>
    </row>
    <row r="28" customFormat="false" ht="15.75" hidden="false" customHeight="false" outlineLevel="0" collapsed="false">
      <c r="J28" s="84"/>
      <c r="L28" s="77" t="str">
        <f aca="false">IF(H25&gt;H24,G25,IF(H24&gt;H25,G24,IF(I25&gt;I24,G25,IF(I24&gt;I25,G24,""))))</f>
        <v>Francia</v>
      </c>
      <c r="M28" s="78" t="n">
        <v>1</v>
      </c>
      <c r="N28" s="79"/>
      <c r="O28" s="87"/>
      <c r="Q28" s="74" t="n">
        <v>63</v>
      </c>
      <c r="R28" s="75" t="s">
        <v>70</v>
      </c>
      <c r="S28" s="76" t="s">
        <v>71</v>
      </c>
    </row>
    <row r="29" customFormat="false" ht="15.75" hidden="false" customHeight="false" outlineLevel="0" collapsed="false">
      <c r="B29" s="74" t="n">
        <v>55</v>
      </c>
      <c r="C29" s="75" t="s">
        <v>70</v>
      </c>
      <c r="D29" s="76" t="s">
        <v>71</v>
      </c>
      <c r="J29" s="84"/>
      <c r="K29" s="86"/>
      <c r="L29" s="80" t="str">
        <f aca="false">IF(H33&gt;H32,G33,IF(H32&gt;H33,G32,IF(I33&gt;I32,G33,IF(I32&gt;I33,G32,""))))</f>
        <v>Belgica</v>
      </c>
      <c r="M29" s="81" t="n">
        <v>3</v>
      </c>
      <c r="N29" s="82"/>
      <c r="Q29" s="77" t="str">
        <f aca="false">IF(Q20=L12,L13,IF(Q20=L13,L12,""))</f>
        <v>Argentina</v>
      </c>
      <c r="R29" s="78" t="n">
        <v>2</v>
      </c>
      <c r="S29" s="79"/>
    </row>
    <row r="30" customFormat="false" ht="15.75" hidden="false" customHeight="false" outlineLevel="0" collapsed="false">
      <c r="B30" s="77" t="str">
        <f aca="false">'GRUPO F'!C8</f>
        <v>Belgica</v>
      </c>
      <c r="C30" s="78" t="n">
        <v>2</v>
      </c>
      <c r="D30" s="79"/>
      <c r="J30" s="84"/>
      <c r="Q30" s="80" t="str">
        <f aca="false">IF(Q21=L28,L29,IF(Q21=L29,L28,""))</f>
        <v>Francia</v>
      </c>
      <c r="R30" s="81" t="n">
        <v>1</v>
      </c>
      <c r="S30" s="82"/>
    </row>
    <row r="31" customFormat="false" ht="15.75" hidden="false" customHeight="false" outlineLevel="0" collapsed="false">
      <c r="B31" s="80" t="str">
        <f aca="false">'GRUPO E'!C9</f>
        <v>España</v>
      </c>
      <c r="C31" s="81" t="n">
        <v>1</v>
      </c>
      <c r="D31" s="82"/>
      <c r="E31" s="83"/>
      <c r="G31" s="74" t="n">
        <v>60</v>
      </c>
      <c r="H31" s="75" t="s">
        <v>70</v>
      </c>
      <c r="I31" s="76" t="s">
        <v>71</v>
      </c>
      <c r="J31" s="84"/>
    </row>
    <row r="32" customFormat="false" ht="15.75" hidden="false" customHeight="false" outlineLevel="0" collapsed="false">
      <c r="E32" s="84"/>
      <c r="G32" s="77" t="str">
        <f aca="false">IF(C31&gt;C30,B31,IF(C30&gt;C31,B30,IF(D31&gt;D30,B31,IF(D30&gt;D31,B30,""))))</f>
        <v>Belgica</v>
      </c>
      <c r="H32" s="78" t="n">
        <v>2</v>
      </c>
      <c r="I32" s="79"/>
      <c r="J32" s="87"/>
    </row>
    <row r="33" customFormat="false" ht="15.75" hidden="false" customHeight="false" outlineLevel="0" collapsed="false">
      <c r="B33" s="74" t="n">
        <v>56</v>
      </c>
      <c r="C33" s="75" t="s">
        <v>70</v>
      </c>
      <c r="D33" s="76" t="s">
        <v>71</v>
      </c>
      <c r="E33" s="85"/>
      <c r="F33" s="86"/>
      <c r="G33" s="80" t="str">
        <f aca="false">IF(C35&gt;C34,B35,IF(C34&gt;C35,B34,IF(D35&gt;D34,B35,IF(D34&gt;D35,B34,""))))</f>
        <v>Portugal</v>
      </c>
      <c r="H33" s="81" t="n">
        <v>1</v>
      </c>
      <c r="I33" s="82"/>
    </row>
    <row r="34" customFormat="false" ht="15" hidden="false" customHeight="false" outlineLevel="0" collapsed="false">
      <c r="B34" s="77" t="str">
        <f aca="false">'GRUPO H'!C8</f>
        <v>Portugal</v>
      </c>
      <c r="C34" s="78" t="n">
        <v>3</v>
      </c>
      <c r="D34" s="79"/>
      <c r="E34" s="87"/>
    </row>
    <row r="35" customFormat="false" ht="15.75" hidden="false" customHeight="false" outlineLevel="0" collapsed="false">
      <c r="B35" s="80" t="str">
        <f aca="false">'GRUPO G'!C9</f>
        <v>Suiza</v>
      </c>
      <c r="C35" s="81" t="n">
        <v>1</v>
      </c>
      <c r="D35" s="82"/>
      <c r="E35" s="88"/>
    </row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priority="2" aboveAverage="0" equalAverage="0" bottom="0" percent="0" rank="0" text="" dxfId="72">
      <formula>$C$6=$C$7</formula>
    </cfRule>
  </conditionalFormatting>
  <conditionalFormatting sqref="D7">
    <cfRule type="expression" priority="3" aboveAverage="0" equalAverage="0" bottom="0" percent="0" rank="0" text="" dxfId="73">
      <formula>$C$6=$C$7</formula>
    </cfRule>
  </conditionalFormatting>
  <conditionalFormatting sqref="D10">
    <cfRule type="expression" priority="4" aboveAverage="0" equalAverage="0" bottom="0" percent="0" rank="0" text="" dxfId="74">
      <formula>C10=C11</formula>
    </cfRule>
  </conditionalFormatting>
  <conditionalFormatting sqref="D11">
    <cfRule type="expression" priority="5" aboveAverage="0" equalAverage="0" bottom="0" percent="0" rank="0" text="" dxfId="75">
      <formula>C10=C11</formula>
    </cfRule>
  </conditionalFormatting>
  <conditionalFormatting sqref="D22">
    <cfRule type="expression" priority="6" aboveAverage="0" equalAverage="0" bottom="0" percent="0" rank="0" text="" dxfId="76">
      <formula>C22=C23</formula>
    </cfRule>
  </conditionalFormatting>
  <conditionalFormatting sqref="D23">
    <cfRule type="expression" priority="7" aboveAverage="0" equalAverage="0" bottom="0" percent="0" rank="0" text="" dxfId="77">
      <formula>C22=C23</formula>
    </cfRule>
  </conditionalFormatting>
  <conditionalFormatting sqref="D26">
    <cfRule type="expression" priority="8" aboveAverage="0" equalAverage="0" bottom="0" percent="0" rank="0" text="" dxfId="78">
      <formula>C26=C27</formula>
    </cfRule>
  </conditionalFormatting>
  <conditionalFormatting sqref="D27">
    <cfRule type="expression" priority="9" aboveAverage="0" equalAverage="0" bottom="0" percent="0" rank="0" text="" dxfId="79">
      <formula>C26=C27</formula>
    </cfRule>
  </conditionalFormatting>
  <conditionalFormatting sqref="I8">
    <cfRule type="expression" priority="10" aboveAverage="0" equalAverage="0" bottom="0" percent="0" rank="0" text="" dxfId="80">
      <formula>H8=H9</formula>
    </cfRule>
  </conditionalFormatting>
  <conditionalFormatting sqref="I9">
    <cfRule type="expression" priority="11" aboveAverage="0" equalAverage="0" bottom="0" percent="0" rank="0" text="" dxfId="81">
      <formula>H8=H9</formula>
    </cfRule>
  </conditionalFormatting>
  <conditionalFormatting sqref="N12">
    <cfRule type="expression" priority="12" aboveAverage="0" equalAverage="0" bottom="0" percent="0" rank="0" text="" dxfId="82">
      <formula>M12=M13</formula>
    </cfRule>
  </conditionalFormatting>
  <conditionalFormatting sqref="N13">
    <cfRule type="expression" priority="13" aboveAverage="0" equalAverage="0" bottom="0" percent="0" rank="0" text="" dxfId="83">
      <formula>M12=M13</formula>
    </cfRule>
  </conditionalFormatting>
  <conditionalFormatting sqref="D30">
    <cfRule type="expression" priority="14" aboveAverage="0" equalAverage="0" bottom="0" percent="0" rank="0" text="" dxfId="84">
      <formula>C30=C31</formula>
    </cfRule>
  </conditionalFormatting>
  <conditionalFormatting sqref="D31">
    <cfRule type="expression" priority="15" aboveAverage="0" equalAverage="0" bottom="0" percent="0" rank="0" text="" dxfId="85">
      <formula>C30=C31</formula>
    </cfRule>
  </conditionalFormatting>
  <conditionalFormatting sqref="D34">
    <cfRule type="expression" priority="16" aboveAverage="0" equalAverage="0" bottom="0" percent="0" rank="0" text="" dxfId="86">
      <formula>C34=C35</formula>
    </cfRule>
  </conditionalFormatting>
  <conditionalFormatting sqref="D35">
    <cfRule type="expression" priority="17" aboveAverage="0" equalAverage="0" bottom="0" percent="0" rank="0" text="" dxfId="87">
      <formula>C34=C35</formula>
    </cfRule>
  </conditionalFormatting>
  <conditionalFormatting sqref="N28">
    <cfRule type="expression" priority="18" aboveAverage="0" equalAverage="0" bottom="0" percent="0" rank="0" text="" dxfId="88">
      <formula>M28=M29</formula>
    </cfRule>
  </conditionalFormatting>
  <conditionalFormatting sqref="N29">
    <cfRule type="expression" priority="19" aboveAverage="0" equalAverage="0" bottom="0" percent="0" rank="0" text="" dxfId="89">
      <formula>M28=M29</formula>
    </cfRule>
  </conditionalFormatting>
  <conditionalFormatting sqref="D14">
    <cfRule type="expression" priority="20" aboveAverage="0" equalAverage="0" bottom="0" percent="0" rank="0" text="" dxfId="90">
      <formula>C14=C15</formula>
    </cfRule>
  </conditionalFormatting>
  <conditionalFormatting sqref="D15">
    <cfRule type="expression" priority="21" aboveAverage="0" equalAverage="0" bottom="0" percent="0" rank="0" text="" dxfId="91">
      <formula>C14=C15</formula>
    </cfRule>
  </conditionalFormatting>
  <conditionalFormatting sqref="D18">
    <cfRule type="expression" priority="22" aboveAverage="0" equalAverage="0" bottom="0" percent="0" rank="0" text="" dxfId="92">
      <formula>C18=C19</formula>
    </cfRule>
  </conditionalFormatting>
  <conditionalFormatting sqref="D19">
    <cfRule type="expression" priority="23" aboveAverage="0" equalAverage="0" bottom="0" percent="0" rank="0" text="" dxfId="93">
      <formula>C18=C19</formula>
    </cfRule>
  </conditionalFormatting>
  <conditionalFormatting sqref="I16">
    <cfRule type="expression" priority="24" aboveAverage="0" equalAverage="0" bottom="0" percent="0" rank="0" text="" dxfId="94">
      <formula>H16=H17</formula>
    </cfRule>
  </conditionalFormatting>
  <conditionalFormatting sqref="I17">
    <cfRule type="expression" priority="25" aboveAverage="0" equalAverage="0" bottom="0" percent="0" rank="0" text="" dxfId="95">
      <formula>H16=H17</formula>
    </cfRule>
  </conditionalFormatting>
  <conditionalFormatting sqref="I24">
    <cfRule type="expression" priority="26" aboveAverage="0" equalAverage="0" bottom="0" percent="0" rank="0" text="" dxfId="96">
      <formula>H24=H25</formula>
    </cfRule>
  </conditionalFormatting>
  <conditionalFormatting sqref="I25">
    <cfRule type="expression" priority="27" aboveAverage="0" equalAverage="0" bottom="0" percent="0" rank="0" text="" dxfId="97">
      <formula>H24=H25</formula>
    </cfRule>
  </conditionalFormatting>
  <conditionalFormatting sqref="I32">
    <cfRule type="expression" priority="28" aboveAverage="0" equalAverage="0" bottom="0" percent="0" rank="0" text="" dxfId="98">
      <formula>H32=H33</formula>
    </cfRule>
  </conditionalFormatting>
  <conditionalFormatting sqref="I33">
    <cfRule type="expression" priority="29" aboveAverage="0" equalAverage="0" bottom="0" percent="0" rank="0" text="" dxfId="99">
      <formula>H32=H33</formula>
    </cfRule>
  </conditionalFormatting>
  <conditionalFormatting sqref="S20">
    <cfRule type="expression" priority="30" aboveAverage="0" equalAverage="0" bottom="0" percent="0" rank="0" text="" dxfId="100">
      <formula>R20=#ref!</formula>
    </cfRule>
  </conditionalFormatting>
  <conditionalFormatting sqref="S21">
    <cfRule type="expression" priority="31" aboveAverage="0" equalAverage="0" bottom="0" percent="0" rank="0" text="" dxfId="101">
      <formula>R27=R21</formula>
    </cfRule>
  </conditionalFormatting>
  <conditionalFormatting sqref="S29">
    <cfRule type="expression" priority="32" aboveAverage="0" equalAverage="0" bottom="0" percent="0" rank="0" text="" dxfId="102">
      <formula>R29=R30</formula>
    </cfRule>
  </conditionalFormatting>
  <conditionalFormatting sqref="S30">
    <cfRule type="expression" priority="33" aboveAverage="0" equalAverage="0" bottom="0" percent="0" rank="0" text="" dxfId="103">
      <formula>R29=R30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  <dc:description/>
  <dc:language>en-US</dc:language>
  <cp:lastModifiedBy/>
  <dcterms:modified xsi:type="dcterms:W3CDTF">2022-11-20T14:58:49Z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