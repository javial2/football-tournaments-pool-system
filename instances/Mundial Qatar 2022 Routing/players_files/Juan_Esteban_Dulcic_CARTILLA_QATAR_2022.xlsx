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2FFC3EC-FEEB-43DB-AA5E-9088B68C66E6}" xr6:coauthVersionLast="47" xr6:coauthVersionMax="47" xr10:uidLastSave="{00000000-0000-0000-0000-000000000000}"/>
  <bookViews>
    <workbookView xWindow="-120" yWindow="-120" windowWidth="20730" windowHeight="11160" tabRatio="748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8" i="14"/>
  <c r="AZ8" i="14" s="1"/>
  <c r="AZ10" i="12"/>
  <c r="AW8" i="12" s="1"/>
  <c r="AX8" i="12" s="1"/>
  <c r="AY8" i="12" s="1"/>
  <c r="BA8" i="12" s="1"/>
  <c r="BB8" i="12" s="1"/>
  <c r="AZ9" i="11"/>
  <c r="AZ8" i="10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W10" i="12"/>
  <c r="AX10" i="12" s="1"/>
  <c r="AY10" i="12" s="1"/>
  <c r="BA10" i="12" s="1"/>
  <c r="BB10" i="12" s="1"/>
  <c r="AW7" i="1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8" i="11" s="1"/>
  <c r="AN9" i="10"/>
  <c r="AN7" i="10"/>
  <c r="D11" i="10" s="1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F10" i="11"/>
  <c r="G8" i="11"/>
  <c r="G10" i="11"/>
  <c r="G11" i="11"/>
  <c r="D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<sst xmlns="http://schemas.openxmlformats.org/spreadsheetml/2006/main" count="454" uniqueCount="79">
  <si>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</si>
  <si>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</si>
  <si>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</si>
  <si>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</si>
  <si>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</si>
  <si>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</si>
  <si>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</si>
  <si>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</si>
  <si>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</si>
  <si>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</si>
  <si>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</si>
  <si>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</si>
  <si>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</si>
  <si>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</si>
  <si>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</si>
  <si>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</si>
  <si>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</si>
  <si>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</si>
  <si>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</si>
  <si>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</si>
  <si>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</si>
  <si>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</si>
  <si>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</si>
  <si>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</si>
  <si>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</si>
  <si>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</si>
  <si>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</si>
  <si>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</si>
  <si>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</si>
  <si>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</si>
  <si>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</si>
  <si>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</si>
  <si>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</si>
  <si>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</si>
  <si>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</si>
  <si>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</si>
  <si>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</si>
  <si>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</si>
  <si>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</si>
  <si>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</si>
  <si>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</si>
  <si>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</si>
  <si>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</si>
  <si>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</si>
  <si>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</si>
  <si>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</si>
  <si>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</si>
  <si>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</si>
  <si>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</si>
  <si>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</si>
  <si>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</si>
  <si>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</si>
  <si>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</si>
  <si>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</si>
  <si>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</si>
  <si>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</si>
  <si>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</si>
  <si>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</si>
  <si>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</si>
  <si>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</si>
  <si>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</si>
  <si>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</si>
  <si>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</si>
  <si>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</si>
  <si>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</si>
  <si>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</si>
  <si>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</si>
  <si>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</si>
  <si>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</si>
  <si>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</si>
  <si>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</si>
  <si>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</si>
  <si>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</si>
  <si>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</si>
  <si>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</si>
  <si>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</si>
  <si>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</si>
  <si>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Juan Esteban Dulcic</t>
  </si>
  <si>
    <t>juan.e.dulcic@gmai.com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</si>
</sst>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.e.dulcic@gma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I12" sqref="I12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5C3C1A0F-0DFE-4C83-96F1-C1258263C7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8" workbookViewId="0">
      <selection activeCell="M26" sqref="M26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3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1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59900</v>
      </c>
      <c r="BA7" s="34">
        <f>AZ7-AY7*10</f>
        <v>59890</v>
      </c>
      <c r="BB7" s="34">
        <f>BA7+N23</f>
        <v>59894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0</v>
      </c>
      <c r="G8" s="10">
        <f t="shared" si="3"/>
        <v>8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8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-90080800</v>
      </c>
      <c r="BA8" s="34">
        <f t="shared" ref="BA8:BA10" si="10">AZ8-AY8*10</f>
        <v>-90080810</v>
      </c>
      <c r="BB8" s="34">
        <f>BA8+N24</f>
        <v>-90080809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-29960300</v>
      </c>
      <c r="BA9" s="34">
        <f t="shared" si="10"/>
        <v>-29960310</v>
      </c>
      <c r="BB9" s="34">
        <f>BA9+N25</f>
        <v>-29960307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3</v>
      </c>
      <c r="F10" s="50">
        <f t="shared" si="3"/>
        <v>7</v>
      </c>
      <c r="G10" s="51">
        <f t="shared" si="3"/>
        <v>-4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5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-60020500</v>
      </c>
      <c r="BA10" s="34">
        <f t="shared" si="10"/>
        <v>-60020510</v>
      </c>
      <c r="BB10" s="34">
        <f>BA10+N26</f>
        <v>-60020508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7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3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1" sqref="L11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8</v>
      </c>
      <c r="AS7" s="34">
        <f>SUMIF($K$7:$K$12,AO7,$M$7:$M$12) + SUMIF($N$7:$N$12,AO7,$L$7:$L$12)</f>
        <v>4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-70040800</v>
      </c>
      <c r="BA7" s="34">
        <f>AZ7-AY7*10</f>
        <v>-70040810</v>
      </c>
      <c r="BB7" s="34">
        <f>BA7+N23</f>
        <v>-70040809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8</v>
      </c>
      <c r="F8" s="9">
        <f t="shared" si="0"/>
        <v>4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1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-29980400</v>
      </c>
      <c r="BA8" s="34">
        <f t="shared" ref="BA8:BA10" si="10">AZ8-AY8*10</f>
        <v>-29980410</v>
      </c>
      <c r="BB8" s="34">
        <f>BA8+N24</f>
        <v>-29980407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49794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7</v>
      </c>
      <c r="AQ10" s="34">
        <f t="shared" si="11"/>
        <v>3</v>
      </c>
      <c r="AR10" s="34">
        <f>SUMIF($K$7:$K$12,AO10,$L$7:$L$12) + SUMIF($N$7:$N$12,AO10,$M$7:$M$12)</f>
        <v>6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-70030600</v>
      </c>
      <c r="BA10" s="34">
        <f t="shared" si="10"/>
        <v>-70030610</v>
      </c>
      <c r="BB10" s="34">
        <f>BA10+N26</f>
        <v>-70030608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2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2"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-9970200</v>
      </c>
      <c r="BA8" s="34">
        <f t="shared" ref="BA8:BA10" si="10">AZ8-AY8*10</f>
        <v>-9970210</v>
      </c>
      <c r="BB8" s="34">
        <f>BA8+N24</f>
        <v>-9970207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>IFERROR(VLOOKUP($B11,$AN$7:$AS$11,D$5,FALSE),"")</f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2</v>
      </c>
      <c r="AS9" s="34">
        <f t="shared" si="6"/>
        <v>8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59800</v>
      </c>
      <c r="BA9" s="34">
        <f t="shared" si="10"/>
        <v>59790</v>
      </c>
      <c r="BB9" s="34">
        <f>BA9+N25</f>
        <v>59794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2</v>
      </c>
      <c r="F11" s="54">
        <f t="shared" si="0"/>
        <v>8</v>
      </c>
      <c r="G11" s="55">
        <f t="shared" si="0"/>
        <v>-6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4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4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-60040600</v>
      </c>
      <c r="BA7" s="34">
        <f>AZ7-AY7*10</f>
        <v>-60040610</v>
      </c>
      <c r="BB7" s="34">
        <f>BA7+N23</f>
        <v>-60040608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8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-90080900</v>
      </c>
      <c r="BA8" s="34">
        <f t="shared" ref="BA8:BA10" si="10">AZ8-AY8*10</f>
        <v>-90080910</v>
      </c>
      <c r="BB8" s="34">
        <f>BA8+N24</f>
        <v>-90080909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-9930100</v>
      </c>
      <c r="BA9" s="34">
        <f t="shared" si="10"/>
        <v>-9930110</v>
      </c>
      <c r="BB9" s="34">
        <f>BA9+N25</f>
        <v>-9930107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1</v>
      </c>
      <c r="E10" s="50">
        <f t="shared" si="0"/>
        <v>1</v>
      </c>
      <c r="F10" s="50">
        <f t="shared" si="0"/>
        <v>6</v>
      </c>
      <c r="G10" s="51">
        <f t="shared" si="0"/>
        <v>-5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3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-60040600</v>
      </c>
      <c r="BA8" s="34">
        <f t="shared" ref="BA8:BA10" si="10">AZ8-AY8*10</f>
        <v>-60040610</v>
      </c>
      <c r="BB8" s="34">
        <f>BA8+N24</f>
        <v>-60040608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-9940100</v>
      </c>
      <c r="BA9" s="34">
        <f t="shared" si="10"/>
        <v>-9940110</v>
      </c>
      <c r="BB9" s="34">
        <f>BA9+N25</f>
        <v>-9940106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-9960107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5"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8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-90080800</v>
      </c>
      <c r="BA7" s="34">
        <f>AZ7-AY7*10</f>
        <v>-90080810</v>
      </c>
      <c r="BB7" s="34">
        <f>BA7+N23</f>
        <v>-90080809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0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-60000400</v>
      </c>
      <c r="BA8" s="34">
        <f t="shared" ref="BA8:BA10" si="10">AZ8-AY8*10</f>
        <v>-60000410</v>
      </c>
      <c r="BB8" s="34">
        <f>BA8+N24</f>
        <v>-60000408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49794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-29970307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7" workbookViewId="0">
      <selection activeCell="M28" sqref="M2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49994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H12" sqref="H12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  <col min="22" max="22" width="14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>
        <v>0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1</v>
      </c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0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3</v>
      </c>
      <c r="D30" s="61"/>
      <c r="J30" s="66"/>
      <c r="Q30" s="62" t="str">
        <f>IF(Q21=L28,L29,IF(Q21=L29,L28,""))</f>
        <v>Belgica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ASUS</cp:lastModifiedBy>
  <dcterms:created xsi:type="dcterms:W3CDTF">2022-11-02T00:22:23Z</dcterms:created>
  <dcterms:modified xsi:type="dcterms:W3CDTF">2022-11-20T01:40:51Z</dcterms:modified>
</cp:coreProperties>
</file>