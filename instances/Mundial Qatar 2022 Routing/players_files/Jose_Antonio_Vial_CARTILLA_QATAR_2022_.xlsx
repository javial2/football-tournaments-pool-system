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Routing\players_files\"/>
    </mc:Choice>
  </mc:AlternateContent>
  <xr:revisionPtr revIDLastSave="0" documentId="13_ncr:1_{7958678D-F9C4-4090-A267-D522F333AE7A}" xr6:coauthVersionLast="47" xr6:coauthVersionMax="47" xr10:uidLastSave="{00000000-0000-0000-0000-000000000000}"/>
  <bookViews>
    <workbookView xWindow="2037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Q10" i="14" l="1"/>
  <c r="AP10" i="12"/>
  <c r="AP10" i="11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Z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8" i="14" l="1"/>
  <c r="AZ8" i="14" s="1"/>
  <c r="AZ9" i="12"/>
  <c r="AZ10" i="12"/>
  <c r="AW7" i="12" s="1"/>
  <c r="AX7" i="12" s="1"/>
  <c r="AY7" i="12" s="1"/>
  <c r="BA7" i="12" s="1"/>
  <c r="BB7" i="12" s="1"/>
  <c r="AZ9" i="11"/>
  <c r="AZ8" i="10"/>
  <c r="AP10" i="15"/>
  <c r="AZ10" i="15" s="1"/>
  <c r="AP7" i="13"/>
  <c r="AZ7" i="13" s="1"/>
  <c r="AZ7" i="11"/>
  <c r="AW10" i="11" s="1"/>
  <c r="AX10" i="11" s="1"/>
  <c r="AY10" i="11" s="1"/>
  <c r="BA10" i="11" s="1"/>
  <c r="BB10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W10" i="12"/>
  <c r="AX10" i="12" s="1"/>
  <c r="AY10" i="12" s="1"/>
  <c r="BA10" i="12" s="1"/>
  <c r="BB10" i="12" s="1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8" i="12"/>
  <c r="AX8" i="12" s="1"/>
  <c r="AY8" i="12" s="1"/>
  <c r="BA8" i="12" s="1"/>
  <c r="BB8" i="12" s="1"/>
  <c r="AW9" i="12"/>
  <c r="AX9" i="12" s="1"/>
  <c r="AY9" i="12" s="1"/>
  <c r="BA9" i="12" s="1"/>
  <c r="BB9" i="12" s="1"/>
  <c r="AN9" i="12" s="1"/>
  <c r="AW7" i="1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8" i="2"/>
  <c r="AW9" i="2"/>
  <c r="AX9" i="2" s="1"/>
  <c r="AY9" i="2" s="1"/>
  <c r="BA9" i="2" s="1"/>
  <c r="BB9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X7" i="11"/>
  <c r="AY7" i="11" s="1"/>
  <c r="BA7" i="11" s="1"/>
  <c r="BB7" i="11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X8" i="2"/>
  <c r="AY8" i="2" s="1"/>
  <c r="BA8" i="2" s="1"/>
  <c r="BB8" i="2" s="1"/>
  <c r="AN9" i="11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C8" i="12" l="1"/>
  <c r="B14" i="16" s="1"/>
  <c r="D8" i="12"/>
  <c r="F8" i="12"/>
  <c r="G8" i="12"/>
  <c r="F10" i="11"/>
  <c r="G8" i="11"/>
  <c r="G10" i="11"/>
  <c r="E8" i="11"/>
  <c r="D8" i="11"/>
  <c r="G11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W24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<sst xmlns="http://schemas.openxmlformats.org/spreadsheetml/2006/main" count="454" uniqueCount="79">
  <si>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</si>
  <si>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</si>
  <si>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</si>
  <si>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</si>
  <si>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</si>
  <si>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</si>
  <si>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</si>
  <si>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</si>
  <si>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</si>
  <si>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</si>
  <si>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</si>
  <si>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</si>
  <si>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</si>
  <si>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</si>
  <si>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</si>
  <si>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</si>
  <si>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</si>
  <si>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</si>
  <si>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</si>
  <si>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</si>
  <si>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</si>
  <si>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</si>
  <si>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</si>
  <si>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</si>
  <si>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</si>
  <si>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</si>
  <si>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</si>
  <si>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</si>
  <si>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</si>
  <si>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</si>
  <si>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</si>
  <si>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</si>
  <si>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</si>
  <si>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</si>
  <si>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</si>
  <si>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</si>
  <si>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</si>
  <si>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</si>
  <si>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</si>
  <si>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</si>
  <si>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</si>
  <si>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</si>
  <si>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</si>
  <si>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</si>
  <si>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</si>
  <si>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</si>
  <si>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</si>
  <si>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</si>
  <si>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</si>
  <si>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</si>
  <si>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</si>
  <si>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</si>
  <si>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</si>
  <si>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</si>
  <si>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</si>
  <si>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</si>
  <si>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</si>
  <si>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</si>
  <si>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</si>
  <si>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</si>
  <si>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</si>
  <si>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</si>
  <si>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</si>
  <si>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</si>
  <si>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</si>
  <si>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</si>
  <si>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</si>
  <si>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</si>
  <si>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</si>
  <si>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</si>
  <si>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</si>
  <si>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</si>
  <si>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</si>
  <si>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</si>
  <si>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</si>
  <si>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</si>
  <si>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</si>
  <si>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José Antonio Vial</t>
  </si>
  <si>
    <t>javial2@uc.cl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</si>
</sst>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vial2@uc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48D8F9CD-07DF-4E38-B283-37F006937A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I17" sqref="I17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0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3</v>
      </c>
      <c r="AO7" s="34" t="s">
        <v>14</v>
      </c>
      <c r="AP7" s="34">
        <f>SUMIF($K$7:$K$12,AO7,$AJ$7:$AJ$12) + SUMIF($N$7:$N$12,AO7,$AK$7:$AK$12)</f>
        <v>2</v>
      </c>
      <c r="AQ7" s="34">
        <f>AR7-AS7</f>
        <v>-2</v>
      </c>
      <c r="AR7" s="34">
        <f>SUMIF($K$7:$K$12,AO7,$L$7:$L$12) + SUMIF($N$7:$N$12,AO7,$M$7:$M$12)</f>
        <v>3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-19980300</v>
      </c>
      <c r="BA7" s="34">
        <f>AZ7-AY7*10</f>
        <v>-19980310</v>
      </c>
      <c r="BB7" s="34">
        <f>BA7+N23</f>
        <v>-19980309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6</v>
      </c>
      <c r="F8" s="9">
        <f t="shared" si="3"/>
        <v>2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25">
      <c r="B9" s="11">
        <v>2</v>
      </c>
      <c r="C9" s="12" t="str">
        <f t="shared" si="3"/>
        <v>Ecuador</v>
      </c>
      <c r="D9" s="13">
        <f t="shared" si="3"/>
        <v>5</v>
      </c>
      <c r="E9" s="13">
        <f t="shared" si="3"/>
        <v>4</v>
      </c>
      <c r="F9" s="13">
        <f t="shared" si="3"/>
        <v>2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1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1</v>
      </c>
      <c r="AK9" s="34">
        <f t="shared" si="4"/>
        <v>1</v>
      </c>
      <c r="AL9" s="34" t="str">
        <f t="shared" si="2"/>
        <v>SIN GANADOR</v>
      </c>
      <c r="AN9" s="34">
        <f>_xlfn.RANK.EQ(BB9,BB$7:BB$11,1)</f>
        <v>4</v>
      </c>
      <c r="AO9" s="34" t="s">
        <v>12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-9960100</v>
      </c>
      <c r="BA9" s="34">
        <f t="shared" si="10"/>
        <v>-9960110</v>
      </c>
      <c r="BB9" s="34">
        <f>BA9+N25</f>
        <v>-9960107</v>
      </c>
    </row>
    <row r="10" spans="2:54" x14ac:dyDescent="0.25">
      <c r="B10" s="48">
        <v>3</v>
      </c>
      <c r="C10" s="49" t="str">
        <f t="shared" si="3"/>
        <v>Qatar</v>
      </c>
      <c r="D10" s="50">
        <f t="shared" si="3"/>
        <v>2</v>
      </c>
      <c r="E10" s="50">
        <f t="shared" si="3"/>
        <v>3</v>
      </c>
      <c r="F10" s="50">
        <f t="shared" si="3"/>
        <v>5</v>
      </c>
      <c r="G10" s="51">
        <f t="shared" si="3"/>
        <v>-2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2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2</v>
      </c>
      <c r="AR10" s="34">
        <f>SUMIF($K$7:$K$12,AO10,$L$7:$L$12) + SUMIF($N$7:$N$12,AO10,$M$7:$M$12)</f>
        <v>4</v>
      </c>
      <c r="AS10" s="34">
        <f>SUMIF($K$7:$K$12,AO10,$M$7:$M$12) + SUMIF($N$7:$N$12,AO10,$L$7:$L$12)</f>
        <v>2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-50020400</v>
      </c>
      <c r="BA10" s="34">
        <f t="shared" si="10"/>
        <v>-50020410</v>
      </c>
      <c r="BB10" s="34">
        <f>BA10+N26</f>
        <v>-50020406</v>
      </c>
    </row>
    <row r="11" spans="2:54" ht="15.75" thickBot="1" x14ac:dyDescent="0.3">
      <c r="B11" s="52">
        <v>4</v>
      </c>
      <c r="C11" s="53" t="str">
        <f t="shared" si="3"/>
        <v>Senegal</v>
      </c>
      <c r="D11" s="54">
        <f t="shared" si="3"/>
        <v>1</v>
      </c>
      <c r="E11" s="54">
        <f t="shared" si="3"/>
        <v>1</v>
      </c>
      <c r="F11" s="54">
        <f t="shared" si="3"/>
        <v>5</v>
      </c>
      <c r="G11" s="55">
        <f t="shared" si="3"/>
        <v>-4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0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L12" sqref="L12:M12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2</v>
      </c>
      <c r="AO7" s="34" t="s">
        <v>30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3</v>
      </c>
      <c r="AS7" s="34">
        <f>SUMIF($K$7:$K$12,AO7,$M$7:$M$12) + SUMIF($N$7:$N$12,AO7,$L$7:$L$12)</f>
        <v>1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-50020300</v>
      </c>
      <c r="BA7" s="34">
        <f>AZ7-AY7*10</f>
        <v>-50020310</v>
      </c>
      <c r="BB7" s="34">
        <f>BA7+N23</f>
        <v>-50020309</v>
      </c>
    </row>
    <row r="8" spans="2:54" x14ac:dyDescent="0.25">
      <c r="B8" s="7">
        <v>1</v>
      </c>
      <c r="C8" s="8" t="str">
        <f t="shared" ref="C8:G11" si="0">IFERROR(VLOOKUP($B8,$AN$7:$AS$11,C$5,FALSE),"")</f>
        <v>USA</v>
      </c>
      <c r="D8" s="9">
        <f t="shared" si="0"/>
        <v>7</v>
      </c>
      <c r="E8" s="9">
        <f t="shared" si="0"/>
        <v>4</v>
      </c>
      <c r="F8" s="9">
        <f t="shared" si="0"/>
        <v>2</v>
      </c>
      <c r="G8" s="10">
        <f t="shared" si="0"/>
        <v>2</v>
      </c>
      <c r="I8" s="18">
        <v>4</v>
      </c>
      <c r="J8" s="19">
        <v>44886</v>
      </c>
      <c r="K8" s="20" t="s">
        <v>31</v>
      </c>
      <c r="L8" s="21">
        <v>2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1</v>
      </c>
      <c r="AO8" s="34" t="s">
        <v>31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-70020400</v>
      </c>
      <c r="BA8" s="34">
        <f t="shared" ref="BA8:BA10" si="10">AZ8-AY8*10</f>
        <v>-70020410</v>
      </c>
      <c r="BB8" s="34">
        <f>BA8+N24</f>
        <v>-70020408</v>
      </c>
    </row>
    <row r="9" spans="2:54" x14ac:dyDescent="0.25">
      <c r="B9" s="11">
        <v>2</v>
      </c>
      <c r="C9" s="12" t="str">
        <f t="shared" si="0"/>
        <v>Inglaterra</v>
      </c>
      <c r="D9" s="13">
        <f t="shared" si="0"/>
        <v>5</v>
      </c>
      <c r="E9" s="13">
        <f t="shared" si="0"/>
        <v>3</v>
      </c>
      <c r="F9" s="13">
        <f t="shared" si="0"/>
        <v>1</v>
      </c>
      <c r="G9" s="14">
        <f t="shared" si="0"/>
        <v>2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40000</v>
      </c>
      <c r="BA9" s="34">
        <f t="shared" si="10"/>
        <v>39990</v>
      </c>
      <c r="BB9" s="34">
        <f>BA9+N25</f>
        <v>39993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1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-40000200</v>
      </c>
      <c r="BA10" s="34">
        <f t="shared" si="10"/>
        <v>-40000210</v>
      </c>
      <c r="BB10" s="34">
        <f>BA10+N26</f>
        <v>-40000206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0</v>
      </c>
      <c r="M11" s="22">
        <v>0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1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7" sqref="L7:M7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8</v>
      </c>
      <c r="AS7" s="34">
        <f>SUMIF($K$7:$K$12,AO7,$M$7:$M$12) + SUMIF($N$7:$N$12,AO7,$L$7:$L$12)</f>
        <v>1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-90070800</v>
      </c>
      <c r="BA7" s="34">
        <f>AZ7-AY7*10</f>
        <v>-90070810</v>
      </c>
      <c r="BB7" s="34">
        <f>BA7+N23</f>
        <v>-90070809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8</v>
      </c>
      <c r="F8" s="9">
        <f t="shared" si="0"/>
        <v>1</v>
      </c>
      <c r="G8" s="10">
        <f t="shared" si="0"/>
        <v>7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21</v>
      </c>
      <c r="J9" s="24">
        <v>44891</v>
      </c>
      <c r="K9" s="25" t="s">
        <v>37</v>
      </c>
      <c r="L9" s="21">
        <v>1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-29970200</v>
      </c>
      <c r="BA9" s="34">
        <f t="shared" si="10"/>
        <v>-29970210</v>
      </c>
      <c r="BB9" s="34">
        <f>BA9+N25</f>
        <v>-29970207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-4</v>
      </c>
      <c r="AR10" s="34">
        <f>SUMIF($K$7:$K$12,AO10,$L$7:$L$12) + SUMIF($N$7:$N$12,AO10,$M$7:$M$12)</f>
        <v>1</v>
      </c>
      <c r="AS10" s="34">
        <f>SUMIF($K$7:$K$12,AO10,$M$7:$M$12) + SUMIF($N$7:$N$12,AO10,$L$7:$L$12)</f>
        <v>5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-9960100</v>
      </c>
      <c r="BA10" s="34">
        <f t="shared" si="10"/>
        <v>-9960110</v>
      </c>
      <c r="BB10" s="34">
        <f>BA10+N26</f>
        <v>-9960106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1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3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3</v>
      </c>
      <c r="AO7" s="34" t="s">
        <v>40</v>
      </c>
      <c r="AP7" s="34">
        <f>SUMIF($K$7:$K$12,AO7,$AJ$7:$AJ$12) + SUMIF($N$7:$N$12,AO7,$AK$7:$AK$12)</f>
        <v>4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-39990300</v>
      </c>
      <c r="BA7" s="34">
        <f>AZ7-AY7*10</f>
        <v>-39990310</v>
      </c>
      <c r="BB7" s="34">
        <f>BA7+N23</f>
        <v>-39990309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9</v>
      </c>
      <c r="E8" s="9">
        <f t="shared" si="0"/>
        <v>6</v>
      </c>
      <c r="F8" s="9">
        <f t="shared" si="0"/>
        <v>0</v>
      </c>
      <c r="G8" s="10">
        <f t="shared" si="0"/>
        <v>6</v>
      </c>
      <c r="I8" s="18">
        <v>8</v>
      </c>
      <c r="J8" s="19">
        <v>44887</v>
      </c>
      <c r="K8" s="20" t="s">
        <v>40</v>
      </c>
      <c r="L8" s="21">
        <v>1</v>
      </c>
      <c r="M8" s="22">
        <v>1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-90060600</v>
      </c>
      <c r="BA8" s="34">
        <f t="shared" ref="BA8:BA10" si="10">AZ8-AY8*10</f>
        <v>-90060610</v>
      </c>
      <c r="BB8" s="34">
        <f>BA8+N24</f>
        <v>-90060608</v>
      </c>
    </row>
    <row r="9" spans="2:54" x14ac:dyDescent="0.25">
      <c r="B9" s="11">
        <v>2</v>
      </c>
      <c r="C9" s="12" t="str">
        <f t="shared" si="0"/>
        <v>Australia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2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0</v>
      </c>
      <c r="AK9" s="34">
        <f t="shared" si="3"/>
        <v>3</v>
      </c>
      <c r="AL9" s="34" t="str">
        <f t="shared" si="4"/>
        <v>Australia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2</v>
      </c>
      <c r="AS9" s="34">
        <f t="shared" si="6"/>
        <v>7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49800</v>
      </c>
      <c r="BA9" s="34">
        <f t="shared" si="10"/>
        <v>49790</v>
      </c>
      <c r="BB9" s="34">
        <f>BA9+N25</f>
        <v>49793</v>
      </c>
    </row>
    <row r="10" spans="2:54" x14ac:dyDescent="0.25">
      <c r="B10" s="48">
        <v>3</v>
      </c>
      <c r="C10" s="49" t="str">
        <f t="shared" si="0"/>
        <v>Francia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24</v>
      </c>
      <c r="J10" s="19">
        <v>44891</v>
      </c>
      <c r="K10" s="20" t="s">
        <v>40</v>
      </c>
      <c r="L10" s="21">
        <v>0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0</v>
      </c>
      <c r="AK10" s="34">
        <f t="shared" si="3"/>
        <v>3</v>
      </c>
      <c r="AL10" s="34" t="str">
        <f t="shared" si="4"/>
        <v>Dinamarca</v>
      </c>
      <c r="AN10" s="34">
        <f>_xlfn.RANK.EQ(BB10,BB$7:BB$11,1)</f>
        <v>2</v>
      </c>
      <c r="AO10" s="34" t="s">
        <v>43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3</v>
      </c>
      <c r="AS10" s="34">
        <f>SUMIF($K$7:$K$12,AO10,$M$7:$M$12) + SUMIF($N$7:$N$12,AO10,$L$7:$L$12)</f>
        <v>3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-40000300</v>
      </c>
      <c r="BA10" s="34">
        <f t="shared" si="10"/>
        <v>-40000310</v>
      </c>
      <c r="BB10" s="34">
        <f>BA10+N26</f>
        <v>-40000306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0</v>
      </c>
      <c r="E11" s="54">
        <f t="shared" si="0"/>
        <v>2</v>
      </c>
      <c r="F11" s="54">
        <f t="shared" si="0"/>
        <v>7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1</v>
      </c>
      <c r="M11" s="22">
        <v>2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1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6</v>
      </c>
      <c r="AQ7" s="34">
        <f>AR7-AS7</f>
        <v>-1</v>
      </c>
      <c r="AR7" s="34">
        <f>SUMIF($K$7:$K$12,AO7,$L$7:$L$12) + SUMIF($N$7:$N$12,AO7,$M$7:$M$12)</f>
        <v>3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-59990300</v>
      </c>
      <c r="BA7" s="34">
        <f>AZ7-AY7*10</f>
        <v>-59990310</v>
      </c>
      <c r="BB7" s="34">
        <f>BA7+N23</f>
        <v>-59990309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9</v>
      </c>
      <c r="E8" s="9">
        <f t="shared" si="0"/>
        <v>7</v>
      </c>
      <c r="F8" s="9">
        <f t="shared" si="0"/>
        <v>1</v>
      </c>
      <c r="G8" s="10">
        <f t="shared" si="0"/>
        <v>6</v>
      </c>
      <c r="I8" s="18">
        <v>10</v>
      </c>
      <c r="J8" s="19">
        <v>44888</v>
      </c>
      <c r="K8" s="20" t="s">
        <v>44</v>
      </c>
      <c r="L8" s="21">
        <v>1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9</v>
      </c>
      <c r="AQ8" s="34">
        <f>AR8-AS8</f>
        <v>6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1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-90060700</v>
      </c>
      <c r="BA8" s="34">
        <f t="shared" ref="BA8:BA10" si="10">AZ8-AY8*10</f>
        <v>-90060710</v>
      </c>
      <c r="BB8" s="34">
        <f>BA8+N24</f>
        <v>-90060708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6</v>
      </c>
      <c r="E9" s="13">
        <f t="shared" si="0"/>
        <v>3</v>
      </c>
      <c r="F9" s="13">
        <f t="shared" si="0"/>
        <v>4</v>
      </c>
      <c r="G9" s="14">
        <f t="shared" si="0"/>
        <v>-1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26</v>
      </c>
      <c r="J10" s="19">
        <v>44892</v>
      </c>
      <c r="K10" s="20" t="s">
        <v>44</v>
      </c>
      <c r="L10" s="21">
        <v>0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-4</v>
      </c>
      <c r="AR10" s="34">
        <f>SUMIF($K$7:$K$12,AO10,$L$7:$L$12) + SUMIF($N$7:$N$12,AO10,$M$7:$M$12)</f>
        <v>0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40000</v>
      </c>
      <c r="BA10" s="34">
        <f t="shared" si="10"/>
        <v>39990</v>
      </c>
      <c r="BB10" s="34">
        <f>BA10+N26</f>
        <v>39994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0</v>
      </c>
      <c r="M12" s="33">
        <v>2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6" sqref="L1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5</v>
      </c>
      <c r="AR7" s="34">
        <f>SUMIF($K$7:$K$12,AO7,$L$7:$L$12) + SUMIF($N$7:$N$12,AO7,$M$7:$M$12)</f>
        <v>7</v>
      </c>
      <c r="AS7" s="34">
        <f>SUMIF($K$7:$K$12,AO7,$M$7:$M$12) + SUMIF($N$7:$N$12,AO7,$L$7:$L$12)</f>
        <v>2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-70050700</v>
      </c>
      <c r="BA7" s="34">
        <f>AZ7-AY7*10</f>
        <v>-70050710</v>
      </c>
      <c r="BB7" s="34">
        <f>BA7+N23</f>
        <v>-70050709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2</v>
      </c>
      <c r="G8" s="10">
        <f t="shared" si="0"/>
        <v>5</v>
      </c>
      <c r="I8" s="18">
        <v>12</v>
      </c>
      <c r="J8" s="19">
        <v>44888</v>
      </c>
      <c r="K8" s="20" t="s">
        <v>48</v>
      </c>
      <c r="L8" s="21">
        <v>3</v>
      </c>
      <c r="M8" s="22">
        <v>0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-70030500</v>
      </c>
      <c r="BA8" s="34">
        <f t="shared" ref="BA8:BA10" si="10">AZ8-AY8*10</f>
        <v>-70030510</v>
      </c>
      <c r="BB8" s="34">
        <f>BA8+N24</f>
        <v>-70030508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5</v>
      </c>
      <c r="F9" s="13">
        <f t="shared" si="0"/>
        <v>2</v>
      </c>
      <c r="G9" s="14">
        <f t="shared" si="0"/>
        <v>3</v>
      </c>
      <c r="I9" s="23">
        <f>I7+16</f>
        <v>27</v>
      </c>
      <c r="J9" s="24">
        <v>44892</v>
      </c>
      <c r="K9" s="25" t="s">
        <v>48</v>
      </c>
      <c r="L9" s="21">
        <v>3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3</v>
      </c>
      <c r="AS9" s="34">
        <f t="shared" si="6"/>
        <v>7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39700</v>
      </c>
      <c r="BA9" s="34">
        <f t="shared" si="10"/>
        <v>39690</v>
      </c>
      <c r="BB9" s="34">
        <f>BA9+N25</f>
        <v>39693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2</v>
      </c>
      <c r="F10" s="50">
        <f t="shared" si="0"/>
        <v>6</v>
      </c>
      <c r="G10" s="51">
        <f t="shared" si="0"/>
        <v>-4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-4</v>
      </c>
      <c r="AR10" s="34">
        <f>SUMIF($K$7:$K$12,AO10,$L$7:$L$12) + SUMIF($N$7:$N$12,AO10,$M$7:$M$12)</f>
        <v>2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-29960200</v>
      </c>
      <c r="BA10" s="34">
        <f t="shared" si="10"/>
        <v>-29960210</v>
      </c>
      <c r="BB10" s="34">
        <f>BA10+N26</f>
        <v>-29960206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3</v>
      </c>
      <c r="F11" s="54">
        <f t="shared" si="0"/>
        <v>7</v>
      </c>
      <c r="G11" s="55">
        <f t="shared" si="0"/>
        <v>-4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L14" sqref="L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8</v>
      </c>
      <c r="AR7" s="34">
        <f>SUMIF($K$7:$K$12,AO7,$L$7:$L$12) + SUMIF($N$7:$N$12,AO7,$M$7:$M$12)</f>
        <v>9</v>
      </c>
      <c r="AS7" s="34">
        <f>SUMIF($K$7:$K$12,AO7,$M$7:$M$12) + SUMIF($N$7:$N$12,AO7,$L$7:$L$12)</f>
        <v>1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-90080900</v>
      </c>
      <c r="BA7" s="34">
        <f>AZ7-AY7*10</f>
        <v>-90080910</v>
      </c>
      <c r="BB7" s="34">
        <f>BA7+N23</f>
        <v>-90080909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1</v>
      </c>
      <c r="G8" s="10">
        <f t="shared" si="0"/>
        <v>8</v>
      </c>
      <c r="I8" s="18">
        <v>14</v>
      </c>
      <c r="J8" s="19">
        <v>44889</v>
      </c>
      <c r="K8" s="20" t="s">
        <v>10</v>
      </c>
      <c r="L8" s="21">
        <v>3</v>
      </c>
      <c r="M8" s="22">
        <v>1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3</v>
      </c>
      <c r="AO8" s="34" t="s">
        <v>52</v>
      </c>
      <c r="AP8" s="34">
        <f>SUMIF($K$7:$K$12,AO8,$AJ$7:$AJ$12) + SUMIF($N$7:$N$12,AO8,$AK$7:$AK$12)</f>
        <v>4</v>
      </c>
      <c r="AQ8" s="34">
        <f>AR8-AS8</f>
        <v>-2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-39980200</v>
      </c>
      <c r="BA8" s="34">
        <f t="shared" ref="BA8:BA10" si="10">AZ8-AY8*10</f>
        <v>-39980210</v>
      </c>
      <c r="BB8" s="34">
        <f>BA8+N24</f>
        <v>-39980208</v>
      </c>
    </row>
    <row r="9" spans="2:54" x14ac:dyDescent="0.25">
      <c r="B9" s="11">
        <v>2</v>
      </c>
      <c r="C9" s="12" t="str">
        <f t="shared" si="0"/>
        <v>Serbia</v>
      </c>
      <c r="D9" s="13">
        <f t="shared" si="0"/>
        <v>4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2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-39990400</v>
      </c>
      <c r="BA9" s="34">
        <f t="shared" si="10"/>
        <v>-39990410</v>
      </c>
      <c r="BB9" s="34">
        <f>BA9+N25</f>
        <v>-39990407</v>
      </c>
    </row>
    <row r="10" spans="2:54" x14ac:dyDescent="0.25">
      <c r="B10" s="48">
        <v>3</v>
      </c>
      <c r="C10" s="49" t="str">
        <f t="shared" si="0"/>
        <v>Suiza</v>
      </c>
      <c r="D10" s="50">
        <f t="shared" si="0"/>
        <v>4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0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8" sqref="L8:M8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2</v>
      </c>
      <c r="AR7" s="34">
        <f>SUMIF($K$7:$K$12,AO7,$L$7:$L$12) + SUMIF($N$7:$N$12,AO7,$M$7:$M$12)</f>
        <v>5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-60020500</v>
      </c>
      <c r="BA7" s="34">
        <f>AZ7-AY7*10</f>
        <v>-60020510</v>
      </c>
      <c r="BB7" s="34">
        <f>BA7+N23</f>
        <v>-60020509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3</v>
      </c>
      <c r="F8" s="9">
        <f t="shared" si="0"/>
        <v>0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3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0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-90030300</v>
      </c>
      <c r="BA8" s="34">
        <f t="shared" ref="BA8:BA10" si="10">AZ8-AY8*10</f>
        <v>-90030310</v>
      </c>
      <c r="BB8" s="34">
        <f>BA8+N24</f>
        <v>-90030308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5</v>
      </c>
      <c r="F9" s="13">
        <f t="shared" si="0"/>
        <v>3</v>
      </c>
      <c r="G9" s="14">
        <f t="shared" si="0"/>
        <v>2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1</v>
      </c>
      <c r="AQ9" s="34">
        <f t="shared" ref="AQ9:AQ10" si="11">AR9-AS9</f>
        <v>-3</v>
      </c>
      <c r="AR9" s="34">
        <f t="shared" si="5"/>
        <v>2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-9970200</v>
      </c>
      <c r="BA9" s="34">
        <f t="shared" si="10"/>
        <v>-9970210</v>
      </c>
      <c r="BB9" s="34">
        <f>BA9+N25</f>
        <v>-9970207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1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-9980200</v>
      </c>
      <c r="BA10" s="34">
        <f t="shared" si="10"/>
        <v>-9980210</v>
      </c>
      <c r="BB10" s="34">
        <f>BA10+N26</f>
        <v>-9980206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0</v>
      </c>
      <c r="M11" s="22">
        <v>1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3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workbookViewId="0">
      <selection activeCell="R30" sqref="R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2</v>
      </c>
      <c r="D6" s="61"/>
    </row>
    <row r="7" spans="2:19" ht="15.75" thickBot="1" x14ac:dyDescent="0.3">
      <c r="B7" s="62" t="str">
        <f>'GRUPO B'!C9</f>
        <v>Inglaterra</v>
      </c>
      <c r="C7" s="63">
        <v>1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Holanda</v>
      </c>
      <c r="H8" s="60">
        <v>1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3</v>
      </c>
      <c r="D10" s="61"/>
      <c r="E10" s="69"/>
      <c r="J10" s="66"/>
    </row>
    <row r="11" spans="2:19" ht="15.75" thickBot="1" x14ac:dyDescent="0.3">
      <c r="B11" s="62" t="str">
        <f>'GRUPO D'!C9</f>
        <v>Australia</v>
      </c>
      <c r="C11" s="63">
        <v>0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3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>
        <v>1</v>
      </c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>
        <v>0</v>
      </c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Dinamarca</v>
      </c>
      <c r="R21" s="63">
        <v>1</v>
      </c>
      <c r="S21" s="64"/>
    </row>
    <row r="22" spans="2:23" ht="15.75" thickBot="1" x14ac:dyDescent="0.3">
      <c r="B22" s="59" t="str">
        <f>'GRUPO B'!C8</f>
        <v>USA</v>
      </c>
      <c r="C22" s="60">
        <v>1</v>
      </c>
      <c r="D22" s="61">
        <v>2</v>
      </c>
      <c r="O22" s="66"/>
    </row>
    <row r="23" spans="2:23" ht="15.75" thickBot="1" x14ac:dyDescent="0.3">
      <c r="B23" s="62" t="str">
        <f>'GRUPO A'!C9</f>
        <v>Ecuador</v>
      </c>
      <c r="C23" s="63">
        <v>1</v>
      </c>
      <c r="D23" s="64">
        <v>1</v>
      </c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USA</v>
      </c>
      <c r="H24" s="60">
        <v>0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Dinamarca</v>
      </c>
    </row>
    <row r="26" spans="2:23" ht="15.75" thickBot="1" x14ac:dyDescent="0.3">
      <c r="B26" s="59" t="str">
        <f>'GRUPO D'!C8</f>
        <v>Dinamarca</v>
      </c>
      <c r="C26" s="60">
        <v>3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Uruguay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1</v>
      </c>
      <c r="N29" s="64"/>
      <c r="Q29" s="59" t="str">
        <f>IF(Q20=L12,L13,IF(Q20=L13,L12,""))</f>
        <v>Argentina</v>
      </c>
      <c r="R29" s="60">
        <v>0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/>
      <c r="J30" s="66"/>
      <c r="Q30" s="62" t="str">
        <f>IF(Q21=L28,L29,IF(Q21=L29,L28,""))</f>
        <v>Uruguay</v>
      </c>
      <c r="R30" s="63">
        <v>1</v>
      </c>
      <c r="S30" s="64"/>
    </row>
    <row r="31" spans="2:23" ht="15.75" thickBot="1" x14ac:dyDescent="0.3">
      <c r="B31" s="62" t="str">
        <f>'GRUPO E'!C9</f>
        <v>España</v>
      </c>
      <c r="C31" s="63">
        <v>1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0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1</v>
      </c>
      <c r="I33" s="64"/>
    </row>
    <row r="34" spans="2:9" x14ac:dyDescent="0.25">
      <c r="B34" s="59" t="str">
        <f>'GRUPO H'!C8</f>
        <v>Uruguay</v>
      </c>
      <c r="C34" s="60">
        <v>2</v>
      </c>
      <c r="D34" s="61"/>
      <c r="E34" s="69"/>
    </row>
    <row r="35" spans="2:9" ht="15.75" thickBot="1" x14ac:dyDescent="0.3">
      <c r="B35" s="62" t="str">
        <f>'GRUPO G'!C9</f>
        <v>Serbia</v>
      </c>
      <c r="C35" s="63">
        <v>0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2022-11-19T13:42:42Z</dcterms:modified>
</cp:coreProperties>
</file>