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 Antonio\Documents\football-tournaments-pool-system\instances\Test Mundial Qatar 2022\"/>
    </mc:Choice>
  </mc:AlternateContent>
  <xr:revisionPtr revIDLastSave="0" documentId="13_ncr:1_{FD3BBE1F-81B0-43BF-9ED8-8551F0C9B5F6}" xr6:coauthVersionLast="47" xr6:coauthVersionMax="47" xr10:uidLastSave="{00000000-0000-0000-0000-000000000000}"/>
  <bookViews>
    <workbookView xWindow="-120" yWindow="-120" windowWidth="20730" windowHeight="11160" firstSheet="2" activeTab="9" xr2:uid="{65ACC957-D329-40D2-8ECA-CE6D4F801384}"/>
  </bookViews>
  <sheets>
    <sheet name="INFORMACION" sheetId="18" r:id="rId1"/>
    <sheet name="GRUPO A" sheetId="1" r:id="rId2"/>
    <sheet name="GRUPO B" sheetId="2" r:id="rId3"/>
    <sheet name="GRUPO C" sheetId="10" r:id="rId4"/>
    <sheet name="GRUPO D" sheetId="11" r:id="rId5"/>
    <sheet name="GRUPO E" sheetId="12" r:id="rId6"/>
    <sheet name="GRUPO F" sheetId="13" r:id="rId7"/>
    <sheet name="GRUPO G" sheetId="14" r:id="rId8"/>
    <sheet name="GRUPO H" sheetId="15" r:id="rId9"/>
    <sheet name="Play-Off" sheetId="1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0" i="16" l="1"/>
  <c r="Q30" i="16"/>
  <c r="R29" i="16"/>
  <c r="Q29" i="16"/>
  <c r="R21" i="16"/>
  <c r="Q21" i="16"/>
  <c r="R20" i="16"/>
  <c r="Q20" i="16"/>
  <c r="M29" i="16"/>
  <c r="L29" i="16"/>
  <c r="M28" i="16"/>
  <c r="L28" i="16"/>
  <c r="M13" i="16"/>
  <c r="L13" i="16"/>
  <c r="M12" i="16"/>
  <c r="L12" i="16"/>
  <c r="H33" i="16"/>
  <c r="G33" i="16"/>
  <c r="H32" i="16"/>
  <c r="G32" i="16"/>
  <c r="H25" i="16"/>
  <c r="G25" i="16"/>
  <c r="H24" i="16"/>
  <c r="G24" i="16"/>
  <c r="H17" i="16"/>
  <c r="G17" i="16"/>
  <c r="H16" i="16"/>
  <c r="G16" i="16"/>
  <c r="H9" i="16"/>
  <c r="G9" i="16"/>
  <c r="H8" i="16"/>
  <c r="G8" i="16"/>
  <c r="C35" i="16"/>
  <c r="B35" i="16"/>
  <c r="C34" i="16"/>
  <c r="B34" i="16"/>
  <c r="C31" i="16"/>
  <c r="B31" i="16"/>
  <c r="C30" i="16"/>
  <c r="B30" i="16"/>
  <c r="C27" i="16"/>
  <c r="B27" i="16"/>
  <c r="C26" i="16"/>
  <c r="B26" i="16"/>
  <c r="C23" i="16"/>
  <c r="B23" i="16"/>
  <c r="C22" i="16"/>
  <c r="B22" i="16"/>
  <c r="C19" i="16"/>
  <c r="B19" i="16"/>
  <c r="C18" i="16"/>
  <c r="B18" i="16"/>
  <c r="C15" i="16"/>
  <c r="B15" i="16"/>
  <c r="C14" i="16"/>
  <c r="B14" i="16"/>
  <c r="C11" i="16"/>
  <c r="B11" i="16"/>
  <c r="C10" i="16"/>
  <c r="B10" i="16"/>
  <c r="C7" i="16"/>
  <c r="C6" i="16"/>
  <c r="N12" i="15"/>
  <c r="M12" i="15"/>
  <c r="L12" i="15"/>
  <c r="K12" i="15"/>
  <c r="AI12" i="15" s="1"/>
  <c r="N11" i="15"/>
  <c r="M11" i="15"/>
  <c r="L11" i="15"/>
  <c r="K11" i="15"/>
  <c r="AI11" i="15" s="1"/>
  <c r="N10" i="15"/>
  <c r="M10" i="15"/>
  <c r="L10" i="15"/>
  <c r="K10" i="15"/>
  <c r="AI10" i="15" s="1"/>
  <c r="N9" i="15"/>
  <c r="M9" i="15"/>
  <c r="L9" i="15"/>
  <c r="K9" i="15"/>
  <c r="AI9" i="15" s="1"/>
  <c r="N8" i="15"/>
  <c r="M8" i="15"/>
  <c r="L8" i="15"/>
  <c r="K8" i="15"/>
  <c r="N7" i="15"/>
  <c r="M7" i="15"/>
  <c r="L7" i="15"/>
  <c r="K7" i="15"/>
  <c r="AS9" i="15" s="1"/>
  <c r="N12" i="14"/>
  <c r="M12" i="14"/>
  <c r="L12" i="14"/>
  <c r="AJ12" i="14" s="1"/>
  <c r="K12" i="14"/>
  <c r="AI12" i="14" s="1"/>
  <c r="N11" i="14"/>
  <c r="M11" i="14"/>
  <c r="L11" i="14"/>
  <c r="AJ11" i="14" s="1"/>
  <c r="K11" i="14"/>
  <c r="N10" i="14"/>
  <c r="M10" i="14"/>
  <c r="L10" i="14"/>
  <c r="K10" i="14"/>
  <c r="AI10" i="14" s="1"/>
  <c r="N9" i="14"/>
  <c r="M9" i="14"/>
  <c r="L9" i="14"/>
  <c r="AJ9" i="14" s="1"/>
  <c r="AK9" i="14" s="1"/>
  <c r="AL9" i="14" s="1"/>
  <c r="K9" i="14"/>
  <c r="N8" i="14"/>
  <c r="M8" i="14"/>
  <c r="L8" i="14"/>
  <c r="K8" i="14"/>
  <c r="AI8" i="14" s="1"/>
  <c r="N7" i="14"/>
  <c r="M7" i="14"/>
  <c r="L7" i="14"/>
  <c r="AJ7" i="14" s="1"/>
  <c r="K7" i="14"/>
  <c r="AI7" i="14" s="1"/>
  <c r="N12" i="13"/>
  <c r="M12" i="13"/>
  <c r="L12" i="13"/>
  <c r="AJ12" i="13" s="1"/>
  <c r="K12" i="13"/>
  <c r="AI12" i="13" s="1"/>
  <c r="N11" i="13"/>
  <c r="M11" i="13"/>
  <c r="L11" i="13"/>
  <c r="K11" i="13"/>
  <c r="AI11" i="13" s="1"/>
  <c r="N10" i="13"/>
  <c r="M10" i="13"/>
  <c r="L10" i="13"/>
  <c r="AJ10" i="13" s="1"/>
  <c r="K10" i="13"/>
  <c r="AI10" i="13" s="1"/>
  <c r="N9" i="13"/>
  <c r="M9" i="13"/>
  <c r="L9" i="13"/>
  <c r="K9" i="13"/>
  <c r="N8" i="13"/>
  <c r="M8" i="13"/>
  <c r="L8" i="13"/>
  <c r="AJ8" i="13" s="1"/>
  <c r="AK8" i="13" s="1"/>
  <c r="K8" i="13"/>
  <c r="N7" i="13"/>
  <c r="M7" i="13"/>
  <c r="L7" i="13"/>
  <c r="K7" i="13"/>
  <c r="AS10" i="13" s="1"/>
  <c r="N12" i="12"/>
  <c r="M12" i="12"/>
  <c r="L12" i="12"/>
  <c r="AJ12" i="12" s="1"/>
  <c r="AP10" i="12" s="1"/>
  <c r="K12" i="12"/>
  <c r="AI12" i="12" s="1"/>
  <c r="N11" i="12"/>
  <c r="M11" i="12"/>
  <c r="L11" i="12"/>
  <c r="K11" i="12"/>
  <c r="AI11" i="12" s="1"/>
  <c r="N10" i="12"/>
  <c r="M10" i="12"/>
  <c r="L10" i="12"/>
  <c r="K10" i="12"/>
  <c r="AI10" i="12" s="1"/>
  <c r="N9" i="12"/>
  <c r="M9" i="12"/>
  <c r="L9" i="12"/>
  <c r="AJ9" i="12" s="1"/>
  <c r="AK9" i="12" s="1"/>
  <c r="K9" i="12"/>
  <c r="AI9" i="12" s="1"/>
  <c r="N8" i="12"/>
  <c r="M8" i="12"/>
  <c r="L8" i="12"/>
  <c r="K8" i="12"/>
  <c r="N7" i="12"/>
  <c r="M7" i="12"/>
  <c r="L7" i="12"/>
  <c r="AJ7" i="12" s="1"/>
  <c r="K7" i="12"/>
  <c r="AR10" i="12" s="1"/>
  <c r="N12" i="11"/>
  <c r="M12" i="11"/>
  <c r="L12" i="11"/>
  <c r="K12" i="11"/>
  <c r="AI12" i="11" s="1"/>
  <c r="N11" i="11"/>
  <c r="M11" i="11"/>
  <c r="L11" i="11"/>
  <c r="K11" i="11"/>
  <c r="AI11" i="11" s="1"/>
  <c r="N10" i="11"/>
  <c r="M10" i="11"/>
  <c r="L10" i="11"/>
  <c r="K10" i="11"/>
  <c r="AI10" i="11" s="1"/>
  <c r="N9" i="11"/>
  <c r="M9" i="11"/>
  <c r="L9" i="11"/>
  <c r="K9" i="11"/>
  <c r="AI9" i="11" s="1"/>
  <c r="N8" i="11"/>
  <c r="M8" i="11"/>
  <c r="L8" i="11"/>
  <c r="K8" i="11"/>
  <c r="N7" i="11"/>
  <c r="M7" i="11"/>
  <c r="L7" i="11"/>
  <c r="K7" i="11"/>
  <c r="AS10" i="11" s="1"/>
  <c r="N12" i="10"/>
  <c r="M12" i="10"/>
  <c r="L12" i="10"/>
  <c r="K12" i="10"/>
  <c r="AI12" i="10" s="1"/>
  <c r="N11" i="10"/>
  <c r="M11" i="10"/>
  <c r="L11" i="10"/>
  <c r="K11" i="10"/>
  <c r="AI11" i="10" s="1"/>
  <c r="N10" i="10"/>
  <c r="M10" i="10"/>
  <c r="L10" i="10"/>
  <c r="K10" i="10"/>
  <c r="AI10" i="10" s="1"/>
  <c r="N9" i="10"/>
  <c r="M9" i="10"/>
  <c r="L9" i="10"/>
  <c r="K9" i="10"/>
  <c r="AI9" i="10" s="1"/>
  <c r="N8" i="10"/>
  <c r="M8" i="10"/>
  <c r="L8" i="10"/>
  <c r="K8" i="10"/>
  <c r="N7" i="10"/>
  <c r="M7" i="10"/>
  <c r="L7" i="10"/>
  <c r="K7" i="10"/>
  <c r="AR10" i="10" s="1"/>
  <c r="N12" i="2"/>
  <c r="M12" i="2"/>
  <c r="L12" i="2"/>
  <c r="K12" i="2"/>
  <c r="AI12" i="2" s="1"/>
  <c r="N11" i="2"/>
  <c r="M11" i="2"/>
  <c r="L11" i="2"/>
  <c r="K11" i="2"/>
  <c r="AI11" i="2" s="1"/>
  <c r="N10" i="2"/>
  <c r="M10" i="2"/>
  <c r="L10" i="2"/>
  <c r="K10" i="2"/>
  <c r="N9" i="2"/>
  <c r="M9" i="2"/>
  <c r="L9" i="2"/>
  <c r="K9" i="2"/>
  <c r="N8" i="2"/>
  <c r="M8" i="2"/>
  <c r="L8" i="2"/>
  <c r="K8" i="2"/>
  <c r="AI8" i="2" s="1"/>
  <c r="N7" i="2"/>
  <c r="M7" i="2"/>
  <c r="L7" i="2"/>
  <c r="K7" i="2"/>
  <c r="AS10" i="2" s="1"/>
  <c r="N12" i="1"/>
  <c r="M12" i="1"/>
  <c r="L12" i="1"/>
  <c r="AJ12" i="1" s="1"/>
  <c r="AK12" i="1" s="1"/>
  <c r="AL12" i="1" s="1"/>
  <c r="K12" i="1"/>
  <c r="AI12" i="1" s="1"/>
  <c r="N11" i="1"/>
  <c r="M11" i="1"/>
  <c r="L11" i="1"/>
  <c r="AJ11" i="1" s="1"/>
  <c r="AK11" i="1" s="1"/>
  <c r="AL11" i="1" s="1"/>
  <c r="K11" i="1"/>
  <c r="AI11" i="1" s="1"/>
  <c r="N10" i="1"/>
  <c r="M10" i="1"/>
  <c r="L10" i="1"/>
  <c r="K10" i="1"/>
  <c r="N9" i="1"/>
  <c r="M9" i="1"/>
  <c r="L9" i="1"/>
  <c r="AJ9" i="1" s="1"/>
  <c r="AK9" i="1" s="1"/>
  <c r="AL9" i="1" s="1"/>
  <c r="K9" i="1"/>
  <c r="AI9" i="1" s="1"/>
  <c r="N8" i="1"/>
  <c r="M8" i="1"/>
  <c r="L8" i="1"/>
  <c r="AJ8" i="1" s="1"/>
  <c r="K8" i="1"/>
  <c r="M7" i="1"/>
  <c r="AJ7" i="1" s="1"/>
  <c r="AK7" i="1" s="1"/>
  <c r="L7" i="1"/>
  <c r="B7" i="16"/>
  <c r="B6" i="16"/>
  <c r="AI8" i="15"/>
  <c r="AI9" i="14"/>
  <c r="AI8" i="13"/>
  <c r="AJ11" i="12"/>
  <c r="AJ10" i="12"/>
  <c r="AI8" i="12"/>
  <c r="AI8" i="11"/>
  <c r="AI8" i="10"/>
  <c r="AJ12" i="2"/>
  <c r="AI10" i="2"/>
  <c r="AI10" i="1"/>
  <c r="AS10" i="1"/>
  <c r="N7" i="1"/>
  <c r="K7" i="1"/>
  <c r="AI11" i="14"/>
  <c r="AI9" i="13"/>
  <c r="AI7" i="10"/>
  <c r="AI9" i="2"/>
  <c r="AI8" i="1"/>
  <c r="I10" i="15"/>
  <c r="I12" i="15" s="1"/>
  <c r="I9" i="15"/>
  <c r="I11" i="15" s="1"/>
  <c r="I11" i="14"/>
  <c r="I10" i="14"/>
  <c r="I12" i="14" s="1"/>
  <c r="I9" i="14"/>
  <c r="I10" i="13"/>
  <c r="I12" i="13" s="1"/>
  <c r="I9" i="13"/>
  <c r="I11" i="13" s="1"/>
  <c r="I10" i="12"/>
  <c r="I12" i="12" s="1"/>
  <c r="I9" i="12"/>
  <c r="I11" i="12" s="1"/>
  <c r="I10" i="11"/>
  <c r="I12" i="11" s="1"/>
  <c r="I9" i="11"/>
  <c r="I11" i="11" s="1"/>
  <c r="I10" i="10"/>
  <c r="I12" i="10" s="1"/>
  <c r="I9" i="10"/>
  <c r="I11" i="10" s="1"/>
  <c r="I10" i="2"/>
  <c r="I12" i="2" s="1"/>
  <c r="I9" i="2"/>
  <c r="I11" i="2" s="1"/>
  <c r="I10" i="1"/>
  <c r="I12" i="1" s="1"/>
  <c r="I9" i="1"/>
  <c r="I11" i="1" s="1"/>
  <c r="N27" i="15"/>
  <c r="N26" i="15"/>
  <c r="I26" i="15"/>
  <c r="N25" i="15"/>
  <c r="I25" i="15"/>
  <c r="N24" i="15"/>
  <c r="I24" i="15"/>
  <c r="N23" i="15"/>
  <c r="I23" i="15"/>
  <c r="AJ12" i="15"/>
  <c r="AK12" i="15" s="1"/>
  <c r="AJ11" i="15"/>
  <c r="AV10" i="15"/>
  <c r="AJ10" i="15"/>
  <c r="AK10" i="15" s="1"/>
  <c r="AL10" i="15" s="1"/>
  <c r="AV9" i="15"/>
  <c r="AJ9" i="15"/>
  <c r="AV8" i="15"/>
  <c r="AJ8" i="15"/>
  <c r="AV7" i="15"/>
  <c r="AJ7" i="15"/>
  <c r="N27" i="14"/>
  <c r="N26" i="14"/>
  <c r="I26" i="14"/>
  <c r="N25" i="14"/>
  <c r="I25" i="14"/>
  <c r="N24" i="14"/>
  <c r="I24" i="14"/>
  <c r="N23" i="14"/>
  <c r="I23" i="14"/>
  <c r="AV10" i="14"/>
  <c r="AJ10" i="14"/>
  <c r="AV9" i="14"/>
  <c r="AV8" i="14"/>
  <c r="AJ8" i="14"/>
  <c r="AK8" i="14" s="1"/>
  <c r="AV7" i="14"/>
  <c r="N27" i="13"/>
  <c r="N26" i="13"/>
  <c r="I26" i="13"/>
  <c r="N25" i="13"/>
  <c r="I25" i="13"/>
  <c r="N24" i="13"/>
  <c r="I24" i="13"/>
  <c r="N23" i="13"/>
  <c r="I23" i="13"/>
  <c r="AJ11" i="13"/>
  <c r="AV10" i="13"/>
  <c r="AV9" i="13"/>
  <c r="AJ9" i="13"/>
  <c r="AK9" i="13" s="1"/>
  <c r="AL9" i="13" s="1"/>
  <c r="AV8" i="13"/>
  <c r="AV7" i="13"/>
  <c r="AJ7" i="13"/>
  <c r="N27" i="12"/>
  <c r="N26" i="12"/>
  <c r="I26" i="12"/>
  <c r="N25" i="12"/>
  <c r="I25" i="12"/>
  <c r="N24" i="12"/>
  <c r="I24" i="12"/>
  <c r="N23" i="12"/>
  <c r="I23" i="12"/>
  <c r="AV10" i="12"/>
  <c r="AV9" i="12"/>
  <c r="AS9" i="12"/>
  <c r="AV8" i="12"/>
  <c r="AJ8" i="12"/>
  <c r="AK8" i="12" s="1"/>
  <c r="AL8" i="12" s="1"/>
  <c r="AV7" i="12"/>
  <c r="N27" i="11"/>
  <c r="N26" i="11"/>
  <c r="I26" i="11"/>
  <c r="N25" i="11"/>
  <c r="I25" i="11"/>
  <c r="N24" i="11"/>
  <c r="I24" i="11"/>
  <c r="N23" i="11"/>
  <c r="I23" i="11"/>
  <c r="AJ12" i="11"/>
  <c r="AJ11" i="11"/>
  <c r="AV10" i="11"/>
  <c r="AJ10" i="11"/>
  <c r="AK10" i="11" s="1"/>
  <c r="AL10" i="11" s="1"/>
  <c r="AV9" i="11"/>
  <c r="AJ9" i="11"/>
  <c r="AK9" i="11" s="1"/>
  <c r="AL9" i="11" s="1"/>
  <c r="AV8" i="11"/>
  <c r="AJ8" i="11"/>
  <c r="AK8" i="11" s="1"/>
  <c r="AL8" i="11" s="1"/>
  <c r="AV7" i="11"/>
  <c r="AJ7" i="11"/>
  <c r="N27" i="10"/>
  <c r="N26" i="10"/>
  <c r="I26" i="10"/>
  <c r="N25" i="10"/>
  <c r="I25" i="10"/>
  <c r="N24" i="10"/>
  <c r="I24" i="10"/>
  <c r="N23" i="10"/>
  <c r="I23" i="10"/>
  <c r="AJ12" i="10"/>
  <c r="AJ11" i="10"/>
  <c r="AV10" i="10"/>
  <c r="AJ10" i="10"/>
  <c r="AK10" i="10" s="1"/>
  <c r="AL10" i="10" s="1"/>
  <c r="AV9" i="10"/>
  <c r="AJ9" i="10"/>
  <c r="AV8" i="10"/>
  <c r="AS8" i="10"/>
  <c r="AJ8" i="10"/>
  <c r="AV7" i="10"/>
  <c r="AJ7" i="10"/>
  <c r="N27" i="2"/>
  <c r="N26" i="2"/>
  <c r="I26" i="2"/>
  <c r="N25" i="2"/>
  <c r="I25" i="2"/>
  <c r="N24" i="2"/>
  <c r="I24" i="2"/>
  <c r="N23" i="2"/>
  <c r="I23" i="2"/>
  <c r="AJ11" i="2"/>
  <c r="AV10" i="2"/>
  <c r="AJ10" i="2"/>
  <c r="AK10" i="2" s="1"/>
  <c r="AL10" i="2" s="1"/>
  <c r="AV9" i="2"/>
  <c r="AJ9" i="2"/>
  <c r="AK9" i="2" s="1"/>
  <c r="AL9" i="2" s="1"/>
  <c r="AV8" i="2"/>
  <c r="AJ8" i="2"/>
  <c r="AV7" i="2"/>
  <c r="AJ7" i="2"/>
  <c r="AK7" i="2" s="1"/>
  <c r="N23" i="1"/>
  <c r="N24" i="1"/>
  <c r="N25" i="1"/>
  <c r="N26" i="1"/>
  <c r="N27" i="1"/>
  <c r="I26" i="1"/>
  <c r="I25" i="1"/>
  <c r="I24" i="1"/>
  <c r="I23" i="1"/>
  <c r="AV10" i="1"/>
  <c r="AJ10" i="1"/>
  <c r="AK10" i="1" s="1"/>
  <c r="AL10" i="1" s="1"/>
  <c r="AV9" i="1"/>
  <c r="AV8" i="1"/>
  <c r="AV7" i="1"/>
  <c r="AS10" i="14" l="1"/>
  <c r="AR7" i="13"/>
  <c r="AS8" i="12"/>
  <c r="AS10" i="12"/>
  <c r="AQ10" i="12" s="1"/>
  <c r="AZ10" i="12" s="1"/>
  <c r="AI7" i="12"/>
  <c r="AR7" i="10"/>
  <c r="AS7" i="10"/>
  <c r="AS10" i="10"/>
  <c r="AP9" i="2"/>
  <c r="AR9" i="15"/>
  <c r="AR10" i="15"/>
  <c r="AP7" i="15"/>
  <c r="AR8" i="15"/>
  <c r="AS8" i="15"/>
  <c r="AS10" i="15"/>
  <c r="AI7" i="15"/>
  <c r="AR7" i="15"/>
  <c r="AS7" i="15"/>
  <c r="AR7" i="14"/>
  <c r="AQ7" i="14" s="1"/>
  <c r="AR8" i="14"/>
  <c r="AQ8" i="14" s="1"/>
  <c r="AR9" i="14"/>
  <c r="AR10" i="14"/>
  <c r="AQ10" i="14" s="1"/>
  <c r="AS7" i="14"/>
  <c r="AS8" i="14"/>
  <c r="AS9" i="14"/>
  <c r="AR8" i="13"/>
  <c r="AR9" i="13"/>
  <c r="AR10" i="13"/>
  <c r="AQ10" i="13" s="1"/>
  <c r="AI7" i="13"/>
  <c r="AS7" i="13"/>
  <c r="AS8" i="13"/>
  <c r="AS9" i="13"/>
  <c r="AQ9" i="13" s="1"/>
  <c r="AR7" i="12"/>
  <c r="AS7" i="12"/>
  <c r="AR8" i="12"/>
  <c r="AQ8" i="12" s="1"/>
  <c r="AR9" i="12"/>
  <c r="AQ9" i="12" s="1"/>
  <c r="AR7" i="11"/>
  <c r="AQ7" i="11" s="1"/>
  <c r="AR8" i="11"/>
  <c r="AR9" i="11"/>
  <c r="AR10" i="11"/>
  <c r="AP10" i="11"/>
  <c r="AZ10" i="11" s="1"/>
  <c r="AI7" i="11"/>
  <c r="AS7" i="11"/>
  <c r="AS8" i="11"/>
  <c r="AQ8" i="11" s="1"/>
  <c r="AS9" i="11"/>
  <c r="AR8" i="10"/>
  <c r="AR9" i="10"/>
  <c r="AS9" i="10"/>
  <c r="AR7" i="2"/>
  <c r="AR8" i="2"/>
  <c r="AR9" i="2"/>
  <c r="AR10" i="2"/>
  <c r="AQ10" i="2" s="1"/>
  <c r="AI7" i="2"/>
  <c r="AS7" i="2"/>
  <c r="AS8" i="2"/>
  <c r="AQ8" i="2" s="1"/>
  <c r="AS9" i="2"/>
  <c r="AR9" i="1"/>
  <c r="AQ9" i="1" s="1"/>
  <c r="AS8" i="1"/>
  <c r="AR7" i="1"/>
  <c r="AR8" i="1"/>
  <c r="AQ8" i="1" s="1"/>
  <c r="AR10" i="1"/>
  <c r="AQ10" i="1" s="1"/>
  <c r="AS9" i="1"/>
  <c r="AI7" i="1"/>
  <c r="AS7" i="1"/>
  <c r="AQ9" i="15"/>
  <c r="AQ10" i="15"/>
  <c r="AK11" i="15"/>
  <c r="AP8" i="15" s="1"/>
  <c r="AK8" i="15"/>
  <c r="AL8" i="15" s="1"/>
  <c r="AL12" i="15"/>
  <c r="AK7" i="15"/>
  <c r="AK9" i="15"/>
  <c r="AL9" i="15" s="1"/>
  <c r="AL8" i="14"/>
  <c r="AK10" i="14"/>
  <c r="AL10" i="14" s="1"/>
  <c r="AK7" i="14"/>
  <c r="AP8" i="14" s="1"/>
  <c r="AK11" i="14"/>
  <c r="AP7" i="14" s="1"/>
  <c r="AK12" i="14"/>
  <c r="AP9" i="14" s="1"/>
  <c r="AQ8" i="13"/>
  <c r="AQ7" i="13"/>
  <c r="AP10" i="13"/>
  <c r="AL8" i="13"/>
  <c r="AK10" i="13"/>
  <c r="AL10" i="13" s="1"/>
  <c r="AK7" i="13"/>
  <c r="AP9" i="13" s="1"/>
  <c r="AP8" i="13"/>
  <c r="AK11" i="13"/>
  <c r="AL11" i="13" s="1"/>
  <c r="AK12" i="13"/>
  <c r="AL12" i="13" s="1"/>
  <c r="AQ7" i="12"/>
  <c r="AK10" i="12"/>
  <c r="AL10" i="12" s="1"/>
  <c r="AP9" i="12"/>
  <c r="AL9" i="12"/>
  <c r="AK7" i="12"/>
  <c r="AL7" i="12" s="1"/>
  <c r="AK11" i="12"/>
  <c r="AP7" i="12" s="1"/>
  <c r="AK12" i="12"/>
  <c r="AP8" i="12" s="1"/>
  <c r="AQ10" i="11"/>
  <c r="AK7" i="11"/>
  <c r="AL7" i="11" s="1"/>
  <c r="AK11" i="11"/>
  <c r="AP7" i="11" s="1"/>
  <c r="AK12" i="11"/>
  <c r="AP8" i="11" s="1"/>
  <c r="AP9" i="11"/>
  <c r="AQ10" i="10"/>
  <c r="AQ7" i="10"/>
  <c r="AQ8" i="10"/>
  <c r="AK7" i="10"/>
  <c r="AL7" i="10" s="1"/>
  <c r="AK11" i="10"/>
  <c r="AL11" i="10" s="1"/>
  <c r="AK12" i="10"/>
  <c r="AP8" i="10" s="1"/>
  <c r="AK8" i="10"/>
  <c r="AL8" i="10" s="1"/>
  <c r="AK9" i="10"/>
  <c r="AL9" i="10" s="1"/>
  <c r="AQ7" i="2"/>
  <c r="AK12" i="2"/>
  <c r="AP8" i="2" s="1"/>
  <c r="AL7" i="2"/>
  <c r="AK8" i="2"/>
  <c r="AP10" i="2" s="1"/>
  <c r="AK11" i="2"/>
  <c r="AL11" i="2" s="1"/>
  <c r="AP7" i="1"/>
  <c r="AP9" i="1"/>
  <c r="AP8" i="1"/>
  <c r="AK8" i="1"/>
  <c r="AP10" i="1" s="1"/>
  <c r="AQ7" i="15" l="1"/>
  <c r="AZ7" i="15" s="1"/>
  <c r="AQ8" i="15"/>
  <c r="AZ7" i="14"/>
  <c r="AZ8" i="14"/>
  <c r="AQ9" i="14"/>
  <c r="AZ9" i="14" s="1"/>
  <c r="AQ9" i="11"/>
  <c r="AQ9" i="10"/>
  <c r="AQ9" i="2"/>
  <c r="AZ9" i="2" s="1"/>
  <c r="AZ8" i="15"/>
  <c r="AZ8" i="13"/>
  <c r="AZ10" i="13"/>
  <c r="AZ8" i="12"/>
  <c r="AW7" i="12" s="1"/>
  <c r="AX7" i="12" s="1"/>
  <c r="AY7" i="12" s="1"/>
  <c r="BA7" i="12" s="1"/>
  <c r="BB7" i="12" s="1"/>
  <c r="AZ7" i="12"/>
  <c r="AW10" i="12" s="1"/>
  <c r="AX10" i="12" s="1"/>
  <c r="AY10" i="12" s="1"/>
  <c r="BA10" i="12" s="1"/>
  <c r="BB10" i="12" s="1"/>
  <c r="AZ9" i="12"/>
  <c r="AW9" i="12" s="1"/>
  <c r="AZ9" i="11"/>
  <c r="AZ8" i="11"/>
  <c r="AW8" i="11" s="1"/>
  <c r="AX8" i="11" s="1"/>
  <c r="AY8" i="11" s="1"/>
  <c r="BA8" i="11" s="1"/>
  <c r="BB8" i="11" s="1"/>
  <c r="AZ8" i="10"/>
  <c r="AQ7" i="1"/>
  <c r="AZ7" i="1" s="1"/>
  <c r="AP10" i="15"/>
  <c r="AZ10" i="15" s="1"/>
  <c r="AP7" i="13"/>
  <c r="AZ7" i="13" s="1"/>
  <c r="AZ7" i="11"/>
  <c r="AW10" i="11" s="1"/>
  <c r="AX10" i="11" s="1"/>
  <c r="AY10" i="11" s="1"/>
  <c r="BA10" i="11" s="1"/>
  <c r="BB10" i="11" s="1"/>
  <c r="AP10" i="10"/>
  <c r="AZ10" i="10" s="1"/>
  <c r="AZ8" i="2"/>
  <c r="AP7" i="2"/>
  <c r="AZ7" i="2" s="1"/>
  <c r="AW7" i="2" s="1"/>
  <c r="AX7" i="2" s="1"/>
  <c r="AY7" i="2" s="1"/>
  <c r="BA7" i="2" s="1"/>
  <c r="BB7" i="2" s="1"/>
  <c r="AP9" i="15"/>
  <c r="AZ9" i="15" s="1"/>
  <c r="AL11" i="15"/>
  <c r="AL7" i="15"/>
  <c r="AL7" i="14"/>
  <c r="AP10" i="14"/>
  <c r="AZ10" i="14" s="1"/>
  <c r="AW7" i="14" s="1"/>
  <c r="AX7" i="14" s="1"/>
  <c r="AY7" i="14" s="1"/>
  <c r="BA7" i="14" s="1"/>
  <c r="BB7" i="14" s="1"/>
  <c r="AL12" i="14"/>
  <c r="AL11" i="14"/>
  <c r="AZ9" i="13"/>
  <c r="AL7" i="13"/>
  <c r="AL11" i="12"/>
  <c r="AL12" i="12"/>
  <c r="AL12" i="11"/>
  <c r="AW7" i="11"/>
  <c r="AL11" i="11"/>
  <c r="AW9" i="11"/>
  <c r="AX9" i="11" s="1"/>
  <c r="AY9" i="11" s="1"/>
  <c r="BA9" i="11" s="1"/>
  <c r="BB9" i="11" s="1"/>
  <c r="AP9" i="10"/>
  <c r="AZ9" i="10" s="1"/>
  <c r="AL12" i="10"/>
  <c r="AP7" i="10"/>
  <c r="AZ7" i="10" s="1"/>
  <c r="AW8" i="2"/>
  <c r="AZ10" i="2"/>
  <c r="AW9" i="2" s="1"/>
  <c r="AL8" i="2"/>
  <c r="AL12" i="2"/>
  <c r="AZ10" i="1"/>
  <c r="AZ9" i="1"/>
  <c r="AL7" i="1"/>
  <c r="AZ8" i="1"/>
  <c r="AL8" i="1"/>
  <c r="AW9" i="13" l="1"/>
  <c r="AX9" i="13" s="1"/>
  <c r="AY9" i="13" s="1"/>
  <c r="BA9" i="13" s="1"/>
  <c r="BB9" i="13" s="1"/>
  <c r="AW8" i="12"/>
  <c r="AX8" i="12" s="1"/>
  <c r="AY8" i="12" s="1"/>
  <c r="BA8" i="12" s="1"/>
  <c r="BB8" i="12" s="1"/>
  <c r="AW10" i="15"/>
  <c r="AX10" i="15" s="1"/>
  <c r="AY10" i="15" s="1"/>
  <c r="BA10" i="15" s="1"/>
  <c r="BB10" i="15" s="1"/>
  <c r="AW10" i="2"/>
  <c r="AX10" i="2" s="1"/>
  <c r="AY10" i="2" s="1"/>
  <c r="BA10" i="2" s="1"/>
  <c r="BB10" i="2" s="1"/>
  <c r="AW9" i="1"/>
  <c r="AX9" i="1" s="1"/>
  <c r="AY9" i="1" s="1"/>
  <c r="BA9" i="1" s="1"/>
  <c r="BB9" i="1" s="1"/>
  <c r="AW10" i="1"/>
  <c r="AX10" i="1" s="1"/>
  <c r="AY10" i="1" s="1"/>
  <c r="BA10" i="1" s="1"/>
  <c r="BB10" i="1" s="1"/>
  <c r="AW8" i="1"/>
  <c r="AX8" i="1" s="1"/>
  <c r="AY8" i="1" s="1"/>
  <c r="BA8" i="1" s="1"/>
  <c r="BB8" i="1" s="1"/>
  <c r="AW7" i="1"/>
  <c r="AX7" i="1" s="1"/>
  <c r="AY7" i="1" s="1"/>
  <c r="AW7" i="15"/>
  <c r="AX7" i="15" s="1"/>
  <c r="AY7" i="15" s="1"/>
  <c r="BA7" i="15" s="1"/>
  <c r="BB7" i="15" s="1"/>
  <c r="AW9" i="15"/>
  <c r="AX9" i="15" s="1"/>
  <c r="AY9" i="15" s="1"/>
  <c r="BA9" i="15" s="1"/>
  <c r="BB9" i="15" s="1"/>
  <c r="AW8" i="15"/>
  <c r="AX8" i="15" s="1"/>
  <c r="AY8" i="15" s="1"/>
  <c r="BA8" i="15" s="1"/>
  <c r="BB8" i="15" s="1"/>
  <c r="AW9" i="14"/>
  <c r="AX9" i="14" s="1"/>
  <c r="AY9" i="14" s="1"/>
  <c r="BA9" i="14" s="1"/>
  <c r="BB9" i="14" s="1"/>
  <c r="AW8" i="14"/>
  <c r="AX8" i="14" s="1"/>
  <c r="AY8" i="14" s="1"/>
  <c r="BA8" i="14" s="1"/>
  <c r="BB8" i="14" s="1"/>
  <c r="AW10" i="14"/>
  <c r="AX10" i="14" s="1"/>
  <c r="AY10" i="14" s="1"/>
  <c r="BA10" i="14" s="1"/>
  <c r="BB10" i="14" s="1"/>
  <c r="AW10" i="13"/>
  <c r="AX10" i="13" s="1"/>
  <c r="AY10" i="13" s="1"/>
  <c r="BA10" i="13" s="1"/>
  <c r="BB10" i="13" s="1"/>
  <c r="AW8" i="13"/>
  <c r="AX8" i="13" s="1"/>
  <c r="AY8" i="13" s="1"/>
  <c r="BA8" i="13" s="1"/>
  <c r="BB8" i="13" s="1"/>
  <c r="AW7" i="13"/>
  <c r="AX7" i="13" s="1"/>
  <c r="AY7" i="13" s="1"/>
  <c r="BA7" i="13" s="1"/>
  <c r="BB7" i="13" s="1"/>
  <c r="AX9" i="12"/>
  <c r="AY9" i="12" s="1"/>
  <c r="BA9" i="12" s="1"/>
  <c r="BB9" i="12" s="1"/>
  <c r="AN9" i="12" s="1"/>
  <c r="AX7" i="11"/>
  <c r="AY7" i="11" s="1"/>
  <c r="BA7" i="11" s="1"/>
  <c r="BB7" i="11" s="1"/>
  <c r="AN9" i="11" s="1"/>
  <c r="AW7" i="10"/>
  <c r="AX7" i="10" s="1"/>
  <c r="AY7" i="10" s="1"/>
  <c r="BA7" i="10" s="1"/>
  <c r="BB7" i="10" s="1"/>
  <c r="AW9" i="10"/>
  <c r="AX9" i="10" s="1"/>
  <c r="AY9" i="10" s="1"/>
  <c r="BA9" i="10" s="1"/>
  <c r="BB9" i="10" s="1"/>
  <c r="AW10" i="10"/>
  <c r="AX10" i="10" s="1"/>
  <c r="AY10" i="10" s="1"/>
  <c r="BA10" i="10" s="1"/>
  <c r="BB10" i="10" s="1"/>
  <c r="AW8" i="10"/>
  <c r="AX8" i="10" s="1"/>
  <c r="AY8" i="10" s="1"/>
  <c r="BA8" i="10" s="1"/>
  <c r="BB8" i="10" s="1"/>
  <c r="AX8" i="2"/>
  <c r="AY8" i="2" s="1"/>
  <c r="BA8" i="2" s="1"/>
  <c r="BB8" i="2" s="1"/>
  <c r="AX9" i="2"/>
  <c r="AY9" i="2" s="1"/>
  <c r="BA9" i="2" s="1"/>
  <c r="BB9" i="2" s="1"/>
  <c r="AN9" i="15" l="1"/>
  <c r="AN8" i="15"/>
  <c r="AN7" i="15"/>
  <c r="AN10" i="15"/>
  <c r="AN10" i="14"/>
  <c r="AN8" i="14"/>
  <c r="AN9" i="14"/>
  <c r="AN7" i="14"/>
  <c r="AN7" i="13"/>
  <c r="AN10" i="13"/>
  <c r="AN9" i="13"/>
  <c r="AN8" i="13"/>
  <c r="AN8" i="12"/>
  <c r="G8" i="12" s="1"/>
  <c r="AN10" i="12"/>
  <c r="AN7" i="12"/>
  <c r="AN10" i="11"/>
  <c r="AN8" i="11"/>
  <c r="AN7" i="11"/>
  <c r="E8" i="11"/>
  <c r="AN9" i="10"/>
  <c r="AN7" i="10"/>
  <c r="AN8" i="10"/>
  <c r="AN10" i="10"/>
  <c r="AN8" i="2"/>
  <c r="AN7" i="2"/>
  <c r="AN9" i="2"/>
  <c r="AN10" i="2"/>
  <c r="BA7" i="1"/>
  <c r="BB7" i="1" s="1"/>
  <c r="AN7" i="1" s="1"/>
  <c r="C8" i="12" l="1"/>
  <c r="F10" i="11"/>
  <c r="F8" i="12"/>
  <c r="D8" i="12"/>
  <c r="G10" i="11"/>
  <c r="D8" i="11"/>
  <c r="G11" i="11"/>
  <c r="G8" i="11"/>
  <c r="E10" i="11"/>
  <c r="E8" i="12"/>
  <c r="F11" i="12"/>
  <c r="F8" i="11"/>
  <c r="C9" i="11"/>
  <c r="D9" i="11"/>
  <c r="E9" i="11"/>
  <c r="C8" i="11"/>
  <c r="G9" i="11"/>
  <c r="C10" i="11"/>
  <c r="D10" i="11"/>
  <c r="F11" i="11"/>
  <c r="C11" i="2"/>
  <c r="D9" i="12"/>
  <c r="G9" i="12"/>
  <c r="C11" i="12"/>
  <c r="D11" i="11"/>
  <c r="E11" i="11"/>
  <c r="C11" i="11"/>
  <c r="D11" i="15"/>
  <c r="E10" i="15"/>
  <c r="F9" i="15"/>
  <c r="G8" i="15"/>
  <c r="C8" i="15"/>
  <c r="F11" i="15"/>
  <c r="G10" i="15"/>
  <c r="C10" i="15"/>
  <c r="D9" i="15"/>
  <c r="E11" i="15"/>
  <c r="G9" i="15"/>
  <c r="C9" i="15"/>
  <c r="D8" i="15"/>
  <c r="G11" i="15"/>
  <c r="C11" i="15"/>
  <c r="D10" i="15"/>
  <c r="E9" i="15"/>
  <c r="F8" i="15"/>
  <c r="E8" i="15"/>
  <c r="F10" i="15"/>
  <c r="D11" i="14"/>
  <c r="G11" i="14"/>
  <c r="C11" i="14"/>
  <c r="D10" i="14"/>
  <c r="E9" i="14"/>
  <c r="F8" i="14"/>
  <c r="E11" i="14"/>
  <c r="D8" i="14"/>
  <c r="E10" i="14"/>
  <c r="F9" i="14"/>
  <c r="F11" i="14"/>
  <c r="G10" i="14"/>
  <c r="C10" i="14"/>
  <c r="D9" i="14"/>
  <c r="E8" i="14"/>
  <c r="F10" i="14"/>
  <c r="G9" i="14"/>
  <c r="C9" i="14"/>
  <c r="G8" i="14"/>
  <c r="C8" i="14"/>
  <c r="G11" i="13"/>
  <c r="F9" i="13"/>
  <c r="D11" i="13"/>
  <c r="F10" i="13"/>
  <c r="C8" i="13"/>
  <c r="F11" i="13"/>
  <c r="E8" i="13"/>
  <c r="E9" i="13"/>
  <c r="G10" i="13"/>
  <c r="F8" i="13"/>
  <c r="C10" i="13"/>
  <c r="D9" i="13"/>
  <c r="E10" i="13"/>
  <c r="G8" i="13"/>
  <c r="D10" i="13"/>
  <c r="G9" i="13"/>
  <c r="C9" i="13"/>
  <c r="E11" i="13"/>
  <c r="D8" i="13"/>
  <c r="C11" i="13"/>
  <c r="E9" i="12"/>
  <c r="F10" i="12"/>
  <c r="C10" i="12"/>
  <c r="G11" i="12"/>
  <c r="F9" i="12"/>
  <c r="E11" i="12"/>
  <c r="G10" i="12"/>
  <c r="D10" i="12"/>
  <c r="D11" i="12"/>
  <c r="C9" i="12"/>
  <c r="E10" i="12"/>
  <c r="F9" i="11"/>
  <c r="D11" i="10"/>
  <c r="E10" i="10"/>
  <c r="F9" i="10"/>
  <c r="G8" i="10"/>
  <c r="C8" i="10"/>
  <c r="E11" i="10"/>
  <c r="G11" i="10"/>
  <c r="C11" i="10"/>
  <c r="D10" i="10"/>
  <c r="E9" i="10"/>
  <c r="F8" i="10"/>
  <c r="F10" i="10"/>
  <c r="G9" i="10"/>
  <c r="D8" i="10"/>
  <c r="F11" i="10"/>
  <c r="G10" i="10"/>
  <c r="C10" i="10"/>
  <c r="D9" i="10"/>
  <c r="E8" i="10"/>
  <c r="C9" i="10"/>
  <c r="F8" i="2"/>
  <c r="D11" i="2"/>
  <c r="G11" i="2"/>
  <c r="E8" i="2"/>
  <c r="F11" i="2"/>
  <c r="C9" i="2"/>
  <c r="E11" i="2"/>
  <c r="F10" i="2"/>
  <c r="D8" i="2"/>
  <c r="E10" i="2"/>
  <c r="C8" i="2"/>
  <c r="G10" i="2"/>
  <c r="C10" i="2"/>
  <c r="D10" i="2"/>
  <c r="G8" i="2"/>
  <c r="F9" i="2"/>
  <c r="D9" i="2"/>
  <c r="E9" i="2"/>
  <c r="G9" i="2"/>
  <c r="AN10" i="1"/>
  <c r="AN9" i="1"/>
  <c r="AN8" i="1"/>
  <c r="D10" i="1" l="1"/>
  <c r="F9" i="1"/>
  <c r="D9" i="1"/>
  <c r="E9" i="1"/>
  <c r="C9" i="1"/>
  <c r="G9" i="1"/>
  <c r="C10" i="1"/>
  <c r="F11" i="1"/>
  <c r="C11" i="1"/>
  <c r="D11" i="1"/>
  <c r="G11" i="1"/>
  <c r="E8" i="1"/>
  <c r="E10" i="1"/>
  <c r="F8" i="1"/>
  <c r="C8" i="1"/>
  <c r="F10" i="1"/>
  <c r="G8" i="1"/>
  <c r="D8" i="1"/>
  <c r="E11" i="1"/>
  <c r="G10" i="1"/>
</calcChain>
</file>

<file path=xl/sharedStrings.xml><?xml version="1.0" encoding="utf-8"?>
<sst xmlns="http://schemas.openxmlformats.org/spreadsheetml/2006/main" count="361" uniqueCount="82">
  <si>
    <t>GRUPO A</t>
  </si>
  <si>
    <t>Tabla de Posiciones</t>
  </si>
  <si>
    <t>Posición</t>
  </si>
  <si>
    <t>Equipo</t>
  </si>
  <si>
    <t>Puntos</t>
  </si>
  <si>
    <t>GF</t>
  </si>
  <si>
    <t>GC</t>
  </si>
  <si>
    <t>DG</t>
  </si>
  <si>
    <t>Fecha</t>
  </si>
  <si>
    <t>Partidos</t>
  </si>
  <si>
    <t>Brasil</t>
  </si>
  <si>
    <t>Ecuador</t>
  </si>
  <si>
    <t>Senegal</t>
  </si>
  <si>
    <t>Holanda</t>
  </si>
  <si>
    <t>Qatar</t>
  </si>
  <si>
    <t>Ganador</t>
  </si>
  <si>
    <t>Orden</t>
  </si>
  <si>
    <t>Empatado Con</t>
  </si>
  <si>
    <t xml:space="preserve">Ganador? </t>
  </si>
  <si>
    <t>Formula Rank</t>
  </si>
  <si>
    <t>Formula Rank Con Duelo Directo</t>
  </si>
  <si>
    <t>Formula Rank Con Prioridad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</si>
  <si>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</si>
  <si>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</si>
  <si>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</si>
  <si>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</si>
  <si>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</si>
  <si>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</si>
  <si>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</si>
  <si>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</si>
  <si>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</si>
  <si>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USA</t>
  </si>
  <si>
    <t>Iran</t>
  </si>
  <si>
    <t>Gales</t>
  </si>
  <si>
    <t>GRUPO C</t>
  </si>
  <si>
    <t>Argentina</t>
  </si>
  <si>
    <t>Mexico</t>
  </si>
  <si>
    <t>Polonia</t>
  </si>
  <si>
    <t>Arabia Saudita</t>
  </si>
  <si>
    <t>GRUPO D</t>
  </si>
  <si>
    <t>Francia</t>
  </si>
  <si>
    <t>Dinamarca</t>
  </si>
  <si>
    <t>Tunez</t>
  </si>
  <si>
    <t>Australia</t>
  </si>
  <si>
    <t>España</t>
  </si>
  <si>
    <t>Alemania</t>
  </si>
  <si>
    <t>Japon</t>
  </si>
  <si>
    <t>Costa Rica</t>
  </si>
  <si>
    <t>Belgica</t>
  </si>
  <si>
    <t>Croacia</t>
  </si>
  <si>
    <t>Marruecos</t>
  </si>
  <si>
    <t>Canada</t>
  </si>
  <si>
    <t>Suiza</t>
  </si>
  <si>
    <t>Serbia</t>
  </si>
  <si>
    <t>Camerun</t>
  </si>
  <si>
    <t>Uruguay</t>
  </si>
  <si>
    <t>Corea</t>
  </si>
  <si>
    <t>Portugal</t>
  </si>
  <si>
    <t>Gana</t>
  </si>
  <si>
    <t>Cuartos de Final</t>
  </si>
  <si>
    <t>Semi Final</t>
  </si>
  <si>
    <t>Resultado</t>
  </si>
  <si>
    <t>Penales</t>
  </si>
  <si>
    <t>Final</t>
  </si>
  <si>
    <t>RESULTADOS TORNEO</t>
  </si>
  <si>
    <t>CAMPEÓN</t>
  </si>
  <si>
    <t>Tercer y Cuarto Lugar</t>
  </si>
  <si>
    <t>SUB CAMPEÓN</t>
  </si>
  <si>
    <t>TERCER LUGAR</t>
  </si>
  <si>
    <t>Octavos de Final</t>
  </si>
  <si>
    <t>GRUPO E</t>
  </si>
  <si>
    <t>GRUPO F</t>
  </si>
  <si>
    <t>GRUPO G</t>
  </si>
  <si>
    <t>GRUPO H</t>
  </si>
  <si>
    <t>Información del Jugador</t>
  </si>
  <si>
    <t>Nombre</t>
  </si>
  <si>
    <t>Mail</t>
  </si>
  <si>
    <t>N</t>
  </si>
  <si>
    <t>E</t>
  </si>
  <si>
    <t>SC</t>
  </si>
  <si>
    <t>TP</t>
  </si>
  <si>
    <t>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</si>
</sst>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16" fontId="0" fillId="2" borderId="30" xfId="0" applyNumberFormat="1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4" fillId="0" borderId="33" xfId="1" applyFont="1" applyBorder="1" applyAlignment="1">
      <alignment horizontal="center"/>
    </xf>
    <xf numFmtId="0" fontId="0" fillId="2" borderId="30" xfId="0" applyFill="1" applyBorder="1" applyAlignment="1">
      <alignment horizontal="center"/>
    </xf>
    <xf numFmtId="16" fontId="0" fillId="4" borderId="30" xfId="0" applyNumberForma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16" fontId="0" fillId="2" borderId="34" xfId="0" applyNumberForma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16" fontId="0" fillId="4" borderId="28" xfId="0" applyNumberFormat="1" applyFill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1" xfId="0" applyFill="1" applyBorder="1"/>
    <xf numFmtId="0" fontId="0" fillId="7" borderId="0" xfId="0" applyFill="1"/>
    <xf numFmtId="0" fontId="0" fillId="7" borderId="42" xfId="0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2" borderId="10" xfId="0" applyFill="1" applyBorder="1"/>
    <xf numFmtId="0" fontId="0" fillId="2" borderId="48" xfId="0" applyFill="1" applyBorder="1"/>
    <xf numFmtId="0" fontId="0" fillId="2" borderId="28" xfId="0" applyFill="1" applyBorder="1"/>
    <xf numFmtId="0" fontId="0" fillId="0" borderId="28" xfId="0" applyBorder="1"/>
    <xf numFmtId="0" fontId="0" fillId="9" borderId="43" xfId="0" applyFill="1" applyBorder="1"/>
    <xf numFmtId="0" fontId="0" fillId="2" borderId="34" xfId="0" applyFill="1" applyBorder="1"/>
    <xf numFmtId="0" fontId="0" fillId="0" borderId="34" xfId="0" applyBorder="1"/>
    <xf numFmtId="0" fontId="0" fillId="9" borderId="45" xfId="0" applyFill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22" xfId="0" applyBorder="1"/>
    <xf numFmtId="0" fontId="0" fillId="5" borderId="54" xfId="0" applyFill="1" applyBorder="1"/>
    <xf numFmtId="0" fontId="0" fillId="2" borderId="30" xfId="0" applyFill="1" applyBorder="1"/>
    <xf numFmtId="0" fontId="0" fillId="10" borderId="44" xfId="0" applyFill="1" applyBorder="1"/>
    <xf numFmtId="0" fontId="0" fillId="11" borderId="45" xfId="0" applyFill="1" applyBorder="1"/>
    <xf numFmtId="0" fontId="0" fillId="0" borderId="55" xfId="0" applyBorder="1"/>
    <xf numFmtId="0" fontId="0" fillId="2" borderId="1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3" borderId="4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6" fillId="0" borderId="57" xfId="2" applyBorder="1" applyAlignment="1">
      <alignment horizontal="center" vertical="center"/>
    </xf>
    <xf numFmtId="0" fontId="6" fillId="0" borderId="45" xfId="2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2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3">
    <cellStyle name="Hyperlink" xfId="2" builtinId="8"/>
    <cellStyle name="Normal" xfId="0" builtinId="0"/>
    <cellStyle name="Normal 2" xfId="1" xr:uid="{A1D0E579-F3D7-41A9-9D71-43C99C008133}"/>
  </cellStyles>
  <dxfs count="6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98F5-A676-44F6-967B-192B965F3485}">
  <dimension ref="B1:D4"/>
  <sheetViews>
    <sheetView workbookViewId="0">
      <selection activeCell="C4" sqref="C4:D4"/>
    </sheetView>
  </sheetViews>
  <sheetFormatPr defaultColWidth="11.42578125" defaultRowHeight="15" x14ac:dyDescent="0.25"/>
  <sheetData>
    <row r="1" spans="2:4" ht="15.75" thickBot="1" x14ac:dyDescent="0.3"/>
    <row r="2" spans="2:4" ht="15.75" thickBot="1" x14ac:dyDescent="0.3">
      <c r="B2" s="78" t="s">
        <v>74</v>
      </c>
      <c r="C2" s="79"/>
      <c r="D2" s="80"/>
    </row>
    <row r="3" spans="2:4" x14ac:dyDescent="0.25">
      <c r="B3" s="76" t="s">
        <v>75</v>
      </c>
      <c r="C3" s="81" t="s">
        <v>77</v>
      </c>
      <c r="D3" s="82"/>
    </row>
    <row r="4" spans="2:4" ht="15.75" thickBot="1" x14ac:dyDescent="0.3">
      <c r="B4" s="77" t="s">
        <v>76</v>
      </c>
      <c r="C4" s="83" t="s">
        <v>78</v>
      </c>
      <c r="D4" s="84"/>
    </row>
  </sheetData>
  <protectedRanges>
    <protectedRange sqref="C3:C4" name="Info"/>
  </protectedRanges>
  <mergeCells count="3">
    <mergeCell ref="B2:D2"/>
    <mergeCell ref="C3:D3"/>
    <mergeCell ref="C4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1516B-DE62-4EB3-B0F2-5E56E5435288}">
  <dimension ref="A2:BB28"/>
  <sheetViews>
    <sheetView workbookViewId="0">
      <selection activeCell="K8" sqref="K8:N12"/>
    </sheetView>
  </sheetViews>
  <sheetFormatPr defaultColWidth="11.42578125" defaultRowHeight="15" x14ac:dyDescent="0.25"/>
  <cols>
    <col min="15" max="34" width="11.42578125" style="34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0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</v>
      </c>
      <c r="J7" s="29">
        <v>44886</v>
      </c>
      <c r="K7" s="17" t="str">
        <f>_xlfn.CONCAT("LT",I7)</f>
        <v>LT1</v>
      </c>
      <c r="L7" s="30" t="str">
        <f>_xlfn.CONCAT("LTS",I7)</f>
        <v>LTS1</v>
      </c>
      <c r="M7" s="31" t="str">
        <f>_xlfn.CONCAT("VTS",I7)</f>
        <v>VTS1</v>
      </c>
      <c r="N7" s="16" t="str">
        <f>_xlfn.CONCAT("VT",I7)</f>
        <v>VT1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 t="str">
        <f t="shared" ref="AI7:AI12" si="0">CONCATENATE(K7,"_",N7)</f>
        <v>LT1_VT1</v>
      </c>
      <c r="AJ7" s="34">
        <f t="shared" ref="AJ7:AJ12" si="1">IF(L7&gt;M7,3,IF(L7&lt;M7,0,1))</f>
        <v>0</v>
      </c>
      <c r="AK7" s="34">
        <f>IF(AJ7=3,0,IF(AJ7=1,1,3))</f>
        <v>3</v>
      </c>
      <c r="AL7" s="34" t="str">
        <f t="shared" ref="AL7:AL12" si="2">IF(AJ7&gt;AK7,K7,IF(AK7&gt;AJ7,N7,"SIN GANADOR"))</f>
        <v>VT1</v>
      </c>
      <c r="AN7" s="34" t="e">
        <f>_xlfn.RANK.EQ(BB7,BB$7:BB$11,1)</f>
        <v>#N/A</v>
      </c>
      <c r="AO7" s="34" t="s">
        <v>14</v>
      </c>
      <c r="AP7" s="34">
        <f>SUMIF($K$7:$K$12,AO7,$AJ$7:$AJ$12) + SUMIF($N$7:$N$12,AO7,$AK$7:$AK$12)</f>
        <v>0</v>
      </c>
      <c r="AQ7" s="34">
        <f>AR7-AS7</f>
        <v>0</v>
      </c>
      <c r="AR7" s="34">
        <f>SUMIF($K$7:$K$12,AO7,$L$7:$L$12) + SUMIF($N$7:$N$12,AO7,$M$7:$M$12)</f>
        <v>0</v>
      </c>
      <c r="AS7" s="34">
        <f>SUMIF($K$7:$K$12,AO7,$M$7:$M$12) + SUMIF($N$7:$N$12,AO7,$L$7:$L$12)</f>
        <v>0</v>
      </c>
      <c r="AV7" s="34" t="str">
        <f>AO7</f>
        <v>Qatar</v>
      </c>
      <c r="AW7" s="34" t="str">
        <f>IF(AZ7=AZ8,AV8,IF(AZ7=AZ9,AV9,IF(AZ7=AZ10,AV10,"")))</f>
        <v>Holanda</v>
      </c>
      <c r="AX7" s="34" t="e">
        <f>IF(AW7="","",IFERROR(VLOOKUP(CONCATENATE(AV7,"_",AW7),$AI$7:$AL$16,4,FALSE),VLOOKUP(CONCATENATE(AW7,"_",AV7),$AI$7:$AL$16,4,FALSE)))</f>
        <v>#N/A</v>
      </c>
      <c r="AY7" s="34" t="e">
        <f>IF(AX7="",1,IF(AX7=AV7,1,0))</f>
        <v>#N/A</v>
      </c>
      <c r="AZ7" s="34">
        <f>-AP7*10000000 - AQ7*10000 - AR7*100</f>
        <v>0</v>
      </c>
      <c r="BA7" s="34" t="e">
        <f>AZ7-AY7*10</f>
        <v>#N/A</v>
      </c>
      <c r="BB7" s="34" t="e">
        <f>BA7+N23</f>
        <v>#N/A</v>
      </c>
    </row>
    <row r="8" spans="2:54" x14ac:dyDescent="0.25">
      <c r="B8" s="7">
        <v>1</v>
      </c>
      <c r="C8" s="8" t="str">
        <f t="shared" ref="C8:G11" si="3">IFERROR(VLOOKUP($B8,$AN$7:$AS$11,C$5,FALSE),"")</f>
        <v/>
      </c>
      <c r="D8" s="9" t="str">
        <f t="shared" si="3"/>
        <v/>
      </c>
      <c r="E8" s="9" t="str">
        <f t="shared" si="3"/>
        <v/>
      </c>
      <c r="F8" s="9" t="str">
        <f t="shared" si="3"/>
        <v/>
      </c>
      <c r="G8" s="10" t="str">
        <f t="shared" si="3"/>
        <v/>
      </c>
      <c r="I8" s="18">
        <v>2</v>
      </c>
      <c r="J8" s="19">
        <v>44886</v>
      </c>
      <c r="K8" s="20" t="str">
        <f t="shared" ref="K8:K12" si="4">_xlfn.CONCAT("LT",I8)</f>
        <v>LT2</v>
      </c>
      <c r="L8" s="21" t="str">
        <f t="shared" ref="L8:L12" si="5">_xlfn.CONCAT("LTS",I8)</f>
        <v>LTS2</v>
      </c>
      <c r="M8" s="22" t="str">
        <f t="shared" ref="M8:M12" si="6">_xlfn.CONCAT("VTS",I8)</f>
        <v>VTS2</v>
      </c>
      <c r="N8" s="18" t="str">
        <f t="shared" ref="N8:N12" si="7">_xlfn.CONCAT("VT",I8)</f>
        <v>VT2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 t="str">
        <f t="shared" si="0"/>
        <v>LT2_VT2</v>
      </c>
      <c r="AJ8" s="34">
        <f t="shared" si="1"/>
        <v>0</v>
      </c>
      <c r="AK8" s="34">
        <f t="shared" ref="AK8:AK12" si="8">IF(AJ8=3,0,IF(AJ8=1,1,3))</f>
        <v>3</v>
      </c>
      <c r="AL8" s="34" t="str">
        <f t="shared" si="2"/>
        <v>VT2</v>
      </c>
      <c r="AN8" s="34" t="e">
        <f>_xlfn.RANK.EQ(BB8,BB$7:BB$11,1)</f>
        <v>#N/A</v>
      </c>
      <c r="AO8" s="34" t="s">
        <v>13</v>
      </c>
      <c r="AP8" s="34">
        <f>SUMIF($K$7:$K$12,AO8,$AJ$7:$AJ$12) + SUMIF($N$7:$N$12,AO8,$AK$7:$AK$12)</f>
        <v>0</v>
      </c>
      <c r="AQ8" s="34">
        <f>AR8-AS8</f>
        <v>0</v>
      </c>
      <c r="AR8" s="34">
        <f t="shared" ref="AR8:AR9" si="9">SUMIF($K$7:$K$12,AO8,$L$7:$L$12) + SUMIF($N$7:$N$12,AO8,$M$7:$M$12)</f>
        <v>0</v>
      </c>
      <c r="AS8" s="34">
        <f t="shared" ref="AS8:AS9" si="10">SUMIF($K$7:$K$12,AO8,$M$7:$M$12) + SUMIF($N$7:$N$12,AO8,$L$7:$L$12)</f>
        <v>0</v>
      </c>
      <c r="AV8" s="34" t="str">
        <f t="shared" ref="AV8:AV10" si="11">AO8</f>
        <v>Holanda</v>
      </c>
      <c r="AW8" s="34" t="str">
        <f>IF(AZ8=AZ9,AV9,IF(AZ8=AZ10,AV10,IF(AZ8=AZ7,AV7,"")))</f>
        <v>Senegal</v>
      </c>
      <c r="AX8" s="34" t="e">
        <f>IF(AW8="","",IFERROR(VLOOKUP(CONCATENATE(AV8,"_",AW8),$AI$7:$AL$16,4,FALSE),VLOOKUP(CONCATENATE(AW8,"_",AV8),$AI$7:$AL$16,4,FALSE)))</f>
        <v>#N/A</v>
      </c>
      <c r="AY8" s="34" t="e">
        <f t="shared" ref="AY8:AY10" si="12">IF(AX8="",1,IF(AX8=AV8,1,0))</f>
        <v>#N/A</v>
      </c>
      <c r="AZ8" s="34">
        <f t="shared" ref="AZ8:AZ10" si="13">-AP8*10000000 - AQ8*10000 - AR8*100</f>
        <v>0</v>
      </c>
      <c r="BA8" s="34" t="e">
        <f t="shared" ref="BA8:BA10" si="14">AZ8-AY8*10</f>
        <v>#N/A</v>
      </c>
      <c r="BB8" s="34" t="e">
        <f>BA8+N24</f>
        <v>#N/A</v>
      </c>
    </row>
    <row r="9" spans="2:54" x14ac:dyDescent="0.25">
      <c r="B9" s="11">
        <v>2</v>
      </c>
      <c r="C9" s="12" t="str">
        <f t="shared" si="3"/>
        <v/>
      </c>
      <c r="D9" s="13" t="str">
        <f t="shared" si="3"/>
        <v/>
      </c>
      <c r="E9" s="13" t="str">
        <f t="shared" si="3"/>
        <v/>
      </c>
      <c r="F9" s="13" t="str">
        <f t="shared" si="3"/>
        <v/>
      </c>
      <c r="G9" s="14" t="str">
        <f t="shared" si="3"/>
        <v/>
      </c>
      <c r="I9" s="23">
        <f>I7+16</f>
        <v>17</v>
      </c>
      <c r="J9" s="24">
        <v>44890</v>
      </c>
      <c r="K9" s="25" t="str">
        <f t="shared" si="4"/>
        <v>LT17</v>
      </c>
      <c r="L9" s="21" t="str">
        <f t="shared" si="5"/>
        <v>LTS17</v>
      </c>
      <c r="M9" s="22" t="str">
        <f t="shared" si="6"/>
        <v>VTS17</v>
      </c>
      <c r="N9" s="23" t="str">
        <f t="shared" si="7"/>
        <v>VT17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 t="str">
        <f t="shared" si="0"/>
        <v>LT17_VT17</v>
      </c>
      <c r="AJ9" s="34">
        <f t="shared" si="1"/>
        <v>0</v>
      </c>
      <c r="AK9" s="34">
        <f t="shared" si="8"/>
        <v>3</v>
      </c>
      <c r="AL9" s="34" t="str">
        <f t="shared" si="2"/>
        <v>VT17</v>
      </c>
      <c r="AN9" s="34" t="e">
        <f>_xlfn.RANK.EQ(BB9,BB$7:BB$11,1)</f>
        <v>#N/A</v>
      </c>
      <c r="AO9" s="34" t="s">
        <v>12</v>
      </c>
      <c r="AP9" s="34">
        <f>SUMIF($K$7:$K$12,AO9,$AJ$7:$AJ$12) + SUMIF($N$7:$N$12,AO9,$AK$7:$AK$12)</f>
        <v>0</v>
      </c>
      <c r="AQ9" s="34">
        <f t="shared" ref="AQ9:AQ10" si="15">AR9-AS9</f>
        <v>0</v>
      </c>
      <c r="AR9" s="34">
        <f t="shared" si="9"/>
        <v>0</v>
      </c>
      <c r="AS9" s="34">
        <f t="shared" si="10"/>
        <v>0</v>
      </c>
      <c r="AV9" s="34" t="str">
        <f t="shared" si="11"/>
        <v>Senegal</v>
      </c>
      <c r="AW9" s="34" t="str">
        <f>IF(AZ9=AZ10,AV10,IF(AZ9=AZ7,AV7,IF(AZ9=AZ8,AV8,"")))</f>
        <v>Ecuador</v>
      </c>
      <c r="AX9" s="34" t="e">
        <f>IF(AW9="","",IFERROR(VLOOKUP(CONCATENATE(AV9,"_",AW9),$AI$7:$AL$16,4,FALSE),VLOOKUP(CONCATENATE(AW9,"_",AV9),$AI$7:$AL$16,4,FALSE)))</f>
        <v>#N/A</v>
      </c>
      <c r="AY9" s="34" t="e">
        <f t="shared" si="12"/>
        <v>#N/A</v>
      </c>
      <c r="AZ9" s="34">
        <f t="shared" si="13"/>
        <v>0</v>
      </c>
      <c r="BA9" s="34" t="e">
        <f t="shared" si="14"/>
        <v>#N/A</v>
      </c>
      <c r="BB9" s="34" t="e">
        <f>BA9+N25</f>
        <v>#N/A</v>
      </c>
    </row>
    <row r="10" spans="2:54" x14ac:dyDescent="0.25">
      <c r="B10" s="48">
        <v>3</v>
      </c>
      <c r="C10" s="49" t="str">
        <f t="shared" si="3"/>
        <v/>
      </c>
      <c r="D10" s="50" t="str">
        <f t="shared" si="3"/>
        <v/>
      </c>
      <c r="E10" s="50" t="str">
        <f t="shared" si="3"/>
        <v/>
      </c>
      <c r="F10" s="50" t="str">
        <f t="shared" si="3"/>
        <v/>
      </c>
      <c r="G10" s="51" t="str">
        <f t="shared" si="3"/>
        <v/>
      </c>
      <c r="I10" s="18">
        <f>I8+16</f>
        <v>18</v>
      </c>
      <c r="J10" s="19">
        <v>44890</v>
      </c>
      <c r="K10" s="20" t="str">
        <f t="shared" si="4"/>
        <v>LT18</v>
      </c>
      <c r="L10" s="21" t="str">
        <f t="shared" si="5"/>
        <v>LTS18</v>
      </c>
      <c r="M10" s="22" t="str">
        <f t="shared" si="6"/>
        <v>VTS18</v>
      </c>
      <c r="N10" s="18" t="str">
        <f t="shared" si="7"/>
        <v>VT18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 t="str">
        <f t="shared" si="0"/>
        <v>LT18_VT18</v>
      </c>
      <c r="AJ10" s="34">
        <f t="shared" si="1"/>
        <v>0</v>
      </c>
      <c r="AK10" s="34">
        <f t="shared" si="8"/>
        <v>3</v>
      </c>
      <c r="AL10" s="34" t="str">
        <f t="shared" si="2"/>
        <v>VT18</v>
      </c>
      <c r="AN10" s="34" t="e">
        <f>_xlfn.RANK.EQ(BB10,BB$7:BB$11,1)</f>
        <v>#N/A</v>
      </c>
      <c r="AO10" s="34" t="s">
        <v>11</v>
      </c>
      <c r="AP10" s="34">
        <f>SUMIF($K$7:$K$12,AO10,$AJ$7:$AJ$12) + SUMIF($N$7:$N$12,AO10,$AK$7:$AK$12)</f>
        <v>0</v>
      </c>
      <c r="AQ10" s="34">
        <f t="shared" si="15"/>
        <v>0</v>
      </c>
      <c r="AR10" s="34">
        <f>SUMIF($K$7:$K$12,AO10,$L$7:$L$12) + SUMIF($N$7:$N$12,AO10,$M$7:$M$12)</f>
        <v>0</v>
      </c>
      <c r="AS10" s="34">
        <f>SUMIF($K$7:$K$12,AO10,$M$7:$M$12) + SUMIF($N$7:$N$12,AO10,$L$7:$L$12)</f>
        <v>0</v>
      </c>
      <c r="AV10" s="34" t="str">
        <f t="shared" si="11"/>
        <v>Ecuador</v>
      </c>
      <c r="AW10" s="34" t="str">
        <f>IF(AZ10=AZ7,AV7,IF(AZ10=AZ8,AV8,IF(AZ10=AZ9,AV9,"")))</f>
        <v>Qatar</v>
      </c>
      <c r="AX10" s="34" t="e">
        <f>IF(AW10="","",IFERROR(VLOOKUP(CONCATENATE(AV10,"_",AW10),$AI$7:$AL$16,4,FALSE),VLOOKUP(CONCATENATE(AW10,"_",AV10),$AI$7:$AL$16,4,FALSE)))</f>
        <v>#N/A</v>
      </c>
      <c r="AY10" s="34" t="e">
        <f t="shared" si="12"/>
        <v>#N/A</v>
      </c>
      <c r="AZ10" s="34">
        <f t="shared" si="13"/>
        <v>0</v>
      </c>
      <c r="BA10" s="34" t="e">
        <f t="shared" si="14"/>
        <v>#N/A</v>
      </c>
      <c r="BB10" s="34" t="e">
        <f>BA10+N26</f>
        <v>#N/A</v>
      </c>
    </row>
    <row r="11" spans="2:54" ht="15.75" thickBot="1" x14ac:dyDescent="0.3">
      <c r="B11" s="52">
        <v>4</v>
      </c>
      <c r="C11" s="53" t="str">
        <f t="shared" si="3"/>
        <v/>
      </c>
      <c r="D11" s="54" t="str">
        <f t="shared" si="3"/>
        <v/>
      </c>
      <c r="E11" s="54" t="str">
        <f t="shared" si="3"/>
        <v/>
      </c>
      <c r="F11" s="54" t="str">
        <f t="shared" si="3"/>
        <v/>
      </c>
      <c r="G11" s="55" t="str">
        <f t="shared" si="3"/>
        <v/>
      </c>
      <c r="I11" s="23">
        <f>I9+16</f>
        <v>33</v>
      </c>
      <c r="J11" s="24">
        <v>44894</v>
      </c>
      <c r="K11" s="25" t="str">
        <f t="shared" si="4"/>
        <v>LT33</v>
      </c>
      <c r="L11" s="21" t="str">
        <f t="shared" si="5"/>
        <v>LTS33</v>
      </c>
      <c r="M11" s="22" t="str">
        <f t="shared" si="6"/>
        <v>VTS33</v>
      </c>
      <c r="N11" s="23" t="str">
        <f t="shared" si="7"/>
        <v>VT33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 t="str">
        <f t="shared" si="0"/>
        <v>LT33_VT33</v>
      </c>
      <c r="AJ11" s="34">
        <f t="shared" si="1"/>
        <v>0</v>
      </c>
      <c r="AK11" s="34">
        <f t="shared" si="8"/>
        <v>3</v>
      </c>
      <c r="AL11" s="34" t="str">
        <f t="shared" si="2"/>
        <v>VT33</v>
      </c>
    </row>
    <row r="12" spans="2:54" ht="15.75" thickBot="1" x14ac:dyDescent="0.3">
      <c r="I12" s="26">
        <f>I10+16</f>
        <v>34</v>
      </c>
      <c r="J12" s="27">
        <v>44894</v>
      </c>
      <c r="K12" s="28" t="str">
        <f t="shared" si="4"/>
        <v>LT34</v>
      </c>
      <c r="L12" s="32" t="str">
        <f t="shared" si="5"/>
        <v>LTS34</v>
      </c>
      <c r="M12" s="33" t="str">
        <f t="shared" si="6"/>
        <v>VTS34</v>
      </c>
      <c r="N12" s="26" t="str">
        <f t="shared" si="7"/>
        <v>VT34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 t="str">
        <f t="shared" si="0"/>
        <v>LT34_VT34</v>
      </c>
      <c r="AJ12" s="34">
        <f t="shared" si="1"/>
        <v>0</v>
      </c>
      <c r="AK12" s="34">
        <f t="shared" si="8"/>
        <v>3</v>
      </c>
      <c r="AL12" s="34" t="str">
        <f t="shared" si="2"/>
        <v>VT34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14" ht="15.75" thickBot="1" x14ac:dyDescent="0.3"/>
    <row r="22" spans="2:1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1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14</v>
      </c>
      <c r="K23" s="104"/>
      <c r="L23" s="105"/>
      <c r="M23" s="42">
        <v>1</v>
      </c>
      <c r="N23" s="35">
        <f>IF(J23="",0,M23)</f>
        <v>1</v>
      </c>
    </row>
    <row r="24" spans="2:1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6">IF(J24="",0,1)</f>
        <v>1</v>
      </c>
      <c r="J24" s="85" t="s">
        <v>13</v>
      </c>
      <c r="K24" s="86"/>
      <c r="L24" s="87"/>
      <c r="M24" s="43">
        <v>2</v>
      </c>
      <c r="N24" s="35">
        <f>IF(J24="",0,M24)</f>
        <v>2</v>
      </c>
    </row>
    <row r="25" spans="2:1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6"/>
        <v>1</v>
      </c>
      <c r="J25" s="85" t="s">
        <v>12</v>
      </c>
      <c r="K25" s="86"/>
      <c r="L25" s="87"/>
      <c r="M25" s="43">
        <v>3</v>
      </c>
      <c r="N25" s="35">
        <f>IF(J25="",0,M25)</f>
        <v>3</v>
      </c>
    </row>
    <row r="26" spans="2:1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6"/>
        <v>1</v>
      </c>
      <c r="J26" s="88" t="s">
        <v>11</v>
      </c>
      <c r="K26" s="89"/>
      <c r="L26" s="90"/>
      <c r="M26" s="44">
        <v>4</v>
      </c>
      <c r="N26" s="35">
        <f>IF(J26="",0,M26)</f>
        <v>4</v>
      </c>
    </row>
    <row r="27" spans="2:1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</row>
    <row r="28" spans="2:1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J22:M26 B22:H28">
    <cfRule type="expression" dxfId="62" priority="10">
      <formula>OR($I$22=0,AND($J$20="",$J$21="",$J$22="",$J$23=""))</formula>
    </cfRule>
  </conditionalFormatting>
  <conditionalFormatting sqref="M23:M26">
    <cfRule type="expression" dxfId="61" priority="7">
      <formula>J23=""</formula>
    </cfRule>
  </conditionalFormatting>
  <conditionalFormatting sqref="N23:AH27">
    <cfRule type="expression" dxfId="60" priority="1">
      <formula>K23=""</formula>
    </cfRule>
    <cfRule type="expression" dxfId="59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32780-1CCE-444B-B990-21FF82528360}">
  <dimension ref="A2:BB28"/>
  <sheetViews>
    <sheetView workbookViewId="0">
      <selection activeCell="K7" sqref="K7:N12"/>
    </sheetView>
  </sheetViews>
  <sheetFormatPr defaultColWidth="11.42578125" defaultRowHeight="15" x14ac:dyDescent="0.25"/>
  <cols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29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3</v>
      </c>
      <c r="J7" s="29">
        <v>44886</v>
      </c>
      <c r="K7" s="17" t="str">
        <f t="shared" ref="K7:K12" si="0">_xlfn.CONCAT("LT",I7)</f>
        <v>LT3</v>
      </c>
      <c r="L7" s="30" t="str">
        <f t="shared" ref="L7:L12" si="1">_xlfn.CONCAT("LTS",I7)</f>
        <v>LTS3</v>
      </c>
      <c r="M7" s="31" t="str">
        <f t="shared" ref="M7:M12" si="2">_xlfn.CONCAT("VTS",I7)</f>
        <v>VTS3</v>
      </c>
      <c r="N7" s="16" t="str">
        <f t="shared" ref="N7:N12" si="3">_xlfn.CONCAT("VT",I7)</f>
        <v>VT3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LT3_VT3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VT3</v>
      </c>
      <c r="AN7" s="34" t="e">
        <f>_xlfn.RANK.EQ(BB7,BB$7:BB$11,1)</f>
        <v>#N/A</v>
      </c>
      <c r="AO7" s="34" t="s">
        <v>30</v>
      </c>
      <c r="AP7" s="34">
        <f>SUMIF($K$7:$K$12,AO7,$AJ$7:$AJ$12) + SUMIF($N$7:$N$12,AO7,$AK$7:$AK$12)</f>
        <v>0</v>
      </c>
      <c r="AQ7" s="34">
        <f>AR7-AS7</f>
        <v>0</v>
      </c>
      <c r="AR7" s="34">
        <f>SUMIF($K$7:$K$12,AO7,$L$7:$L$12) + SUMIF($N$7:$N$12,AO7,$M$7:$M$12)</f>
        <v>0</v>
      </c>
      <c r="AS7" s="34">
        <f>SUMIF($K$7:$K$12,AO7,$M$7:$M$12) + SUMIF($N$7:$N$12,AO7,$L$7:$L$12)</f>
        <v>0</v>
      </c>
      <c r="AV7" s="34" t="str">
        <f>AO7</f>
        <v>Inglaterra</v>
      </c>
      <c r="AW7" s="34" t="str">
        <f>IF(AZ7=AZ8,AV8,IF(AZ7=AZ9,AV9,IF(AZ7=AZ10,AV10,"")))</f>
        <v>USA</v>
      </c>
      <c r="AX7" s="34" t="e">
        <f>IF(AW7="","",IFERROR(VLOOKUP(CONCATENATE(AV7,"_",AW7),$AI$7:$AL$16,4,FALSE),VLOOKUP(CONCATENATE(AW7,"_",AV7),$AI$7:$AL$16,4,FALSE)))</f>
        <v>#N/A</v>
      </c>
      <c r="AY7" s="34" t="e">
        <f>IF(AX7="",1,IF(AX7=AV7,1,0))</f>
        <v>#N/A</v>
      </c>
      <c r="AZ7" s="34">
        <f>-AP7*10000000 - AQ7*10000 - AR7*100</f>
        <v>0</v>
      </c>
      <c r="BA7" s="34" t="e">
        <f>AZ7-AY7*10</f>
        <v>#N/A</v>
      </c>
      <c r="BB7" s="34" t="e">
        <f>BA7+N23</f>
        <v>#N/A</v>
      </c>
    </row>
    <row r="8" spans="2:54" x14ac:dyDescent="0.25">
      <c r="B8" s="7">
        <v>1</v>
      </c>
      <c r="C8" s="8" t="str">
        <f t="shared" ref="C8:G11" si="4">IFERROR(VLOOKUP($B8,$AN$7:$AS$11,C$5,FALSE),"")</f>
        <v/>
      </c>
      <c r="D8" s="9" t="str">
        <f t="shared" si="4"/>
        <v/>
      </c>
      <c r="E8" s="9" t="str">
        <f t="shared" si="4"/>
        <v/>
      </c>
      <c r="F8" s="9" t="str">
        <f t="shared" si="4"/>
        <v/>
      </c>
      <c r="G8" s="10" t="str">
        <f t="shared" si="4"/>
        <v/>
      </c>
      <c r="I8" s="18">
        <v>4</v>
      </c>
      <c r="J8" s="19">
        <v>44886</v>
      </c>
      <c r="K8" s="20" t="str">
        <f t="shared" si="0"/>
        <v>LT4</v>
      </c>
      <c r="L8" s="21" t="str">
        <f t="shared" si="1"/>
        <v>LTS4</v>
      </c>
      <c r="M8" s="22" t="str">
        <f t="shared" si="2"/>
        <v>VTS4</v>
      </c>
      <c r="N8" s="18" t="str">
        <f t="shared" si="3"/>
        <v>VT4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5">CONCATENATE(K8,"_",N8)</f>
        <v>LT4_VT4</v>
      </c>
      <c r="AJ8" s="34">
        <f t="shared" ref="AJ8:AJ12" si="6">IF(L8&gt;M8,3,IF(L8&lt;M8,0,1))</f>
        <v>0</v>
      </c>
      <c r="AK8" s="34">
        <f t="shared" ref="AK8:AK12" si="7">IF(AJ8=3,0,IF(AJ8=1,1,3))</f>
        <v>3</v>
      </c>
      <c r="AL8" s="34" t="str">
        <f t="shared" ref="AL8:AL12" si="8">IF(AJ8&gt;AK8,K8,IF(AK8&gt;AJ8,N8,"SIN GANADOR"))</f>
        <v>VT4</v>
      </c>
      <c r="AN8" s="34" t="e">
        <f>_xlfn.RANK.EQ(BB8,BB$7:BB$11,1)</f>
        <v>#N/A</v>
      </c>
      <c r="AO8" s="34" t="s">
        <v>31</v>
      </c>
      <c r="AP8" s="34">
        <f>SUMIF($K$7:$K$12,AO8,$AJ$7:$AJ$12) + SUMIF($N$7:$N$12,AO8,$AK$7:$AK$12)</f>
        <v>0</v>
      </c>
      <c r="AQ8" s="34">
        <f>AR8-AS8</f>
        <v>0</v>
      </c>
      <c r="AR8" s="34">
        <f t="shared" ref="AR8:AR9" si="9">SUMIF($K$7:$K$12,AO8,$L$7:$L$12) + SUMIF($N$7:$N$12,AO8,$M$7:$M$12)</f>
        <v>0</v>
      </c>
      <c r="AS8" s="34">
        <f t="shared" ref="AS8:AS9" si="10">SUMIF($K$7:$K$12,AO8,$M$7:$M$12) + SUMIF($N$7:$N$12,AO8,$L$7:$L$12)</f>
        <v>0</v>
      </c>
      <c r="AV8" s="34" t="str">
        <f t="shared" ref="AV8:AV10" si="11">AO8</f>
        <v>USA</v>
      </c>
      <c r="AW8" s="34" t="str">
        <f>IF(AZ8=AZ9,AV9,IF(AZ8=AZ10,AV10,IF(AZ8=AZ7,AV7,"")))</f>
        <v>Iran</v>
      </c>
      <c r="AX8" s="34" t="e">
        <f>IF(AW8="","",IFERROR(VLOOKUP(CONCATENATE(AV8,"_",AW8),$AI$7:$AL$16,4,FALSE),VLOOKUP(CONCATENATE(AW8,"_",AV8),$AI$7:$AL$16,4,FALSE)))</f>
        <v>#N/A</v>
      </c>
      <c r="AY8" s="34" t="e">
        <f t="shared" ref="AY8:AY10" si="12">IF(AX8="",1,IF(AX8=AV8,1,0))</f>
        <v>#N/A</v>
      </c>
      <c r="AZ8" s="34">
        <f t="shared" ref="AZ8:AZ10" si="13">-AP8*10000000 - AQ8*10000 - AR8*100</f>
        <v>0</v>
      </c>
      <c r="BA8" s="34" t="e">
        <f t="shared" ref="BA8:BA10" si="14">AZ8-AY8*10</f>
        <v>#N/A</v>
      </c>
      <c r="BB8" s="34" t="e">
        <f>BA8+N24</f>
        <v>#N/A</v>
      </c>
    </row>
    <row r="9" spans="2:54" x14ac:dyDescent="0.25">
      <c r="B9" s="11">
        <v>2</v>
      </c>
      <c r="C9" s="12" t="str">
        <f t="shared" si="4"/>
        <v/>
      </c>
      <c r="D9" s="13" t="str">
        <f t="shared" si="4"/>
        <v/>
      </c>
      <c r="E9" s="13" t="str">
        <f t="shared" si="4"/>
        <v/>
      </c>
      <c r="F9" s="13" t="str">
        <f t="shared" si="4"/>
        <v/>
      </c>
      <c r="G9" s="14" t="str">
        <f t="shared" si="4"/>
        <v/>
      </c>
      <c r="I9" s="23">
        <f>I7+16</f>
        <v>19</v>
      </c>
      <c r="J9" s="24">
        <v>44890</v>
      </c>
      <c r="K9" s="25" t="str">
        <f t="shared" si="0"/>
        <v>LT19</v>
      </c>
      <c r="L9" s="21" t="str">
        <f t="shared" si="1"/>
        <v>LTS19</v>
      </c>
      <c r="M9" s="22" t="str">
        <f t="shared" si="2"/>
        <v>VTS19</v>
      </c>
      <c r="N9" s="23" t="str">
        <f t="shared" si="3"/>
        <v>VT19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5"/>
        <v>LT19_VT19</v>
      </c>
      <c r="AJ9" s="34">
        <f t="shared" si="6"/>
        <v>0</v>
      </c>
      <c r="AK9" s="34">
        <f t="shared" si="7"/>
        <v>3</v>
      </c>
      <c r="AL9" s="34" t="str">
        <f t="shared" si="8"/>
        <v>VT19</v>
      </c>
      <c r="AN9" s="34" t="e">
        <f>_xlfn.RANK.EQ(BB9,BB$7:BB$11,1)</f>
        <v>#N/A</v>
      </c>
      <c r="AO9" s="34" t="s">
        <v>32</v>
      </c>
      <c r="AP9" s="34">
        <f>SUMIF($K$7:$K$12,AO9,$AJ$7:$AJ$12) + SUMIF($N$7:$N$12,AO9,$AK$7:$AK$12)</f>
        <v>0</v>
      </c>
      <c r="AQ9" s="34">
        <f t="shared" ref="AQ9:AQ10" si="15">AR9-AS9</f>
        <v>0</v>
      </c>
      <c r="AR9" s="34">
        <f t="shared" si="9"/>
        <v>0</v>
      </c>
      <c r="AS9" s="34">
        <f t="shared" si="10"/>
        <v>0</v>
      </c>
      <c r="AV9" s="34" t="str">
        <f t="shared" si="11"/>
        <v>Iran</v>
      </c>
      <c r="AW9" s="34" t="str">
        <f>IF(AZ9=AZ10,AV10,IF(AZ9=AZ7,AV7,IF(AZ9=AZ8,AV8,"")))</f>
        <v>Gales</v>
      </c>
      <c r="AX9" s="34" t="e">
        <f>IF(AW9="","",IFERROR(VLOOKUP(CONCATENATE(AV9,"_",AW9),$AI$7:$AL$16,4,FALSE),VLOOKUP(CONCATENATE(AW9,"_",AV9),$AI$7:$AL$16,4,FALSE)))</f>
        <v>#N/A</v>
      </c>
      <c r="AY9" s="34" t="e">
        <f t="shared" si="12"/>
        <v>#N/A</v>
      </c>
      <c r="AZ9" s="34">
        <f t="shared" si="13"/>
        <v>0</v>
      </c>
      <c r="BA9" s="34" t="e">
        <f t="shared" si="14"/>
        <v>#N/A</v>
      </c>
      <c r="BB9" s="34" t="e">
        <f>BA9+N25</f>
        <v>#N/A</v>
      </c>
    </row>
    <row r="10" spans="2:54" x14ac:dyDescent="0.25">
      <c r="B10" s="48">
        <v>3</v>
      </c>
      <c r="C10" s="49" t="str">
        <f t="shared" si="4"/>
        <v/>
      </c>
      <c r="D10" s="50" t="str">
        <f t="shared" si="4"/>
        <v/>
      </c>
      <c r="E10" s="50" t="str">
        <f t="shared" si="4"/>
        <v/>
      </c>
      <c r="F10" s="50" t="str">
        <f t="shared" si="4"/>
        <v/>
      </c>
      <c r="G10" s="51" t="str">
        <f t="shared" si="4"/>
        <v/>
      </c>
      <c r="I10" s="18">
        <f>I8+16</f>
        <v>20</v>
      </c>
      <c r="J10" s="19">
        <v>44890</v>
      </c>
      <c r="K10" s="20" t="str">
        <f t="shared" si="0"/>
        <v>LT20</v>
      </c>
      <c r="L10" s="21" t="str">
        <f t="shared" si="1"/>
        <v>LTS20</v>
      </c>
      <c r="M10" s="22" t="str">
        <f t="shared" si="2"/>
        <v>VTS20</v>
      </c>
      <c r="N10" s="18" t="str">
        <f t="shared" si="3"/>
        <v>VT20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5"/>
        <v>LT20_VT20</v>
      </c>
      <c r="AJ10" s="34">
        <f t="shared" si="6"/>
        <v>0</v>
      </c>
      <c r="AK10" s="34">
        <f t="shared" si="7"/>
        <v>3</v>
      </c>
      <c r="AL10" s="34" t="str">
        <f t="shared" si="8"/>
        <v>VT20</v>
      </c>
      <c r="AN10" s="34" t="e">
        <f>_xlfn.RANK.EQ(BB10,BB$7:BB$11,1)</f>
        <v>#N/A</v>
      </c>
      <c r="AO10" s="34" t="s">
        <v>33</v>
      </c>
      <c r="AP10" s="34">
        <f>SUMIF($K$7:$K$12,AO10,$AJ$7:$AJ$12) + SUMIF($N$7:$N$12,AO10,$AK$7:$AK$12)</f>
        <v>0</v>
      </c>
      <c r="AQ10" s="34">
        <f t="shared" si="15"/>
        <v>0</v>
      </c>
      <c r="AR10" s="34">
        <f>SUMIF($K$7:$K$12,AO10,$L$7:$L$12) + SUMIF($N$7:$N$12,AO10,$M$7:$M$12)</f>
        <v>0</v>
      </c>
      <c r="AS10" s="34">
        <f>SUMIF($K$7:$K$12,AO10,$M$7:$M$12) + SUMIF($N$7:$N$12,AO10,$L$7:$L$12)</f>
        <v>0</v>
      </c>
      <c r="AV10" s="34" t="str">
        <f t="shared" si="11"/>
        <v>Gales</v>
      </c>
      <c r="AW10" s="34" t="str">
        <f>IF(AZ10=AZ7,AV7,IF(AZ10=AZ8,AV8,IF(AZ10=AZ9,AV9,"")))</f>
        <v>Inglaterra</v>
      </c>
      <c r="AX10" s="34" t="e">
        <f>IF(AW10="","",IFERROR(VLOOKUP(CONCATENATE(AV10,"_",AW10),$AI$7:$AL$16,4,FALSE),VLOOKUP(CONCATENATE(AW10,"_",AV10),$AI$7:$AL$16,4,FALSE)))</f>
        <v>#N/A</v>
      </c>
      <c r="AY10" s="34" t="e">
        <f t="shared" si="12"/>
        <v>#N/A</v>
      </c>
      <c r="AZ10" s="34">
        <f t="shared" si="13"/>
        <v>0</v>
      </c>
      <c r="BA10" s="34" t="e">
        <f t="shared" si="14"/>
        <v>#N/A</v>
      </c>
      <c r="BB10" s="34" t="e">
        <f>BA10+N26</f>
        <v>#N/A</v>
      </c>
    </row>
    <row r="11" spans="2:54" ht="15.75" thickBot="1" x14ac:dyDescent="0.3">
      <c r="B11" s="52">
        <v>4</v>
      </c>
      <c r="C11" s="53" t="str">
        <f t="shared" si="4"/>
        <v/>
      </c>
      <c r="D11" s="54" t="str">
        <f t="shared" si="4"/>
        <v/>
      </c>
      <c r="E11" s="54" t="str">
        <f t="shared" si="4"/>
        <v/>
      </c>
      <c r="F11" s="54" t="str">
        <f t="shared" si="4"/>
        <v/>
      </c>
      <c r="G11" s="55" t="str">
        <f t="shared" si="4"/>
        <v/>
      </c>
      <c r="I11" s="23">
        <f>I9+16</f>
        <v>35</v>
      </c>
      <c r="J11" s="24">
        <v>44894</v>
      </c>
      <c r="K11" s="25" t="str">
        <f t="shared" si="0"/>
        <v>LT35</v>
      </c>
      <c r="L11" s="21" t="str">
        <f t="shared" si="1"/>
        <v>LTS35</v>
      </c>
      <c r="M11" s="22" t="str">
        <f t="shared" si="2"/>
        <v>VTS35</v>
      </c>
      <c r="N11" s="23" t="str">
        <f t="shared" si="3"/>
        <v>VT35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5"/>
        <v>LT35_VT35</v>
      </c>
      <c r="AJ11" s="34">
        <f t="shared" si="6"/>
        <v>0</v>
      </c>
      <c r="AK11" s="34">
        <f t="shared" si="7"/>
        <v>3</v>
      </c>
      <c r="AL11" s="34" t="str">
        <f t="shared" si="8"/>
        <v>VT35</v>
      </c>
    </row>
    <row r="12" spans="2:54" ht="15.75" thickBot="1" x14ac:dyDescent="0.3">
      <c r="I12" s="26">
        <f>I10+16</f>
        <v>36</v>
      </c>
      <c r="J12" s="27">
        <v>44894</v>
      </c>
      <c r="K12" s="28" t="str">
        <f t="shared" si="0"/>
        <v>LT36</v>
      </c>
      <c r="L12" s="32" t="str">
        <f t="shared" si="1"/>
        <v>LTS36</v>
      </c>
      <c r="M12" s="33" t="str">
        <f t="shared" si="2"/>
        <v>VTS36</v>
      </c>
      <c r="N12" s="26" t="str">
        <f t="shared" si="3"/>
        <v>VT36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5"/>
        <v>LT36_VT36</v>
      </c>
      <c r="AJ12" s="34">
        <f t="shared" si="6"/>
        <v>0</v>
      </c>
      <c r="AK12" s="34">
        <f t="shared" si="7"/>
        <v>3</v>
      </c>
      <c r="AL12" s="34" t="str">
        <f t="shared" si="8"/>
        <v>VT36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30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6">IF(J24="",0,1)</f>
        <v>1</v>
      </c>
      <c r="J24" s="85" t="s">
        <v>31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6"/>
        <v>1</v>
      </c>
      <c r="J25" s="85" t="s">
        <v>32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6"/>
        <v>1</v>
      </c>
      <c r="J26" s="88" t="s">
        <v>33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J22:M26 B22:H28">
    <cfRule type="expression" dxfId="58" priority="9">
      <formula>OR($I$22=0,AND($J$20="",$J$21="",$J$22="",$J$23=""))</formula>
    </cfRule>
  </conditionalFormatting>
  <conditionalFormatting sqref="M23:M26">
    <cfRule type="expression" dxfId="57" priority="6">
      <formula>J23=""</formula>
    </cfRule>
  </conditionalFormatting>
  <conditionalFormatting sqref="N23:AH27">
    <cfRule type="expression" dxfId="56" priority="1">
      <formula>K23=""</formula>
    </cfRule>
    <cfRule type="expression" dxfId="55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2F31-08DB-430A-9BEA-AEF4F3FDB47E}">
  <dimension ref="A2:BB28"/>
  <sheetViews>
    <sheetView workbookViewId="0">
      <selection activeCell="K7" sqref="K7:N12"/>
    </sheetView>
  </sheetViews>
  <sheetFormatPr defaultColWidth="11.42578125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34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5</v>
      </c>
      <c r="J7" s="29">
        <v>44887</v>
      </c>
      <c r="K7" s="17" t="str">
        <f t="shared" ref="K7:K12" si="0">_xlfn.CONCAT("LT",I7)</f>
        <v>LT5</v>
      </c>
      <c r="L7" s="30" t="str">
        <f t="shared" ref="L7:L12" si="1">_xlfn.CONCAT("LTS",I7)</f>
        <v>LTS5</v>
      </c>
      <c r="M7" s="31" t="str">
        <f t="shared" ref="M7:M12" si="2">_xlfn.CONCAT("VTS",I7)</f>
        <v>VTS5</v>
      </c>
      <c r="N7" s="16" t="str">
        <f t="shared" ref="N7:N12" si="3">_xlfn.CONCAT("VT",I7)</f>
        <v>VT5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LT5_VT5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VT5</v>
      </c>
      <c r="AN7" s="34" t="e">
        <f>_xlfn.RANK.EQ(BB7,BB$7:BB$11,1)</f>
        <v>#N/A</v>
      </c>
      <c r="AO7" s="34" t="s">
        <v>35</v>
      </c>
      <c r="AP7" s="34">
        <f>SUMIF($K$7:$K$12,AO7,$AJ$7:$AJ$12) + SUMIF($N$7:$N$12,AO7,$AK$7:$AK$12)</f>
        <v>0</v>
      </c>
      <c r="AQ7" s="34">
        <f>AR7-AS7</f>
        <v>0</v>
      </c>
      <c r="AR7" s="34">
        <f>SUMIF($K$7:$K$12,AO7,$L$7:$L$12) + SUMIF($N$7:$N$12,AO7,$M$7:$M$12)</f>
        <v>0</v>
      </c>
      <c r="AS7" s="34">
        <f>SUMIF($K$7:$K$12,AO7,$M$7:$M$12) + SUMIF($N$7:$N$12,AO7,$L$7:$L$12)</f>
        <v>0</v>
      </c>
      <c r="AV7" s="34" t="str">
        <f>AO7</f>
        <v>Argentina</v>
      </c>
      <c r="AW7" s="34" t="str">
        <f>IF(AZ7=AZ8,AV8,IF(AZ7=AZ9,AV9,IF(AZ7=AZ10,AV10,"")))</f>
        <v>Mexico</v>
      </c>
      <c r="AX7" s="34" t="e">
        <f>IF(AW7="","",IFERROR(VLOOKUP(CONCATENATE(AV7,"_",AW7),$AI$7:$AL$16,4,FALSE),VLOOKUP(CONCATENATE(AW7,"_",AV7),$AI$7:$AL$16,4,FALSE)))</f>
        <v>#N/A</v>
      </c>
      <c r="AY7" s="34" t="e">
        <f>IF(AX7="",1,IF(AX7=AV7,1,0))</f>
        <v>#N/A</v>
      </c>
      <c r="AZ7" s="34">
        <f>-AP7*10000000 - AQ7*10000 - AR7*100</f>
        <v>0</v>
      </c>
      <c r="BA7" s="34" t="e">
        <f>AZ7-AY7*10</f>
        <v>#N/A</v>
      </c>
      <c r="BB7" s="34" t="e">
        <f>BA7+N23</f>
        <v>#N/A</v>
      </c>
    </row>
    <row r="8" spans="2:54" x14ac:dyDescent="0.25">
      <c r="B8" s="7">
        <v>1</v>
      </c>
      <c r="C8" s="8" t="str">
        <f t="shared" ref="C8:G11" si="4">IFERROR(VLOOKUP($B8,$AN$7:$AS$11,C$5,FALSE),"")</f>
        <v/>
      </c>
      <c r="D8" s="9" t="str">
        <f t="shared" si="4"/>
        <v/>
      </c>
      <c r="E8" s="9" t="str">
        <f t="shared" si="4"/>
        <v/>
      </c>
      <c r="F8" s="9" t="str">
        <f t="shared" si="4"/>
        <v/>
      </c>
      <c r="G8" s="10" t="str">
        <f t="shared" si="4"/>
        <v/>
      </c>
      <c r="I8" s="18">
        <v>6</v>
      </c>
      <c r="J8" s="19">
        <v>44887</v>
      </c>
      <c r="K8" s="20" t="str">
        <f t="shared" si="0"/>
        <v>LT6</v>
      </c>
      <c r="L8" s="21" t="str">
        <f t="shared" si="1"/>
        <v>LTS6</v>
      </c>
      <c r="M8" s="22" t="str">
        <f t="shared" si="2"/>
        <v>VTS6</v>
      </c>
      <c r="N8" s="18" t="str">
        <f t="shared" si="3"/>
        <v>VT6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5">CONCATENATE(K8,"_",N8)</f>
        <v>LT6_VT6</v>
      </c>
      <c r="AJ8" s="34">
        <f t="shared" ref="AJ8:AJ12" si="6">IF(L8&gt;M8,3,IF(L8&lt;M8,0,1))</f>
        <v>0</v>
      </c>
      <c r="AK8" s="34">
        <f t="shared" ref="AK8:AK12" si="7">IF(AJ8=3,0,IF(AJ8=1,1,3))</f>
        <v>3</v>
      </c>
      <c r="AL8" s="34" t="str">
        <f t="shared" ref="AL8:AL12" si="8">IF(AJ8&gt;AK8,K8,IF(AK8&gt;AJ8,N8,"SIN GANADOR"))</f>
        <v>VT6</v>
      </c>
      <c r="AN8" s="34" t="e">
        <f>_xlfn.RANK.EQ(BB8,BB$7:BB$11,1)</f>
        <v>#N/A</v>
      </c>
      <c r="AO8" s="34" t="s">
        <v>36</v>
      </c>
      <c r="AP8" s="34">
        <f>SUMIF($K$7:$K$12,AO8,$AJ$7:$AJ$12) + SUMIF($N$7:$N$12,AO8,$AK$7:$AK$12)</f>
        <v>0</v>
      </c>
      <c r="AQ8" s="34">
        <f>AR8-AS8</f>
        <v>0</v>
      </c>
      <c r="AR8" s="34">
        <f t="shared" ref="AR8:AR9" si="9">SUMIF($K$7:$K$12,AO8,$L$7:$L$12) + SUMIF($N$7:$N$12,AO8,$M$7:$M$12)</f>
        <v>0</v>
      </c>
      <c r="AS8" s="34">
        <f t="shared" ref="AS8:AS9" si="10">SUMIF($K$7:$K$12,AO8,$M$7:$M$12) + SUMIF($N$7:$N$12,AO8,$L$7:$L$12)</f>
        <v>0</v>
      </c>
      <c r="AV8" s="34" t="str">
        <f t="shared" ref="AV8:AV10" si="11">AO8</f>
        <v>Mexico</v>
      </c>
      <c r="AW8" s="34" t="str">
        <f>IF(AZ8=AZ9,AV9,IF(AZ8=AZ10,AV10,IF(AZ8=AZ7,AV7,"")))</f>
        <v>Polonia</v>
      </c>
      <c r="AX8" s="34" t="e">
        <f>IF(AW8="","",IFERROR(VLOOKUP(CONCATENATE(AV8,"_",AW8),$AI$7:$AL$16,4,FALSE),VLOOKUP(CONCATENATE(AW8,"_",AV8),$AI$7:$AL$16,4,FALSE)))</f>
        <v>#N/A</v>
      </c>
      <c r="AY8" s="34" t="e">
        <f t="shared" ref="AY8:AY10" si="12">IF(AX8="",1,IF(AX8=AV8,1,0))</f>
        <v>#N/A</v>
      </c>
      <c r="AZ8" s="34">
        <f t="shared" ref="AZ8:AZ10" si="13">-AP8*10000000 - AQ8*10000 - AR8*100</f>
        <v>0</v>
      </c>
      <c r="BA8" s="34" t="e">
        <f t="shared" ref="BA8:BA10" si="14">AZ8-AY8*10</f>
        <v>#N/A</v>
      </c>
      <c r="BB8" s="34" t="e">
        <f>BA8+N24</f>
        <v>#N/A</v>
      </c>
    </row>
    <row r="9" spans="2:54" x14ac:dyDescent="0.25">
      <c r="B9" s="11">
        <v>2</v>
      </c>
      <c r="C9" s="12" t="str">
        <f t="shared" si="4"/>
        <v/>
      </c>
      <c r="D9" s="13" t="str">
        <f t="shared" si="4"/>
        <v/>
      </c>
      <c r="E9" s="13" t="str">
        <f t="shared" si="4"/>
        <v/>
      </c>
      <c r="F9" s="13" t="str">
        <f t="shared" si="4"/>
        <v/>
      </c>
      <c r="G9" s="14" t="str">
        <f t="shared" si="4"/>
        <v/>
      </c>
      <c r="I9" s="23">
        <f>I7+16</f>
        <v>21</v>
      </c>
      <c r="J9" s="24">
        <v>44891</v>
      </c>
      <c r="K9" s="25" t="str">
        <f t="shared" si="0"/>
        <v>LT21</v>
      </c>
      <c r="L9" s="21" t="str">
        <f t="shared" si="1"/>
        <v>LTS21</v>
      </c>
      <c r="M9" s="22" t="str">
        <f t="shared" si="2"/>
        <v>VTS21</v>
      </c>
      <c r="N9" s="23" t="str">
        <f t="shared" si="3"/>
        <v>VT21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5"/>
        <v>LT21_VT21</v>
      </c>
      <c r="AJ9" s="34">
        <f t="shared" si="6"/>
        <v>0</v>
      </c>
      <c r="AK9" s="34">
        <f t="shared" si="7"/>
        <v>3</v>
      </c>
      <c r="AL9" s="34" t="str">
        <f t="shared" si="8"/>
        <v>VT21</v>
      </c>
      <c r="AN9" s="34" t="e">
        <f>_xlfn.RANK.EQ(BB9,BB$7:BB$11,1)</f>
        <v>#N/A</v>
      </c>
      <c r="AO9" s="34" t="s">
        <v>37</v>
      </c>
      <c r="AP9" s="34">
        <f>SUMIF($K$7:$K$12,AO9,$AJ$7:$AJ$12) + SUMIF($N$7:$N$12,AO9,$AK$7:$AK$12)</f>
        <v>0</v>
      </c>
      <c r="AQ9" s="34">
        <f t="shared" ref="AQ9:AQ10" si="15">AR9-AS9</f>
        <v>0</v>
      </c>
      <c r="AR9" s="34">
        <f t="shared" si="9"/>
        <v>0</v>
      </c>
      <c r="AS9" s="34">
        <f t="shared" si="10"/>
        <v>0</v>
      </c>
      <c r="AV9" s="34" t="str">
        <f t="shared" si="11"/>
        <v>Polonia</v>
      </c>
      <c r="AW9" s="34" t="str">
        <f>IF(AZ9=AZ10,AV10,IF(AZ9=AZ7,AV7,IF(AZ9=AZ8,AV8,"")))</f>
        <v>Arabia Saudita</v>
      </c>
      <c r="AX9" s="34" t="e">
        <f>IF(AW9="","",IFERROR(VLOOKUP(CONCATENATE(AV9,"_",AW9),$AI$7:$AL$16,4,FALSE),VLOOKUP(CONCATENATE(AW9,"_",AV9),$AI$7:$AL$16,4,FALSE)))</f>
        <v>#N/A</v>
      </c>
      <c r="AY9" s="34" t="e">
        <f t="shared" si="12"/>
        <v>#N/A</v>
      </c>
      <c r="AZ9" s="34">
        <f t="shared" si="13"/>
        <v>0</v>
      </c>
      <c r="BA9" s="34" t="e">
        <f t="shared" si="14"/>
        <v>#N/A</v>
      </c>
      <c r="BB9" s="34" t="e">
        <f>BA9+N25</f>
        <v>#N/A</v>
      </c>
    </row>
    <row r="10" spans="2:54" x14ac:dyDescent="0.25">
      <c r="B10" s="48">
        <v>3</v>
      </c>
      <c r="C10" s="49" t="str">
        <f t="shared" si="4"/>
        <v/>
      </c>
      <c r="D10" s="50" t="str">
        <f t="shared" si="4"/>
        <v/>
      </c>
      <c r="E10" s="50" t="str">
        <f t="shared" si="4"/>
        <v/>
      </c>
      <c r="F10" s="50" t="str">
        <f t="shared" si="4"/>
        <v/>
      </c>
      <c r="G10" s="51" t="str">
        <f t="shared" si="4"/>
        <v/>
      </c>
      <c r="I10" s="18">
        <f>I8+16</f>
        <v>22</v>
      </c>
      <c r="J10" s="19">
        <v>44891</v>
      </c>
      <c r="K10" s="20" t="str">
        <f t="shared" si="0"/>
        <v>LT22</v>
      </c>
      <c r="L10" s="21" t="str">
        <f t="shared" si="1"/>
        <v>LTS22</v>
      </c>
      <c r="M10" s="22" t="str">
        <f t="shared" si="2"/>
        <v>VTS22</v>
      </c>
      <c r="N10" s="18" t="str">
        <f t="shared" si="3"/>
        <v>VT22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5"/>
        <v>LT22_VT22</v>
      </c>
      <c r="AJ10" s="34">
        <f t="shared" si="6"/>
        <v>0</v>
      </c>
      <c r="AK10" s="34">
        <f t="shared" si="7"/>
        <v>3</v>
      </c>
      <c r="AL10" s="34" t="str">
        <f t="shared" si="8"/>
        <v>VT22</v>
      </c>
      <c r="AN10" s="34" t="e">
        <f>_xlfn.RANK.EQ(BB10,BB$7:BB$11,1)</f>
        <v>#N/A</v>
      </c>
      <c r="AO10" s="34" t="s">
        <v>38</v>
      </c>
      <c r="AP10" s="34">
        <f>SUMIF($K$7:$K$12,AO10,$AJ$7:$AJ$12) + SUMIF($N$7:$N$12,AO10,$AK$7:$AK$12)</f>
        <v>0</v>
      </c>
      <c r="AQ10" s="34">
        <f t="shared" si="15"/>
        <v>0</v>
      </c>
      <c r="AR10" s="34">
        <f>SUMIF($K$7:$K$12,AO10,$L$7:$L$12) + SUMIF($N$7:$N$12,AO10,$M$7:$M$12)</f>
        <v>0</v>
      </c>
      <c r="AS10" s="34">
        <f>SUMIF($K$7:$K$12,AO10,$M$7:$M$12) + SUMIF($N$7:$N$12,AO10,$L$7:$L$12)</f>
        <v>0</v>
      </c>
      <c r="AV10" s="34" t="str">
        <f t="shared" si="11"/>
        <v>Arabia Saudita</v>
      </c>
      <c r="AW10" s="34" t="str">
        <f>IF(AZ10=AZ7,AV7,IF(AZ10=AZ8,AV8,IF(AZ10=AZ9,AV9,"")))</f>
        <v>Argentina</v>
      </c>
      <c r="AX10" s="34" t="e">
        <f>IF(AW10="","",IFERROR(VLOOKUP(CONCATENATE(AV10,"_",AW10),$AI$7:$AL$16,4,FALSE),VLOOKUP(CONCATENATE(AW10,"_",AV10),$AI$7:$AL$16,4,FALSE)))</f>
        <v>#N/A</v>
      </c>
      <c r="AY10" s="34" t="e">
        <f t="shared" si="12"/>
        <v>#N/A</v>
      </c>
      <c r="AZ10" s="34">
        <f t="shared" si="13"/>
        <v>0</v>
      </c>
      <c r="BA10" s="34" t="e">
        <f t="shared" si="14"/>
        <v>#N/A</v>
      </c>
      <c r="BB10" s="34" t="e">
        <f>BA10+N26</f>
        <v>#N/A</v>
      </c>
    </row>
    <row r="11" spans="2:54" ht="15.75" thickBot="1" x14ac:dyDescent="0.3">
      <c r="B11" s="52">
        <v>4</v>
      </c>
      <c r="C11" s="53" t="str">
        <f t="shared" si="4"/>
        <v/>
      </c>
      <c r="D11" s="54" t="str">
        <f t="shared" si="4"/>
        <v/>
      </c>
      <c r="E11" s="54" t="str">
        <f t="shared" si="4"/>
        <v/>
      </c>
      <c r="F11" s="54" t="str">
        <f t="shared" si="4"/>
        <v/>
      </c>
      <c r="G11" s="55" t="str">
        <f t="shared" si="4"/>
        <v/>
      </c>
      <c r="I11" s="23">
        <f>I9+16</f>
        <v>37</v>
      </c>
      <c r="J11" s="24">
        <v>44895</v>
      </c>
      <c r="K11" s="25" t="str">
        <f t="shared" si="0"/>
        <v>LT37</v>
      </c>
      <c r="L11" s="21" t="str">
        <f t="shared" si="1"/>
        <v>LTS37</v>
      </c>
      <c r="M11" s="22" t="str">
        <f t="shared" si="2"/>
        <v>VTS37</v>
      </c>
      <c r="N11" s="23" t="str">
        <f t="shared" si="3"/>
        <v>VT37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5"/>
        <v>LT37_VT37</v>
      </c>
      <c r="AJ11" s="34">
        <f t="shared" si="6"/>
        <v>0</v>
      </c>
      <c r="AK11" s="34">
        <f t="shared" si="7"/>
        <v>3</v>
      </c>
      <c r="AL11" s="34" t="str">
        <f t="shared" si="8"/>
        <v>VT37</v>
      </c>
    </row>
    <row r="12" spans="2:54" ht="15.75" thickBot="1" x14ac:dyDescent="0.3">
      <c r="I12" s="26">
        <f>I10+16</f>
        <v>38</v>
      </c>
      <c r="J12" s="27">
        <v>44895</v>
      </c>
      <c r="K12" s="28" t="str">
        <f t="shared" si="0"/>
        <v>LT38</v>
      </c>
      <c r="L12" s="32" t="str">
        <f t="shared" si="1"/>
        <v>LTS38</v>
      </c>
      <c r="M12" s="33" t="str">
        <f t="shared" si="2"/>
        <v>VTS38</v>
      </c>
      <c r="N12" s="26" t="str">
        <f t="shared" si="3"/>
        <v>VT38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5"/>
        <v>LT38_VT38</v>
      </c>
      <c r="AJ12" s="34">
        <f t="shared" si="6"/>
        <v>0</v>
      </c>
      <c r="AK12" s="34">
        <f t="shared" si="7"/>
        <v>3</v>
      </c>
      <c r="AL12" s="34" t="str">
        <f t="shared" si="8"/>
        <v>VT38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35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6">IF(J24="",0,1)</f>
        <v>1</v>
      </c>
      <c r="J24" s="85" t="s">
        <v>36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6"/>
        <v>1</v>
      </c>
      <c r="J25" s="85" t="s">
        <v>37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6"/>
        <v>1</v>
      </c>
      <c r="J26" s="88" t="s">
        <v>38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J22:M26 B22:H28">
    <cfRule type="expression" dxfId="54" priority="9">
      <formula>OR($I$22=0,AND($J$20="",$J$21="",$J$22="",$J$23=""))</formula>
    </cfRule>
  </conditionalFormatting>
  <conditionalFormatting sqref="M23:M26">
    <cfRule type="expression" dxfId="53" priority="6">
      <formula>J23=""</formula>
    </cfRule>
  </conditionalFormatting>
  <conditionalFormatting sqref="N23:AH27">
    <cfRule type="expression" dxfId="52" priority="1">
      <formula>K23=""</formula>
    </cfRule>
    <cfRule type="expression" dxfId="51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4B9DC-8F79-448B-BCD5-4B75D70E9A7F}">
  <dimension ref="A2:BB28"/>
  <sheetViews>
    <sheetView workbookViewId="0">
      <selection activeCell="K7" sqref="K7:N12"/>
    </sheetView>
  </sheetViews>
  <sheetFormatPr defaultColWidth="11.42578125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39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7</v>
      </c>
      <c r="J7" s="29">
        <v>44887</v>
      </c>
      <c r="K7" s="17" t="str">
        <f t="shared" ref="K7:K12" si="0">_xlfn.CONCAT("LT",I7)</f>
        <v>LT7</v>
      </c>
      <c r="L7" s="30" t="str">
        <f t="shared" ref="L7:L12" si="1">_xlfn.CONCAT("LTS",I7)</f>
        <v>LTS7</v>
      </c>
      <c r="M7" s="31" t="str">
        <f t="shared" ref="M7:M12" si="2">_xlfn.CONCAT("VTS",I7)</f>
        <v>VTS7</v>
      </c>
      <c r="N7" s="16" t="str">
        <f t="shared" ref="N7:N12" si="3">_xlfn.CONCAT("VT",I7)</f>
        <v>VT7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LT7_VT7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VT7</v>
      </c>
      <c r="AN7" s="34" t="e">
        <f>_xlfn.RANK.EQ(BB7,BB$7:BB$11,1)</f>
        <v>#N/A</v>
      </c>
      <c r="AO7" s="34" t="s">
        <v>40</v>
      </c>
      <c r="AP7" s="34">
        <f>SUMIF($K$7:$K$12,AO7,$AJ$7:$AJ$12) + SUMIF($N$7:$N$12,AO7,$AK$7:$AK$12)</f>
        <v>0</v>
      </c>
      <c r="AQ7" s="34">
        <f>AR7-AS7</f>
        <v>0</v>
      </c>
      <c r="AR7" s="34">
        <f>SUMIF($K$7:$K$12,AO7,$L$7:$L$12) + SUMIF($N$7:$N$12,AO7,$M$7:$M$12)</f>
        <v>0</v>
      </c>
      <c r="AS7" s="34">
        <f>SUMIF($K$7:$K$12,AO7,$M$7:$M$12) + SUMIF($N$7:$N$12,AO7,$L$7:$L$12)</f>
        <v>0</v>
      </c>
      <c r="AV7" s="34" t="str">
        <f>AO7</f>
        <v>Francia</v>
      </c>
      <c r="AW7" s="34" t="str">
        <f>IF(AZ7=AZ8,AV8,IF(AZ7=AZ9,AV9,IF(AZ7=AZ10,AV10,"")))</f>
        <v>Dinamarca</v>
      </c>
      <c r="AX7" s="34" t="e">
        <f>IF(AW7="","",IFERROR(VLOOKUP(CONCATENATE(AV7,"_",AW7),$AI$7:$AL$16,4,FALSE),VLOOKUP(CONCATENATE(AW7,"_",AV7),$AI$7:$AL$16,4,FALSE)))</f>
        <v>#N/A</v>
      </c>
      <c r="AY7" s="34" t="e">
        <f>IF(AX7="",1,IF(AX7=AV7,1,0))</f>
        <v>#N/A</v>
      </c>
      <c r="AZ7" s="34">
        <f>-AP7*10000000 - AQ7*10000 - AR7*100</f>
        <v>0</v>
      </c>
      <c r="BA7" s="34" t="e">
        <f>AZ7-AY7*10</f>
        <v>#N/A</v>
      </c>
      <c r="BB7" s="34" t="e">
        <f>BA7+N23</f>
        <v>#N/A</v>
      </c>
    </row>
    <row r="8" spans="2:54" x14ac:dyDescent="0.25">
      <c r="B8" s="7">
        <v>1</v>
      </c>
      <c r="C8" s="8" t="str">
        <f t="shared" ref="C8:G11" si="4">IFERROR(VLOOKUP($B8,$AN$7:$AS$11,C$5,FALSE),"")</f>
        <v/>
      </c>
      <c r="D8" s="9" t="str">
        <f t="shared" si="4"/>
        <v/>
      </c>
      <c r="E8" s="9" t="str">
        <f t="shared" si="4"/>
        <v/>
      </c>
      <c r="F8" s="9" t="str">
        <f t="shared" si="4"/>
        <v/>
      </c>
      <c r="G8" s="10" t="str">
        <f t="shared" si="4"/>
        <v/>
      </c>
      <c r="I8" s="18">
        <v>8</v>
      </c>
      <c r="J8" s="19">
        <v>44887</v>
      </c>
      <c r="K8" s="20" t="str">
        <f t="shared" si="0"/>
        <v>LT8</v>
      </c>
      <c r="L8" s="21" t="str">
        <f t="shared" si="1"/>
        <v>LTS8</v>
      </c>
      <c r="M8" s="22" t="str">
        <f t="shared" si="2"/>
        <v>VTS8</v>
      </c>
      <c r="N8" s="18" t="str">
        <f t="shared" si="3"/>
        <v>VT8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5">CONCATENATE(K8,"_",N8)</f>
        <v>LT8_VT8</v>
      </c>
      <c r="AJ8" s="34">
        <f t="shared" ref="AJ8:AJ12" si="6">IF(L8&gt;M8,3,IF(L8&lt;M8,0,1))</f>
        <v>0</v>
      </c>
      <c r="AK8" s="34">
        <f t="shared" ref="AK8:AK12" si="7">IF(AJ8=3,0,IF(AJ8=1,1,3))</f>
        <v>3</v>
      </c>
      <c r="AL8" s="34" t="str">
        <f t="shared" ref="AL8:AL12" si="8">IF(AJ8&gt;AK8,K8,IF(AK8&gt;AJ8,N8,"SIN GANADOR"))</f>
        <v>VT8</v>
      </c>
      <c r="AN8" s="34" t="e">
        <f>_xlfn.RANK.EQ(BB8,BB$7:BB$11,1)</f>
        <v>#N/A</v>
      </c>
      <c r="AO8" s="34" t="s">
        <v>41</v>
      </c>
      <c r="AP8" s="34">
        <f>SUMIF($K$7:$K$12,AO8,$AJ$7:$AJ$12) + SUMIF($N$7:$N$12,AO8,$AK$7:$AK$12)</f>
        <v>0</v>
      </c>
      <c r="AQ8" s="34">
        <f>AR8-AS8</f>
        <v>0</v>
      </c>
      <c r="AR8" s="34">
        <f t="shared" ref="AR8:AR9" si="9">SUMIF($K$7:$K$12,AO8,$L$7:$L$12) + SUMIF($N$7:$N$12,AO8,$M$7:$M$12)</f>
        <v>0</v>
      </c>
      <c r="AS8" s="34">
        <f t="shared" ref="AS8:AS9" si="10">SUMIF($K$7:$K$12,AO8,$M$7:$M$12) + SUMIF($N$7:$N$12,AO8,$L$7:$L$12)</f>
        <v>0</v>
      </c>
      <c r="AV8" s="34" t="str">
        <f t="shared" ref="AV8:AV10" si="11">AO8</f>
        <v>Dinamarca</v>
      </c>
      <c r="AW8" s="34" t="str">
        <f>IF(AZ8=AZ9,AV9,IF(AZ8=AZ10,AV10,IF(AZ8=AZ7,AV7,"")))</f>
        <v>Tunez</v>
      </c>
      <c r="AX8" s="34" t="e">
        <f>IF(AW8="","",IFERROR(VLOOKUP(CONCATENATE(AV8,"_",AW8),$AI$7:$AL$16,4,FALSE),VLOOKUP(CONCATENATE(AW8,"_",AV8),$AI$7:$AL$16,4,FALSE)))</f>
        <v>#N/A</v>
      </c>
      <c r="AY8" s="34" t="e">
        <f t="shared" ref="AY8:AY10" si="12">IF(AX8="",1,IF(AX8=AV8,1,0))</f>
        <v>#N/A</v>
      </c>
      <c r="AZ8" s="34">
        <f t="shared" ref="AZ8:AZ10" si="13">-AP8*10000000 - AQ8*10000 - AR8*100</f>
        <v>0</v>
      </c>
      <c r="BA8" s="34" t="e">
        <f t="shared" ref="BA8:BA10" si="14">AZ8-AY8*10</f>
        <v>#N/A</v>
      </c>
      <c r="BB8" s="34" t="e">
        <f>BA8+N24</f>
        <v>#N/A</v>
      </c>
    </row>
    <row r="9" spans="2:54" x14ac:dyDescent="0.25">
      <c r="B9" s="11">
        <v>2</v>
      </c>
      <c r="C9" s="12" t="str">
        <f t="shared" si="4"/>
        <v/>
      </c>
      <c r="D9" s="13" t="str">
        <f t="shared" si="4"/>
        <v/>
      </c>
      <c r="E9" s="13" t="str">
        <f t="shared" si="4"/>
        <v/>
      </c>
      <c r="F9" s="13" t="str">
        <f t="shared" si="4"/>
        <v/>
      </c>
      <c r="G9" s="14" t="str">
        <f t="shared" si="4"/>
        <v/>
      </c>
      <c r="I9" s="23">
        <f>I7+16</f>
        <v>23</v>
      </c>
      <c r="J9" s="24">
        <v>44891</v>
      </c>
      <c r="K9" s="25" t="str">
        <f t="shared" si="0"/>
        <v>LT23</v>
      </c>
      <c r="L9" s="21" t="str">
        <f t="shared" si="1"/>
        <v>LTS23</v>
      </c>
      <c r="M9" s="22" t="str">
        <f t="shared" si="2"/>
        <v>VTS23</v>
      </c>
      <c r="N9" s="23" t="str">
        <f t="shared" si="3"/>
        <v>VT23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5"/>
        <v>LT23_VT23</v>
      </c>
      <c r="AJ9" s="34">
        <f t="shared" si="6"/>
        <v>0</v>
      </c>
      <c r="AK9" s="34">
        <f t="shared" si="7"/>
        <v>3</v>
      </c>
      <c r="AL9" s="34" t="str">
        <f t="shared" si="8"/>
        <v>VT23</v>
      </c>
      <c r="AN9" s="34" t="e">
        <f>_xlfn.RANK.EQ(BB9,BB$7:BB$11,1)</f>
        <v>#N/A</v>
      </c>
      <c r="AO9" s="34" t="s">
        <v>42</v>
      </c>
      <c r="AP9" s="34">
        <f>SUMIF($K$7:$K$12,AO9,$AJ$7:$AJ$12) + SUMIF($N$7:$N$12,AO9,$AK$7:$AK$12)</f>
        <v>0</v>
      </c>
      <c r="AQ9" s="34">
        <f t="shared" ref="AQ9:AQ10" si="15">AR9-AS9</f>
        <v>0</v>
      </c>
      <c r="AR9" s="34">
        <f t="shared" si="9"/>
        <v>0</v>
      </c>
      <c r="AS9" s="34">
        <f t="shared" si="10"/>
        <v>0</v>
      </c>
      <c r="AV9" s="34" t="str">
        <f t="shared" si="11"/>
        <v>Tunez</v>
      </c>
      <c r="AW9" s="34" t="str">
        <f>IF(AZ9=AZ10,AV10,IF(AZ9=AZ7,AV7,IF(AZ9=AZ8,AV8,"")))</f>
        <v>Australia</v>
      </c>
      <c r="AX9" s="34" t="e">
        <f>IF(AW9="","",IFERROR(VLOOKUP(CONCATENATE(AV9,"_",AW9),$AI$7:$AL$16,4,FALSE),VLOOKUP(CONCATENATE(AW9,"_",AV9),$AI$7:$AL$16,4,FALSE)))</f>
        <v>#N/A</v>
      </c>
      <c r="AY9" s="34" t="e">
        <f t="shared" si="12"/>
        <v>#N/A</v>
      </c>
      <c r="AZ9" s="34">
        <f t="shared" si="13"/>
        <v>0</v>
      </c>
      <c r="BA9" s="34" t="e">
        <f t="shared" si="14"/>
        <v>#N/A</v>
      </c>
      <c r="BB9" s="34" t="e">
        <f>BA9+N25</f>
        <v>#N/A</v>
      </c>
    </row>
    <row r="10" spans="2:54" x14ac:dyDescent="0.25">
      <c r="B10" s="48">
        <v>3</v>
      </c>
      <c r="C10" s="49" t="str">
        <f t="shared" si="4"/>
        <v/>
      </c>
      <c r="D10" s="50" t="str">
        <f t="shared" si="4"/>
        <v/>
      </c>
      <c r="E10" s="50" t="str">
        <f t="shared" si="4"/>
        <v/>
      </c>
      <c r="F10" s="50" t="str">
        <f t="shared" si="4"/>
        <v/>
      </c>
      <c r="G10" s="51" t="str">
        <f t="shared" si="4"/>
        <v/>
      </c>
      <c r="I10" s="18">
        <f>I8+16</f>
        <v>24</v>
      </c>
      <c r="J10" s="19">
        <v>44891</v>
      </c>
      <c r="K10" s="20" t="str">
        <f t="shared" si="0"/>
        <v>LT24</v>
      </c>
      <c r="L10" s="21" t="str">
        <f t="shared" si="1"/>
        <v>LTS24</v>
      </c>
      <c r="M10" s="22" t="str">
        <f t="shared" si="2"/>
        <v>VTS24</v>
      </c>
      <c r="N10" s="18" t="str">
        <f t="shared" si="3"/>
        <v>VT24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5"/>
        <v>LT24_VT24</v>
      </c>
      <c r="AJ10" s="34">
        <f t="shared" si="6"/>
        <v>0</v>
      </c>
      <c r="AK10" s="34">
        <f t="shared" si="7"/>
        <v>3</v>
      </c>
      <c r="AL10" s="34" t="str">
        <f t="shared" si="8"/>
        <v>VT24</v>
      </c>
      <c r="AN10" s="34" t="e">
        <f>_xlfn.RANK.EQ(BB10,BB$7:BB$11,1)</f>
        <v>#N/A</v>
      </c>
      <c r="AO10" s="34" t="s">
        <v>43</v>
      </c>
      <c r="AP10" s="34">
        <f>SUMIF($K$7:$K$12,AO10,$AJ$7:$AJ$12) + SUMIF($N$7:$N$12,AO10,$AK$7:$AK$12)</f>
        <v>0</v>
      </c>
      <c r="AQ10" s="34">
        <f t="shared" si="15"/>
        <v>0</v>
      </c>
      <c r="AR10" s="34">
        <f>SUMIF($K$7:$K$12,AO10,$L$7:$L$12) + SUMIF($N$7:$N$12,AO10,$M$7:$M$12)</f>
        <v>0</v>
      </c>
      <c r="AS10" s="34">
        <f>SUMIF($K$7:$K$12,AO10,$M$7:$M$12) + SUMIF($N$7:$N$12,AO10,$L$7:$L$12)</f>
        <v>0</v>
      </c>
      <c r="AV10" s="34" t="str">
        <f t="shared" si="11"/>
        <v>Australia</v>
      </c>
      <c r="AW10" s="34" t="str">
        <f>IF(AZ10=AZ7,AV7,IF(AZ10=AZ8,AV8,IF(AZ10=AZ9,AV9,"")))</f>
        <v>Francia</v>
      </c>
      <c r="AX10" s="34" t="e">
        <f>IF(AW10="","",IFERROR(VLOOKUP(CONCATENATE(AV10,"_",AW10),$AI$7:$AL$16,4,FALSE),VLOOKUP(CONCATENATE(AW10,"_",AV10),$AI$7:$AL$16,4,FALSE)))</f>
        <v>#N/A</v>
      </c>
      <c r="AY10" s="34" t="e">
        <f t="shared" si="12"/>
        <v>#N/A</v>
      </c>
      <c r="AZ10" s="34">
        <f t="shared" si="13"/>
        <v>0</v>
      </c>
      <c r="BA10" s="34" t="e">
        <f t="shared" si="14"/>
        <v>#N/A</v>
      </c>
      <c r="BB10" s="34" t="e">
        <f>BA10+N26</f>
        <v>#N/A</v>
      </c>
    </row>
    <row r="11" spans="2:54" ht="15.75" thickBot="1" x14ac:dyDescent="0.3">
      <c r="B11" s="52">
        <v>4</v>
      </c>
      <c r="C11" s="53" t="str">
        <f t="shared" si="4"/>
        <v/>
      </c>
      <c r="D11" s="54" t="str">
        <f t="shared" si="4"/>
        <v/>
      </c>
      <c r="E11" s="54" t="str">
        <f t="shared" si="4"/>
        <v/>
      </c>
      <c r="F11" s="54" t="str">
        <f t="shared" si="4"/>
        <v/>
      </c>
      <c r="G11" s="55" t="str">
        <f t="shared" si="4"/>
        <v/>
      </c>
      <c r="I11" s="23">
        <f>I9+16</f>
        <v>39</v>
      </c>
      <c r="J11" s="24">
        <v>44895</v>
      </c>
      <c r="K11" s="25" t="str">
        <f t="shared" si="0"/>
        <v>LT39</v>
      </c>
      <c r="L11" s="21" t="str">
        <f t="shared" si="1"/>
        <v>LTS39</v>
      </c>
      <c r="M11" s="22" t="str">
        <f t="shared" si="2"/>
        <v>VTS39</v>
      </c>
      <c r="N11" s="23" t="str">
        <f t="shared" si="3"/>
        <v>VT39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5"/>
        <v>LT39_VT39</v>
      </c>
      <c r="AJ11" s="34">
        <f t="shared" si="6"/>
        <v>0</v>
      </c>
      <c r="AK11" s="34">
        <f t="shared" si="7"/>
        <v>3</v>
      </c>
      <c r="AL11" s="34" t="str">
        <f t="shared" si="8"/>
        <v>VT39</v>
      </c>
    </row>
    <row r="12" spans="2:54" ht="15.75" thickBot="1" x14ac:dyDescent="0.3">
      <c r="I12" s="26">
        <f>I10+16</f>
        <v>40</v>
      </c>
      <c r="J12" s="27">
        <v>44895</v>
      </c>
      <c r="K12" s="28" t="str">
        <f t="shared" si="0"/>
        <v>LT40</v>
      </c>
      <c r="L12" s="32" t="str">
        <f t="shared" si="1"/>
        <v>LTS40</v>
      </c>
      <c r="M12" s="33" t="str">
        <f t="shared" si="2"/>
        <v>VTS40</v>
      </c>
      <c r="N12" s="26" t="str">
        <f t="shared" si="3"/>
        <v>VT40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5"/>
        <v>LT40_VT40</v>
      </c>
      <c r="AJ12" s="34">
        <f t="shared" si="6"/>
        <v>0</v>
      </c>
      <c r="AK12" s="34">
        <f t="shared" si="7"/>
        <v>3</v>
      </c>
      <c r="AL12" s="34" t="str">
        <f t="shared" si="8"/>
        <v>VT40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40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6">IF(J24="",0,1)</f>
        <v>1</v>
      </c>
      <c r="J24" s="85" t="s">
        <v>41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6"/>
        <v>1</v>
      </c>
      <c r="J25" s="85" t="s">
        <v>42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6"/>
        <v>1</v>
      </c>
      <c r="J26" s="88" t="s">
        <v>43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J22:M26 B22:H28">
    <cfRule type="expression" dxfId="50" priority="9">
      <formula>OR($I$22=0,AND($J$20="",$J$21="",$J$22="",$J$23=""))</formula>
    </cfRule>
  </conditionalFormatting>
  <conditionalFormatting sqref="M23:M26">
    <cfRule type="expression" dxfId="49" priority="6">
      <formula>J23=""</formula>
    </cfRule>
  </conditionalFormatting>
  <conditionalFormatting sqref="N23:AH27">
    <cfRule type="expression" dxfId="48" priority="1">
      <formula>K23=""</formula>
    </cfRule>
    <cfRule type="expression" dxfId="47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5CB4A-2415-4AE2-9FAE-7DADDEBC5AD5}">
  <dimension ref="A2:BB28"/>
  <sheetViews>
    <sheetView workbookViewId="0">
      <selection activeCell="K7" sqref="K7:N12"/>
    </sheetView>
  </sheetViews>
  <sheetFormatPr defaultColWidth="11.42578125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70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9</v>
      </c>
      <c r="J7" s="29">
        <v>44888</v>
      </c>
      <c r="K7" s="17" t="str">
        <f t="shared" ref="K7:K12" si="0">_xlfn.CONCAT("LT",I7)</f>
        <v>LT9</v>
      </c>
      <c r="L7" s="30" t="str">
        <f t="shared" ref="L7:L12" si="1">_xlfn.CONCAT("LTS",I7)</f>
        <v>LTS9</v>
      </c>
      <c r="M7" s="31" t="str">
        <f t="shared" ref="M7:M12" si="2">_xlfn.CONCAT("VTS",I7)</f>
        <v>VTS9</v>
      </c>
      <c r="N7" s="16" t="str">
        <f t="shared" ref="N7:N12" si="3">_xlfn.CONCAT("VT",I7)</f>
        <v>VT9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LT9_VT9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VT9</v>
      </c>
      <c r="AN7" s="34" t="e">
        <f>_xlfn.RANK.EQ(BB7,BB$7:BB$11,1)</f>
        <v>#N/A</v>
      </c>
      <c r="AO7" s="34" t="s">
        <v>44</v>
      </c>
      <c r="AP7" s="34">
        <f>SUMIF($K$7:$K$12,AO7,$AJ$7:$AJ$12) + SUMIF($N$7:$N$12,AO7,$AK$7:$AK$12)</f>
        <v>0</v>
      </c>
      <c r="AQ7" s="34">
        <f>AR7-AS7</f>
        <v>0</v>
      </c>
      <c r="AR7" s="34">
        <f>SUMIF($K$7:$K$12,AO7,$L$7:$L$12) + SUMIF($N$7:$N$12,AO7,$M$7:$M$12)</f>
        <v>0</v>
      </c>
      <c r="AS7" s="34">
        <f>SUMIF($K$7:$K$12,AO7,$M$7:$M$12) + SUMIF($N$7:$N$12,AO7,$L$7:$L$12)</f>
        <v>0</v>
      </c>
      <c r="AV7" s="34" t="str">
        <f>AO7</f>
        <v>España</v>
      </c>
      <c r="AW7" s="34" t="str">
        <f>IF(AZ7=AZ8,AV8,IF(AZ7=AZ9,AV9,IF(AZ7=AZ10,AV10,"")))</f>
        <v>Alemania</v>
      </c>
      <c r="AX7" s="34" t="e">
        <f>IF(AW7="","",IFERROR(VLOOKUP(CONCATENATE(AV7,"_",AW7),$AI$7:$AL$16,4,FALSE),VLOOKUP(CONCATENATE(AW7,"_",AV7),$AI$7:$AL$16,4,FALSE)))</f>
        <v>#N/A</v>
      </c>
      <c r="AY7" s="34" t="e">
        <f>IF(AX7="",1,IF(AX7=AV7,1,0))</f>
        <v>#N/A</v>
      </c>
      <c r="AZ7" s="34">
        <f>-AP7*10000000 - AQ7*10000 - AR7*100</f>
        <v>0</v>
      </c>
      <c r="BA7" s="34" t="e">
        <f>AZ7-AY7*10</f>
        <v>#N/A</v>
      </c>
      <c r="BB7" s="34" t="e">
        <f>BA7+N23</f>
        <v>#N/A</v>
      </c>
    </row>
    <row r="8" spans="2:54" x14ac:dyDescent="0.25">
      <c r="B8" s="7">
        <v>1</v>
      </c>
      <c r="C8" s="8" t="str">
        <f t="shared" ref="C8:G11" si="4">IFERROR(VLOOKUP($B8,$AN$7:$AS$11,C$5,FALSE),"")</f>
        <v/>
      </c>
      <c r="D8" s="9" t="str">
        <f t="shared" si="4"/>
        <v/>
      </c>
      <c r="E8" s="9" t="str">
        <f t="shared" si="4"/>
        <v/>
      </c>
      <c r="F8" s="9" t="str">
        <f t="shared" si="4"/>
        <v/>
      </c>
      <c r="G8" s="10" t="str">
        <f t="shared" si="4"/>
        <v/>
      </c>
      <c r="I8" s="18">
        <v>10</v>
      </c>
      <c r="J8" s="19">
        <v>44888</v>
      </c>
      <c r="K8" s="20" t="str">
        <f t="shared" si="0"/>
        <v>LT10</v>
      </c>
      <c r="L8" s="21" t="str">
        <f t="shared" si="1"/>
        <v>LTS10</v>
      </c>
      <c r="M8" s="22" t="str">
        <f t="shared" si="2"/>
        <v>VTS10</v>
      </c>
      <c r="N8" s="18" t="str">
        <f t="shared" si="3"/>
        <v>VT10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5">CONCATENATE(K8,"_",N8)</f>
        <v>LT10_VT10</v>
      </c>
      <c r="AJ8" s="34">
        <f t="shared" ref="AJ8:AJ12" si="6">IF(L8&gt;M8,3,IF(L8&lt;M8,0,1))</f>
        <v>0</v>
      </c>
      <c r="AK8" s="34">
        <f t="shared" ref="AK8:AK12" si="7">IF(AJ8=3,0,IF(AJ8=1,1,3))</f>
        <v>3</v>
      </c>
      <c r="AL8" s="34" t="str">
        <f t="shared" ref="AL8:AL12" si="8">IF(AJ8&gt;AK8,K8,IF(AK8&gt;AJ8,N8,"SIN GANADOR"))</f>
        <v>VT10</v>
      </c>
      <c r="AN8" s="34" t="e">
        <f>_xlfn.RANK.EQ(BB8,BB$7:BB$11,1)</f>
        <v>#N/A</v>
      </c>
      <c r="AO8" s="34" t="s">
        <v>45</v>
      </c>
      <c r="AP8" s="34">
        <f>SUMIF($K$7:$K$12,AO8,$AJ$7:$AJ$12) + SUMIF($N$7:$N$12,AO8,$AK$7:$AK$12)</f>
        <v>0</v>
      </c>
      <c r="AQ8" s="34">
        <f>AR8-AS8</f>
        <v>0</v>
      </c>
      <c r="AR8" s="34">
        <f t="shared" ref="AR8:AR9" si="9">SUMIF($K$7:$K$12,AO8,$L$7:$L$12) + SUMIF($N$7:$N$12,AO8,$M$7:$M$12)</f>
        <v>0</v>
      </c>
      <c r="AS8" s="34">
        <f t="shared" ref="AS8:AS9" si="10">SUMIF($K$7:$K$12,AO8,$M$7:$M$12) + SUMIF($N$7:$N$12,AO8,$L$7:$L$12)</f>
        <v>0</v>
      </c>
      <c r="AV8" s="34" t="str">
        <f t="shared" ref="AV8:AV10" si="11">AO8</f>
        <v>Alemania</v>
      </c>
      <c r="AW8" s="34" t="str">
        <f>IF(AZ8=AZ9,AV9,IF(AZ8=AZ10,AV10,IF(AZ8=AZ7,AV7,"")))</f>
        <v>Japon</v>
      </c>
      <c r="AX8" s="34" t="e">
        <f>IF(AW8="","",IFERROR(VLOOKUP(CONCATENATE(AV8,"_",AW8),$AI$7:$AL$16,4,FALSE),VLOOKUP(CONCATENATE(AW8,"_",AV8),$AI$7:$AL$16,4,FALSE)))</f>
        <v>#N/A</v>
      </c>
      <c r="AY8" s="34" t="e">
        <f t="shared" ref="AY8:AY10" si="12">IF(AX8="",1,IF(AX8=AV8,1,0))</f>
        <v>#N/A</v>
      </c>
      <c r="AZ8" s="34">
        <f t="shared" ref="AZ8:AZ10" si="13">-AP8*10000000 - AQ8*10000 - AR8*100</f>
        <v>0</v>
      </c>
      <c r="BA8" s="34" t="e">
        <f t="shared" ref="BA8:BA10" si="14">AZ8-AY8*10</f>
        <v>#N/A</v>
      </c>
      <c r="BB8" s="34" t="e">
        <f>BA8+N24</f>
        <v>#N/A</v>
      </c>
    </row>
    <row r="9" spans="2:54" x14ac:dyDescent="0.25">
      <c r="B9" s="11">
        <v>2</v>
      </c>
      <c r="C9" s="12" t="str">
        <f t="shared" si="4"/>
        <v/>
      </c>
      <c r="D9" s="13" t="str">
        <f t="shared" si="4"/>
        <v/>
      </c>
      <c r="E9" s="13" t="str">
        <f t="shared" si="4"/>
        <v/>
      </c>
      <c r="F9" s="13" t="str">
        <f t="shared" si="4"/>
        <v/>
      </c>
      <c r="G9" s="14" t="str">
        <f t="shared" si="4"/>
        <v/>
      </c>
      <c r="I9" s="23">
        <f>I7+16</f>
        <v>25</v>
      </c>
      <c r="J9" s="24">
        <v>44892</v>
      </c>
      <c r="K9" s="25" t="str">
        <f t="shared" si="0"/>
        <v>LT25</v>
      </c>
      <c r="L9" s="21" t="str">
        <f t="shared" si="1"/>
        <v>LTS25</v>
      </c>
      <c r="M9" s="22" t="str">
        <f t="shared" si="2"/>
        <v>VTS25</v>
      </c>
      <c r="N9" s="23" t="str">
        <f t="shared" si="3"/>
        <v>VT25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5"/>
        <v>LT25_VT25</v>
      </c>
      <c r="AJ9" s="34">
        <f t="shared" si="6"/>
        <v>0</v>
      </c>
      <c r="AK9" s="34">
        <f t="shared" si="7"/>
        <v>3</v>
      </c>
      <c r="AL9" s="34" t="str">
        <f t="shared" si="8"/>
        <v>VT25</v>
      </c>
      <c r="AN9" s="34" t="e">
        <f>_xlfn.RANK.EQ(BB9,BB$7:BB$11,1)</f>
        <v>#N/A</v>
      </c>
      <c r="AO9" s="34" t="s">
        <v>46</v>
      </c>
      <c r="AP9" s="34">
        <f>SUMIF($K$7:$K$12,AO9,$AJ$7:$AJ$12) + SUMIF($N$7:$N$12,AO9,$AK$7:$AK$12)</f>
        <v>0</v>
      </c>
      <c r="AQ9" s="34">
        <f t="shared" ref="AQ9:AQ10" si="15">AR9-AS9</f>
        <v>0</v>
      </c>
      <c r="AR9" s="34">
        <f t="shared" si="9"/>
        <v>0</v>
      </c>
      <c r="AS9" s="34">
        <f t="shared" si="10"/>
        <v>0</v>
      </c>
      <c r="AV9" s="34" t="str">
        <f t="shared" si="11"/>
        <v>Japon</v>
      </c>
      <c r="AW9" s="34" t="str">
        <f>IF(AZ9=AZ10,AV10,IF(AZ9=AZ7,AV7,IF(AZ9=AZ8,AV8,"")))</f>
        <v>Costa Rica</v>
      </c>
      <c r="AX9" s="34" t="e">
        <f>IF(AW9="","",IFERROR(VLOOKUP(CONCATENATE(AV9,"_",AW9),$AI$7:$AL$16,4,FALSE),VLOOKUP(CONCATENATE(AW9,"_",AV9),$AI$7:$AL$16,4,FALSE)))</f>
        <v>#N/A</v>
      </c>
      <c r="AY9" s="34" t="e">
        <f t="shared" si="12"/>
        <v>#N/A</v>
      </c>
      <c r="AZ9" s="34">
        <f t="shared" si="13"/>
        <v>0</v>
      </c>
      <c r="BA9" s="34" t="e">
        <f t="shared" si="14"/>
        <v>#N/A</v>
      </c>
      <c r="BB9" s="34" t="e">
        <f>BA9+N25</f>
        <v>#N/A</v>
      </c>
    </row>
    <row r="10" spans="2:54" x14ac:dyDescent="0.25">
      <c r="B10" s="48">
        <v>3</v>
      </c>
      <c r="C10" s="49" t="str">
        <f t="shared" si="4"/>
        <v/>
      </c>
      <c r="D10" s="50" t="str">
        <f t="shared" si="4"/>
        <v/>
      </c>
      <c r="E10" s="50" t="str">
        <f t="shared" si="4"/>
        <v/>
      </c>
      <c r="F10" s="50" t="str">
        <f t="shared" si="4"/>
        <v/>
      </c>
      <c r="G10" s="51" t="str">
        <f t="shared" si="4"/>
        <v/>
      </c>
      <c r="I10" s="18">
        <f>I8+16</f>
        <v>26</v>
      </c>
      <c r="J10" s="19">
        <v>44892</v>
      </c>
      <c r="K10" s="20" t="str">
        <f t="shared" si="0"/>
        <v>LT26</v>
      </c>
      <c r="L10" s="21" t="str">
        <f t="shared" si="1"/>
        <v>LTS26</v>
      </c>
      <c r="M10" s="22" t="str">
        <f t="shared" si="2"/>
        <v>VTS26</v>
      </c>
      <c r="N10" s="18" t="str">
        <f t="shared" si="3"/>
        <v>VT26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5"/>
        <v>LT26_VT26</v>
      </c>
      <c r="AJ10" s="34">
        <f t="shared" si="6"/>
        <v>0</v>
      </c>
      <c r="AK10" s="34">
        <f t="shared" si="7"/>
        <v>3</v>
      </c>
      <c r="AL10" s="34" t="str">
        <f t="shared" si="8"/>
        <v>VT26</v>
      </c>
      <c r="AN10" s="34" t="e">
        <f>_xlfn.RANK.EQ(BB10,BB$7:BB$11,1)</f>
        <v>#N/A</v>
      </c>
      <c r="AO10" s="34" t="s">
        <v>47</v>
      </c>
      <c r="AP10" s="34">
        <f>SUMIF($K$7:$K$12,AO10,$AJ$7:$AJ$12) + SUMIF($N$7:$N$12,AO10,$AK$7:$AK$12)</f>
        <v>0</v>
      </c>
      <c r="AQ10" s="34">
        <f t="shared" si="15"/>
        <v>0</v>
      </c>
      <c r="AR10" s="34">
        <f>SUMIF($K$7:$K$12,AO10,$L$7:$L$12) + SUMIF($N$7:$N$12,AO10,$M$7:$M$12)</f>
        <v>0</v>
      </c>
      <c r="AS10" s="34">
        <f>SUMIF($K$7:$K$12,AO10,$M$7:$M$12) + SUMIF($N$7:$N$12,AO10,$L$7:$L$12)</f>
        <v>0</v>
      </c>
      <c r="AV10" s="34" t="str">
        <f t="shared" si="11"/>
        <v>Costa Rica</v>
      </c>
      <c r="AW10" s="34" t="str">
        <f>IF(AZ10=AZ7,AV7,IF(AZ10=AZ8,AV8,IF(AZ10=AZ9,AV9,"")))</f>
        <v>España</v>
      </c>
      <c r="AX10" s="34" t="e">
        <f>IF(AW10="","",IFERROR(VLOOKUP(CONCATENATE(AV10,"_",AW10),$AI$7:$AL$16,4,FALSE),VLOOKUP(CONCATENATE(AW10,"_",AV10),$AI$7:$AL$16,4,FALSE)))</f>
        <v>#N/A</v>
      </c>
      <c r="AY10" s="34" t="e">
        <f t="shared" si="12"/>
        <v>#N/A</v>
      </c>
      <c r="AZ10" s="34">
        <f t="shared" si="13"/>
        <v>0</v>
      </c>
      <c r="BA10" s="34" t="e">
        <f t="shared" si="14"/>
        <v>#N/A</v>
      </c>
      <c r="BB10" s="34" t="e">
        <f>BA10+N26</f>
        <v>#N/A</v>
      </c>
    </row>
    <row r="11" spans="2:54" ht="15.75" thickBot="1" x14ac:dyDescent="0.3">
      <c r="B11" s="52">
        <v>4</v>
      </c>
      <c r="C11" s="53" t="str">
        <f t="shared" si="4"/>
        <v/>
      </c>
      <c r="D11" s="54" t="str">
        <f t="shared" si="4"/>
        <v/>
      </c>
      <c r="E11" s="54" t="str">
        <f t="shared" si="4"/>
        <v/>
      </c>
      <c r="F11" s="54" t="str">
        <f t="shared" si="4"/>
        <v/>
      </c>
      <c r="G11" s="55" t="str">
        <f t="shared" si="4"/>
        <v/>
      </c>
      <c r="I11" s="23">
        <f>I9+16</f>
        <v>41</v>
      </c>
      <c r="J11" s="24">
        <v>44896</v>
      </c>
      <c r="K11" s="25" t="str">
        <f t="shared" si="0"/>
        <v>LT41</v>
      </c>
      <c r="L11" s="21" t="str">
        <f t="shared" si="1"/>
        <v>LTS41</v>
      </c>
      <c r="M11" s="22" t="str">
        <f t="shared" si="2"/>
        <v>VTS41</v>
      </c>
      <c r="N11" s="23" t="str">
        <f t="shared" si="3"/>
        <v>VT41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5"/>
        <v>LT41_VT41</v>
      </c>
      <c r="AJ11" s="34">
        <f t="shared" si="6"/>
        <v>0</v>
      </c>
      <c r="AK11" s="34">
        <f t="shared" si="7"/>
        <v>3</v>
      </c>
      <c r="AL11" s="34" t="str">
        <f t="shared" si="8"/>
        <v>VT41</v>
      </c>
    </row>
    <row r="12" spans="2:54" ht="15.75" thickBot="1" x14ac:dyDescent="0.3">
      <c r="I12" s="26">
        <f>I10+16</f>
        <v>42</v>
      </c>
      <c r="J12" s="27">
        <v>44896</v>
      </c>
      <c r="K12" s="28" t="str">
        <f t="shared" si="0"/>
        <v>LT42</v>
      </c>
      <c r="L12" s="32" t="str">
        <f t="shared" si="1"/>
        <v>LTS42</v>
      </c>
      <c r="M12" s="33" t="str">
        <f t="shared" si="2"/>
        <v>VTS42</v>
      </c>
      <c r="N12" s="26" t="str">
        <f t="shared" si="3"/>
        <v>VT42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5"/>
        <v>LT42_VT42</v>
      </c>
      <c r="AJ12" s="34">
        <f t="shared" si="6"/>
        <v>0</v>
      </c>
      <c r="AK12" s="34">
        <f t="shared" si="7"/>
        <v>3</v>
      </c>
      <c r="AL12" s="34" t="str">
        <f t="shared" si="8"/>
        <v>VT42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44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6">IF(J24="",0,1)</f>
        <v>1</v>
      </c>
      <c r="J24" s="85" t="s">
        <v>45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6"/>
        <v>1</v>
      </c>
      <c r="J25" s="85" t="s">
        <v>46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6"/>
        <v>1</v>
      </c>
      <c r="J26" s="88" t="s">
        <v>47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J22:M26 B22:H28">
    <cfRule type="expression" dxfId="46" priority="9">
      <formula>OR($I$22=0,AND($J$20="",$J$21="",$J$22="",$J$23=""))</formula>
    </cfRule>
  </conditionalFormatting>
  <conditionalFormatting sqref="M23:M26">
    <cfRule type="expression" dxfId="45" priority="6">
      <formula>J23=""</formula>
    </cfRule>
  </conditionalFormatting>
  <conditionalFormatting sqref="N23:AH27">
    <cfRule type="expression" dxfId="44" priority="1">
      <formula>K23=""</formula>
    </cfRule>
    <cfRule type="expression" dxfId="43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FF533-C2D8-4574-857E-EAC55BA9EEFB}">
  <dimension ref="A2:BB28"/>
  <sheetViews>
    <sheetView workbookViewId="0">
      <selection activeCell="K7" sqref="K7:N12"/>
    </sheetView>
  </sheetViews>
  <sheetFormatPr defaultColWidth="11.42578125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71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11</v>
      </c>
      <c r="J7" s="29">
        <v>44888</v>
      </c>
      <c r="K7" s="17" t="str">
        <f t="shared" ref="K7:K12" si="0">_xlfn.CONCAT("LT",I7)</f>
        <v>LT11</v>
      </c>
      <c r="L7" s="30" t="str">
        <f t="shared" ref="L7:L12" si="1">_xlfn.CONCAT("LTS",I7)</f>
        <v>LTS11</v>
      </c>
      <c r="M7" s="31" t="str">
        <f t="shared" ref="M7:M12" si="2">_xlfn.CONCAT("VTS",I7)</f>
        <v>VTS11</v>
      </c>
      <c r="N7" s="16" t="str">
        <f t="shared" ref="N7:N12" si="3">_xlfn.CONCAT("VT",I7)</f>
        <v>VT11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LT11_VT11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VT11</v>
      </c>
      <c r="AN7" s="34" t="e">
        <f>_xlfn.RANK.EQ(BB7,BB$7:BB$11,1)</f>
        <v>#N/A</v>
      </c>
      <c r="AO7" s="34" t="s">
        <v>48</v>
      </c>
      <c r="AP7" s="34">
        <f>SUMIF($K$7:$K$12,AO7,$AJ$7:$AJ$12) + SUMIF($N$7:$N$12,AO7,$AK$7:$AK$12)</f>
        <v>0</v>
      </c>
      <c r="AQ7" s="34">
        <f>AR7-AS7</f>
        <v>0</v>
      </c>
      <c r="AR7" s="34">
        <f>SUMIF($K$7:$K$12,AO7,$L$7:$L$12) + SUMIF($N$7:$N$12,AO7,$M$7:$M$12)</f>
        <v>0</v>
      </c>
      <c r="AS7" s="34">
        <f>SUMIF($K$7:$K$12,AO7,$M$7:$M$12) + SUMIF($N$7:$N$12,AO7,$L$7:$L$12)</f>
        <v>0</v>
      </c>
      <c r="AV7" s="34" t="str">
        <f>AO7</f>
        <v>Belgica</v>
      </c>
      <c r="AW7" s="34" t="str">
        <f>IF(AZ7=AZ8,AV8,IF(AZ7=AZ9,AV9,IF(AZ7=AZ10,AV10,"")))</f>
        <v>Croacia</v>
      </c>
      <c r="AX7" s="34" t="e">
        <f>IF(AW7="","",IFERROR(VLOOKUP(CONCATENATE(AV7,"_",AW7),$AI$7:$AL$16,4,FALSE),VLOOKUP(CONCATENATE(AW7,"_",AV7),$AI$7:$AL$16,4,FALSE)))</f>
        <v>#N/A</v>
      </c>
      <c r="AY7" s="34" t="e">
        <f>IF(AX7="",1,IF(AX7=AV7,1,0))</f>
        <v>#N/A</v>
      </c>
      <c r="AZ7" s="34">
        <f>-AP7*10000000 - AQ7*10000 - AR7*100</f>
        <v>0</v>
      </c>
      <c r="BA7" s="34" t="e">
        <f>AZ7-AY7*10</f>
        <v>#N/A</v>
      </c>
      <c r="BB7" s="34" t="e">
        <f>BA7+N23</f>
        <v>#N/A</v>
      </c>
    </row>
    <row r="8" spans="2:54" x14ac:dyDescent="0.25">
      <c r="B8" s="7">
        <v>1</v>
      </c>
      <c r="C8" s="8" t="str">
        <f t="shared" ref="C8:G11" si="4">IFERROR(VLOOKUP($B8,$AN$7:$AS$11,C$5,FALSE),"")</f>
        <v/>
      </c>
      <c r="D8" s="9" t="str">
        <f t="shared" si="4"/>
        <v/>
      </c>
      <c r="E8" s="9" t="str">
        <f t="shared" si="4"/>
        <v/>
      </c>
      <c r="F8" s="9" t="str">
        <f t="shared" si="4"/>
        <v/>
      </c>
      <c r="G8" s="10" t="str">
        <f t="shared" si="4"/>
        <v/>
      </c>
      <c r="I8" s="18">
        <v>12</v>
      </c>
      <c r="J8" s="19">
        <v>44888</v>
      </c>
      <c r="K8" s="20" t="str">
        <f t="shared" si="0"/>
        <v>LT12</v>
      </c>
      <c r="L8" s="21" t="str">
        <f t="shared" si="1"/>
        <v>LTS12</v>
      </c>
      <c r="M8" s="22" t="str">
        <f t="shared" si="2"/>
        <v>VTS12</v>
      </c>
      <c r="N8" s="18" t="str">
        <f t="shared" si="3"/>
        <v>VT12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5">CONCATENATE(K8,"_",N8)</f>
        <v>LT12_VT12</v>
      </c>
      <c r="AJ8" s="34">
        <f t="shared" ref="AJ8:AJ12" si="6">IF(L8&gt;M8,3,IF(L8&lt;M8,0,1))</f>
        <v>0</v>
      </c>
      <c r="AK8" s="34">
        <f t="shared" ref="AK8:AK12" si="7">IF(AJ8=3,0,IF(AJ8=1,1,3))</f>
        <v>3</v>
      </c>
      <c r="AL8" s="34" t="str">
        <f t="shared" ref="AL8:AL12" si="8">IF(AJ8&gt;AK8,K8,IF(AK8&gt;AJ8,N8,"SIN GANADOR"))</f>
        <v>VT12</v>
      </c>
      <c r="AN8" s="34" t="e">
        <f>_xlfn.RANK.EQ(BB8,BB$7:BB$11,1)</f>
        <v>#N/A</v>
      </c>
      <c r="AO8" s="34" t="s">
        <v>49</v>
      </c>
      <c r="AP8" s="34">
        <f>SUMIF($K$7:$K$12,AO8,$AJ$7:$AJ$12) + SUMIF($N$7:$N$12,AO8,$AK$7:$AK$12)</f>
        <v>0</v>
      </c>
      <c r="AQ8" s="34">
        <f>AR8-AS8</f>
        <v>0</v>
      </c>
      <c r="AR8" s="34">
        <f t="shared" ref="AR8:AR9" si="9">SUMIF($K$7:$K$12,AO8,$L$7:$L$12) + SUMIF($N$7:$N$12,AO8,$M$7:$M$12)</f>
        <v>0</v>
      </c>
      <c r="AS8" s="34">
        <f t="shared" ref="AS8:AS9" si="10">SUMIF($K$7:$K$12,AO8,$M$7:$M$12) + SUMIF($N$7:$N$12,AO8,$L$7:$L$12)</f>
        <v>0</v>
      </c>
      <c r="AV8" s="34" t="str">
        <f t="shared" ref="AV8:AV10" si="11">AO8</f>
        <v>Croacia</v>
      </c>
      <c r="AW8" s="34" t="str">
        <f>IF(AZ8=AZ9,AV9,IF(AZ8=AZ10,AV10,IF(AZ8=AZ7,AV7,"")))</f>
        <v>Marruecos</v>
      </c>
      <c r="AX8" s="34" t="e">
        <f>IF(AW8="","",IFERROR(VLOOKUP(CONCATENATE(AV8,"_",AW8),$AI$7:$AL$16,4,FALSE),VLOOKUP(CONCATENATE(AW8,"_",AV8),$AI$7:$AL$16,4,FALSE)))</f>
        <v>#N/A</v>
      </c>
      <c r="AY8" s="34" t="e">
        <f t="shared" ref="AY8:AY10" si="12">IF(AX8="",1,IF(AX8=AV8,1,0))</f>
        <v>#N/A</v>
      </c>
      <c r="AZ8" s="34">
        <f t="shared" ref="AZ8:AZ10" si="13">-AP8*10000000 - AQ8*10000 - AR8*100</f>
        <v>0</v>
      </c>
      <c r="BA8" s="34" t="e">
        <f t="shared" ref="BA8:BA10" si="14">AZ8-AY8*10</f>
        <v>#N/A</v>
      </c>
      <c r="BB8" s="34" t="e">
        <f>BA8+N24</f>
        <v>#N/A</v>
      </c>
    </row>
    <row r="9" spans="2:54" x14ac:dyDescent="0.25">
      <c r="B9" s="11">
        <v>2</v>
      </c>
      <c r="C9" s="12" t="str">
        <f t="shared" si="4"/>
        <v/>
      </c>
      <c r="D9" s="13" t="str">
        <f t="shared" si="4"/>
        <v/>
      </c>
      <c r="E9" s="13" t="str">
        <f t="shared" si="4"/>
        <v/>
      </c>
      <c r="F9" s="13" t="str">
        <f t="shared" si="4"/>
        <v/>
      </c>
      <c r="G9" s="14" t="str">
        <f t="shared" si="4"/>
        <v/>
      </c>
      <c r="I9" s="23">
        <f>I7+16</f>
        <v>27</v>
      </c>
      <c r="J9" s="24">
        <v>44892</v>
      </c>
      <c r="K9" s="25" t="str">
        <f t="shared" si="0"/>
        <v>LT27</v>
      </c>
      <c r="L9" s="21" t="str">
        <f t="shared" si="1"/>
        <v>LTS27</v>
      </c>
      <c r="M9" s="22" t="str">
        <f t="shared" si="2"/>
        <v>VTS27</v>
      </c>
      <c r="N9" s="23" t="str">
        <f t="shared" si="3"/>
        <v>VT27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5"/>
        <v>LT27_VT27</v>
      </c>
      <c r="AJ9" s="34">
        <f t="shared" si="6"/>
        <v>0</v>
      </c>
      <c r="AK9" s="34">
        <f t="shared" si="7"/>
        <v>3</v>
      </c>
      <c r="AL9" s="34" t="str">
        <f t="shared" si="8"/>
        <v>VT27</v>
      </c>
      <c r="AN9" s="34" t="e">
        <f>_xlfn.RANK.EQ(BB9,BB$7:BB$11,1)</f>
        <v>#N/A</v>
      </c>
      <c r="AO9" s="34" t="s">
        <v>50</v>
      </c>
      <c r="AP9" s="34">
        <f>SUMIF($K$7:$K$12,AO9,$AJ$7:$AJ$12) + SUMIF($N$7:$N$12,AO9,$AK$7:$AK$12)</f>
        <v>0</v>
      </c>
      <c r="AQ9" s="34">
        <f t="shared" ref="AQ9:AQ10" si="15">AR9-AS9</f>
        <v>0</v>
      </c>
      <c r="AR9" s="34">
        <f t="shared" si="9"/>
        <v>0</v>
      </c>
      <c r="AS9" s="34">
        <f t="shared" si="10"/>
        <v>0</v>
      </c>
      <c r="AV9" s="34" t="str">
        <f t="shared" si="11"/>
        <v>Marruecos</v>
      </c>
      <c r="AW9" s="34" t="str">
        <f>IF(AZ9=AZ10,AV10,IF(AZ9=AZ7,AV7,IF(AZ9=AZ8,AV8,"")))</f>
        <v>Canada</v>
      </c>
      <c r="AX9" s="34" t="e">
        <f>IF(AW9="","",IFERROR(VLOOKUP(CONCATENATE(AV9,"_",AW9),$AI$7:$AL$16,4,FALSE),VLOOKUP(CONCATENATE(AW9,"_",AV9),$AI$7:$AL$16,4,FALSE)))</f>
        <v>#N/A</v>
      </c>
      <c r="AY9" s="34" t="e">
        <f t="shared" si="12"/>
        <v>#N/A</v>
      </c>
      <c r="AZ9" s="34">
        <f t="shared" si="13"/>
        <v>0</v>
      </c>
      <c r="BA9" s="34" t="e">
        <f t="shared" si="14"/>
        <v>#N/A</v>
      </c>
      <c r="BB9" s="34" t="e">
        <f>BA9+N25</f>
        <v>#N/A</v>
      </c>
    </row>
    <row r="10" spans="2:54" x14ac:dyDescent="0.25">
      <c r="B10" s="48">
        <v>3</v>
      </c>
      <c r="C10" s="49" t="str">
        <f t="shared" si="4"/>
        <v/>
      </c>
      <c r="D10" s="50" t="str">
        <f t="shared" si="4"/>
        <v/>
      </c>
      <c r="E10" s="50" t="str">
        <f t="shared" si="4"/>
        <v/>
      </c>
      <c r="F10" s="50" t="str">
        <f t="shared" si="4"/>
        <v/>
      </c>
      <c r="G10" s="51" t="str">
        <f t="shared" si="4"/>
        <v/>
      </c>
      <c r="I10" s="18">
        <f>I8+16</f>
        <v>28</v>
      </c>
      <c r="J10" s="19">
        <v>44892</v>
      </c>
      <c r="K10" s="20" t="str">
        <f t="shared" si="0"/>
        <v>LT28</v>
      </c>
      <c r="L10" s="21" t="str">
        <f t="shared" si="1"/>
        <v>LTS28</v>
      </c>
      <c r="M10" s="22" t="str">
        <f t="shared" si="2"/>
        <v>VTS28</v>
      </c>
      <c r="N10" s="18" t="str">
        <f t="shared" si="3"/>
        <v>VT28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5"/>
        <v>LT28_VT28</v>
      </c>
      <c r="AJ10" s="34">
        <f t="shared" si="6"/>
        <v>0</v>
      </c>
      <c r="AK10" s="34">
        <f t="shared" si="7"/>
        <v>3</v>
      </c>
      <c r="AL10" s="34" t="str">
        <f t="shared" si="8"/>
        <v>VT28</v>
      </c>
      <c r="AN10" s="34" t="e">
        <f>_xlfn.RANK.EQ(BB10,BB$7:BB$11,1)</f>
        <v>#N/A</v>
      </c>
      <c r="AO10" s="34" t="s">
        <v>51</v>
      </c>
      <c r="AP10" s="34">
        <f>SUMIF($K$7:$K$12,AO10,$AJ$7:$AJ$12) + SUMIF($N$7:$N$12,AO10,$AK$7:$AK$12)</f>
        <v>0</v>
      </c>
      <c r="AQ10" s="34">
        <f t="shared" si="15"/>
        <v>0</v>
      </c>
      <c r="AR10" s="34">
        <f>SUMIF($K$7:$K$12,AO10,$L$7:$L$12) + SUMIF($N$7:$N$12,AO10,$M$7:$M$12)</f>
        <v>0</v>
      </c>
      <c r="AS10" s="34">
        <f>SUMIF($K$7:$K$12,AO10,$M$7:$M$12) + SUMIF($N$7:$N$12,AO10,$L$7:$L$12)</f>
        <v>0</v>
      </c>
      <c r="AV10" s="34" t="str">
        <f t="shared" si="11"/>
        <v>Canada</v>
      </c>
      <c r="AW10" s="34" t="str">
        <f>IF(AZ10=AZ7,AV7,IF(AZ10=AZ8,AV8,IF(AZ10=AZ9,AV9,"")))</f>
        <v>Belgica</v>
      </c>
      <c r="AX10" s="34" t="e">
        <f>IF(AW10="","",IFERROR(VLOOKUP(CONCATENATE(AV10,"_",AW10),$AI$7:$AL$16,4,FALSE),VLOOKUP(CONCATENATE(AW10,"_",AV10),$AI$7:$AL$16,4,FALSE)))</f>
        <v>#N/A</v>
      </c>
      <c r="AY10" s="34" t="e">
        <f t="shared" si="12"/>
        <v>#N/A</v>
      </c>
      <c r="AZ10" s="34">
        <f t="shared" si="13"/>
        <v>0</v>
      </c>
      <c r="BA10" s="34" t="e">
        <f t="shared" si="14"/>
        <v>#N/A</v>
      </c>
      <c r="BB10" s="34" t="e">
        <f>BA10+N26</f>
        <v>#N/A</v>
      </c>
    </row>
    <row r="11" spans="2:54" ht="15.75" thickBot="1" x14ac:dyDescent="0.3">
      <c r="B11" s="52">
        <v>4</v>
      </c>
      <c r="C11" s="53" t="str">
        <f t="shared" si="4"/>
        <v/>
      </c>
      <c r="D11" s="54" t="str">
        <f t="shared" si="4"/>
        <v/>
      </c>
      <c r="E11" s="54" t="str">
        <f t="shared" si="4"/>
        <v/>
      </c>
      <c r="F11" s="54" t="str">
        <f t="shared" si="4"/>
        <v/>
      </c>
      <c r="G11" s="55" t="str">
        <f t="shared" si="4"/>
        <v/>
      </c>
      <c r="I11" s="23">
        <f>I9+16</f>
        <v>43</v>
      </c>
      <c r="J11" s="24">
        <v>44896</v>
      </c>
      <c r="K11" s="25" t="str">
        <f t="shared" si="0"/>
        <v>LT43</v>
      </c>
      <c r="L11" s="21" t="str">
        <f t="shared" si="1"/>
        <v>LTS43</v>
      </c>
      <c r="M11" s="22" t="str">
        <f t="shared" si="2"/>
        <v>VTS43</v>
      </c>
      <c r="N11" s="23" t="str">
        <f t="shared" si="3"/>
        <v>VT43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5"/>
        <v>LT43_VT43</v>
      </c>
      <c r="AJ11" s="34">
        <f t="shared" si="6"/>
        <v>0</v>
      </c>
      <c r="AK11" s="34">
        <f t="shared" si="7"/>
        <v>3</v>
      </c>
      <c r="AL11" s="34" t="str">
        <f t="shared" si="8"/>
        <v>VT43</v>
      </c>
    </row>
    <row r="12" spans="2:54" ht="15.75" thickBot="1" x14ac:dyDescent="0.3">
      <c r="I12" s="26">
        <f>I10+16</f>
        <v>44</v>
      </c>
      <c r="J12" s="27">
        <v>44896</v>
      </c>
      <c r="K12" s="28" t="str">
        <f t="shared" si="0"/>
        <v>LT44</v>
      </c>
      <c r="L12" s="32" t="str">
        <f t="shared" si="1"/>
        <v>LTS44</v>
      </c>
      <c r="M12" s="33" t="str">
        <f t="shared" si="2"/>
        <v>VTS44</v>
      </c>
      <c r="N12" s="26" t="str">
        <f t="shared" si="3"/>
        <v>VT44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5"/>
        <v>LT44_VT44</v>
      </c>
      <c r="AJ12" s="34">
        <f t="shared" si="6"/>
        <v>0</v>
      </c>
      <c r="AK12" s="34">
        <f t="shared" si="7"/>
        <v>3</v>
      </c>
      <c r="AL12" s="34" t="str">
        <f t="shared" si="8"/>
        <v>VT44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48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6">IF(J24="",0,1)</f>
        <v>1</v>
      </c>
      <c r="J24" s="85" t="s">
        <v>49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6"/>
        <v>1</v>
      </c>
      <c r="J25" s="85" t="s">
        <v>50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6"/>
        <v>1</v>
      </c>
      <c r="J26" s="88" t="s">
        <v>51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J22:M26 B22:H28">
    <cfRule type="expression" dxfId="42" priority="9">
      <formula>OR($I$22=0,AND($J$20="",$J$21="",$J$22="",$J$23=""))</formula>
    </cfRule>
  </conditionalFormatting>
  <conditionalFormatting sqref="M23:M26">
    <cfRule type="expression" dxfId="41" priority="6">
      <formula>J23=""</formula>
    </cfRule>
  </conditionalFormatting>
  <conditionalFormatting sqref="N23:AH27">
    <cfRule type="expression" dxfId="40" priority="1">
      <formula>K23=""</formula>
    </cfRule>
    <cfRule type="expression" dxfId="39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A1F4-65BC-4F66-B10D-AC4CECED8DEE}">
  <dimension ref="A2:BB28"/>
  <sheetViews>
    <sheetView workbookViewId="0">
      <selection activeCell="K7" sqref="K7:N12"/>
    </sheetView>
  </sheetViews>
  <sheetFormatPr defaultColWidth="11.42578125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72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13</v>
      </c>
      <c r="J7" s="29">
        <v>44889</v>
      </c>
      <c r="K7" s="17" t="str">
        <f t="shared" ref="K7:K12" si="0">_xlfn.CONCAT("LT",I7)</f>
        <v>LT13</v>
      </c>
      <c r="L7" s="30" t="str">
        <f t="shared" ref="L7:L12" si="1">_xlfn.CONCAT("LTS",I7)</f>
        <v>LTS13</v>
      </c>
      <c r="M7" s="31" t="str">
        <f t="shared" ref="M7:M12" si="2">_xlfn.CONCAT("VTS",I7)</f>
        <v>VTS13</v>
      </c>
      <c r="N7" s="16" t="str">
        <f t="shared" ref="N7:N12" si="3">_xlfn.CONCAT("VT",I7)</f>
        <v>VT13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LT13_VT13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VT13</v>
      </c>
      <c r="AN7" s="34" t="e">
        <f>_xlfn.RANK.EQ(BB7,BB$7:BB$11,1)</f>
        <v>#N/A</v>
      </c>
      <c r="AO7" s="34" t="s">
        <v>10</v>
      </c>
      <c r="AP7" s="34">
        <f>SUMIF($K$7:$K$12,AO7,$AJ$7:$AJ$12) + SUMIF($N$7:$N$12,AO7,$AK$7:$AK$12)</f>
        <v>0</v>
      </c>
      <c r="AQ7" s="34">
        <f>AR7-AS7</f>
        <v>0</v>
      </c>
      <c r="AR7" s="34">
        <f>SUMIF($K$7:$K$12,AO7,$L$7:$L$12) + SUMIF($N$7:$N$12,AO7,$M$7:$M$12)</f>
        <v>0</v>
      </c>
      <c r="AS7" s="34">
        <f>SUMIF($K$7:$K$12,AO7,$M$7:$M$12) + SUMIF($N$7:$N$12,AO7,$L$7:$L$12)</f>
        <v>0</v>
      </c>
      <c r="AV7" s="34" t="str">
        <f>AO7</f>
        <v>Brasil</v>
      </c>
      <c r="AW7" s="34" t="str">
        <f>IF(AZ7=AZ8,AV8,IF(AZ7=AZ9,AV9,IF(AZ7=AZ10,AV10,"")))</f>
        <v>Suiza</v>
      </c>
      <c r="AX7" s="34" t="e">
        <f>IF(AW7="","",IFERROR(VLOOKUP(CONCATENATE(AV7,"_",AW7),$AI$7:$AL$16,4,FALSE),VLOOKUP(CONCATENATE(AW7,"_",AV7),$AI$7:$AL$16,4,FALSE)))</f>
        <v>#N/A</v>
      </c>
      <c r="AY7" s="34" t="e">
        <f>IF(AX7="",1,IF(AX7=AV7,1,0))</f>
        <v>#N/A</v>
      </c>
      <c r="AZ7" s="34">
        <f>-AP7*10000000 - AQ7*10000 - AR7*100</f>
        <v>0</v>
      </c>
      <c r="BA7" s="34" t="e">
        <f>AZ7-AY7*10</f>
        <v>#N/A</v>
      </c>
      <c r="BB7" s="34" t="e">
        <f>BA7+N23</f>
        <v>#N/A</v>
      </c>
    </row>
    <row r="8" spans="2:54" x14ac:dyDescent="0.25">
      <c r="B8" s="7">
        <v>1</v>
      </c>
      <c r="C8" s="8" t="str">
        <f t="shared" ref="C8:G11" si="4">IFERROR(VLOOKUP($B8,$AN$7:$AS$11,C$5,FALSE),"")</f>
        <v/>
      </c>
      <c r="D8" s="9" t="str">
        <f t="shared" si="4"/>
        <v/>
      </c>
      <c r="E8" s="9" t="str">
        <f t="shared" si="4"/>
        <v/>
      </c>
      <c r="F8" s="9" t="str">
        <f t="shared" si="4"/>
        <v/>
      </c>
      <c r="G8" s="10" t="str">
        <f t="shared" si="4"/>
        <v/>
      </c>
      <c r="I8" s="18">
        <v>14</v>
      </c>
      <c r="J8" s="19">
        <v>44889</v>
      </c>
      <c r="K8" s="20" t="str">
        <f t="shared" si="0"/>
        <v>LT14</v>
      </c>
      <c r="L8" s="21" t="str">
        <f t="shared" si="1"/>
        <v>LTS14</v>
      </c>
      <c r="M8" s="22" t="str">
        <f t="shared" si="2"/>
        <v>VTS14</v>
      </c>
      <c r="N8" s="18" t="str">
        <f t="shared" si="3"/>
        <v>VT14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5">CONCATENATE(K8,"_",N8)</f>
        <v>LT14_VT14</v>
      </c>
      <c r="AJ8" s="34">
        <f t="shared" ref="AJ8:AJ12" si="6">IF(L8&gt;M8,3,IF(L8&lt;M8,0,1))</f>
        <v>0</v>
      </c>
      <c r="AK8" s="34">
        <f t="shared" ref="AK8:AK12" si="7">IF(AJ8=3,0,IF(AJ8=1,1,3))</f>
        <v>3</v>
      </c>
      <c r="AL8" s="34" t="str">
        <f t="shared" ref="AL8:AL12" si="8">IF(AJ8&gt;AK8,K8,IF(AK8&gt;AJ8,N8,"SIN GANADOR"))</f>
        <v>VT14</v>
      </c>
      <c r="AN8" s="34" t="e">
        <f>_xlfn.RANK.EQ(BB8,BB$7:BB$11,1)</f>
        <v>#N/A</v>
      </c>
      <c r="AO8" s="34" t="s">
        <v>52</v>
      </c>
      <c r="AP8" s="34">
        <f>SUMIF($K$7:$K$12,AO8,$AJ$7:$AJ$12) + SUMIF($N$7:$N$12,AO8,$AK$7:$AK$12)</f>
        <v>0</v>
      </c>
      <c r="AQ8" s="34">
        <f>AR8-AS8</f>
        <v>0</v>
      </c>
      <c r="AR8" s="34">
        <f t="shared" ref="AR8:AR9" si="9">SUMIF($K$7:$K$12,AO8,$L$7:$L$12) + SUMIF($N$7:$N$12,AO8,$M$7:$M$12)</f>
        <v>0</v>
      </c>
      <c r="AS8" s="34">
        <f t="shared" ref="AS8:AS9" si="10">SUMIF($K$7:$K$12,AO8,$M$7:$M$12) + SUMIF($N$7:$N$12,AO8,$L$7:$L$12)</f>
        <v>0</v>
      </c>
      <c r="AV8" s="34" t="str">
        <f t="shared" ref="AV8:AV10" si="11">AO8</f>
        <v>Suiza</v>
      </c>
      <c r="AW8" s="34" t="str">
        <f>IF(AZ8=AZ9,AV9,IF(AZ8=AZ10,AV10,IF(AZ8=AZ7,AV7,"")))</f>
        <v>Serbia</v>
      </c>
      <c r="AX8" s="34" t="e">
        <f>IF(AW8="","",IFERROR(VLOOKUP(CONCATENATE(AV8,"_",AW8),$AI$7:$AL$16,4,FALSE),VLOOKUP(CONCATENATE(AW8,"_",AV8),$AI$7:$AL$16,4,FALSE)))</f>
        <v>#N/A</v>
      </c>
      <c r="AY8" s="34" t="e">
        <f t="shared" ref="AY8:AY10" si="12">IF(AX8="",1,IF(AX8=AV8,1,0))</f>
        <v>#N/A</v>
      </c>
      <c r="AZ8" s="34">
        <f t="shared" ref="AZ8:AZ10" si="13">-AP8*10000000 - AQ8*10000 - AR8*100</f>
        <v>0</v>
      </c>
      <c r="BA8" s="34" t="e">
        <f t="shared" ref="BA8:BA10" si="14">AZ8-AY8*10</f>
        <v>#N/A</v>
      </c>
      <c r="BB8" s="34" t="e">
        <f>BA8+N24</f>
        <v>#N/A</v>
      </c>
    </row>
    <row r="9" spans="2:54" x14ac:dyDescent="0.25">
      <c r="B9" s="11">
        <v>2</v>
      </c>
      <c r="C9" s="12" t="str">
        <f t="shared" si="4"/>
        <v/>
      </c>
      <c r="D9" s="13" t="str">
        <f t="shared" si="4"/>
        <v/>
      </c>
      <c r="E9" s="13" t="str">
        <f t="shared" si="4"/>
        <v/>
      </c>
      <c r="F9" s="13" t="str">
        <f t="shared" si="4"/>
        <v/>
      </c>
      <c r="G9" s="14" t="str">
        <f t="shared" si="4"/>
        <v/>
      </c>
      <c r="I9" s="23">
        <f>I7+16</f>
        <v>29</v>
      </c>
      <c r="J9" s="24">
        <v>44893</v>
      </c>
      <c r="K9" s="25" t="str">
        <f t="shared" si="0"/>
        <v>LT29</v>
      </c>
      <c r="L9" s="21" t="str">
        <f t="shared" si="1"/>
        <v>LTS29</v>
      </c>
      <c r="M9" s="22" t="str">
        <f t="shared" si="2"/>
        <v>VTS29</v>
      </c>
      <c r="N9" s="23" t="str">
        <f t="shared" si="3"/>
        <v>VT29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5"/>
        <v>LT29_VT29</v>
      </c>
      <c r="AJ9" s="34">
        <f t="shared" si="6"/>
        <v>0</v>
      </c>
      <c r="AK9" s="34">
        <f t="shared" si="7"/>
        <v>3</v>
      </c>
      <c r="AL9" s="34" t="str">
        <f t="shared" si="8"/>
        <v>VT29</v>
      </c>
      <c r="AN9" s="34" t="e">
        <f>_xlfn.RANK.EQ(BB9,BB$7:BB$11,1)</f>
        <v>#N/A</v>
      </c>
      <c r="AO9" s="34" t="s">
        <v>53</v>
      </c>
      <c r="AP9" s="34">
        <f>SUMIF($K$7:$K$12,AO9,$AJ$7:$AJ$12) + SUMIF($N$7:$N$12,AO9,$AK$7:$AK$12)</f>
        <v>0</v>
      </c>
      <c r="AQ9" s="34">
        <f t="shared" ref="AQ9:AQ10" si="15">AR9-AS9</f>
        <v>0</v>
      </c>
      <c r="AR9" s="34">
        <f t="shared" si="9"/>
        <v>0</v>
      </c>
      <c r="AS9" s="34">
        <f t="shared" si="10"/>
        <v>0</v>
      </c>
      <c r="AV9" s="34" t="str">
        <f t="shared" si="11"/>
        <v>Serbia</v>
      </c>
      <c r="AW9" s="34" t="str">
        <f>IF(AZ9=AZ10,AV10,IF(AZ9=AZ7,AV7,IF(AZ9=AZ8,AV8,"")))</f>
        <v>Camerun</v>
      </c>
      <c r="AX9" s="34" t="e">
        <f>IF(AW9="","",IFERROR(VLOOKUP(CONCATENATE(AV9,"_",AW9),$AI$7:$AL$16,4,FALSE),VLOOKUP(CONCATENATE(AW9,"_",AV9),$AI$7:$AL$16,4,FALSE)))</f>
        <v>#N/A</v>
      </c>
      <c r="AY9" s="34" t="e">
        <f t="shared" si="12"/>
        <v>#N/A</v>
      </c>
      <c r="AZ9" s="34">
        <f t="shared" si="13"/>
        <v>0</v>
      </c>
      <c r="BA9" s="34" t="e">
        <f t="shared" si="14"/>
        <v>#N/A</v>
      </c>
      <c r="BB9" s="34" t="e">
        <f>BA9+N25</f>
        <v>#N/A</v>
      </c>
    </row>
    <row r="10" spans="2:54" x14ac:dyDescent="0.25">
      <c r="B10" s="48">
        <v>3</v>
      </c>
      <c r="C10" s="49" t="str">
        <f t="shared" si="4"/>
        <v/>
      </c>
      <c r="D10" s="50" t="str">
        <f t="shared" si="4"/>
        <v/>
      </c>
      <c r="E10" s="50" t="str">
        <f t="shared" si="4"/>
        <v/>
      </c>
      <c r="F10" s="50" t="str">
        <f t="shared" si="4"/>
        <v/>
      </c>
      <c r="G10" s="51" t="str">
        <f t="shared" si="4"/>
        <v/>
      </c>
      <c r="I10" s="18">
        <f>I8+16</f>
        <v>30</v>
      </c>
      <c r="J10" s="19">
        <v>44893</v>
      </c>
      <c r="K10" s="20" t="str">
        <f t="shared" si="0"/>
        <v>LT30</v>
      </c>
      <c r="L10" s="21" t="str">
        <f t="shared" si="1"/>
        <v>LTS30</v>
      </c>
      <c r="M10" s="22" t="str">
        <f t="shared" si="2"/>
        <v>VTS30</v>
      </c>
      <c r="N10" s="18" t="str">
        <f t="shared" si="3"/>
        <v>VT30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5"/>
        <v>LT30_VT30</v>
      </c>
      <c r="AJ10" s="34">
        <f t="shared" si="6"/>
        <v>0</v>
      </c>
      <c r="AK10" s="34">
        <f t="shared" si="7"/>
        <v>3</v>
      </c>
      <c r="AL10" s="34" t="str">
        <f t="shared" si="8"/>
        <v>VT30</v>
      </c>
      <c r="AN10" s="34" t="e">
        <f>_xlfn.RANK.EQ(BB10,BB$7:BB$11,1)</f>
        <v>#N/A</v>
      </c>
      <c r="AO10" s="34" t="s">
        <v>54</v>
      </c>
      <c r="AP10" s="34">
        <f>SUMIF($K$7:$K$12,AO10,$AJ$7:$AJ$12) + SUMIF($N$7:$N$12,AO10,$AK$7:$AK$12)</f>
        <v>0</v>
      </c>
      <c r="AQ10" s="34">
        <f t="shared" si="15"/>
        <v>0</v>
      </c>
      <c r="AR10" s="34">
        <f>SUMIF($K$7:$K$12,AO10,$L$7:$L$12) + SUMIF($N$7:$N$12,AO10,$M$7:$M$12)</f>
        <v>0</v>
      </c>
      <c r="AS10" s="34">
        <f>SUMIF($K$7:$K$12,AO10,$M$7:$M$12) + SUMIF($N$7:$N$12,AO10,$L$7:$L$12)</f>
        <v>0</v>
      </c>
      <c r="AV10" s="34" t="str">
        <f t="shared" si="11"/>
        <v>Camerun</v>
      </c>
      <c r="AW10" s="34" t="str">
        <f>IF(AZ10=AZ7,AV7,IF(AZ10=AZ8,AV8,IF(AZ10=AZ9,AV9,"")))</f>
        <v>Brasil</v>
      </c>
      <c r="AX10" s="34" t="e">
        <f>IF(AW10="","",IFERROR(VLOOKUP(CONCATENATE(AV10,"_",AW10),$AI$7:$AL$16,4,FALSE),VLOOKUP(CONCATENATE(AW10,"_",AV10),$AI$7:$AL$16,4,FALSE)))</f>
        <v>#N/A</v>
      </c>
      <c r="AY10" s="34" t="e">
        <f t="shared" si="12"/>
        <v>#N/A</v>
      </c>
      <c r="AZ10" s="34">
        <f t="shared" si="13"/>
        <v>0</v>
      </c>
      <c r="BA10" s="34" t="e">
        <f t="shared" si="14"/>
        <v>#N/A</v>
      </c>
      <c r="BB10" s="34" t="e">
        <f>BA10+N26</f>
        <v>#N/A</v>
      </c>
    </row>
    <row r="11" spans="2:54" ht="15.75" thickBot="1" x14ac:dyDescent="0.3">
      <c r="B11" s="52">
        <v>4</v>
      </c>
      <c r="C11" s="53" t="str">
        <f t="shared" si="4"/>
        <v/>
      </c>
      <c r="D11" s="54" t="str">
        <f t="shared" si="4"/>
        <v/>
      </c>
      <c r="E11" s="54" t="str">
        <f t="shared" si="4"/>
        <v/>
      </c>
      <c r="F11" s="54" t="str">
        <f t="shared" si="4"/>
        <v/>
      </c>
      <c r="G11" s="55" t="str">
        <f t="shared" si="4"/>
        <v/>
      </c>
      <c r="I11" s="23">
        <f>I9+16</f>
        <v>45</v>
      </c>
      <c r="J11" s="24">
        <v>44897</v>
      </c>
      <c r="K11" s="25" t="str">
        <f t="shared" si="0"/>
        <v>LT45</v>
      </c>
      <c r="L11" s="21" t="str">
        <f t="shared" si="1"/>
        <v>LTS45</v>
      </c>
      <c r="M11" s="22" t="str">
        <f t="shared" si="2"/>
        <v>VTS45</v>
      </c>
      <c r="N11" s="23" t="str">
        <f t="shared" si="3"/>
        <v>VT45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5"/>
        <v>LT45_VT45</v>
      </c>
      <c r="AJ11" s="34">
        <f t="shared" si="6"/>
        <v>0</v>
      </c>
      <c r="AK11" s="34">
        <f t="shared" si="7"/>
        <v>3</v>
      </c>
      <c r="AL11" s="34" t="str">
        <f t="shared" si="8"/>
        <v>VT45</v>
      </c>
    </row>
    <row r="12" spans="2:54" ht="15.75" thickBot="1" x14ac:dyDescent="0.3">
      <c r="I12" s="26">
        <f>I10+16</f>
        <v>46</v>
      </c>
      <c r="J12" s="27">
        <v>44897</v>
      </c>
      <c r="K12" s="28" t="str">
        <f t="shared" si="0"/>
        <v>LT46</v>
      </c>
      <c r="L12" s="32" t="str">
        <f t="shared" si="1"/>
        <v>LTS46</v>
      </c>
      <c r="M12" s="33" t="str">
        <f t="shared" si="2"/>
        <v>VTS46</v>
      </c>
      <c r="N12" s="26" t="str">
        <f t="shared" si="3"/>
        <v>VT46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5"/>
        <v>LT46_VT46</v>
      </c>
      <c r="AJ12" s="34">
        <f t="shared" si="6"/>
        <v>0</v>
      </c>
      <c r="AK12" s="34">
        <f t="shared" si="7"/>
        <v>3</v>
      </c>
      <c r="AL12" s="34" t="str">
        <f t="shared" si="8"/>
        <v>VT46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10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6">IF(J24="",0,1)</f>
        <v>1</v>
      </c>
      <c r="J24" s="85" t="s">
        <v>52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6"/>
        <v>1</v>
      </c>
      <c r="J25" s="85" t="s">
        <v>53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6"/>
        <v>1</v>
      </c>
      <c r="J26" s="88" t="s">
        <v>54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J22:M26 B22:H28">
    <cfRule type="expression" dxfId="38" priority="9">
      <formula>OR($I$22=0,AND($J$20="",$J$21="",$J$22="",$J$23=""))</formula>
    </cfRule>
  </conditionalFormatting>
  <conditionalFormatting sqref="M23:M26">
    <cfRule type="expression" dxfId="37" priority="6">
      <formula>J23=""</formula>
    </cfRule>
  </conditionalFormatting>
  <conditionalFormatting sqref="N23:AH27">
    <cfRule type="expression" dxfId="36" priority="1">
      <formula>K23=""</formula>
    </cfRule>
    <cfRule type="expression" dxfId="35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DBF4D-23CA-4B41-9D92-D7CBA0020D94}">
  <dimension ref="A2:BB28"/>
  <sheetViews>
    <sheetView workbookViewId="0">
      <selection activeCell="K15" sqref="K15"/>
    </sheetView>
  </sheetViews>
  <sheetFormatPr defaultColWidth="11.42578125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73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15</v>
      </c>
      <c r="J7" s="29">
        <v>44889</v>
      </c>
      <c r="K7" s="17" t="str">
        <f t="shared" ref="K7:K12" si="0">_xlfn.CONCAT("LT",I7)</f>
        <v>LT15</v>
      </c>
      <c r="L7" s="30" t="str">
        <f t="shared" ref="L7:L12" si="1">_xlfn.CONCAT("LTS",I7)</f>
        <v>LTS15</v>
      </c>
      <c r="M7" s="31" t="str">
        <f t="shared" ref="M7:M12" si="2">_xlfn.CONCAT("VTS",I7)</f>
        <v>VTS15</v>
      </c>
      <c r="N7" s="16" t="str">
        <f t="shared" ref="N7:N12" si="3">_xlfn.CONCAT("VT",I7)</f>
        <v>VT15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LT15_VT15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VT15</v>
      </c>
      <c r="AN7" s="34" t="e">
        <f>_xlfn.RANK.EQ(BB7,BB$7:BB$11,1)</f>
        <v>#N/A</v>
      </c>
      <c r="AO7" s="34" t="s">
        <v>57</v>
      </c>
      <c r="AP7" s="34">
        <f>SUMIF($K$7:$K$12,AO7,$AJ$7:$AJ$12) + SUMIF($N$7:$N$12,AO7,$AK$7:$AK$12)</f>
        <v>0</v>
      </c>
      <c r="AQ7" s="34">
        <f>AR7-AS7</f>
        <v>0</v>
      </c>
      <c r="AR7" s="34">
        <f>SUMIF($K$7:$K$12,AO7,$L$7:$L$12) + SUMIF($N$7:$N$12,AO7,$M$7:$M$12)</f>
        <v>0</v>
      </c>
      <c r="AS7" s="34">
        <f>SUMIF($K$7:$K$12,AO7,$M$7:$M$12) + SUMIF($N$7:$N$12,AO7,$L$7:$L$12)</f>
        <v>0</v>
      </c>
      <c r="AV7" s="34" t="str">
        <f>AO7</f>
        <v>Portugal</v>
      </c>
      <c r="AW7" s="34" t="str">
        <f>IF(AZ7=AZ8,AV8,IF(AZ7=AZ9,AV9,IF(AZ7=AZ10,AV10,"")))</f>
        <v>Uruguay</v>
      </c>
      <c r="AX7" s="34" t="e">
        <f>IF(AW7="","",IFERROR(VLOOKUP(CONCATENATE(AV7,"_",AW7),$AI$7:$AL$16,4,FALSE),VLOOKUP(CONCATENATE(AW7,"_",AV7),$AI$7:$AL$16,4,FALSE)))</f>
        <v>#N/A</v>
      </c>
      <c r="AY7" s="34" t="e">
        <f>IF(AX7="",1,IF(AX7=AV7,1,0))</f>
        <v>#N/A</v>
      </c>
      <c r="AZ7" s="34">
        <f>-AP7*10000000 - AQ7*10000 - AR7*100</f>
        <v>0</v>
      </c>
      <c r="BA7" s="34" t="e">
        <f>AZ7-AY7*10</f>
        <v>#N/A</v>
      </c>
      <c r="BB7" s="34" t="e">
        <f>BA7+N23</f>
        <v>#N/A</v>
      </c>
    </row>
    <row r="8" spans="2:54" x14ac:dyDescent="0.25">
      <c r="B8" s="7">
        <v>1</v>
      </c>
      <c r="C8" s="8" t="str">
        <f t="shared" ref="C8:G11" si="4">IFERROR(VLOOKUP($B8,$AN$7:$AS$11,C$5,FALSE),"")</f>
        <v/>
      </c>
      <c r="D8" s="9" t="str">
        <f t="shared" si="4"/>
        <v/>
      </c>
      <c r="E8" s="9" t="str">
        <f t="shared" si="4"/>
        <v/>
      </c>
      <c r="F8" s="9" t="str">
        <f t="shared" si="4"/>
        <v/>
      </c>
      <c r="G8" s="10" t="str">
        <f t="shared" si="4"/>
        <v/>
      </c>
      <c r="I8" s="18">
        <v>16</v>
      </c>
      <c r="J8" s="19">
        <v>44889</v>
      </c>
      <c r="K8" s="20" t="str">
        <f t="shared" si="0"/>
        <v>LT16</v>
      </c>
      <c r="L8" s="21" t="str">
        <f t="shared" si="1"/>
        <v>LTS16</v>
      </c>
      <c r="M8" s="22" t="str">
        <f t="shared" si="2"/>
        <v>VTS16</v>
      </c>
      <c r="N8" s="18" t="str">
        <f t="shared" si="3"/>
        <v>VT16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5">CONCATENATE(K8,"_",N8)</f>
        <v>LT16_VT16</v>
      </c>
      <c r="AJ8" s="34">
        <f t="shared" ref="AJ8:AJ12" si="6">IF(L8&gt;M8,3,IF(L8&lt;M8,0,1))</f>
        <v>0</v>
      </c>
      <c r="AK8" s="34">
        <f t="shared" ref="AK8:AK12" si="7">IF(AJ8=3,0,IF(AJ8=1,1,3))</f>
        <v>3</v>
      </c>
      <c r="AL8" s="34" t="str">
        <f t="shared" ref="AL8:AL12" si="8">IF(AJ8&gt;AK8,K8,IF(AK8&gt;AJ8,N8,"SIN GANADOR"))</f>
        <v>VT16</v>
      </c>
      <c r="AN8" s="34" t="e">
        <f>_xlfn.RANK.EQ(BB8,BB$7:BB$11,1)</f>
        <v>#N/A</v>
      </c>
      <c r="AO8" s="34" t="s">
        <v>55</v>
      </c>
      <c r="AP8" s="34">
        <f>SUMIF($K$7:$K$12,AO8,$AJ$7:$AJ$12) + SUMIF($N$7:$N$12,AO8,$AK$7:$AK$12)</f>
        <v>0</v>
      </c>
      <c r="AQ8" s="34">
        <f>AR8-AS8</f>
        <v>0</v>
      </c>
      <c r="AR8" s="34">
        <f t="shared" ref="AR8:AR9" si="9">SUMIF($K$7:$K$12,AO8,$L$7:$L$12) + SUMIF($N$7:$N$12,AO8,$M$7:$M$12)</f>
        <v>0</v>
      </c>
      <c r="AS8" s="34">
        <f t="shared" ref="AS8:AS9" si="10">SUMIF($K$7:$K$12,AO8,$M$7:$M$12) + SUMIF($N$7:$N$12,AO8,$L$7:$L$12)</f>
        <v>0</v>
      </c>
      <c r="AV8" s="34" t="str">
        <f t="shared" ref="AV8:AV10" si="11">AO8</f>
        <v>Uruguay</v>
      </c>
      <c r="AW8" s="34" t="str">
        <f>IF(AZ8=AZ9,AV9,IF(AZ8=AZ10,AV10,IF(AZ8=AZ7,AV7,"")))</f>
        <v>Corea</v>
      </c>
      <c r="AX8" s="34" t="e">
        <f>IF(AW8="","",IFERROR(VLOOKUP(CONCATENATE(AV8,"_",AW8),$AI$7:$AL$16,4,FALSE),VLOOKUP(CONCATENATE(AW8,"_",AV8),$AI$7:$AL$16,4,FALSE)))</f>
        <v>#N/A</v>
      </c>
      <c r="AY8" s="34" t="e">
        <f t="shared" ref="AY8:AY10" si="12">IF(AX8="",1,IF(AX8=AV8,1,0))</f>
        <v>#N/A</v>
      </c>
      <c r="AZ8" s="34">
        <f t="shared" ref="AZ8:AZ10" si="13">-AP8*10000000 - AQ8*10000 - AR8*100</f>
        <v>0</v>
      </c>
      <c r="BA8" s="34" t="e">
        <f t="shared" ref="BA8:BA10" si="14">AZ8-AY8*10</f>
        <v>#N/A</v>
      </c>
      <c r="BB8" s="34" t="e">
        <f>BA8+N24</f>
        <v>#N/A</v>
      </c>
    </row>
    <row r="9" spans="2:54" x14ac:dyDescent="0.25">
      <c r="B9" s="11">
        <v>2</v>
      </c>
      <c r="C9" s="12" t="str">
        <f t="shared" si="4"/>
        <v/>
      </c>
      <c r="D9" s="13" t="str">
        <f t="shared" si="4"/>
        <v/>
      </c>
      <c r="E9" s="13" t="str">
        <f t="shared" si="4"/>
        <v/>
      </c>
      <c r="F9" s="13" t="str">
        <f t="shared" si="4"/>
        <v/>
      </c>
      <c r="G9" s="14" t="str">
        <f t="shared" si="4"/>
        <v/>
      </c>
      <c r="I9" s="23">
        <f>I7+16</f>
        <v>31</v>
      </c>
      <c r="J9" s="24">
        <v>44893</v>
      </c>
      <c r="K9" s="25" t="str">
        <f t="shared" si="0"/>
        <v>LT31</v>
      </c>
      <c r="L9" s="21" t="str">
        <f t="shared" si="1"/>
        <v>LTS31</v>
      </c>
      <c r="M9" s="22" t="str">
        <f t="shared" si="2"/>
        <v>VTS31</v>
      </c>
      <c r="N9" s="23" t="str">
        <f t="shared" si="3"/>
        <v>VT31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5"/>
        <v>LT31_VT31</v>
      </c>
      <c r="AJ9" s="34">
        <f t="shared" si="6"/>
        <v>0</v>
      </c>
      <c r="AK9" s="34">
        <f t="shared" si="7"/>
        <v>3</v>
      </c>
      <c r="AL9" s="34" t="str">
        <f t="shared" si="8"/>
        <v>VT31</v>
      </c>
      <c r="AN9" s="34" t="e">
        <f>_xlfn.RANK.EQ(BB9,BB$7:BB$11,1)</f>
        <v>#N/A</v>
      </c>
      <c r="AO9" s="34" t="s">
        <v>56</v>
      </c>
      <c r="AP9" s="34">
        <f>SUMIF($K$7:$K$12,AO9,$AJ$7:$AJ$12) + SUMIF($N$7:$N$12,AO9,$AK$7:$AK$12)</f>
        <v>0</v>
      </c>
      <c r="AQ9" s="34">
        <f t="shared" ref="AQ9:AQ10" si="15">AR9-AS9</f>
        <v>0</v>
      </c>
      <c r="AR9" s="34">
        <f t="shared" si="9"/>
        <v>0</v>
      </c>
      <c r="AS9" s="34">
        <f t="shared" si="10"/>
        <v>0</v>
      </c>
      <c r="AV9" s="34" t="str">
        <f t="shared" si="11"/>
        <v>Corea</v>
      </c>
      <c r="AW9" s="34" t="str">
        <f>IF(AZ9=AZ10,AV10,IF(AZ9=AZ7,AV7,IF(AZ9=AZ8,AV8,"")))</f>
        <v>Gana</v>
      </c>
      <c r="AX9" s="34" t="e">
        <f>IF(AW9="","",IFERROR(VLOOKUP(CONCATENATE(AV9,"_",AW9),$AI$7:$AL$16,4,FALSE),VLOOKUP(CONCATENATE(AW9,"_",AV9),$AI$7:$AL$16,4,FALSE)))</f>
        <v>#N/A</v>
      </c>
      <c r="AY9" s="34" t="e">
        <f t="shared" si="12"/>
        <v>#N/A</v>
      </c>
      <c r="AZ9" s="34">
        <f t="shared" si="13"/>
        <v>0</v>
      </c>
      <c r="BA9" s="34" t="e">
        <f t="shared" si="14"/>
        <v>#N/A</v>
      </c>
      <c r="BB9" s="34" t="e">
        <f>BA9+N25</f>
        <v>#N/A</v>
      </c>
    </row>
    <row r="10" spans="2:54" x14ac:dyDescent="0.25">
      <c r="B10" s="48">
        <v>3</v>
      </c>
      <c r="C10" s="49" t="str">
        <f t="shared" si="4"/>
        <v/>
      </c>
      <c r="D10" s="50" t="str">
        <f t="shared" si="4"/>
        <v/>
      </c>
      <c r="E10" s="50" t="str">
        <f t="shared" si="4"/>
        <v/>
      </c>
      <c r="F10" s="50" t="str">
        <f t="shared" si="4"/>
        <v/>
      </c>
      <c r="G10" s="51" t="str">
        <f t="shared" si="4"/>
        <v/>
      </c>
      <c r="I10" s="18">
        <f>I8+16</f>
        <v>32</v>
      </c>
      <c r="J10" s="19">
        <v>44893</v>
      </c>
      <c r="K10" s="20" t="str">
        <f t="shared" si="0"/>
        <v>LT32</v>
      </c>
      <c r="L10" s="21" t="str">
        <f t="shared" si="1"/>
        <v>LTS32</v>
      </c>
      <c r="M10" s="22" t="str">
        <f t="shared" si="2"/>
        <v>VTS32</v>
      </c>
      <c r="N10" s="18" t="str">
        <f t="shared" si="3"/>
        <v>VT32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5"/>
        <v>LT32_VT32</v>
      </c>
      <c r="AJ10" s="34">
        <f t="shared" si="6"/>
        <v>0</v>
      </c>
      <c r="AK10" s="34">
        <f t="shared" si="7"/>
        <v>3</v>
      </c>
      <c r="AL10" s="34" t="str">
        <f t="shared" si="8"/>
        <v>VT32</v>
      </c>
      <c r="AN10" s="34" t="e">
        <f>_xlfn.RANK.EQ(BB10,BB$7:BB$11,1)</f>
        <v>#N/A</v>
      </c>
      <c r="AO10" s="34" t="s">
        <v>58</v>
      </c>
      <c r="AP10" s="34">
        <f>SUMIF($K$7:$K$12,AO10,$AJ$7:$AJ$12) + SUMIF($N$7:$N$12,AO10,$AK$7:$AK$12)</f>
        <v>0</v>
      </c>
      <c r="AQ10" s="34">
        <f t="shared" si="15"/>
        <v>0</v>
      </c>
      <c r="AR10" s="34">
        <f>SUMIF($K$7:$K$12,AO10,$L$7:$L$12) + SUMIF($N$7:$N$12,AO10,$M$7:$M$12)</f>
        <v>0</v>
      </c>
      <c r="AS10" s="34">
        <f>SUMIF($K$7:$K$12,AO10,$M$7:$M$12) + SUMIF($N$7:$N$12,AO10,$L$7:$L$12)</f>
        <v>0</v>
      </c>
      <c r="AV10" s="34" t="str">
        <f t="shared" si="11"/>
        <v>Gana</v>
      </c>
      <c r="AW10" s="34" t="str">
        <f>IF(AZ10=AZ7,AV7,IF(AZ10=AZ8,AV8,IF(AZ10=AZ9,AV9,"")))</f>
        <v>Portugal</v>
      </c>
      <c r="AX10" s="34" t="e">
        <f>IF(AW10="","",IFERROR(VLOOKUP(CONCATENATE(AV10,"_",AW10),$AI$7:$AL$16,4,FALSE),VLOOKUP(CONCATENATE(AW10,"_",AV10),$AI$7:$AL$16,4,FALSE)))</f>
        <v>#N/A</v>
      </c>
      <c r="AY10" s="34" t="e">
        <f t="shared" si="12"/>
        <v>#N/A</v>
      </c>
      <c r="AZ10" s="34">
        <f t="shared" si="13"/>
        <v>0</v>
      </c>
      <c r="BA10" s="34" t="e">
        <f t="shared" si="14"/>
        <v>#N/A</v>
      </c>
      <c r="BB10" s="34" t="e">
        <f>BA10+N26</f>
        <v>#N/A</v>
      </c>
    </row>
    <row r="11" spans="2:54" ht="15.75" thickBot="1" x14ac:dyDescent="0.3">
      <c r="B11" s="52">
        <v>4</v>
      </c>
      <c r="C11" s="53" t="str">
        <f t="shared" si="4"/>
        <v/>
      </c>
      <c r="D11" s="54" t="str">
        <f t="shared" si="4"/>
        <v/>
      </c>
      <c r="E11" s="54" t="str">
        <f t="shared" si="4"/>
        <v/>
      </c>
      <c r="F11" s="54" t="str">
        <f t="shared" si="4"/>
        <v/>
      </c>
      <c r="G11" s="55" t="str">
        <f t="shared" si="4"/>
        <v/>
      </c>
      <c r="I11" s="23">
        <f>I9+16</f>
        <v>47</v>
      </c>
      <c r="J11" s="24">
        <v>44897</v>
      </c>
      <c r="K11" s="25" t="str">
        <f t="shared" si="0"/>
        <v>LT47</v>
      </c>
      <c r="L11" s="21" t="str">
        <f t="shared" si="1"/>
        <v>LTS47</v>
      </c>
      <c r="M11" s="22" t="str">
        <f t="shared" si="2"/>
        <v>VTS47</v>
      </c>
      <c r="N11" s="23" t="str">
        <f t="shared" si="3"/>
        <v>VT47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5"/>
        <v>LT47_VT47</v>
      </c>
      <c r="AJ11" s="34">
        <f t="shared" si="6"/>
        <v>0</v>
      </c>
      <c r="AK11" s="34">
        <f t="shared" si="7"/>
        <v>3</v>
      </c>
      <c r="AL11" s="34" t="str">
        <f t="shared" si="8"/>
        <v>VT47</v>
      </c>
    </row>
    <row r="12" spans="2:54" ht="15.75" thickBot="1" x14ac:dyDescent="0.3">
      <c r="I12" s="26">
        <f>I10+16</f>
        <v>48</v>
      </c>
      <c r="J12" s="27">
        <v>44897</v>
      </c>
      <c r="K12" s="28" t="str">
        <f t="shared" si="0"/>
        <v>LT48</v>
      </c>
      <c r="L12" s="32" t="str">
        <f t="shared" si="1"/>
        <v>LTS48</v>
      </c>
      <c r="M12" s="33" t="str">
        <f t="shared" si="2"/>
        <v>VTS48</v>
      </c>
      <c r="N12" s="26" t="str">
        <f t="shared" si="3"/>
        <v>VT48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5"/>
        <v>LT48_VT48</v>
      </c>
      <c r="AJ12" s="34">
        <f t="shared" si="6"/>
        <v>0</v>
      </c>
      <c r="AK12" s="34">
        <f t="shared" si="7"/>
        <v>3</v>
      </c>
      <c r="AL12" s="34" t="str">
        <f t="shared" si="8"/>
        <v>VT48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57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6">IF(J24="",0,1)</f>
        <v>1</v>
      </c>
      <c r="J24" s="85" t="s">
        <v>55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6"/>
        <v>1</v>
      </c>
      <c r="J25" s="85" t="s">
        <v>56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6"/>
        <v>1</v>
      </c>
      <c r="J26" s="88" t="s">
        <v>58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J22:M26 B22:H28">
    <cfRule type="expression" dxfId="34" priority="9">
      <formula>OR($I$22=0,AND($J$20="",$J$21="",$J$22="",$J$23=""))</formula>
    </cfRule>
  </conditionalFormatting>
  <conditionalFormatting sqref="M23:M26">
    <cfRule type="expression" dxfId="33" priority="6">
      <formula>J23=""</formula>
    </cfRule>
  </conditionalFormatting>
  <conditionalFormatting sqref="N23:AH27">
    <cfRule type="expression" dxfId="32" priority="1">
      <formula>K23=""</formula>
    </cfRule>
    <cfRule type="expression" dxfId="31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D6EA-A90C-43B7-9350-FAB891539352}">
  <dimension ref="B1:W35"/>
  <sheetViews>
    <sheetView tabSelected="1" topLeftCell="H15" workbookViewId="0">
      <selection activeCell="W25" sqref="W25"/>
    </sheetView>
  </sheetViews>
  <sheetFormatPr defaultColWidth="11.42578125" defaultRowHeight="15" x14ac:dyDescent="0.25"/>
  <cols>
    <col min="3" max="3" width="11.28515625" bestFit="1" customWidth="1"/>
    <col min="4" max="4" width="9.140625" bestFit="1" customWidth="1"/>
    <col min="9" max="9" width="9.140625" bestFit="1" customWidth="1"/>
    <col min="14" max="14" width="9.140625" bestFit="1" customWidth="1"/>
  </cols>
  <sheetData>
    <row r="1" spans="2:19" ht="15.75" thickBot="1" x14ac:dyDescent="0.3"/>
    <row r="2" spans="2:19" ht="15.75" thickBot="1" x14ac:dyDescent="0.3">
      <c r="B2" s="106" t="s">
        <v>69</v>
      </c>
      <c r="C2" s="107"/>
      <c r="D2" s="108"/>
    </row>
    <row r="3" spans="2:19" ht="15.75" thickBot="1" x14ac:dyDescent="0.3"/>
    <row r="4" spans="2:19" ht="15.75" thickBot="1" x14ac:dyDescent="0.3">
      <c r="G4" s="106" t="s">
        <v>59</v>
      </c>
      <c r="H4" s="107"/>
      <c r="I4" s="108"/>
    </row>
    <row r="5" spans="2:19" ht="15.75" thickBot="1" x14ac:dyDescent="0.3">
      <c r="B5" s="56">
        <v>49</v>
      </c>
      <c r="C5" s="57" t="s">
        <v>61</v>
      </c>
      <c r="D5" s="58" t="s">
        <v>62</v>
      </c>
    </row>
    <row r="6" spans="2:19" ht="15.75" thickBot="1" x14ac:dyDescent="0.3">
      <c r="B6" s="59" t="str">
        <f>_xlfn.CONCAT("LT",B5)</f>
        <v>LT49</v>
      </c>
      <c r="C6" s="60" t="str">
        <f>_xlfn.CONCAT("LTS",B5)</f>
        <v>LTS49</v>
      </c>
      <c r="D6" s="61"/>
    </row>
    <row r="7" spans="2:19" ht="15.75" thickBot="1" x14ac:dyDescent="0.3">
      <c r="B7" s="62" t="str">
        <f>_xlfn.CONCAT("VT",B5)</f>
        <v>VT49</v>
      </c>
      <c r="C7" s="63" t="str">
        <f>_xlfn.CONCAT("VTS",B5)</f>
        <v>VTS49</v>
      </c>
      <c r="D7" s="64"/>
      <c r="E7" s="65"/>
      <c r="G7" s="56">
        <v>57</v>
      </c>
      <c r="H7" s="57" t="s">
        <v>61</v>
      </c>
      <c r="I7" s="58" t="s">
        <v>62</v>
      </c>
    </row>
    <row r="8" spans="2:19" ht="15.75" thickBot="1" x14ac:dyDescent="0.3">
      <c r="E8" s="66"/>
      <c r="G8" s="59" t="str">
        <f>_xlfn.CONCAT("LT",G7)</f>
        <v>LT57</v>
      </c>
      <c r="H8" s="60" t="str">
        <f>_xlfn.CONCAT("LTS",G7)</f>
        <v>LTS57</v>
      </c>
      <c r="I8" s="61"/>
      <c r="L8" s="106" t="s">
        <v>60</v>
      </c>
      <c r="M8" s="107"/>
      <c r="N8" s="108"/>
    </row>
    <row r="9" spans="2:19" ht="15.75" thickBot="1" x14ac:dyDescent="0.3">
      <c r="B9" s="56">
        <v>50</v>
      </c>
      <c r="C9" s="57" t="s">
        <v>61</v>
      </c>
      <c r="D9" s="58" t="s">
        <v>62</v>
      </c>
      <c r="E9" s="67"/>
      <c r="F9" s="68"/>
      <c r="G9" s="62" t="str">
        <f>_xlfn.CONCAT("VT",G7)</f>
        <v>VT57</v>
      </c>
      <c r="H9" s="63" t="str">
        <f>_xlfn.CONCAT("VTS",G7)</f>
        <v>VTS57</v>
      </c>
      <c r="I9" s="64"/>
      <c r="J9" s="65"/>
    </row>
    <row r="10" spans="2:19" ht="15.75" thickBot="1" x14ac:dyDescent="0.3">
      <c r="B10" s="59" t="str">
        <f>_xlfn.CONCAT("LT",B9)</f>
        <v>LT50</v>
      </c>
      <c r="C10" s="60" t="str">
        <f>_xlfn.CONCAT("LTS",B9)</f>
        <v>LTS50</v>
      </c>
      <c r="D10" s="61"/>
      <c r="E10" s="69"/>
      <c r="J10" s="66"/>
    </row>
    <row r="11" spans="2:19" ht="15.75" thickBot="1" x14ac:dyDescent="0.3">
      <c r="B11" s="62" t="str">
        <f>_xlfn.CONCAT("VT",B9)</f>
        <v>VT50</v>
      </c>
      <c r="C11" s="63" t="str">
        <f>_xlfn.CONCAT("VTS",B9)</f>
        <v>VTS50</v>
      </c>
      <c r="D11" s="64"/>
      <c r="E11" s="70"/>
      <c r="J11" s="66"/>
      <c r="L11" s="56">
        <v>61</v>
      </c>
      <c r="M11" s="57" t="s">
        <v>61</v>
      </c>
      <c r="N11" s="58" t="s">
        <v>62</v>
      </c>
    </row>
    <row r="12" spans="2:19" ht="15.75" thickBot="1" x14ac:dyDescent="0.3">
      <c r="J12" s="66"/>
      <c r="L12" s="59" t="str">
        <f>_xlfn.CONCAT("LT",L11)</f>
        <v>LT61</v>
      </c>
      <c r="M12" s="60" t="str">
        <f>_xlfn.CONCAT("LTS",L11)</f>
        <v>LTS61</v>
      </c>
      <c r="N12" s="61"/>
    </row>
    <row r="13" spans="2:19" ht="15.75" thickBot="1" x14ac:dyDescent="0.3">
      <c r="B13" s="56">
        <v>53</v>
      </c>
      <c r="C13" s="57" t="s">
        <v>61</v>
      </c>
      <c r="D13" s="58" t="s">
        <v>62</v>
      </c>
      <c r="J13" s="66"/>
      <c r="K13" s="68"/>
      <c r="L13" s="62" t="str">
        <f>_xlfn.CONCAT("VT",L11)</f>
        <v>VT61</v>
      </c>
      <c r="M13" s="63" t="str">
        <f>_xlfn.CONCAT("VTS",L11)</f>
        <v>VTS61</v>
      </c>
      <c r="N13" s="64"/>
      <c r="O13" s="65"/>
    </row>
    <row r="14" spans="2:19" ht="15.75" thickBot="1" x14ac:dyDescent="0.3">
      <c r="B14" s="59" t="str">
        <f>_xlfn.CONCAT("LT",B13)</f>
        <v>LT53</v>
      </c>
      <c r="C14" s="60" t="str">
        <f>_xlfn.CONCAT("LTS",B13)</f>
        <v>LTS53</v>
      </c>
      <c r="D14" s="61"/>
      <c r="J14" s="66"/>
      <c r="O14" s="66"/>
    </row>
    <row r="15" spans="2:19" ht="15.75" thickBot="1" x14ac:dyDescent="0.3">
      <c r="B15" s="62" t="str">
        <f>_xlfn.CONCAT("VT",B13)</f>
        <v>VT53</v>
      </c>
      <c r="C15" s="63" t="str">
        <f>_xlfn.CONCAT("VTS",B13)</f>
        <v>VTS53</v>
      </c>
      <c r="D15" s="64"/>
      <c r="E15" s="65"/>
      <c r="G15" s="56">
        <v>58</v>
      </c>
      <c r="H15" s="57" t="s">
        <v>61</v>
      </c>
      <c r="I15" s="58" t="s">
        <v>62</v>
      </c>
      <c r="J15" s="66"/>
      <c r="O15" s="66"/>
    </row>
    <row r="16" spans="2:19" ht="15.75" thickBot="1" x14ac:dyDescent="0.3">
      <c r="E16" s="66"/>
      <c r="G16" s="59" t="str">
        <f>_xlfn.CONCAT("LT",G15)</f>
        <v>LT58</v>
      </c>
      <c r="H16" s="60" t="str">
        <f>_xlfn.CONCAT("LTS",G15)</f>
        <v>LTS58</v>
      </c>
      <c r="I16" s="61"/>
      <c r="J16" s="69"/>
      <c r="O16" s="66"/>
      <c r="Q16" s="106" t="s">
        <v>63</v>
      </c>
      <c r="R16" s="107"/>
      <c r="S16" s="108"/>
    </row>
    <row r="17" spans="2:23" ht="15.75" thickBot="1" x14ac:dyDescent="0.3">
      <c r="B17" s="56">
        <v>54</v>
      </c>
      <c r="C17" s="57" t="s">
        <v>61</v>
      </c>
      <c r="D17" s="58" t="s">
        <v>62</v>
      </c>
      <c r="E17" s="67"/>
      <c r="F17" s="68"/>
      <c r="G17" s="62" t="str">
        <f>_xlfn.CONCAT("VT",G15)</f>
        <v>VT58</v>
      </c>
      <c r="H17" s="63" t="str">
        <f>_xlfn.CONCAT("VTS",G15)</f>
        <v>VTS58</v>
      </c>
      <c r="I17" s="64"/>
      <c r="O17" s="66"/>
    </row>
    <row r="18" spans="2:23" ht="15.75" thickBot="1" x14ac:dyDescent="0.3">
      <c r="B18" s="59" t="str">
        <f>_xlfn.CONCAT("LT",B17)</f>
        <v>LT54</v>
      </c>
      <c r="C18" s="60" t="str">
        <f>_xlfn.CONCAT("LTS",B17)</f>
        <v>LTS54</v>
      </c>
      <c r="D18" s="61"/>
      <c r="E18" s="69"/>
      <c r="O18" s="66"/>
    </row>
    <row r="19" spans="2:23" ht="15.75" thickBot="1" x14ac:dyDescent="0.3">
      <c r="B19" s="62" t="str">
        <f>_xlfn.CONCAT("VT",B17)</f>
        <v>VT54</v>
      </c>
      <c r="C19" s="63" t="str">
        <f>_xlfn.CONCAT("VTS",B17)</f>
        <v>VTS54</v>
      </c>
      <c r="D19" s="64"/>
      <c r="E19" s="70"/>
      <c r="O19" s="66"/>
      <c r="Q19" s="56">
        <v>64</v>
      </c>
      <c r="R19" s="57" t="s">
        <v>61</v>
      </c>
      <c r="S19" s="58" t="s">
        <v>62</v>
      </c>
    </row>
    <row r="20" spans="2:23" ht="15.75" thickBot="1" x14ac:dyDescent="0.3">
      <c r="O20" s="66"/>
      <c r="Q20" s="59" t="str">
        <f>_xlfn.CONCAT("LT",Q19)</f>
        <v>LT64</v>
      </c>
      <c r="R20" s="60" t="str">
        <f>_xlfn.CONCAT("LTS",Q19)</f>
        <v>LTS64</v>
      </c>
      <c r="S20" s="61"/>
    </row>
    <row r="21" spans="2:23" ht="15.75" thickBot="1" x14ac:dyDescent="0.3">
      <c r="B21" s="56">
        <v>51</v>
      </c>
      <c r="C21" s="57" t="s">
        <v>61</v>
      </c>
      <c r="D21" s="58" t="s">
        <v>62</v>
      </c>
      <c r="O21" s="66"/>
      <c r="P21" s="75"/>
      <c r="Q21" s="62" t="str">
        <f>_xlfn.CONCAT("VT",Q19)</f>
        <v>VT64</v>
      </c>
      <c r="R21" s="63" t="str">
        <f>_xlfn.CONCAT("VTS",Q19)</f>
        <v>VTS64</v>
      </c>
      <c r="S21" s="64"/>
    </row>
    <row r="22" spans="2:23" ht="15.75" thickBot="1" x14ac:dyDescent="0.3">
      <c r="B22" s="59" t="str">
        <f>_xlfn.CONCAT("LT",B21)</f>
        <v>LT51</v>
      </c>
      <c r="C22" s="60" t="str">
        <f>_xlfn.CONCAT("LTS",B21)</f>
        <v>LTS51</v>
      </c>
      <c r="D22" s="61"/>
      <c r="O22" s="66"/>
    </row>
    <row r="23" spans="2:23" ht="15.75" thickBot="1" x14ac:dyDescent="0.3">
      <c r="B23" s="62" t="str">
        <f>_xlfn.CONCAT("VT",B21)</f>
        <v>VT51</v>
      </c>
      <c r="C23" s="63" t="str">
        <f>_xlfn.CONCAT("VTS",B21)</f>
        <v>VTS51</v>
      </c>
      <c r="D23" s="64"/>
      <c r="E23" s="65"/>
      <c r="G23" s="56">
        <v>59</v>
      </c>
      <c r="H23" s="57" t="s">
        <v>61</v>
      </c>
      <c r="I23" s="58" t="s">
        <v>62</v>
      </c>
      <c r="O23" s="66"/>
      <c r="V23" s="109" t="s">
        <v>64</v>
      </c>
      <c r="W23" s="102"/>
    </row>
    <row r="24" spans="2:23" ht="15.75" thickBot="1" x14ac:dyDescent="0.3">
      <c r="E24" s="66"/>
      <c r="G24" s="59" t="str">
        <f>_xlfn.CONCAT("LT",G23)</f>
        <v>LT59</v>
      </c>
      <c r="H24" s="60" t="str">
        <f>_xlfn.CONCAT("LTS",G23)</f>
        <v>LTS59</v>
      </c>
      <c r="I24" s="61"/>
      <c r="O24" s="66"/>
      <c r="V24" s="59" t="s">
        <v>65</v>
      </c>
      <c r="W24" s="71" t="s">
        <v>81</v>
      </c>
    </row>
    <row r="25" spans="2:23" ht="15.75" thickBot="1" x14ac:dyDescent="0.3">
      <c r="B25" s="56">
        <v>52</v>
      </c>
      <c r="C25" s="57" t="s">
        <v>61</v>
      </c>
      <c r="D25" s="58" t="s">
        <v>62</v>
      </c>
      <c r="E25" s="67"/>
      <c r="F25" s="68"/>
      <c r="G25" s="62" t="str">
        <f>_xlfn.CONCAT("VT",G23)</f>
        <v>VT59</v>
      </c>
      <c r="H25" s="63" t="str">
        <f>_xlfn.CONCAT("VTS",G23)</f>
        <v>VTS59</v>
      </c>
      <c r="I25" s="64"/>
      <c r="J25" s="65"/>
      <c r="O25" s="66"/>
      <c r="Q25" s="106" t="s">
        <v>66</v>
      </c>
      <c r="R25" s="107"/>
      <c r="S25" s="108"/>
      <c r="V25" s="72" t="s">
        <v>67</v>
      </c>
      <c r="W25" s="73" t="s">
        <v>79</v>
      </c>
    </row>
    <row r="26" spans="2:23" ht="15.75" thickBot="1" x14ac:dyDescent="0.3">
      <c r="B26" s="59" t="str">
        <f>_xlfn.CONCAT("LT",B25)</f>
        <v>LT52</v>
      </c>
      <c r="C26" s="60" t="str">
        <f>_xlfn.CONCAT("LTS",B25)</f>
        <v>LTS52</v>
      </c>
      <c r="D26" s="61"/>
      <c r="E26" s="69"/>
      <c r="J26" s="66"/>
      <c r="O26" s="66"/>
      <c r="V26" s="62" t="s">
        <v>68</v>
      </c>
      <c r="W26" s="74" t="s">
        <v>80</v>
      </c>
    </row>
    <row r="27" spans="2:23" ht="15.75" thickBot="1" x14ac:dyDescent="0.3">
      <c r="B27" s="62" t="str">
        <f>_xlfn.CONCAT("VT",B25)</f>
        <v>VT52</v>
      </c>
      <c r="C27" s="63" t="str">
        <f>_xlfn.CONCAT("VTS",B25)</f>
        <v>VTS52</v>
      </c>
      <c r="D27" s="64"/>
      <c r="E27" s="70"/>
      <c r="J27" s="66"/>
      <c r="L27" s="56">
        <v>62</v>
      </c>
      <c r="M27" s="57" t="s">
        <v>61</v>
      </c>
      <c r="N27" s="58" t="s">
        <v>62</v>
      </c>
      <c r="O27" s="66"/>
    </row>
    <row r="28" spans="2:23" ht="15.75" thickBot="1" x14ac:dyDescent="0.3">
      <c r="J28" s="66"/>
      <c r="L28" s="59" t="str">
        <f>_xlfn.CONCAT("LT",L27)</f>
        <v>LT62</v>
      </c>
      <c r="M28" s="60" t="str">
        <f>_xlfn.CONCAT("LTS",L27)</f>
        <v>LTS62</v>
      </c>
      <c r="N28" s="61"/>
      <c r="O28" s="69"/>
      <c r="Q28" s="56">
        <v>63</v>
      </c>
      <c r="R28" s="57" t="s">
        <v>61</v>
      </c>
      <c r="S28" s="58" t="s">
        <v>62</v>
      </c>
    </row>
    <row r="29" spans="2:23" ht="15.75" thickBot="1" x14ac:dyDescent="0.3">
      <c r="B29" s="56">
        <v>55</v>
      </c>
      <c r="C29" s="57" t="s">
        <v>61</v>
      </c>
      <c r="D29" s="58" t="s">
        <v>62</v>
      </c>
      <c r="J29" s="66"/>
      <c r="K29" s="68"/>
      <c r="L29" s="62" t="str">
        <f>_xlfn.CONCAT("VT",L27)</f>
        <v>VT62</v>
      </c>
      <c r="M29" s="63" t="str">
        <f>_xlfn.CONCAT("VTS",L27)</f>
        <v>VTS62</v>
      </c>
      <c r="N29" s="64"/>
      <c r="Q29" s="59" t="str">
        <f>_xlfn.CONCAT("LT",Q28)</f>
        <v>LT63</v>
      </c>
      <c r="R29" s="60" t="str">
        <f>_xlfn.CONCAT("LTS",Q28)</f>
        <v>LTS63</v>
      </c>
      <c r="S29" s="61"/>
    </row>
    <row r="30" spans="2:23" ht="15.75" thickBot="1" x14ac:dyDescent="0.3">
      <c r="B30" s="59" t="str">
        <f>_xlfn.CONCAT("LT",B29)</f>
        <v>LT55</v>
      </c>
      <c r="C30" s="60" t="str">
        <f>_xlfn.CONCAT("LTS",B29)</f>
        <v>LTS55</v>
      </c>
      <c r="D30" s="61"/>
      <c r="J30" s="66"/>
      <c r="Q30" s="62" t="str">
        <f>_xlfn.CONCAT("VT",Q28)</f>
        <v>VT63</v>
      </c>
      <c r="R30" s="63" t="str">
        <f>_xlfn.CONCAT("VTS",Q28)</f>
        <v>VTS63</v>
      </c>
      <c r="S30" s="64"/>
    </row>
    <row r="31" spans="2:23" ht="15.75" thickBot="1" x14ac:dyDescent="0.3">
      <c r="B31" s="62" t="str">
        <f>_xlfn.CONCAT("VT",B29)</f>
        <v>VT55</v>
      </c>
      <c r="C31" s="63" t="str">
        <f>_xlfn.CONCAT("VTS",B29)</f>
        <v>VTS55</v>
      </c>
      <c r="D31" s="64"/>
      <c r="E31" s="65"/>
      <c r="G31" s="56">
        <v>60</v>
      </c>
      <c r="H31" s="57" t="s">
        <v>61</v>
      </c>
      <c r="I31" s="58" t="s">
        <v>62</v>
      </c>
      <c r="J31" s="66"/>
    </row>
    <row r="32" spans="2:23" ht="15.75" thickBot="1" x14ac:dyDescent="0.3">
      <c r="E32" s="66"/>
      <c r="G32" s="59" t="str">
        <f>_xlfn.CONCAT("LT",G31)</f>
        <v>LT60</v>
      </c>
      <c r="H32" s="60" t="str">
        <f>_xlfn.CONCAT("LTS",G31)</f>
        <v>LTS60</v>
      </c>
      <c r="I32" s="61"/>
      <c r="J32" s="69"/>
    </row>
    <row r="33" spans="2:9" ht="15.75" thickBot="1" x14ac:dyDescent="0.3">
      <c r="B33" s="56">
        <v>56</v>
      </c>
      <c r="C33" s="57" t="s">
        <v>61</v>
      </c>
      <c r="D33" s="58" t="s">
        <v>62</v>
      </c>
      <c r="E33" s="67"/>
      <c r="F33" s="68"/>
      <c r="G33" s="62" t="str">
        <f>_xlfn.CONCAT("VT",G31)</f>
        <v>VT60</v>
      </c>
      <c r="H33" s="63" t="str">
        <f>_xlfn.CONCAT("VTS",G31)</f>
        <v>VTS60</v>
      </c>
      <c r="I33" s="64"/>
    </row>
    <row r="34" spans="2:9" x14ac:dyDescent="0.25">
      <c r="B34" s="59" t="str">
        <f>_xlfn.CONCAT("LT",B33)</f>
        <v>LT56</v>
      </c>
      <c r="C34" s="60" t="str">
        <f>_xlfn.CONCAT("LTS",B33)</f>
        <v>LTS56</v>
      </c>
      <c r="D34" s="61"/>
      <c r="E34" s="69"/>
    </row>
    <row r="35" spans="2:9" ht="15.75" thickBot="1" x14ac:dyDescent="0.3">
      <c r="B35" s="62" t="str">
        <f>_xlfn.CONCAT("VT",B33)</f>
        <v>VT56</v>
      </c>
      <c r="C35" s="63" t="str">
        <f>_xlfn.CONCAT("VTS",B33)</f>
        <v>VTS56</v>
      </c>
      <c r="D35" s="64"/>
      <c r="E35" s="70"/>
    </row>
  </sheetData>
  <protectedRanges>
    <protectedRange sqref="C6:D7 C10:D11 C22:D23 C26:D27 H8:I9 M12:N13 M28:N29 C30:D31 C34:D35 C14:D15 C18:D19 H16:I17 H24:I25 H32:I33 R20:S21" name="Resultados Play Off"/>
    <protectedRange sqref="R29:S30" name="Resultados Play Off_1"/>
  </protectedRanges>
  <mergeCells count="6">
    <mergeCell ref="Q16:S16"/>
    <mergeCell ref="Q25:S25"/>
    <mergeCell ref="V23:W23"/>
    <mergeCell ref="B2:D2"/>
    <mergeCell ref="G4:I4"/>
    <mergeCell ref="L8:N8"/>
  </mergeCells>
  <conditionalFormatting sqref="D6:D7">
    <cfRule type="expression" dxfId="30" priority="48">
      <formula>$C$6=$C$7</formula>
    </cfRule>
  </conditionalFormatting>
  <conditionalFormatting sqref="D10">
    <cfRule type="expression" dxfId="29" priority="47">
      <formula>C10=C11</formula>
    </cfRule>
  </conditionalFormatting>
  <conditionalFormatting sqref="D11">
    <cfRule type="expression" dxfId="28" priority="46">
      <formula>C10=C11</formula>
    </cfRule>
  </conditionalFormatting>
  <conditionalFormatting sqref="D14">
    <cfRule type="expression" dxfId="27" priority="18">
      <formula>C14=C15</formula>
    </cfRule>
  </conditionalFormatting>
  <conditionalFormatting sqref="D15">
    <cfRule type="expression" dxfId="26" priority="17">
      <formula>C14=C15</formula>
    </cfRule>
  </conditionalFormatting>
  <conditionalFormatting sqref="D18">
    <cfRule type="expression" dxfId="25" priority="16">
      <formula>C18=C19</formula>
    </cfRule>
  </conditionalFormatting>
  <conditionalFormatting sqref="D19">
    <cfRule type="expression" dxfId="24" priority="15">
      <formula>C18=C19</formula>
    </cfRule>
  </conditionalFormatting>
  <conditionalFormatting sqref="D22">
    <cfRule type="expression" dxfId="23" priority="45">
      <formula>C22=C23</formula>
    </cfRule>
  </conditionalFormatting>
  <conditionalFormatting sqref="D23">
    <cfRule type="expression" dxfId="22" priority="44">
      <formula>C22=C23</formula>
    </cfRule>
  </conditionalFormatting>
  <conditionalFormatting sqref="D26">
    <cfRule type="expression" dxfId="21" priority="43">
      <formula>C26=C27</formula>
    </cfRule>
  </conditionalFormatting>
  <conditionalFormatting sqref="D27">
    <cfRule type="expression" dxfId="20" priority="42">
      <formula>C26=C27</formula>
    </cfRule>
  </conditionalFormatting>
  <conditionalFormatting sqref="D30">
    <cfRule type="expression" dxfId="19" priority="28">
      <formula>C30=C31</formula>
    </cfRule>
  </conditionalFormatting>
  <conditionalFormatting sqref="D31">
    <cfRule type="expression" dxfId="18" priority="27">
      <formula>C30=C31</formula>
    </cfRule>
  </conditionalFormatting>
  <conditionalFormatting sqref="D34">
    <cfRule type="expression" dxfId="17" priority="26">
      <formula>C34=C35</formula>
    </cfRule>
  </conditionalFormatting>
  <conditionalFormatting sqref="D35">
    <cfRule type="expression" dxfId="16" priority="25">
      <formula>C34=C35</formula>
    </cfRule>
  </conditionalFormatting>
  <conditionalFormatting sqref="I8">
    <cfRule type="expression" dxfId="15" priority="41">
      <formula>H8=H9</formula>
    </cfRule>
  </conditionalFormatting>
  <conditionalFormatting sqref="I9">
    <cfRule type="expression" dxfId="14" priority="40">
      <formula>H8=H9</formula>
    </cfRule>
  </conditionalFormatting>
  <conditionalFormatting sqref="I16">
    <cfRule type="expression" dxfId="13" priority="14">
      <formula>H16=H17</formula>
    </cfRule>
  </conditionalFormatting>
  <conditionalFormatting sqref="I17">
    <cfRule type="expression" dxfId="12" priority="13">
      <formula>H16=H17</formula>
    </cfRule>
  </conditionalFormatting>
  <conditionalFormatting sqref="I24">
    <cfRule type="expression" dxfId="11" priority="12">
      <formula>H24=H25</formula>
    </cfRule>
  </conditionalFormatting>
  <conditionalFormatting sqref="I25">
    <cfRule type="expression" dxfId="10" priority="11">
      <formula>H24=H25</formula>
    </cfRule>
  </conditionalFormatting>
  <conditionalFormatting sqref="I32">
    <cfRule type="expression" dxfId="9" priority="10">
      <formula>H32=H33</formula>
    </cfRule>
  </conditionalFormatting>
  <conditionalFormatting sqref="I33">
    <cfRule type="expression" dxfId="8" priority="9">
      <formula>H32=H33</formula>
    </cfRule>
  </conditionalFormatting>
  <conditionalFormatting sqref="N12">
    <cfRule type="expression" dxfId="7" priority="37">
      <formula>M12=M13</formula>
    </cfRule>
  </conditionalFormatting>
  <conditionalFormatting sqref="N13">
    <cfRule type="expression" dxfId="6" priority="36">
      <formula>M12=M13</formula>
    </cfRule>
  </conditionalFormatting>
  <conditionalFormatting sqref="N28">
    <cfRule type="expression" dxfId="5" priority="20">
      <formula>M28=M29</formula>
    </cfRule>
  </conditionalFormatting>
  <conditionalFormatting sqref="N29">
    <cfRule type="expression" dxfId="4" priority="19">
      <formula>M28=M29</formula>
    </cfRule>
  </conditionalFormatting>
  <conditionalFormatting sqref="S20">
    <cfRule type="expression" dxfId="3" priority="50">
      <formula>R20=#REF!</formula>
    </cfRule>
  </conditionalFormatting>
  <conditionalFormatting sqref="S21">
    <cfRule type="expression" dxfId="2" priority="52">
      <formula>R27=R21</formula>
    </cfRule>
  </conditionalFormatting>
  <conditionalFormatting sqref="S29">
    <cfRule type="expression" dxfId="1" priority="2">
      <formula>R29=R30</formula>
    </cfRule>
  </conditionalFormatting>
  <conditionalFormatting sqref="S30">
    <cfRule type="expression" dxfId="0" priority="1">
      <formula>R29=R30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INFORMACION</vt:lpstr>
      <vt:lpstr>GRUPO A</vt:lpstr>
      <vt:lpstr>GRUPO B</vt:lpstr>
      <vt:lpstr>GRUPO C</vt:lpstr>
      <vt:lpstr>GRUPO D</vt:lpstr>
      <vt:lpstr>GRUPO E</vt:lpstr>
      <vt:lpstr>GRUPO F</vt:lpstr>
      <vt:lpstr>GRUPO G</vt:lpstr>
      <vt:lpstr>GRUPO H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JOSÉ VIAL</cp:lastModifiedBy>
  <dcterms:created xsi:type="dcterms:W3CDTF">2022-11-02T00:22:23Z</dcterms:created>
  <dcterms:modified xsi:type="dcterms:W3CDTF">2024-05-06T04:18:15Z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2024-05-06T04:00:03Z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820c4998-f564-4dec-856e-97b65b68d3c8</vt:lpwstr>
  </property>
  <property fmtid="{D5CDD505-2E9C-101B-9397-08002B2CF9AE}" pid="7" name="MSIP_Label_defa4170-0d19-0005-0004-bc88714345d2_ActionId">
    <vt:lpwstr>532c57a5-4869-4971-a61c-76716a38e0d0</vt:lpwstr>
  </property>
  <property fmtid="{D5CDD505-2E9C-101B-9397-08002B2CF9AE}" pid="8" name="MSIP_Label_defa4170-0d19-0005-0004-bc88714345d2_ContentBits">
    <vt:lpwstr>0</vt:lpwstr>
  </property>
</Properties>
</file>