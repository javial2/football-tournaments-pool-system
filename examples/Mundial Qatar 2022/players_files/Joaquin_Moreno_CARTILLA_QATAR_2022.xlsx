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fmor\Downloads\"/>
    </mc:Choice>
  </mc:AlternateContent>
  <bookViews>
    <workbookView xWindow="0" yWindow="0" windowWidth="19200" windowHeight="6930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Z7" i="14"/>
  <c r="AP10" i="13"/>
  <c r="AZ10" i="13" s="1"/>
  <c r="AZ8" i="13"/>
  <c r="AP8" i="12"/>
  <c r="AZ8" i="12" s="1"/>
  <c r="AZ10" i="12"/>
  <c r="AZ7" i="12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D8" i="12"/>
  <c r="C8" i="12"/>
  <c r="B14" i="16" s="1"/>
  <c r="F8" i="12"/>
  <c r="G10" i="11"/>
  <c r="G11" i="11"/>
  <c r="E10" i="11"/>
  <c r="E8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<sst xmlns="http://schemas.openxmlformats.org/spreadsheetml/2006/main" count="454" uniqueCount="79">
  <si>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</si>
  <si>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</si>
  <si>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</si>
  <si>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</si>
  <si>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</si>
  <si>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</si>
  <si>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</si>
  <si>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</si>
  <si>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</si>
  <si>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</si>
  <si>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</si>
  <si>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</si>
  <si>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</si>
  <si>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</si>
  <si>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</si>
  <si>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</si>
  <si>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</si>
  <si>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</si>
  <si>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</si>
  <si>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</si>
  <si>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</si>
  <si>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</si>
  <si>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</si>
  <si>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</si>
  <si>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</si>
  <si>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</si>
  <si>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</si>
  <si>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</si>
  <si>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</si>
  <si>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</si>
  <si>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</si>
  <si>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</si>
  <si>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</si>
  <si>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</si>
  <si>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</si>
  <si>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</si>
  <si>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</si>
  <si>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</si>
  <si>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</si>
  <si>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</si>
  <si>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</si>
  <si>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</si>
  <si>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</si>
  <si>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</si>
  <si>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</si>
  <si>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</si>
  <si>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</si>
  <si>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</si>
  <si>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</si>
  <si>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</si>
  <si>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</si>
  <si>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</si>
  <si>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</si>
  <si>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</si>
  <si>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</si>
  <si>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</si>
  <si>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</si>
  <si>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</si>
  <si>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</si>
  <si>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</si>
  <si>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</si>
  <si>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</si>
  <si>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</si>
  <si>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</si>
  <si>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</si>
  <si>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</si>
  <si>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</si>
  <si>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</si>
  <si>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</si>
  <si>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</si>
  <si>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</si>
  <si>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</si>
  <si>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</si>
  <si>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</si>
  <si>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</si>
  <si>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</si>
  <si>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</si>
  <si>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Joaquín Moreno</t>
  </si>
  <si>
    <t>jfmorenosm@gmail.com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</si>
</sst>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fmorenos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C4" sqref="C4:D4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3" t="s">
        <v>74</v>
      </c>
      <c r="C2" s="84"/>
      <c r="D2" s="85"/>
    </row>
    <row r="3" spans="2:4" x14ac:dyDescent="0.35">
      <c r="B3" s="76" t="s">
        <v>75</v>
      </c>
      <c r="C3" s="86" t="s">
        <v>77</v>
      </c>
      <c r="D3" s="87"/>
    </row>
    <row r="4" spans="2:4" ht="15" thickBot="1" x14ac:dyDescent="0.4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5" workbookViewId="0">
      <selection activeCell="M19" sqref="M19"/>
    </sheetView>
  </sheetViews>
  <sheetFormatPr baseColWidth="10" defaultColWidth="11.453125" defaultRowHeight="14.5" x14ac:dyDescent="0.35"/>
  <cols>
    <col min="1" max="14" width="10.90625" customWidth="1"/>
    <col min="15" max="34" width="11.453125" style="8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2</v>
      </c>
      <c r="AQ7" s="34">
        <f>AR7-AS7</f>
        <v>-1</v>
      </c>
      <c r="AR7" s="34">
        <f>SUMIF($K$7:$K$12,AO7,$L$7:$L$12) + SUMIF($N$7:$N$12,AO7,$M$7:$M$12)</f>
        <v>2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>Senegal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-19990200</v>
      </c>
      <c r="BA7" s="34">
        <f>AZ7-AY7*10</f>
        <v>-19990200</v>
      </c>
      <c r="BB7" s="34">
        <f>BA7+N23</f>
        <v>-19990197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2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3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1</v>
      </c>
      <c r="F9" s="13">
        <f t="shared" si="3"/>
        <v>1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>Qatar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-19990200</v>
      </c>
      <c r="BA9" s="34">
        <f t="shared" si="10"/>
        <v>-19990200</v>
      </c>
      <c r="BB9" s="34">
        <f>BA9+N25</f>
        <v>-19990199</v>
      </c>
    </row>
    <row r="10" spans="2:54" x14ac:dyDescent="0.35">
      <c r="B10" s="48">
        <v>3</v>
      </c>
      <c r="C10" s="49" t="str">
        <f t="shared" si="3"/>
        <v>Senegal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1</v>
      </c>
      <c r="AS10" s="34">
        <f>SUMIF($K$7:$K$12,AO10,$M$7:$M$12) + SUMIF($N$7:$N$12,AO10,$L$7:$L$12)</f>
        <v>1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-40000100</v>
      </c>
      <c r="BA10" s="34">
        <f t="shared" si="10"/>
        <v>-40000110</v>
      </c>
      <c r="BB10" s="34">
        <f>BA10+N26</f>
        <v>-40000106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2</v>
      </c>
      <c r="E11" s="54">
        <f t="shared" si="3"/>
        <v>2</v>
      </c>
      <c r="F11" s="54">
        <f t="shared" si="3"/>
        <v>3</v>
      </c>
      <c r="G11" s="55">
        <f t="shared" si="3"/>
        <v>-1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1</v>
      </c>
      <c r="AK12" s="34">
        <f t="shared" si="4"/>
        <v>1</v>
      </c>
      <c r="AL12" s="34" t="str">
        <f t="shared" si="2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3</v>
      </c>
      <c r="N23" s="35">
        <f>IF(J23="",0,M23)</f>
        <v>3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1</v>
      </c>
      <c r="N25" s="35">
        <f>IF(J25="",0,M25)</f>
        <v>1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5" workbookViewId="0">
      <selection activeCell="M15" sqref="M15"/>
    </sheetView>
  </sheetViews>
  <sheetFormatPr baseColWidth="10" defaultColWidth="11.453125" defaultRowHeight="14.5" x14ac:dyDescent="0.35"/>
  <cols>
    <col min="1" max="14" width="10.90625" customWidth="1"/>
    <col min="15" max="34" width="11.453125" style="78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29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-50020400</v>
      </c>
      <c r="BA7" s="34">
        <f>AZ7-AY7*10</f>
        <v>-50020410</v>
      </c>
      <c r="BB7" s="34">
        <f>BA7+N23</f>
        <v>-50020409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5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0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-29990200</v>
      </c>
      <c r="BA8" s="34">
        <f t="shared" ref="BA8:BA10" si="10">AZ8-AY8*10</f>
        <v>-29990210</v>
      </c>
      <c r="BB8" s="34">
        <f>BA8+N24</f>
        <v>-29990208</v>
      </c>
    </row>
    <row r="9" spans="2:54" x14ac:dyDescent="0.3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-19980207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-50010300</v>
      </c>
      <c r="BA10" s="34">
        <f t="shared" si="10"/>
        <v>-50010310</v>
      </c>
      <c r="BB10" s="34">
        <f>BA10+N26</f>
        <v>-50010306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2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8" workbookViewId="0">
      <selection activeCell="M13" sqref="M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34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-70050600</v>
      </c>
      <c r="BA7" s="34">
        <f>AZ7-AY7*10</f>
        <v>-70050610</v>
      </c>
      <c r="BB7" s="34">
        <f>BA7+N23</f>
        <v>-70050609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4</v>
      </c>
      <c r="AO8" s="34" t="s">
        <v>36</v>
      </c>
      <c r="AP8" s="34">
        <f>SUMIF($K$7:$K$12,AO8,$AJ$7:$AJ$12) + SUMIF($N$7:$N$12,AO8,$AK$7:$AK$12)</f>
        <v>0</v>
      </c>
      <c r="AQ8" s="34">
        <f>AR8-AS8</f>
        <v>-5</v>
      </c>
      <c r="AR8" s="34">
        <f t="shared" ref="AR8:AR9" si="5">SUMIF($K$7:$K$12,AO8,$L$7:$L$12) + SUMIF($N$7:$N$12,AO8,$M$7:$M$12)</f>
        <v>0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50000</v>
      </c>
      <c r="BA8" s="34">
        <f t="shared" ref="BA8:BA10" si="10">AZ8-AY8*10</f>
        <v>49990</v>
      </c>
      <c r="BB8" s="34">
        <f>BA8+N24</f>
        <v>49992</v>
      </c>
    </row>
    <row r="9" spans="2:54" x14ac:dyDescent="0.35">
      <c r="B9" s="11">
        <v>2</v>
      </c>
      <c r="C9" s="12" t="str">
        <f t="shared" si="0"/>
        <v>Polonia</v>
      </c>
      <c r="D9" s="13">
        <f t="shared" si="0"/>
        <v>5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0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2</v>
      </c>
      <c r="AS9" s="34">
        <f t="shared" si="6"/>
        <v>1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-50010200</v>
      </c>
      <c r="BA9" s="34">
        <f t="shared" si="10"/>
        <v>-50010210</v>
      </c>
      <c r="BB9" s="34">
        <f>BA9+N25</f>
        <v>-50010207</v>
      </c>
    </row>
    <row r="10" spans="2:54" x14ac:dyDescent="0.35">
      <c r="B10" s="48">
        <v>3</v>
      </c>
      <c r="C10" s="49" t="str">
        <f t="shared" si="0"/>
        <v>Arabia Saudita</v>
      </c>
      <c r="D10" s="50">
        <f t="shared" si="0"/>
        <v>4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3</v>
      </c>
      <c r="AO10" s="34" t="s">
        <v>38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1</v>
      </c>
      <c r="AS10" s="34">
        <f>SUMIF($K$7:$K$12,AO10,$M$7:$M$12) + SUMIF($N$7:$N$12,AO10,$L$7:$L$12)</f>
        <v>2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-39990100</v>
      </c>
      <c r="BA10" s="34">
        <f t="shared" si="10"/>
        <v>-39990110</v>
      </c>
      <c r="BB10" s="34">
        <f>BA10+N26</f>
        <v>-39990106</v>
      </c>
    </row>
    <row r="11" spans="2:54" ht="15" thickBot="1" x14ac:dyDescent="0.4">
      <c r="B11" s="52">
        <v>4</v>
      </c>
      <c r="C11" s="53" t="str">
        <f t="shared" si="0"/>
        <v>Mexico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0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3</v>
      </c>
      <c r="AK12" s="34">
        <f t="shared" si="3"/>
        <v>0</v>
      </c>
      <c r="AL12" s="34" t="str">
        <f t="shared" si="4"/>
        <v>Arabia Saudita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2" sqref="L12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3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3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3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" thickBot="1" x14ac:dyDescent="0.4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3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-70050600</v>
      </c>
      <c r="BA8" s="34">
        <f t="shared" ref="BA8:BA10" si="10">AZ8-AY8*10</f>
        <v>-70050610</v>
      </c>
      <c r="BB8" s="34">
        <f>BA8+N24</f>
        <v>-70050608</v>
      </c>
    </row>
    <row r="9" spans="2:54" x14ac:dyDescent="0.35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3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2"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71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3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3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-30000400</v>
      </c>
      <c r="BA9" s="34">
        <f t="shared" si="10"/>
        <v>-30000410</v>
      </c>
      <c r="BB9" s="34">
        <f>BA9+N25</f>
        <v>-30000407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72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6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-90060600</v>
      </c>
      <c r="BA7" s="34">
        <f>AZ7-AY7*10</f>
        <v>-90060610</v>
      </c>
      <c r="BB7" s="34">
        <f>BA7+N23</f>
        <v>-90060609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0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-39990207</v>
      </c>
    </row>
    <row r="10" spans="2:54" x14ac:dyDescent="0.3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73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0</v>
      </c>
      <c r="AR7" s="34">
        <f>SUMIF($K$7:$K$12,AO7,$L$7:$L$12) + SUMIF($N$7:$N$12,AO7,$M$7:$M$12)</f>
        <v>3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-60000300</v>
      </c>
      <c r="BA7" s="34">
        <f>AZ7-AY7*10</f>
        <v>-60000310</v>
      </c>
      <c r="BB7" s="34">
        <f>BA7+N23</f>
        <v>-60000309</v>
      </c>
    </row>
    <row r="8" spans="2:54" x14ac:dyDescent="0.3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-90050500</v>
      </c>
      <c r="BA8" s="34">
        <f t="shared" ref="BA8:BA10" si="10">AZ8-AY8*10</f>
        <v>-90050510</v>
      </c>
      <c r="BB8" s="34">
        <f>BA8+N24</f>
        <v>-90050508</v>
      </c>
    </row>
    <row r="9" spans="2:54" x14ac:dyDescent="0.3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topLeftCell="A13" workbookViewId="0">
      <selection activeCell="A32" sqref="A32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1" t="s">
        <v>69</v>
      </c>
      <c r="C2" s="112"/>
      <c r="D2" s="113"/>
    </row>
    <row r="3" spans="2:19" ht="15" thickBot="1" x14ac:dyDescent="0.4"/>
    <row r="4" spans="2:19" ht="15" thickBot="1" x14ac:dyDescent="0.4">
      <c r="G4" s="111" t="s">
        <v>59</v>
      </c>
      <c r="H4" s="112"/>
      <c r="I4" s="113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" thickBot="1" x14ac:dyDescent="0.4">
      <c r="B14" s="59" t="str">
        <f>'GRUPO E'!C8</f>
        <v>Alemania</v>
      </c>
      <c r="C14" s="60">
        <v>1</v>
      </c>
      <c r="D14" s="61"/>
      <c r="J14" s="66"/>
      <c r="O14" s="66"/>
    </row>
    <row r="15" spans="2:19" ht="15" thickBot="1" x14ac:dyDescent="0.4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Alemania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4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1</v>
      </c>
      <c r="S20" s="61">
        <v>4</v>
      </c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1</v>
      </c>
      <c r="S21" s="64">
        <v>3</v>
      </c>
    </row>
    <row r="22" spans="2:23" ht="15" thickBot="1" x14ac:dyDescent="0.4">
      <c r="B22" s="59" t="str">
        <f>'GRUPO B'!C8</f>
        <v>Inglaterra</v>
      </c>
      <c r="C22" s="60">
        <v>1</v>
      </c>
      <c r="D22" s="61">
        <v>4</v>
      </c>
      <c r="O22" s="66"/>
    </row>
    <row r="23" spans="2:23" ht="15" thickBot="1" x14ac:dyDescent="0.4">
      <c r="B23" s="62" t="str">
        <f>'GRUPO A'!C9</f>
        <v>Ecuador</v>
      </c>
      <c r="C23" s="63">
        <v>1</v>
      </c>
      <c r="D23" s="64">
        <v>2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Uruguay</v>
      </c>
    </row>
    <row r="26" spans="2:23" ht="15" thickBot="1" x14ac:dyDescent="0.4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4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Dinamarca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/>
      <c r="Q29" s="59" t="str">
        <f>IF(Q20=L12,L13,IF(Q20=L13,L12,""))</f>
        <v>Argentina</v>
      </c>
      <c r="R29" s="60">
        <v>1</v>
      </c>
      <c r="S29" s="61"/>
    </row>
    <row r="30" spans="2:23" ht="15" thickBot="1" x14ac:dyDescent="0.4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Dinamarca</v>
      </c>
      <c r="R30" s="63">
        <v>0</v>
      </c>
      <c r="S30" s="64"/>
    </row>
    <row r="31" spans="2:23" ht="15" thickBot="1" x14ac:dyDescent="0.4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España</v>
      </c>
      <c r="H32" s="60">
        <v>0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35">
      <c r="B34" s="59" t="str">
        <f>'GRUPO H'!C8</f>
        <v>Uruguay</v>
      </c>
      <c r="C34" s="60">
        <v>1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Joaquín Moreno</cp:lastModifiedBy>
  <dcterms:created xsi:type="dcterms:W3CDTF">2022-11-02T00:22:23Z</dcterms:created>
  <dcterms:modified xsi:type="dcterms:W3CDTF">2022-11-20T15:04:28Z</dcterms:modified>
</cp:coreProperties>
</file>